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5f83fae3331b2f/Documentos/"/>
    </mc:Choice>
  </mc:AlternateContent>
  <xr:revisionPtr revIDLastSave="144" documentId="8_{C53650BD-8315-4207-8A16-ACC9427E4BC4}" xr6:coauthVersionLast="47" xr6:coauthVersionMax="47" xr10:uidLastSave="{7808EE1A-CC89-43DA-806D-442CDC8AA576}"/>
  <bookViews>
    <workbookView xWindow="-108" yWindow="-108" windowWidth="23256" windowHeight="13896" firstSheet="1" activeTab="4" xr2:uid="{00000000-000D-0000-FFFF-FFFF00000000}"/>
  </bookViews>
  <sheets>
    <sheet name="RELACIONES" sheetId="5" r:id="rId1"/>
    <sheet name="PRODUCTOS" sheetId="6" r:id="rId2"/>
    <sheet name="INVENTARIO" sheetId="1" r:id="rId3"/>
    <sheet name="PROVEEDORES" sheetId="4" r:id="rId4"/>
    <sheet name="Hoja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8" i="5" l="1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90" i="5"/>
  <c r="C91" i="5"/>
  <c r="C92" i="5"/>
  <c r="C93" i="5"/>
  <c r="C94" i="5"/>
  <c r="C95" i="5"/>
  <c r="C96" i="5"/>
  <c r="C97" i="5"/>
  <c r="C98" i="5"/>
  <c r="C99" i="5"/>
  <c r="C100" i="5"/>
  <c r="C101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4" i="5"/>
  <c r="C5" i="5"/>
  <c r="C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" i="5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" i="2"/>
  <c r="A113" i="1"/>
  <c r="A93" i="1"/>
  <c r="A92" i="1"/>
  <c r="A327" i="1" l="1"/>
  <c r="A341" i="1"/>
  <c r="A309" i="1"/>
  <c r="A330" i="1"/>
  <c r="A342" i="1"/>
  <c r="A314" i="1"/>
  <c r="A319" i="1"/>
  <c r="A325" i="1"/>
  <c r="A329" i="1"/>
  <c r="A324" i="1"/>
  <c r="A340" i="1"/>
  <c r="A308" i="1"/>
  <c r="A310" i="1"/>
  <c r="A331" i="1"/>
  <c r="A333" i="1"/>
  <c r="A334" i="1"/>
  <c r="A332" i="1"/>
  <c r="A326" i="1"/>
  <c r="A328" i="1"/>
  <c r="A343" i="1"/>
  <c r="A311" i="1"/>
  <c r="A312" i="1"/>
  <c r="A318" i="1"/>
  <c r="A317" i="1"/>
  <c r="A301" i="1"/>
  <c r="A316" i="1"/>
  <c r="A300" i="1"/>
  <c r="A302" i="1"/>
  <c r="A315" i="1"/>
  <c r="A299" i="1"/>
  <c r="A298" i="1"/>
  <c r="A323" i="1"/>
  <c r="A307" i="1"/>
  <c r="A306" i="1"/>
  <c r="A339" i="1"/>
  <c r="A322" i="1"/>
  <c r="A305" i="1"/>
  <c r="A336" i="1"/>
  <c r="A304" i="1"/>
  <c r="A320" i="1"/>
  <c r="A335" i="1"/>
  <c r="A303" i="1"/>
  <c r="I3" i="2"/>
  <c r="I4" i="2"/>
  <c r="I5" i="2"/>
  <c r="I6" i="2"/>
  <c r="I7" i="2"/>
  <c r="A7" i="1" s="1"/>
  <c r="I8" i="2"/>
  <c r="I9" i="2"/>
  <c r="A9" i="1" s="1"/>
  <c r="I10" i="2"/>
  <c r="A10" i="1" s="1"/>
  <c r="I11" i="2"/>
  <c r="I12" i="2"/>
  <c r="A12" i="1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A34" i="1" s="1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A68" i="1" s="1"/>
  <c r="I69" i="2"/>
  <c r="I70" i="2"/>
  <c r="A70" i="1" s="1"/>
  <c r="I71" i="2"/>
  <c r="A71" i="1" s="1"/>
  <c r="I72" i="2"/>
  <c r="I73" i="2"/>
  <c r="A73" i="1" s="1"/>
  <c r="I74" i="2"/>
  <c r="I75" i="2"/>
  <c r="I76" i="2"/>
  <c r="A76" i="1" s="1"/>
  <c r="I77" i="2"/>
  <c r="A77" i="1" s="1"/>
  <c r="I78" i="2"/>
  <c r="I79" i="2"/>
  <c r="I80" i="2"/>
  <c r="A80" i="1" s="1"/>
  <c r="I81" i="2"/>
  <c r="A81" i="1" s="1"/>
  <c r="I82" i="2"/>
  <c r="I83" i="2"/>
  <c r="I84" i="2"/>
  <c r="I85" i="2"/>
  <c r="A85" i="1" s="1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A102" i="1" s="1"/>
  <c r="I103" i="2"/>
  <c r="I104" i="2"/>
  <c r="A104" i="1" s="1"/>
  <c r="I105" i="2"/>
  <c r="I106" i="2"/>
  <c r="I107" i="2"/>
  <c r="I108" i="2"/>
  <c r="I109" i="2"/>
  <c r="A109" i="1" s="1"/>
  <c r="I110" i="2"/>
  <c r="I111" i="2"/>
  <c r="I112" i="2"/>
  <c r="A112" i="1" s="1"/>
  <c r="I113" i="2"/>
  <c r="I114" i="2"/>
  <c r="A114" i="1" s="1"/>
  <c r="I115" i="2"/>
  <c r="A115" i="1" s="1"/>
  <c r="I116" i="2"/>
  <c r="I117" i="2"/>
  <c r="I118" i="2"/>
  <c r="I119" i="2"/>
  <c r="I120" i="2"/>
  <c r="I121" i="2"/>
  <c r="I122" i="2"/>
  <c r="I123" i="2"/>
  <c r="A123" i="1" s="1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A161" i="1" s="1"/>
  <c r="I162" i="2"/>
  <c r="A162" i="1" s="1"/>
  <c r="I163" i="2"/>
  <c r="A163" i="1" s="1"/>
  <c r="I164" i="2"/>
  <c r="A164" i="1" s="1"/>
  <c r="I165" i="2"/>
  <c r="A165" i="1" s="1"/>
  <c r="I166" i="2"/>
  <c r="I167" i="2"/>
  <c r="A167" i="1" s="1"/>
  <c r="I168" i="2"/>
  <c r="I169" i="2"/>
  <c r="I170" i="2"/>
  <c r="I171" i="2"/>
  <c r="I172" i="2"/>
  <c r="A172" i="1" s="1"/>
  <c r="I173" i="2"/>
  <c r="I174" i="2"/>
  <c r="I175" i="2"/>
  <c r="I176" i="2"/>
  <c r="I177" i="2"/>
  <c r="I178" i="2"/>
  <c r="I179" i="2"/>
  <c r="I180" i="2"/>
  <c r="I181" i="2"/>
  <c r="A181" i="1" s="1"/>
  <c r="I182" i="2"/>
  <c r="A182" i="1" s="1"/>
  <c r="I183" i="2"/>
  <c r="A183" i="1" s="1"/>
  <c r="I184" i="2"/>
  <c r="A184" i="1" s="1"/>
  <c r="I185" i="2"/>
  <c r="I186" i="2"/>
  <c r="A186" i="1" s="1"/>
  <c r="I187" i="2"/>
  <c r="A187" i="1" s="1"/>
  <c r="I188" i="2"/>
  <c r="I189" i="2"/>
  <c r="I190" i="2"/>
  <c r="I191" i="2"/>
  <c r="I192" i="2"/>
  <c r="I193" i="2"/>
  <c r="I194" i="2"/>
  <c r="I195" i="2"/>
  <c r="I196" i="2"/>
  <c r="I197" i="2"/>
  <c r="I198" i="2"/>
  <c r="A198" i="1" s="1"/>
  <c r="I199" i="2"/>
  <c r="I200" i="2"/>
  <c r="I201" i="2"/>
  <c r="I202" i="2"/>
  <c r="A202" i="1" s="1"/>
  <c r="I203" i="2"/>
  <c r="I204" i="2"/>
  <c r="A204" i="1" s="1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A241" i="1" s="1"/>
  <c r="I242" i="2"/>
  <c r="I243" i="2"/>
  <c r="I244" i="2"/>
  <c r="A244" i="1" s="1"/>
  <c r="I245" i="2"/>
  <c r="I246" i="2"/>
  <c r="A246" i="1" s="1"/>
  <c r="I247" i="2"/>
  <c r="I248" i="2"/>
  <c r="A248" i="1" s="1"/>
  <c r="I250" i="2"/>
  <c r="I251" i="2"/>
  <c r="I252" i="2"/>
  <c r="A252" i="1" s="1"/>
  <c r="I253" i="2"/>
  <c r="I254" i="2"/>
  <c r="I255" i="2"/>
  <c r="I256" i="2"/>
  <c r="I257" i="2"/>
  <c r="A257" i="1" s="1"/>
  <c r="I258" i="2"/>
  <c r="I259" i="2"/>
  <c r="I260" i="2"/>
  <c r="A260" i="1" s="1"/>
  <c r="I261" i="2"/>
  <c r="A261" i="1" s="1"/>
  <c r="I262" i="2"/>
  <c r="I263" i="2"/>
  <c r="I264" i="2"/>
  <c r="I265" i="2"/>
  <c r="I266" i="2"/>
  <c r="I267" i="2"/>
  <c r="I268" i="2"/>
  <c r="I269" i="2"/>
  <c r="I270" i="2"/>
  <c r="I271" i="2"/>
  <c r="I272" i="2"/>
  <c r="I273" i="2"/>
  <c r="A273" i="1" s="1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49" i="2"/>
  <c r="A105" i="1" l="1"/>
  <c r="A245" i="1"/>
  <c r="A122" i="1"/>
  <c r="A75" i="1"/>
  <c r="A8" i="1"/>
  <c r="A11" i="1"/>
  <c r="A107" i="1"/>
  <c r="A171" i="1"/>
  <c r="A168" i="1"/>
  <c r="A90" i="1"/>
  <c r="A152" i="1"/>
  <c r="A108" i="1"/>
  <c r="A110" i="1"/>
  <c r="A103" i="1"/>
  <c r="A111" i="1"/>
  <c r="A151" i="1"/>
  <c r="A169" i="1"/>
  <c r="A106" i="1"/>
  <c r="A247" i="1"/>
  <c r="A150" i="1"/>
  <c r="A170" i="1"/>
  <c r="A243" i="1"/>
  <c r="A78" i="1"/>
  <c r="A258" i="1"/>
  <c r="A74" i="1"/>
  <c r="A251" i="1"/>
  <c r="A79" i="1"/>
  <c r="A259" i="1"/>
  <c r="A242" i="1"/>
  <c r="A189" i="1"/>
  <c r="A253" i="1"/>
  <c r="A185" i="1"/>
  <c r="A196" i="1"/>
  <c r="A197" i="1"/>
  <c r="A199" i="1"/>
  <c r="A200" i="1"/>
  <c r="A201" i="1"/>
  <c r="A234" i="1"/>
  <c r="A262" i="1"/>
  <c r="A263" i="1"/>
  <c r="A264" i="1"/>
  <c r="A265" i="1"/>
  <c r="A13" i="1"/>
  <c r="A17" i="1"/>
  <c r="A18" i="1"/>
  <c r="A19" i="1"/>
  <c r="A21" i="1"/>
  <c r="A22" i="1"/>
  <c r="A23" i="1"/>
  <c r="A25" i="1"/>
  <c r="A26" i="1"/>
  <c r="A27" i="1"/>
  <c r="A28" i="1"/>
  <c r="A29" i="1"/>
  <c r="A33" i="1"/>
  <c r="A35" i="1"/>
  <c r="A37" i="1"/>
  <c r="A39" i="1"/>
  <c r="A40" i="1"/>
  <c r="A41" i="1"/>
  <c r="A42" i="1"/>
  <c r="A43" i="1"/>
  <c r="A44" i="1"/>
  <c r="A45" i="1"/>
  <c r="A47" i="1"/>
  <c r="A49" i="1"/>
  <c r="A50" i="1"/>
  <c r="A52" i="1"/>
  <c r="A53" i="1"/>
  <c r="A60" i="1"/>
  <c r="A61" i="1"/>
  <c r="A63" i="1"/>
  <c r="A125" i="1"/>
  <c r="A141" i="1"/>
  <c r="A296" i="1"/>
  <c r="A297" i="1"/>
  <c r="A234" i="5" l="1"/>
  <c r="A58" i="1"/>
  <c r="A120" i="1"/>
  <c r="A133" i="1"/>
  <c r="A256" i="1"/>
  <c r="A116" i="1"/>
  <c r="A84" i="1"/>
  <c r="A36" i="1"/>
  <c r="A4" i="1"/>
  <c r="A193" i="1"/>
  <c r="A180" i="1"/>
  <c r="A147" i="1"/>
  <c r="A131" i="1"/>
  <c r="A99" i="1"/>
  <c r="A83" i="1"/>
  <c r="A67" i="1"/>
  <c r="A51" i="1"/>
  <c r="A240" i="1"/>
  <c r="A192" i="1"/>
  <c r="A59" i="1"/>
  <c r="A138" i="1"/>
  <c r="A121" i="1"/>
  <c r="A136" i="1"/>
  <c r="A88" i="1"/>
  <c r="A56" i="1"/>
  <c r="A24" i="1"/>
  <c r="A101" i="1"/>
  <c r="A194" i="1"/>
  <c r="A148" i="1"/>
  <c r="A132" i="1"/>
  <c r="A100" i="1"/>
  <c r="A20" i="1"/>
  <c r="A255" i="1"/>
  <c r="A254" i="1"/>
  <c r="A179" i="1"/>
  <c r="A146" i="1"/>
  <c r="A130" i="1"/>
  <c r="A98" i="1"/>
  <c r="A82" i="1"/>
  <c r="A66" i="1"/>
  <c r="A239" i="1"/>
  <c r="A207" i="1"/>
  <c r="A191" i="1"/>
  <c r="A139" i="1"/>
  <c r="A91" i="1"/>
  <c r="A137" i="1"/>
  <c r="A89" i="1"/>
  <c r="A57" i="1"/>
  <c r="A72" i="1"/>
  <c r="A135" i="1"/>
  <c r="A54" i="1"/>
  <c r="A38" i="1"/>
  <c r="A195" i="1"/>
  <c r="A69" i="1"/>
  <c r="A124" i="1"/>
  <c r="A55" i="1"/>
  <c r="A118" i="1"/>
  <c r="A149" i="1"/>
  <c r="A5" i="1"/>
  <c r="A268" i="1"/>
  <c r="A177" i="1"/>
  <c r="A144" i="1"/>
  <c r="A128" i="1"/>
  <c r="A96" i="1"/>
  <c r="A64" i="1"/>
  <c r="A48" i="1"/>
  <c r="A32" i="1"/>
  <c r="A16" i="1"/>
  <c r="A237" i="1"/>
  <c r="A205" i="1"/>
  <c r="A119" i="1"/>
  <c r="A6" i="1"/>
  <c r="A117" i="1"/>
  <c r="A129" i="1"/>
  <c r="A238" i="1"/>
  <c r="A267" i="1"/>
  <c r="A143" i="1"/>
  <c r="A127" i="1"/>
  <c r="A95" i="1"/>
  <c r="A31" i="1"/>
  <c r="A15" i="1"/>
  <c r="A236" i="1"/>
  <c r="A188" i="1"/>
  <c r="A140" i="1"/>
  <c r="A87" i="1"/>
  <c r="A134" i="1"/>
  <c r="A86" i="1"/>
  <c r="A145" i="1"/>
  <c r="A97" i="1"/>
  <c r="A65" i="1"/>
  <c r="A206" i="1"/>
  <c r="A190" i="1"/>
  <c r="A142" i="1"/>
  <c r="A126" i="1"/>
  <c r="A94" i="1"/>
  <c r="A62" i="1"/>
  <c r="A46" i="1"/>
  <c r="A30" i="1"/>
  <c r="A14" i="1"/>
  <c r="A235" i="1"/>
  <c r="A235" i="5" s="1"/>
  <c r="A203" i="1"/>
  <c r="A3" i="1"/>
  <c r="A3" i="6" l="1" a="1"/>
  <c r="A3" i="6" s="1"/>
  <c r="B49" i="6"/>
  <c r="B65" i="6"/>
  <c r="B81" i="6"/>
  <c r="C286" i="6"/>
  <c r="D177" i="6"/>
  <c r="D193" i="6"/>
  <c r="C112" i="6"/>
  <c r="C128" i="6"/>
  <c r="C144" i="6"/>
  <c r="D50" i="6"/>
  <c r="D66" i="6"/>
  <c r="D82" i="6"/>
  <c r="B259" i="6"/>
  <c r="B275" i="6"/>
  <c r="B291" i="6"/>
  <c r="D228" i="6"/>
  <c r="D244" i="6"/>
  <c r="D260" i="6"/>
  <c r="C114" i="6"/>
  <c r="C306" i="6"/>
  <c r="D5" i="6"/>
  <c r="B166" i="6"/>
  <c r="B182" i="6"/>
  <c r="B198" i="6"/>
  <c r="D150" i="6"/>
  <c r="D166" i="6"/>
  <c r="D182" i="6"/>
  <c r="C23" i="6"/>
  <c r="C39" i="6"/>
  <c r="C55" i="6"/>
  <c r="B75" i="6"/>
  <c r="B91" i="6"/>
  <c r="B107" i="6"/>
  <c r="D179" i="6"/>
  <c r="B60" i="6"/>
  <c r="B89" i="6"/>
  <c r="D296" i="6"/>
  <c r="B4" i="6"/>
  <c r="B31" i="6"/>
  <c r="B92" i="6"/>
  <c r="B205" i="6"/>
  <c r="B264" i="6"/>
  <c r="B156" i="6"/>
  <c r="B212" i="6"/>
  <c r="B298" i="6"/>
  <c r="D299" i="6"/>
  <c r="B93" i="6"/>
  <c r="B122" i="6"/>
  <c r="D247" i="6"/>
  <c r="D301" i="6"/>
  <c r="C197" i="6"/>
  <c r="C293" i="6"/>
  <c r="B240" i="6"/>
  <c r="C8" i="6"/>
  <c r="C104" i="6"/>
  <c r="B266" i="6"/>
  <c r="B296" i="6"/>
  <c r="B126" i="6"/>
  <c r="C298" i="6"/>
  <c r="D13" i="6"/>
  <c r="D45" i="6"/>
  <c r="C299" i="6"/>
  <c r="D14" i="6"/>
  <c r="D46" i="6"/>
  <c r="D44" i="6"/>
  <c r="D121" i="6"/>
  <c r="D203" i="6"/>
  <c r="D281" i="6"/>
  <c r="C181" i="6"/>
  <c r="C277" i="6"/>
  <c r="C12" i="6"/>
  <c r="C308" i="6"/>
  <c r="D255" i="6"/>
  <c r="B168" i="6"/>
  <c r="C52" i="6"/>
  <c r="D108" i="6"/>
  <c r="D232" i="6"/>
  <c r="D79" i="6"/>
  <c r="B222" i="6"/>
  <c r="C245" i="6"/>
  <c r="B74" i="6"/>
  <c r="C21" i="6"/>
  <c r="C233" i="6"/>
  <c r="D168" i="6"/>
  <c r="C150" i="6"/>
  <c r="D111" i="6"/>
  <c r="B26" i="6"/>
  <c r="C73" i="6"/>
  <c r="C300" i="6"/>
  <c r="D75" i="6"/>
  <c r="B57" i="6"/>
  <c r="B138" i="6"/>
  <c r="D152" i="6" l="1"/>
  <c r="C96" i="6"/>
  <c r="B248" i="6"/>
  <c r="D167" i="6"/>
  <c r="B272" i="6"/>
  <c r="D15" i="6"/>
  <c r="C84" i="6"/>
  <c r="B304" i="6"/>
  <c r="B303" i="6"/>
  <c r="C234" i="6"/>
  <c r="B64" i="6"/>
  <c r="B100" i="6"/>
  <c r="D188" i="6"/>
  <c r="D239" i="6"/>
  <c r="D302" i="6"/>
  <c r="D184" i="6"/>
  <c r="D237" i="6"/>
  <c r="D123" i="6"/>
  <c r="B43" i="6"/>
  <c r="B311" i="6"/>
  <c r="D22" i="6"/>
  <c r="B134" i="6"/>
  <c r="C82" i="6"/>
  <c r="D196" i="6"/>
  <c r="B147" i="6"/>
  <c r="C159" i="6"/>
  <c r="C80" i="6"/>
  <c r="C254" i="6"/>
  <c r="B17" i="6"/>
  <c r="D119" i="6"/>
  <c r="B16" i="6"/>
  <c r="C117" i="6"/>
  <c r="B196" i="6"/>
  <c r="C44" i="6"/>
  <c r="B109" i="6"/>
  <c r="B280" i="6"/>
  <c r="B276" i="6"/>
  <c r="C202" i="6"/>
  <c r="B40" i="6"/>
  <c r="B14" i="6"/>
  <c r="D131" i="6"/>
  <c r="D215" i="6"/>
  <c r="D219" i="6"/>
  <c r="D155" i="6"/>
  <c r="D207" i="6"/>
  <c r="D59" i="6"/>
  <c r="B27" i="6"/>
  <c r="B295" i="6"/>
  <c r="C243" i="6"/>
  <c r="B38" i="6"/>
  <c r="C66" i="6"/>
  <c r="D180" i="6"/>
  <c r="B131" i="6"/>
  <c r="C143" i="6"/>
  <c r="C64" i="6"/>
  <c r="C238" i="6"/>
  <c r="D320" i="6"/>
  <c r="C54" i="6"/>
  <c r="D175" i="6"/>
  <c r="D221" i="6"/>
  <c r="B112" i="6"/>
  <c r="B312" i="6"/>
  <c r="B105" i="6"/>
  <c r="B250" i="6"/>
  <c r="B249" i="6"/>
  <c r="C170" i="6"/>
  <c r="B10" i="6"/>
  <c r="D249" i="6"/>
  <c r="D71" i="6"/>
  <c r="C315" i="6"/>
  <c r="D159" i="6"/>
  <c r="D125" i="6"/>
  <c r="D183" i="6"/>
  <c r="C248" i="6"/>
  <c r="D154" i="6"/>
  <c r="B279" i="6"/>
  <c r="C227" i="6"/>
  <c r="B22" i="6"/>
  <c r="C50" i="6"/>
  <c r="C305" i="6"/>
  <c r="B115" i="6"/>
  <c r="C127" i="6"/>
  <c r="C48" i="6"/>
  <c r="C222" i="6"/>
  <c r="D112" i="6"/>
  <c r="B237" i="6"/>
  <c r="B72" i="6"/>
  <c r="C7" i="6"/>
  <c r="B243" i="6"/>
  <c r="C212" i="6"/>
  <c r="D142" i="6"/>
  <c r="B221" i="6"/>
  <c r="D190" i="6"/>
  <c r="D61" i="6"/>
  <c r="C211" i="6"/>
  <c r="B99" i="6"/>
  <c r="D96" i="6"/>
  <c r="D55" i="6"/>
  <c r="B190" i="6"/>
  <c r="D7" i="6"/>
  <c r="C250" i="6"/>
  <c r="D122" i="6"/>
  <c r="C195" i="6"/>
  <c r="B83" i="6"/>
  <c r="C190" i="6"/>
  <c r="B244" i="6"/>
  <c r="B313" i="6"/>
  <c r="B96" i="6"/>
  <c r="C218" i="6"/>
  <c r="C179" i="6"/>
  <c r="C257" i="6"/>
  <c r="D64" i="6"/>
  <c r="C182" i="6"/>
  <c r="D313" i="6"/>
  <c r="D127" i="6"/>
  <c r="C91" i="6"/>
  <c r="C120" i="6"/>
  <c r="D101" i="6"/>
  <c r="C62" i="6"/>
  <c r="B158" i="6"/>
  <c r="D252" i="6"/>
  <c r="D105" i="6"/>
  <c r="C59" i="6"/>
  <c r="C311" i="6"/>
  <c r="D162" i="6"/>
  <c r="D32" i="6"/>
  <c r="D291" i="6"/>
  <c r="D251" i="6"/>
  <c r="D120" i="6"/>
  <c r="C265" i="6"/>
  <c r="C309" i="6"/>
  <c r="C310" i="6"/>
  <c r="D171" i="6"/>
  <c r="B77" i="6"/>
  <c r="C294" i="6"/>
  <c r="D63" i="6"/>
  <c r="D248" i="6"/>
  <c r="B236" i="6"/>
  <c r="C27" i="6"/>
  <c r="D103" i="6"/>
  <c r="C122" i="6"/>
  <c r="B316" i="6"/>
  <c r="B171" i="6"/>
  <c r="C295" i="6"/>
  <c r="B7" i="6"/>
  <c r="C131" i="6"/>
  <c r="D69" i="6"/>
  <c r="B85" i="6"/>
  <c r="C209" i="6"/>
  <c r="D146" i="6"/>
  <c r="D67" i="6"/>
  <c r="D257" i="6"/>
  <c r="B241" i="6"/>
  <c r="C237" i="6"/>
  <c r="B157" i="6"/>
  <c r="D267" i="6"/>
  <c r="D134" i="6"/>
  <c r="D212" i="6"/>
  <c r="B33" i="6"/>
  <c r="D139" i="6"/>
  <c r="B220" i="6"/>
  <c r="D39" i="6"/>
  <c r="D153" i="6"/>
  <c r="B263" i="6"/>
  <c r="C289" i="6"/>
  <c r="C206" i="6"/>
  <c r="B218" i="6"/>
  <c r="D87" i="6"/>
  <c r="C106" i="6"/>
  <c r="C251" i="6"/>
  <c r="C121" i="6"/>
  <c r="D213" i="6"/>
  <c r="D80" i="6"/>
  <c r="C118" i="6"/>
  <c r="D303" i="6"/>
  <c r="C123" i="6"/>
  <c r="C152" i="6"/>
  <c r="D197" i="6"/>
  <c r="B67" i="6"/>
  <c r="C174" i="6"/>
  <c r="C201" i="6"/>
  <c r="B136" i="6"/>
  <c r="C228" i="6"/>
  <c r="C57" i="6"/>
  <c r="C163" i="6"/>
  <c r="C241" i="6"/>
  <c r="D99" i="6"/>
  <c r="C86" i="6"/>
  <c r="D284" i="6"/>
  <c r="D95" i="6"/>
  <c r="D158" i="6"/>
  <c r="C88" i="6"/>
  <c r="D85" i="6"/>
  <c r="B66" i="6"/>
  <c r="D201" i="6"/>
  <c r="D222" i="6"/>
  <c r="D11" i="6"/>
  <c r="D195" i="6"/>
  <c r="B170" i="6"/>
  <c r="C20" i="6"/>
  <c r="B189" i="6"/>
  <c r="D141" i="6"/>
  <c r="B47" i="6"/>
  <c r="C198" i="6"/>
  <c r="D31" i="6"/>
  <c r="D189" i="6"/>
  <c r="B206" i="6"/>
  <c r="C232" i="6"/>
  <c r="C260" i="6"/>
  <c r="C90" i="6"/>
  <c r="B286" i="6"/>
  <c r="B155" i="6"/>
  <c r="C279" i="6"/>
  <c r="D310" i="6"/>
  <c r="C115" i="6"/>
  <c r="D53" i="6"/>
  <c r="B69" i="6"/>
  <c r="C193" i="6"/>
  <c r="D130" i="6"/>
  <c r="D51" i="6"/>
  <c r="D241" i="6"/>
  <c r="B225" i="6"/>
  <c r="C221" i="6"/>
  <c r="C266" i="6"/>
  <c r="B62" i="6"/>
  <c r="B150" i="6"/>
  <c r="C270" i="6"/>
  <c r="B25" i="6"/>
  <c r="D316" i="6"/>
  <c r="C138" i="6"/>
  <c r="C283" i="6"/>
  <c r="D138" i="6"/>
  <c r="C34" i="6"/>
  <c r="C32" i="6"/>
  <c r="D56" i="6"/>
  <c r="B48" i="6"/>
  <c r="B185" i="6"/>
  <c r="C184" i="6"/>
  <c r="C18" i="6"/>
  <c r="C95" i="6"/>
  <c r="C296" i="6"/>
  <c r="B24" i="6"/>
  <c r="D157" i="6"/>
  <c r="C261" i="6"/>
  <c r="B231" i="6"/>
  <c r="D115" i="6"/>
  <c r="B132" i="6"/>
  <c r="D174" i="6"/>
  <c r="B42" i="6"/>
  <c r="D217" i="6"/>
  <c r="D90" i="6"/>
  <c r="D178" i="6"/>
  <c r="D48" i="6"/>
  <c r="D315" i="6"/>
  <c r="B13" i="6"/>
  <c r="C25" i="6"/>
  <c r="C147" i="6"/>
  <c r="C225" i="6"/>
  <c r="C46" i="6"/>
  <c r="B284" i="6"/>
  <c r="D143" i="6"/>
  <c r="C22" i="6"/>
  <c r="B104" i="6"/>
  <c r="D191" i="6"/>
  <c r="B285" i="6"/>
  <c r="B110" i="6"/>
  <c r="D110" i="6"/>
  <c r="D109" i="6"/>
  <c r="C38" i="6"/>
  <c r="C124" i="6"/>
  <c r="D135" i="6"/>
  <c r="B176" i="6"/>
  <c r="C136" i="6"/>
  <c r="B318" i="6"/>
  <c r="B90" i="6"/>
  <c r="B256" i="6"/>
  <c r="B139" i="6"/>
  <c r="C263" i="6"/>
  <c r="D294" i="6"/>
  <c r="B230" i="6"/>
  <c r="D37" i="6"/>
  <c r="B53" i="6"/>
  <c r="C177" i="6"/>
  <c r="D114" i="6"/>
  <c r="C176" i="6"/>
  <c r="D225" i="6"/>
  <c r="B113" i="6"/>
  <c r="C205" i="6"/>
  <c r="C107" i="6"/>
  <c r="D269" i="6"/>
  <c r="B59" i="6"/>
  <c r="C98" i="6"/>
  <c r="D34" i="6"/>
  <c r="C246" i="6"/>
  <c r="D263" i="6"/>
  <c r="D300" i="6"/>
  <c r="D104" i="6"/>
  <c r="C216" i="6"/>
  <c r="B6" i="6"/>
  <c r="C111" i="6"/>
  <c r="C149" i="6"/>
  <c r="D259" i="6"/>
  <c r="D270" i="6"/>
  <c r="D40" i="6"/>
  <c r="B247" i="6"/>
  <c r="C273" i="6"/>
  <c r="B114" i="6"/>
  <c r="D151" i="6"/>
  <c r="C278" i="6"/>
  <c r="B160" i="6"/>
  <c r="C292" i="6"/>
  <c r="C89" i="6"/>
  <c r="D106" i="6"/>
  <c r="B309" i="6"/>
  <c r="B98" i="6"/>
  <c r="B15" i="6"/>
  <c r="B141" i="6"/>
  <c r="D220" i="6"/>
  <c r="C186" i="6"/>
  <c r="B39" i="6"/>
  <c r="B213" i="6"/>
  <c r="B82" i="6"/>
  <c r="B56" i="6"/>
  <c r="C85" i="6"/>
  <c r="B106" i="6"/>
  <c r="C100" i="6"/>
  <c r="C154" i="6"/>
  <c r="B23" i="6"/>
  <c r="B197" i="6"/>
  <c r="D83" i="6"/>
  <c r="B217" i="6"/>
  <c r="D57" i="6"/>
  <c r="B142" i="6"/>
  <c r="B84" i="6"/>
  <c r="B88" i="6"/>
  <c r="B140" i="6"/>
  <c r="B29" i="6"/>
  <c r="D78" i="6"/>
  <c r="D77" i="6"/>
  <c r="B239" i="6"/>
  <c r="C92" i="6"/>
  <c r="D72" i="6"/>
  <c r="B152" i="6"/>
  <c r="C72" i="6"/>
  <c r="B288" i="6"/>
  <c r="B61" i="6"/>
  <c r="B202" i="6"/>
  <c r="B123" i="6"/>
  <c r="C247" i="6"/>
  <c r="D278" i="6"/>
  <c r="B214" i="6"/>
  <c r="D21" i="6"/>
  <c r="D276" i="6"/>
  <c r="C81" i="6"/>
  <c r="D98" i="6"/>
  <c r="C160" i="6"/>
  <c r="D209" i="6"/>
  <c r="B97" i="6"/>
  <c r="C189" i="6"/>
  <c r="C133" i="6"/>
  <c r="D185" i="6"/>
  <c r="C229" i="6"/>
  <c r="D124" i="6"/>
  <c r="C56" i="6"/>
  <c r="B215" i="6"/>
  <c r="D309" i="6"/>
  <c r="C65" i="6"/>
  <c r="B210" i="6"/>
  <c r="C30" i="6"/>
  <c r="B58" i="6"/>
  <c r="B80" i="6"/>
  <c r="C267" i="6"/>
  <c r="C284" i="6"/>
  <c r="C69" i="6"/>
  <c r="D156" i="6"/>
  <c r="B216" i="6"/>
  <c r="C101" i="6"/>
  <c r="B8" i="6"/>
  <c r="C26" i="6"/>
  <c r="D60" i="6"/>
  <c r="D319" i="6"/>
  <c r="C24" i="6"/>
  <c r="D234" i="6"/>
  <c r="C215" i="6"/>
  <c r="B119" i="6"/>
  <c r="D102" i="6"/>
  <c r="C83" i="6"/>
  <c r="D293" i="6"/>
  <c r="C274" i="6"/>
  <c r="B165" i="6"/>
  <c r="D148" i="6"/>
  <c r="C49" i="6"/>
  <c r="B35" i="6"/>
  <c r="C239" i="6"/>
  <c r="D19" i="6"/>
  <c r="B194" i="6"/>
  <c r="D145" i="6"/>
  <c r="C14" i="6"/>
  <c r="D288" i="6"/>
  <c r="C157" i="6"/>
  <c r="C9" i="6"/>
  <c r="C204" i="6"/>
  <c r="C148" i="6"/>
  <c r="B200" i="6"/>
  <c r="D12" i="6"/>
  <c r="B28" i="6"/>
  <c r="D89" i="6"/>
  <c r="B192" i="6"/>
  <c r="D233" i="6"/>
  <c r="B164" i="6"/>
  <c r="C235" i="6"/>
  <c r="D312" i="6"/>
  <c r="C40" i="6"/>
  <c r="B180" i="6"/>
  <c r="C252" i="6"/>
  <c r="D9" i="6"/>
  <c r="B184" i="6"/>
  <c r="C4" i="6"/>
  <c r="D126" i="6"/>
  <c r="B127" i="6"/>
  <c r="B154" i="6"/>
  <c r="D297" i="6"/>
  <c r="B317" i="6"/>
  <c r="C249" i="6"/>
  <c r="D295" i="6"/>
  <c r="B315" i="6"/>
  <c r="D218" i="6"/>
  <c r="C199" i="6"/>
  <c r="B103" i="6"/>
  <c r="D86" i="6"/>
  <c r="B294" i="6"/>
  <c r="D277" i="6"/>
  <c r="C258" i="6"/>
  <c r="B149" i="6"/>
  <c r="D132" i="6"/>
  <c r="C33" i="6"/>
  <c r="B19" i="6"/>
  <c r="C223" i="6"/>
  <c r="C320" i="6"/>
  <c r="B178" i="6"/>
  <c r="D129" i="6"/>
  <c r="B305" i="6"/>
  <c r="D176" i="6"/>
  <c r="C141" i="6"/>
  <c r="C316" i="6"/>
  <c r="C68" i="6"/>
  <c r="B32" i="6"/>
  <c r="B30" i="6"/>
  <c r="C231" i="6"/>
  <c r="C99" i="6"/>
  <c r="C290" i="6"/>
  <c r="B51" i="6"/>
  <c r="D35" i="6"/>
  <c r="D161" i="6"/>
  <c r="C173" i="6"/>
  <c r="D107" i="6"/>
  <c r="B254" i="6"/>
  <c r="B301" i="6"/>
  <c r="C168" i="6"/>
  <c r="C36" i="6"/>
  <c r="D280" i="6"/>
  <c r="B228" i="6"/>
  <c r="B128" i="6"/>
  <c r="C268" i="6"/>
  <c r="D204" i="6"/>
  <c r="C214" i="6"/>
  <c r="C203" i="6"/>
  <c r="D283" i="6"/>
  <c r="B153" i="6"/>
  <c r="C230" i="6"/>
  <c r="B319" i="6"/>
  <c r="D94" i="6"/>
  <c r="B68" i="6"/>
  <c r="C217" i="6"/>
  <c r="B299" i="6"/>
  <c r="C183" i="6"/>
  <c r="D70" i="6"/>
  <c r="B133" i="6"/>
  <c r="D116" i="6"/>
  <c r="D306" i="6"/>
  <c r="C304" i="6"/>
  <c r="B162" i="6"/>
  <c r="B289" i="6"/>
  <c r="C125" i="6"/>
  <c r="C172" i="6"/>
  <c r="B188" i="6"/>
  <c r="D318" i="6"/>
  <c r="B52" i="6"/>
  <c r="C236" i="6"/>
  <c r="B253" i="6"/>
  <c r="B224" i="6"/>
  <c r="D137" i="6"/>
  <c r="D311" i="6"/>
  <c r="B108" i="6"/>
  <c r="C171" i="6"/>
  <c r="D169" i="6"/>
  <c r="B186" i="6"/>
  <c r="B124" i="6"/>
  <c r="C188" i="6"/>
  <c r="C166" i="6"/>
  <c r="B95" i="6"/>
  <c r="B292" i="6"/>
  <c r="D62" i="6"/>
  <c r="D279" i="6"/>
  <c r="B12" i="6"/>
  <c r="D238" i="6"/>
  <c r="B260" i="6"/>
  <c r="C185" i="6"/>
  <c r="D236" i="6"/>
  <c r="B283" i="6"/>
  <c r="D186" i="6"/>
  <c r="C167" i="6"/>
  <c r="B71" i="6"/>
  <c r="D54" i="6"/>
  <c r="B262" i="6"/>
  <c r="D245" i="6"/>
  <c r="C146" i="6"/>
  <c r="B117" i="6"/>
  <c r="D20" i="6"/>
  <c r="C16" i="6"/>
  <c r="D290" i="6"/>
  <c r="C191" i="6"/>
  <c r="C288" i="6"/>
  <c r="B146" i="6"/>
  <c r="C318" i="6"/>
  <c r="B273" i="6"/>
  <c r="D144" i="6"/>
  <c r="C109" i="6"/>
  <c r="D136" i="6"/>
  <c r="B270" i="6"/>
  <c r="C58" i="6"/>
  <c r="D250" i="6"/>
  <c r="D118" i="6"/>
  <c r="B181" i="6"/>
  <c r="D164" i="6"/>
  <c r="C255" i="6"/>
  <c r="D304" i="6"/>
  <c r="C108" i="6"/>
  <c r="C297" i="6"/>
  <c r="B159" i="6"/>
  <c r="B271" i="6"/>
  <c r="B191" i="6"/>
  <c r="B20" i="6"/>
  <c r="B207" i="6"/>
  <c r="D41" i="6"/>
  <c r="C105" i="6"/>
  <c r="B79" i="6"/>
  <c r="C41" i="6"/>
  <c r="B137" i="6"/>
  <c r="B300" i="6"/>
  <c r="C220" i="6"/>
  <c r="B125" i="6"/>
  <c r="B44" i="6"/>
  <c r="D268" i="6"/>
  <c r="B287" i="6"/>
  <c r="D265" i="6"/>
  <c r="D202" i="6"/>
  <c r="B87" i="6"/>
  <c r="B278" i="6"/>
  <c r="D261" i="6"/>
  <c r="C162" i="6"/>
  <c r="C17" i="6"/>
  <c r="C207" i="6"/>
  <c r="D113" i="6"/>
  <c r="D160" i="6"/>
  <c r="B172" i="6"/>
  <c r="D43" i="6"/>
  <c r="B308" i="6"/>
  <c r="D287" i="6"/>
  <c r="D235" i="6"/>
  <c r="D264" i="6"/>
  <c r="D317" i="6"/>
  <c r="D47" i="6"/>
  <c r="B255" i="6"/>
  <c r="B78" i="6"/>
  <c r="C139" i="6"/>
  <c r="D140" i="6"/>
  <c r="B73" i="6"/>
  <c r="B94" i="6"/>
  <c r="C156" i="6"/>
  <c r="B269" i="6"/>
  <c r="B41" i="6"/>
  <c r="B265" i="6"/>
  <c r="D30" i="6"/>
  <c r="D163" i="6"/>
  <c r="D271" i="6"/>
  <c r="D211" i="6"/>
  <c r="B204" i="6"/>
  <c r="C153" i="6"/>
  <c r="D206" i="6"/>
  <c r="B187" i="6"/>
  <c r="D170" i="6"/>
  <c r="C151" i="6"/>
  <c r="B55" i="6"/>
  <c r="D38" i="6"/>
  <c r="B246" i="6"/>
  <c r="D229" i="6"/>
  <c r="C130" i="6"/>
  <c r="B101" i="6"/>
  <c r="D4" i="6"/>
  <c r="B307" i="6"/>
  <c r="D194" i="6"/>
  <c r="C175" i="6"/>
  <c r="C272" i="6"/>
  <c r="B130" i="6"/>
  <c r="C302" i="6"/>
  <c r="B257" i="6"/>
  <c r="D128" i="6"/>
  <c r="C93" i="6"/>
  <c r="B306" i="6"/>
  <c r="B50" i="6"/>
  <c r="D97" i="6"/>
  <c r="C158" i="6"/>
  <c r="B209" i="6"/>
  <c r="D272" i="6"/>
  <c r="D16" i="6"/>
  <c r="C77" i="6"/>
  <c r="C165" i="6"/>
  <c r="B234" i="6"/>
  <c r="D93" i="6"/>
  <c r="B233" i="6"/>
  <c r="D92" i="6"/>
  <c r="B232" i="6"/>
  <c r="D91" i="6"/>
  <c r="B267" i="6"/>
  <c r="B11" i="6"/>
  <c r="D74" i="6"/>
  <c r="C135" i="6"/>
  <c r="B199" i="6"/>
  <c r="D262" i="6"/>
  <c r="D6" i="6"/>
  <c r="C67" i="6"/>
  <c r="B118" i="6"/>
  <c r="D181" i="6"/>
  <c r="C242" i="6"/>
  <c r="B293" i="6"/>
  <c r="B37" i="6"/>
  <c r="D100" i="6"/>
  <c r="C161" i="6"/>
  <c r="B227" i="6"/>
  <c r="D274" i="6"/>
  <c r="D18" i="6"/>
  <c r="C79" i="6"/>
  <c r="C256" i="6"/>
  <c r="B290" i="6"/>
  <c r="B34" i="6"/>
  <c r="D81" i="6"/>
  <c r="C142" i="6"/>
  <c r="B193" i="6"/>
  <c r="D256" i="6"/>
  <c r="C317" i="6"/>
  <c r="C61" i="6"/>
  <c r="C5" i="6"/>
  <c r="C196" i="6"/>
  <c r="B63" i="6"/>
  <c r="C219" i="6"/>
  <c r="D73" i="6"/>
  <c r="C37" i="6"/>
  <c r="B175" i="6"/>
  <c r="D29" i="6"/>
  <c r="B174" i="6"/>
  <c r="D28" i="6"/>
  <c r="B173" i="6"/>
  <c r="D27" i="6"/>
  <c r="B235" i="6"/>
  <c r="D298" i="6"/>
  <c r="D42" i="6"/>
  <c r="C103" i="6"/>
  <c r="B167" i="6"/>
  <c r="D230" i="6"/>
  <c r="C291" i="6"/>
  <c r="C35" i="6"/>
  <c r="B86" i="6"/>
  <c r="D149" i="6"/>
  <c r="C210" i="6"/>
  <c r="B261" i="6"/>
  <c r="B5" i="6"/>
  <c r="D68" i="6"/>
  <c r="C129" i="6"/>
  <c r="B195" i="6"/>
  <c r="D242" i="6"/>
  <c r="C303" i="6"/>
  <c r="C47" i="6"/>
  <c r="C224" i="6"/>
  <c r="B258" i="6"/>
  <c r="D305" i="6"/>
  <c r="D49" i="6"/>
  <c r="C110" i="6"/>
  <c r="B161" i="6"/>
  <c r="D224" i="6"/>
  <c r="C285" i="6"/>
  <c r="C29" i="6"/>
  <c r="D314" i="6"/>
  <c r="C119" i="6"/>
  <c r="D246" i="6"/>
  <c r="C307" i="6"/>
  <c r="B102" i="6"/>
  <c r="C226" i="6"/>
  <c r="B21" i="6"/>
  <c r="B211" i="6"/>
  <c r="C319" i="6"/>
  <c r="C240" i="6"/>
  <c r="B18" i="6"/>
  <c r="C126" i="6"/>
  <c r="B177" i="6"/>
  <c r="D240" i="6"/>
  <c r="C45" i="6"/>
  <c r="C116" i="6"/>
  <c r="D173" i="6"/>
  <c r="C264" i="6"/>
  <c r="D24" i="6"/>
  <c r="B111" i="6"/>
  <c r="C276" i="6"/>
  <c r="C75" i="6"/>
  <c r="C74" i="6"/>
  <c r="D243" i="6"/>
  <c r="C134" i="6"/>
  <c r="D231" i="6"/>
  <c r="B282" i="6"/>
  <c r="C169" i="6"/>
  <c r="C244" i="6"/>
  <c r="C213" i="6"/>
  <c r="B169" i="6"/>
  <c r="D286" i="6"/>
  <c r="C53" i="6"/>
  <c r="C137" i="6"/>
  <c r="B45" i="6"/>
  <c r="B302" i="6"/>
  <c r="C180" i="6"/>
  <c r="D227" i="6"/>
  <c r="C43" i="6"/>
  <c r="D223" i="6"/>
  <c r="C42" i="6"/>
  <c r="D8" i="6"/>
  <c r="D216" i="6"/>
  <c r="C28" i="6"/>
  <c r="C70" i="6"/>
  <c r="B297" i="6"/>
  <c r="C164" i="6"/>
  <c r="B36" i="6"/>
  <c r="C187" i="6"/>
  <c r="C262" i="6"/>
  <c r="B268" i="6"/>
  <c r="B148" i="6"/>
  <c r="C314" i="6"/>
  <c r="B144" i="6"/>
  <c r="C313" i="6"/>
  <c r="B143" i="6"/>
  <c r="C312" i="6"/>
  <c r="B219" i="6"/>
  <c r="D282" i="6"/>
  <c r="D26" i="6"/>
  <c r="C87" i="6"/>
  <c r="B151" i="6"/>
  <c r="D214" i="6"/>
  <c r="C275" i="6"/>
  <c r="C19" i="6"/>
  <c r="B70" i="6"/>
  <c r="D133" i="6"/>
  <c r="C194" i="6"/>
  <c r="B245" i="6"/>
  <c r="D308" i="6"/>
  <c r="D52" i="6"/>
  <c r="C113" i="6"/>
  <c r="B179" i="6"/>
  <c r="D226" i="6"/>
  <c r="C287" i="6"/>
  <c r="C31" i="6"/>
  <c r="C208" i="6"/>
  <c r="B242" i="6"/>
  <c r="D289" i="6"/>
  <c r="D33" i="6"/>
  <c r="C94" i="6"/>
  <c r="B145" i="6"/>
  <c r="D208" i="6"/>
  <c r="C269" i="6"/>
  <c r="C13" i="6"/>
  <c r="B251" i="6"/>
  <c r="D58" i="6"/>
  <c r="B183" i="6"/>
  <c r="C51" i="6"/>
  <c r="D165" i="6"/>
  <c r="B277" i="6"/>
  <c r="D84" i="6"/>
  <c r="C145" i="6"/>
  <c r="D258" i="6"/>
  <c r="C63" i="6"/>
  <c r="B274" i="6"/>
  <c r="D65" i="6"/>
  <c r="C301" i="6"/>
  <c r="D307" i="6"/>
  <c r="D25" i="6"/>
  <c r="D76" i="6"/>
  <c r="B46" i="6"/>
  <c r="D88" i="6"/>
  <c r="D172" i="6"/>
  <c r="D254" i="6"/>
  <c r="D253" i="6"/>
  <c r="D275" i="6"/>
  <c r="C60" i="6"/>
  <c r="D147" i="6"/>
  <c r="B201" i="6"/>
  <c r="B252" i="6"/>
  <c r="C140" i="6"/>
  <c r="B281" i="6"/>
  <c r="D23" i="6"/>
  <c r="D205" i="6"/>
  <c r="B314" i="6"/>
  <c r="B223" i="6"/>
  <c r="D285" i="6"/>
  <c r="B76" i="6"/>
  <c r="C76" i="6"/>
  <c r="D200" i="6"/>
  <c r="C11" i="6"/>
  <c r="D199" i="6"/>
  <c r="C10" i="6"/>
  <c r="B320" i="6"/>
  <c r="D187" i="6"/>
  <c r="C200" i="6"/>
  <c r="C6" i="6"/>
  <c r="B238" i="6"/>
  <c r="C132" i="6"/>
  <c r="B9" i="6"/>
  <c r="C155" i="6"/>
  <c r="C102" i="6"/>
  <c r="B208" i="6"/>
  <c r="B121" i="6"/>
  <c r="C282" i="6"/>
  <c r="B120" i="6"/>
  <c r="C281" i="6"/>
  <c r="B116" i="6"/>
  <c r="C280" i="6"/>
  <c r="B203" i="6"/>
  <c r="D266" i="6"/>
  <c r="D10" i="6"/>
  <c r="C71" i="6"/>
  <c r="B135" i="6"/>
  <c r="D198" i="6"/>
  <c r="C259" i="6"/>
  <c r="B310" i="6"/>
  <c r="B54" i="6"/>
  <c r="D117" i="6"/>
  <c r="C178" i="6"/>
  <c r="B229" i="6"/>
  <c r="D292" i="6"/>
  <c r="D36" i="6"/>
  <c r="C97" i="6"/>
  <c r="B163" i="6"/>
  <c r="D210" i="6"/>
  <c r="C271" i="6"/>
  <c r="C15" i="6"/>
  <c r="C192" i="6"/>
  <c r="B226" i="6"/>
  <c r="D273" i="6"/>
  <c r="D17" i="6"/>
  <c r="C78" i="6"/>
  <c r="B129" i="6"/>
  <c r="D192" i="6"/>
  <c r="C253" i="6"/>
  <c r="D3" i="6"/>
  <c r="B3" i="6"/>
  <c r="C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<sst xmlns="http://schemas.openxmlformats.org/spreadsheetml/2006/main" count="1785" uniqueCount="494">
  <si>
    <t>MEDIDA</t>
  </si>
  <si>
    <t>EXISTENCIAS</t>
  </si>
  <si>
    <t>ANCHO</t>
  </si>
  <si>
    <t>LARGO</t>
  </si>
  <si>
    <t>M2</t>
  </si>
  <si>
    <t>1,6</t>
  </si>
  <si>
    <t>MATERIAL</t>
  </si>
  <si>
    <t>ID MATERIAL</t>
  </si>
  <si>
    <t>ROLLO / HOJA / PIEZA / CARTUCHO</t>
  </si>
  <si>
    <t>SOLVENTE EQUIPO GRAN FORMATO</t>
  </si>
  <si>
    <t>TOTAL</t>
  </si>
  <si>
    <t>STOCK MINIMO</t>
  </si>
  <si>
    <t>COSTO UNITARIO</t>
  </si>
  <si>
    <t>FECHA DE CADUCIDAD</t>
  </si>
  <si>
    <t>2,5</t>
  </si>
  <si>
    <t>3,2</t>
  </si>
  <si>
    <t>2,04</t>
  </si>
  <si>
    <t>LONA MATE 13 OZ</t>
  </si>
  <si>
    <t>1,52</t>
  </si>
  <si>
    <t>LONA MATE 13 OZ - RESP. NEGRO</t>
  </si>
  <si>
    <t>LONA MATE 13 OZ RESP. NEGRO</t>
  </si>
  <si>
    <t>LONA MESH</t>
  </si>
  <si>
    <t>PAPEL BLUE BACK</t>
  </si>
  <si>
    <t>1,55</t>
  </si>
  <si>
    <t>PAPEL MATE 200 GRS FOTOGRAFICO</t>
  </si>
  <si>
    <t>PAPEL BRILLANTE 200 GRS FOTOGRAFICO</t>
  </si>
  <si>
    <t>PAPEL SOLVATEX KRONALINE</t>
  </si>
  <si>
    <t>1,37</t>
  </si>
  <si>
    <t>TELA SINTETICA DELGADA</t>
  </si>
  <si>
    <t>VINIL CONTROL TAC (IJ180)</t>
  </si>
  <si>
    <t>45,7</t>
  </si>
  <si>
    <t>91,4</t>
  </si>
  <si>
    <t>VINIL CONTROL 40 (40-C / IJ40)</t>
  </si>
  <si>
    <t>VINIL ESTATICO BLANCO LATEX</t>
  </si>
  <si>
    <t>VINIL ESTATICO BLANCO</t>
  </si>
  <si>
    <t>1,27</t>
  </si>
  <si>
    <t>41,7</t>
  </si>
  <si>
    <t>VINIL ESTATICO TRANSPARENTE</t>
  </si>
  <si>
    <t>VINIL FLOOR GRAPHICS C/TEXTURA</t>
  </si>
  <si>
    <t>1,22</t>
  </si>
  <si>
    <t>VINIL IMANTADO C-30</t>
  </si>
  <si>
    <t>0,61</t>
  </si>
  <si>
    <t>VINIL TRANSPARENTE</t>
  </si>
  <si>
    <t>VINIL MICROPERFORADO</t>
  </si>
  <si>
    <t>1,26</t>
  </si>
  <si>
    <t>1,05</t>
  </si>
  <si>
    <t>VINIL PSXPVTX001SM-60 VINIL TEXT STONE</t>
  </si>
  <si>
    <t>VINIL WALL CANVAS - GF</t>
  </si>
  <si>
    <t>VINIL BLANCO TRANSLUCIDO PARA IMPRESIÓN</t>
  </si>
  <si>
    <t>LAMINADO 3M (PROTECCION LUSTRE 8519)</t>
  </si>
  <si>
    <t>0,6</t>
  </si>
  <si>
    <t>2,44</t>
  </si>
  <si>
    <t>FOAMULAR 1"</t>
  </si>
  <si>
    <t>ESTIRENO C-15</t>
  </si>
  <si>
    <t>ESTIRENO C-20</t>
  </si>
  <si>
    <t>ESTIRENO C-30</t>
  </si>
  <si>
    <t>ESTIRENO C-40</t>
  </si>
  <si>
    <t>ESTIRENO C-60</t>
  </si>
  <si>
    <t>ESTIRENO C-80</t>
  </si>
  <si>
    <t>0,8</t>
  </si>
  <si>
    <t>1,8</t>
  </si>
  <si>
    <t>0,85</t>
  </si>
  <si>
    <t>2,96</t>
  </si>
  <si>
    <t>2,22</t>
  </si>
  <si>
    <t>TINTA LX700 LATEX CYAN</t>
  </si>
  <si>
    <t>TINTA LX700 LATEX MAGENTA</t>
  </si>
  <si>
    <t>TINTA LX700 LATEX YELLOW</t>
  </si>
  <si>
    <t>TINTA LX700 LATEX BLACK</t>
  </si>
  <si>
    <t>TINTA LX700 LATEX LIGHT CYAN</t>
  </si>
  <si>
    <t>TINTA LX700 LATEX LIGHT MAGENTA</t>
  </si>
  <si>
    <t>TINTA LX700 LATEX OPTIMIZADOR</t>
  </si>
  <si>
    <t>TINTA LX700 LATEX OVERCOAT</t>
  </si>
  <si>
    <t>TINTA GRANDO CYAN</t>
  </si>
  <si>
    <t>TINTA GRANDO MAGENTA</t>
  </si>
  <si>
    <t>TINTA GRANDO YELLOW</t>
  </si>
  <si>
    <t>TINTA GRANDO BLACK</t>
  </si>
  <si>
    <t>TINTA - CAMA PLANA SUNTHINKS CYAN</t>
  </si>
  <si>
    <t>TINTA - CAMA PLANA SUNTHINKS MAGENTA</t>
  </si>
  <si>
    <t>TINTA - CAMA PLANA SUNTHINKS YELLOW</t>
  </si>
  <si>
    <t>TINTA - CAMA PLANA SUNTHINKS BLACK</t>
  </si>
  <si>
    <t>TINTA - CAMA PLANA SUNTHINKS WHITE</t>
  </si>
  <si>
    <t>TINTA FB700 - CAMA PLANA CYAN</t>
  </si>
  <si>
    <t>TINTA FB700 - CAMA PLANA MAGENTA</t>
  </si>
  <si>
    <t>TINTA FB700 - CAMA PLANA YELLOW</t>
  </si>
  <si>
    <t>TINTA FB700 - CAMA PLANA BLACK</t>
  </si>
  <si>
    <t>TINTA FB700 - CAMA PLANA LIGHT CYAN</t>
  </si>
  <si>
    <t>TINTA FB700 - CAMA PLANA LIGHT MAGENTA</t>
  </si>
  <si>
    <t>TINTA LX360 CYAN</t>
  </si>
  <si>
    <t>TINTA LX360 MAGENTA</t>
  </si>
  <si>
    <t>TINTA LX360 YELLOW</t>
  </si>
  <si>
    <t>TINTA LX360 BLACK</t>
  </si>
  <si>
    <t>TINTA LX360 LIGHT CYAN</t>
  </si>
  <si>
    <t>TINTA LX360 LIGHT MAGENTA</t>
  </si>
  <si>
    <t>TINTA LX360 OPTIMIZADOR</t>
  </si>
  <si>
    <t>VINIL DE CORTE CARDINAL RED</t>
  </si>
  <si>
    <t>VINIL DE CORTE GOLD</t>
  </si>
  <si>
    <t>VINIL DE CORTE BLANCO MATE</t>
  </si>
  <si>
    <t>VINIL DE CORTE ROYAL BLUE</t>
  </si>
  <si>
    <t>VINIL DE CORTE BURGUNDY</t>
  </si>
  <si>
    <t>VINIL DE CORTE ESMERILADO</t>
  </si>
  <si>
    <t>VINIL DE CORTE DARK GRAY</t>
  </si>
  <si>
    <t>VINIL DE CORTE NEGRO MATE</t>
  </si>
  <si>
    <t>VINIL DE CORTE NEGRO BRILLANTE</t>
  </si>
  <si>
    <t>VINIL DE CORTE PLATA CEPILLADO</t>
  </si>
  <si>
    <t>VINIL DE CORTE ORO ESPEJO</t>
  </si>
  <si>
    <t>VINIL DE CORTE MEDIUM GRAY</t>
  </si>
  <si>
    <t>VINIL DE CORTE OLYMPLIC BLUE</t>
  </si>
  <si>
    <t>VINIL DE CORTE SILVER</t>
  </si>
  <si>
    <t>VINIL DE CORTE MAJESTIC BLUE</t>
  </si>
  <si>
    <t>VINIL DE CORTE ORO ROSA</t>
  </si>
  <si>
    <t>VINIL DE CORTE BLUE ORACAL</t>
  </si>
  <si>
    <t>VINIL DE CORTE BRIGHT ORANGE</t>
  </si>
  <si>
    <t>VINIL DE CORTE GREEN</t>
  </si>
  <si>
    <t>ACRILICO AZUL 3 MM</t>
  </si>
  <si>
    <t>ACRILICO NARANJA 3 MM</t>
  </si>
  <si>
    <t>ACRILICO BLANCO 3 MM</t>
  </si>
  <si>
    <t>ACRILICO BLANCO 5 MM</t>
  </si>
  <si>
    <t>ACRILICO CRISTAL 6 MM</t>
  </si>
  <si>
    <t>ACRILICO CRISTAL 3 MM</t>
  </si>
  <si>
    <t>ACRILICO CRISTAL 4 MM</t>
  </si>
  <si>
    <t>ACRILICO CRISTAL 5 MM</t>
  </si>
  <si>
    <t>ACRILICO CRISTAL 2 MM</t>
  </si>
  <si>
    <t>ACRILICO ROJO 3 MM</t>
  </si>
  <si>
    <t>ACRILICO ROJO 5 MM</t>
  </si>
  <si>
    <t>ACRILICO NEGRO 3 MM</t>
  </si>
  <si>
    <t>ACRILICO VERDE DE 3 MM</t>
  </si>
  <si>
    <t>PLAYO</t>
  </si>
  <si>
    <t>PAPEL KRAFT</t>
  </si>
  <si>
    <t>ALUMINIO PLATA CEPILLADO</t>
  </si>
  <si>
    <t>ALUMINIO ORO ESPEJO</t>
  </si>
  <si>
    <t>ALUMINIO ORO CEPILLADO</t>
  </si>
  <si>
    <t>ALUMINIO PLATA ESPEJO</t>
  </si>
  <si>
    <t>KOLA LOKA KLM - 2000</t>
  </si>
  <si>
    <t>KOLA LOKA KL2 - 1200</t>
  </si>
  <si>
    <t>1,5</t>
  </si>
  <si>
    <t>LONA 18 OZ ROJO</t>
  </si>
  <si>
    <t>LONA 18 OZ AZUL</t>
  </si>
  <si>
    <t>LONA 18 OZ NEGRO</t>
  </si>
  <si>
    <t>ESTIRENO NEGRO CAL. 40</t>
  </si>
  <si>
    <t>PETG CAL. 60</t>
  </si>
  <si>
    <t>PETG CAL. 40</t>
  </si>
  <si>
    <t>PETG CAL. 30</t>
  </si>
  <si>
    <t>PETG CAL. 20</t>
  </si>
  <si>
    <t>MALLA VERDE</t>
  </si>
  <si>
    <t>ESCUADRA DE PLÁSTICO</t>
  </si>
  <si>
    <t>ESCUADRA DE PLÁSTICO - SIN SOPORTE</t>
  </si>
  <si>
    <t>SOPORTE PLASTICO 3 MM - BASE DELGADA MOVIBLE</t>
  </si>
  <si>
    <t>TIRAS IMPULSO - VENDEDOR SILENCIOSO</t>
  </si>
  <si>
    <t>TINTA XEROX CYAN</t>
  </si>
  <si>
    <t>TINTA XEROX MAGENTA</t>
  </si>
  <si>
    <t>TINTA XEROX YELLOW</t>
  </si>
  <si>
    <t>TINTA XEROX BLACK</t>
  </si>
  <si>
    <t>LONA ALTA RESISTENCIA</t>
  </si>
  <si>
    <t>LONA BACKLITE</t>
  </si>
  <si>
    <t>PAPEL BACKLITE ( SEMIMATE)</t>
  </si>
  <si>
    <t>PAPEL CITYLIGHT</t>
  </si>
  <si>
    <t>TELA CANVAS</t>
  </si>
  <si>
    <t>LONA MATE 13 OZ LATEX</t>
  </si>
  <si>
    <t>VINIL REFLECTIVO GRADO INGENIERIA BLANCO</t>
  </si>
  <si>
    <t>VINIL REFLECTIVO GRADO INGENIERIA AZUL</t>
  </si>
  <si>
    <t>VINIL REFLECTIVO GRADO INGENIERIA ROJO</t>
  </si>
  <si>
    <t>VINIL REFLECTIVO GRADO INGENIERIA AMARILLO</t>
  </si>
  <si>
    <t>VINIL REFLECTIVO GRADO INGENIERIA VERDE</t>
  </si>
  <si>
    <t>VINIL REFLECTIVO GRADO INGENIERIA NEGRO</t>
  </si>
  <si>
    <t>VINIL BRILLANTE BLANCO ALTO TAC</t>
  </si>
  <si>
    <t>PROVEEDOR</t>
  </si>
  <si>
    <t>VINIL MATE BLANCO RESPALDO GRIS</t>
  </si>
  <si>
    <t>VINIL MATE BLANCO RESPALDO GRIS GENERAL FORMULATION</t>
  </si>
  <si>
    <t>VINIL MATE BLANCO ARLON RESPALDO GRIS</t>
  </si>
  <si>
    <t>VINIL BRILLANTE BLANCO RESPALDO GRIS</t>
  </si>
  <si>
    <t>VINIL BRILLANTE BLANCO</t>
  </si>
  <si>
    <t>VINIL MATE BLANCO</t>
  </si>
  <si>
    <t>VINIL PARA PARED - WALLGRAPHIC</t>
  </si>
  <si>
    <t>LOZANO</t>
  </si>
  <si>
    <t>LAMINADO TERMICO - TRANSPARENTE MATE</t>
  </si>
  <si>
    <t>LAMINADO TERMICO - TRANSPARENTE BRILLANTE</t>
  </si>
  <si>
    <t>DISPLAY 60X160</t>
  </si>
  <si>
    <t>DISPLAY 80X180</t>
  </si>
  <si>
    <t>ROLL UP 200X85</t>
  </si>
  <si>
    <t>ROLL UP 200X80</t>
  </si>
  <si>
    <t>STAND ARAÑA 307×232</t>
  </si>
  <si>
    <t>SOLVENTE EQUIPO CAMA PLANA</t>
  </si>
  <si>
    <t>OJILLO MANUAL #3</t>
  </si>
  <si>
    <t>OJILLO AUTOMÁTICO EQ. FUKAIDO #3</t>
  </si>
  <si>
    <t>OJILLO SEMIAUTOMATICO</t>
  </si>
  <si>
    <t>VINIL DE CORTE BLANCO BRILLANTE</t>
  </si>
  <si>
    <t>VINIL DE CORTE FOTOLUMINISCENTE</t>
  </si>
  <si>
    <t>VINIL DE CORTE PLATA ESPEJO</t>
  </si>
  <si>
    <t>1,23</t>
  </si>
  <si>
    <t>VINIL DE CORTE TOMATO RED 6813 LG TRASLUCIDO</t>
  </si>
  <si>
    <t>VINIL DE CORTE RED 6811 LG TRASLUCIDO</t>
  </si>
  <si>
    <t>VINIL DE CORTE AZUL 6859 LG TRASLUCIDO</t>
  </si>
  <si>
    <t>VINIL DE CORTE DARK GRAY MATE 2073 LG</t>
  </si>
  <si>
    <t>VINIL DE CORTE NARANJA MATE 2021 LG</t>
  </si>
  <si>
    <t>VINIL DE CORTE NARANJA 4023 LG TRASLUCIDO</t>
  </si>
  <si>
    <t>VINIL DE CORTE VERDE PEMEX 404 LG TRASLUCIDO</t>
  </si>
  <si>
    <t>ACRILICO CRISTAL 9 MM</t>
  </si>
  <si>
    <t>FRONTAGE</t>
  </si>
  <si>
    <t>ACERO SUECO PALME</t>
  </si>
  <si>
    <t>TUBELITE</t>
  </si>
  <si>
    <t>VINILOS Y GRAFICOS</t>
  </si>
  <si>
    <t>PLASTITEC</t>
  </si>
  <si>
    <t>FUENTE DE PODER 30 WATTS</t>
  </si>
  <si>
    <t>FUENTE DE PODER 60 WATTS</t>
  </si>
  <si>
    <t>FUENTE DE PODER 100 WATTS</t>
  </si>
  <si>
    <t>FUENTE DE PODER 150 WATTS</t>
  </si>
  <si>
    <t>FUENTE DE PODER 220 WATTS</t>
  </si>
  <si>
    <t>FUENTE DE PODER 200 WATTS</t>
  </si>
  <si>
    <t>FUENTE DE PODER 360 WATTS</t>
  </si>
  <si>
    <t>HULE BURBUJA</t>
  </si>
  <si>
    <t>TRANSFER DE PAPEL</t>
  </si>
  <si>
    <t>TRANSFER TRANSPARENTE</t>
  </si>
  <si>
    <t>BOLSA MORRALLERA</t>
  </si>
  <si>
    <t>CINTA PORTAFRECUENCIA</t>
  </si>
  <si>
    <t>PVC EN ROLLO TRANSPARENTE</t>
  </si>
  <si>
    <t>TORNILLO DE PLASTICO</t>
  </si>
  <si>
    <t>VENTOSA MEDIANA</t>
  </si>
  <si>
    <t>CANASTO DE 50 CM DIAMETRO</t>
  </si>
  <si>
    <t>MICA EN PVC RIGIDO TT 243X301MM.</t>
  </si>
  <si>
    <t>PATILLA PORTA-BANDEROLA 35X155MM</t>
  </si>
  <si>
    <t>CLIP P/PATILLA PORTA-BANDEROLA</t>
  </si>
  <si>
    <t>MAQUINA CIERRA-BOLSAS METALICA AZ</t>
  </si>
  <si>
    <t>PORTA-CARTULINAS PCA ADH (1220MM-48)</t>
  </si>
  <si>
    <t>SOPORTES MENSAJES SUPER-AGARRE ADH 3 - GRUESO</t>
  </si>
  <si>
    <t>SOPORTE MENSAJES 110 ADH (76MM-3) TT - DELGADO</t>
  </si>
  <si>
    <t>SOPORTE DE MENSAJE 1 1/2" ACERO INOXIDABLE</t>
  </si>
  <si>
    <t>CANAL J 0.060 1220MM-48 C/ADHESIVO BLANCO</t>
  </si>
  <si>
    <t>CANAL H 0.060 1220MM-48 C/ADHESIVO BLANCO</t>
  </si>
  <si>
    <t>CANAL J 0.060 1220MM-48 C/ADHESIVO NEGRO</t>
  </si>
  <si>
    <t>CANAL H 0.060 1220MM-48 C/ADHESIVO NEGRO</t>
  </si>
  <si>
    <t>CANAL J 0.060” 1220MM-48” C/ADHESIVO TRANSPARENTE</t>
  </si>
  <si>
    <t>CANAL H 0.060” 1220MM-48” C/ADHESIVO TRANSPARENTE</t>
  </si>
  <si>
    <t>SOPORTE DELIMITADOR C/ANCLAJE METALIC</t>
  </si>
  <si>
    <t>LAMINA PINTRO</t>
  </si>
  <si>
    <t>A</t>
  </si>
  <si>
    <t>B</t>
  </si>
  <si>
    <t>C</t>
  </si>
  <si>
    <t>D</t>
  </si>
  <si>
    <t>E</t>
  </si>
  <si>
    <t>ACRILICOS PLASTITEC, S.A. DE C.V.</t>
  </si>
  <si>
    <t>AVANCE Y TECNOLOGIA EN PLASTICOS</t>
  </si>
  <si>
    <t>CASA SOMMER</t>
  </si>
  <si>
    <t>COLED ILUMINACION</t>
  </si>
  <si>
    <t>FRONTAGE COVERED DE MEXICO</t>
  </si>
  <si>
    <t>HUMBERTO DILLAN ALBARRAN JACINTO</t>
  </si>
  <si>
    <t>INSUMOS FIA</t>
  </si>
  <si>
    <t>MEXTRAN S.A. DE C.V.</t>
  </si>
  <si>
    <t>PAPELERIA LOZANO HERMANOS, S.A. DE C.V.</t>
  </si>
  <si>
    <t>PLASTI MUNDO</t>
  </si>
  <si>
    <t>SPEC IMPORTACIONES</t>
  </si>
  <si>
    <t>TUBELITE DE MEXICO</t>
  </si>
  <si>
    <t>VINILOS Y GRAFICOS DIGITALES</t>
  </si>
  <si>
    <t>F</t>
  </si>
  <si>
    <t>G</t>
  </si>
  <si>
    <t>H</t>
  </si>
  <si>
    <t>U</t>
  </si>
  <si>
    <t>J</t>
  </si>
  <si>
    <t>K</t>
  </si>
  <si>
    <t>L</t>
  </si>
  <si>
    <t>M</t>
  </si>
  <si>
    <t>N</t>
  </si>
  <si>
    <t>R</t>
  </si>
  <si>
    <t>O</t>
  </si>
  <si>
    <t>P</t>
  </si>
  <si>
    <t>Q</t>
  </si>
  <si>
    <t>S</t>
  </si>
  <si>
    <t>T</t>
  </si>
  <si>
    <t>V</t>
  </si>
  <si>
    <t>W</t>
  </si>
  <si>
    <t>X</t>
  </si>
  <si>
    <t>Y</t>
  </si>
  <si>
    <t>Z</t>
  </si>
  <si>
    <t>DOCUPUEBLA</t>
  </si>
  <si>
    <t>DT TEC</t>
  </si>
  <si>
    <t>DISTRIBUIDORA SAGARO DE MEXICO</t>
  </si>
  <si>
    <t>FOCOS Y SISTEMAS DE ALUMBRADO S.A. DE C.V.</t>
  </si>
  <si>
    <t>RODRIGO CARRANZA TREJO</t>
  </si>
  <si>
    <t>GRUPO OM</t>
  </si>
  <si>
    <t>KRONALINE</t>
  </si>
  <si>
    <t>HOME DEPOT</t>
  </si>
  <si>
    <t>INSUMOS MAKRO</t>
  </si>
  <si>
    <t>AG ELECTRONICA</t>
  </si>
  <si>
    <t>QPOP OCTAVIO ORDAZ</t>
  </si>
  <si>
    <t>AA</t>
  </si>
  <si>
    <t>AB</t>
  </si>
  <si>
    <t>AC</t>
  </si>
  <si>
    <t>POLYVINILOS</t>
  </si>
  <si>
    <t>MEXTRAN</t>
  </si>
  <si>
    <t>PELICULITAS BOPP</t>
  </si>
  <si>
    <t>SABIC POLYMERSHAPES</t>
  </si>
  <si>
    <t>2,45</t>
  </si>
  <si>
    <t>ALBUS</t>
  </si>
  <si>
    <t>ALBUS LOANA JUAREZ SANTOYO</t>
  </si>
  <si>
    <t>DILLAN</t>
  </si>
  <si>
    <t>RODRIGO CARRANZA</t>
  </si>
  <si>
    <t>45,8</t>
  </si>
  <si>
    <t>COLED</t>
  </si>
  <si>
    <t>FOCOS Y SISTEMAS</t>
  </si>
  <si>
    <t>SALAMAN</t>
  </si>
  <si>
    <t>KOLA LOKA</t>
  </si>
  <si>
    <t>SPEC</t>
  </si>
  <si>
    <t>EXHIVIT</t>
  </si>
  <si>
    <t>BUNZL MEXICO</t>
  </si>
  <si>
    <t>AD</t>
  </si>
  <si>
    <t>AE</t>
  </si>
  <si>
    <t>AF</t>
  </si>
  <si>
    <t>CARTULINA SULFATADA 12 PTS</t>
  </si>
  <si>
    <t>CARTULINA SULFATADA 12 PTS DOBLE CARA</t>
  </si>
  <si>
    <t>CARTULINA SULFATADA 14 PTS DOBLE CARA</t>
  </si>
  <si>
    <t>CARTULINA SULFATADA 14 PTS</t>
  </si>
  <si>
    <t>KROMACOTE 12 PTS</t>
  </si>
  <si>
    <t>KROMACOTE 10 PTS</t>
  </si>
  <si>
    <t>CARTULINA OPALINA</t>
  </si>
  <si>
    <t>PAPEL OPALINA</t>
  </si>
  <si>
    <t>COUCHE ADHERIBLE</t>
  </si>
  <si>
    <t>COUCHE ADHERIBLE DOBLE CARA</t>
  </si>
  <si>
    <t>COUCHE ADHERIBLE MATE</t>
  </si>
  <si>
    <t>STARDREAM MARFIL</t>
  </si>
  <si>
    <t>STARDREAM BLANCO</t>
  </si>
  <si>
    <t>STARDREAM PLATA CEPILLADO</t>
  </si>
  <si>
    <t>STARDREAM PLATA</t>
  </si>
  <si>
    <t>STARDREAM NEGRO</t>
  </si>
  <si>
    <t>STARDREAM ROSA</t>
  </si>
  <si>
    <t>STARDREAM ORO</t>
  </si>
  <si>
    <t>TEXTURIZADO CORAZONES</t>
  </si>
  <si>
    <t>PAPEL LINO BLANCO</t>
  </si>
  <si>
    <t>PAPEL LINO MARFIL</t>
  </si>
  <si>
    <t>PAPEL TEXTURA RECICLADO</t>
  </si>
  <si>
    <t>CAPLE - RESPALDO GRIS</t>
  </si>
  <si>
    <t>PAPEL BOND</t>
  </si>
  <si>
    <t>COUCHE MATE 200 GRS</t>
  </si>
  <si>
    <t>COUCHE MATE 250 GRS</t>
  </si>
  <si>
    <t>COUCHE MATE 350 GRS</t>
  </si>
  <si>
    <t>RIVES MARFIL</t>
  </si>
  <si>
    <t>ENVIRO DESIERTO</t>
  </si>
  <si>
    <t>PAPEL SUNDANCE BLANCO</t>
  </si>
  <si>
    <t>CARTULINA SUNDANCE BLANCO</t>
  </si>
  <si>
    <t>CARTULINA BRISTOL</t>
  </si>
  <si>
    <t>CARTULINA FABRIANO 185 GRS. GRIS ANTRACITA</t>
  </si>
  <si>
    <t>PAPEL FABRIANO CLASICO 130 GRS.</t>
  </si>
  <si>
    <t>FABRIANO 350 GRS</t>
  </si>
  <si>
    <t>SERVIMERC</t>
  </si>
  <si>
    <t>SERVIMERC - GABRIEL ISAAC ACOSTA LUNA</t>
  </si>
  <si>
    <t>COUCHE ADHERIBLE ALTO BRILLO</t>
  </si>
  <si>
    <t>CARTULINA LINO AMARILLO</t>
  </si>
  <si>
    <t>CARTULINA LINO MARFIL</t>
  </si>
  <si>
    <t>CARTULINA LINO BLANCO</t>
  </si>
  <si>
    <t>ADHERIBLE "VERJURADO"  IVORY</t>
  </si>
  <si>
    <t>COUCHE BRILLANTE 130 GRS</t>
  </si>
  <si>
    <t>COUCHE BRILLANTE 150 GRS</t>
  </si>
  <si>
    <t>COUCHE BRILLANTE 200 GRS</t>
  </si>
  <si>
    <t>COUCHE BRILLANTE 250 GRS</t>
  </si>
  <si>
    <t>COUCHE BRILLANTE 300 GRS</t>
  </si>
  <si>
    <t>POLYVINILOS - TIBURCIO RIVERA RAMIREZ</t>
  </si>
  <si>
    <t>QPOP - OCTAVIO ORDAZ</t>
  </si>
  <si>
    <t>EXHIVIT - SOLUCIONES EN RETAIL MAHEC</t>
  </si>
  <si>
    <t>MARTEG - ELISEO CAMACHO UTRERA</t>
  </si>
  <si>
    <t>I</t>
  </si>
  <si>
    <t>VIN-COR-BLA-BRI-1</t>
  </si>
  <si>
    <t>VIN-COR-BLA-MAT-1</t>
  </si>
  <si>
    <t>VINIL DE CORTE OLIMPIC BLUE 4055 LG TRASLUCIDO</t>
  </si>
  <si>
    <t>VIN-COR-6859LG-TRA-1</t>
  </si>
  <si>
    <t>VIN-COR-RED-6811LG-TRA-1</t>
  </si>
  <si>
    <t>VIN-COR-TOM-RED-6813LG-TRA-1</t>
  </si>
  <si>
    <t>VIN-COR-OLI-BLU-4055LG-TRA-1</t>
  </si>
  <si>
    <t>VIN-COR-NAR-4023LG-TRA-1</t>
  </si>
  <si>
    <t>VIN-COR-VER-PEM-404LG-TRA-1</t>
  </si>
  <si>
    <t>VIN-COR-DAR-GRA-MAT-2073LG</t>
  </si>
  <si>
    <t>VIN-COR-NAR-MAT-2021LG-1</t>
  </si>
  <si>
    <t>VIN-COR-NEG-BRI-1</t>
  </si>
  <si>
    <t>VIN-COR-NEG-MAT-1</t>
  </si>
  <si>
    <t>VIN-COR-OLY-BLU-1</t>
  </si>
  <si>
    <t>VIN-COR-ORO-ROS-1</t>
  </si>
  <si>
    <t>ACRILICO NEGRO 6 MM</t>
  </si>
  <si>
    <t>ACRILICO AMARILLO 3 MM</t>
  </si>
  <si>
    <t>ACRILICO AMARILLO 3 MM - TRANSLUCIDO</t>
  </si>
  <si>
    <t>PANEL DE ALUMINIO 4 MM AZUL GLOSS</t>
  </si>
  <si>
    <t>PANEL DE ALUMINIO 4 MM ROJO GLOSS</t>
  </si>
  <si>
    <t>PANEL DE ALUMINIO 4 MM NEGRO MATE</t>
  </si>
  <si>
    <t>PANEL DE ALUMINIO 4 MM PLATA BRILLANTE</t>
  </si>
  <si>
    <t>PANEL DE ALUMINIO 4 MM PLATA CEPILLADO</t>
  </si>
  <si>
    <t>PANEL DE ALUMINIO 4 MM VERDE</t>
  </si>
  <si>
    <t>PANEL DE ALUMINIO 4 MM NARANJA</t>
  </si>
  <si>
    <t>PANEL DE ALUMINIO 4 MM BLANCO</t>
  </si>
  <si>
    <t>PANEL DE ALUMINIO 3 MM NEGRO MATE</t>
  </si>
  <si>
    <t>PANEL DE ALUMINIO 3 MM BLANCO MATE</t>
  </si>
  <si>
    <t>PANEL DE ALUMINIO 3 MM PLATA BRILLANTE</t>
  </si>
  <si>
    <t>PANEL DE ALUMINIO 3 MM PLATA CEPILLADO</t>
  </si>
  <si>
    <t>PVC 3 MM NARANJA</t>
  </si>
  <si>
    <t>PVC 3 MM AZUL</t>
  </si>
  <si>
    <t>PVC 3 MM NEGRO</t>
  </si>
  <si>
    <t>PVC 6 MM NEGRO</t>
  </si>
  <si>
    <t>PVC 3 MM GRIS OSCURO</t>
  </si>
  <si>
    <t>PVC 6 MM GRIS OSCURO</t>
  </si>
  <si>
    <t>PAN-ALU-4MM-AZU-GLO-1</t>
  </si>
  <si>
    <t>PAN-ALU-4MM-AZU-GLO-2</t>
  </si>
  <si>
    <t>PAN-ALU-4MM-AZU-GLO-3</t>
  </si>
  <si>
    <t>PAN-ALU-4MM-ROJ-GLO-1</t>
  </si>
  <si>
    <t>PAN-ALU-4MM-ROJ-GLO-2</t>
  </si>
  <si>
    <t>PAN-ALU-4MM-NEG-MAT-1</t>
  </si>
  <si>
    <t>PAN-ALU-4MM-NEG-MAT-2</t>
  </si>
  <si>
    <t>PAN-ALU-4MM-PLA-BRI-1</t>
  </si>
  <si>
    <t>PAN-ALU-4MM-PLA-CEP-1</t>
  </si>
  <si>
    <t>PAN-ALU-4MM-VER-1</t>
  </si>
  <si>
    <t>PAN-ALU-4MM-VER-2</t>
  </si>
  <si>
    <t>PAN-ALU-4MM-NAR-1</t>
  </si>
  <si>
    <t>PAN-ALU-4MM-BLA-1</t>
  </si>
  <si>
    <t>PAN-ALU-3MM-NEG-MAT-1</t>
  </si>
  <si>
    <t>PAN-ALU-3MM-BLA-MAT-1</t>
  </si>
  <si>
    <t>PAN-ALU-3MM-PLA-BRI-1</t>
  </si>
  <si>
    <t>PAN-ALU-3MM-PLA-CEP-1</t>
  </si>
  <si>
    <t>PVC-3MM-NAR-1</t>
  </si>
  <si>
    <t>PVC-3MM-AZU-1</t>
  </si>
  <si>
    <t>PVC-6MM-NEG-1</t>
  </si>
  <si>
    <t>PVC-3MM-GRI-OSC-1</t>
  </si>
  <si>
    <t>PVC-6MM-GRI-OSC-1</t>
  </si>
  <si>
    <t>PVC-3MM-NEG-1</t>
  </si>
  <si>
    <t>LED BLANCO CALIDO 3 DIODOS</t>
  </si>
  <si>
    <t>LED BLANCO FRIO 3 DIODOS</t>
  </si>
  <si>
    <t>MICROLED CALIDO 2 DIODOS</t>
  </si>
  <si>
    <t>MICROLED FRIO 2 DIODOS</t>
  </si>
  <si>
    <t>LED BLANCO FRIO OPTICO 3 DIODOS</t>
  </si>
  <si>
    <t>LED BLANCO CALIDO OPTICO 3 DIODOS</t>
  </si>
  <si>
    <t>LED ROJO OPTICO 3 DIODOS</t>
  </si>
  <si>
    <t>LAMPARAS T8</t>
  </si>
  <si>
    <t>PLA-1</t>
  </si>
  <si>
    <t>HUL-BUR-1</t>
  </si>
  <si>
    <t>PVC BLANCO 3 MM</t>
  </si>
  <si>
    <t>PVC BLANCO 3 MM GAMA BAJA</t>
  </si>
  <si>
    <t>PVC BLANCO 2 MM</t>
  </si>
  <si>
    <t>PVC BLANCO 6 MM</t>
  </si>
  <si>
    <t>PVC BLANCO 6 MM GAMA BAJA</t>
  </si>
  <si>
    <t>PVC BLANCO 10 MM</t>
  </si>
  <si>
    <t>COROPLAST 4 MM</t>
  </si>
  <si>
    <t>FOAMBOARD 5 MM</t>
  </si>
  <si>
    <t>FOAMBOARD 10 MM</t>
  </si>
  <si>
    <t>LONA FRONT 13 OZ</t>
  </si>
  <si>
    <t>ALUMINIO NEGRO MATE</t>
  </si>
  <si>
    <t>ALU-NEG-MAT-1</t>
  </si>
  <si>
    <t>MIC-PVC-RIG-TT-243X-1</t>
  </si>
  <si>
    <t>PAT-POR-BAN-35X-1</t>
  </si>
  <si>
    <t>CLI-PAT-POR-BAN-1</t>
  </si>
  <si>
    <t>MAQ-CIE-BOL-MET-AZ-1</t>
  </si>
  <si>
    <t>POR-CAR-PCA-ADH-1</t>
  </si>
  <si>
    <t>SOP-MEN-SUPADH-3GR</t>
  </si>
  <si>
    <t>CAN-J-0060122-ADH-BLA-1</t>
  </si>
  <si>
    <t>CAN-H-0060122-ADH-BLA-1</t>
  </si>
  <si>
    <t>CAN-H-0060122-ADH-NEG-1</t>
  </si>
  <si>
    <t>CAN-J-0060122-ADH-NEG-1</t>
  </si>
  <si>
    <t>CAN-J0060122-ADH-TRA-1</t>
  </si>
  <si>
    <t>CAN-H-0060122-ADH-TRA-1</t>
  </si>
  <si>
    <t>SOP-MEN-110ADH-TT-DEL-1</t>
  </si>
  <si>
    <t>SOP-MEN-1ACE-INO-1</t>
  </si>
  <si>
    <t>BOL-MOR-1</t>
  </si>
  <si>
    <t>CIN-POR-1</t>
  </si>
  <si>
    <t>PVC-ROL-TRA-1</t>
  </si>
  <si>
    <t>TOR-PLA-1</t>
  </si>
  <si>
    <t>VEN-MED-1</t>
  </si>
  <si>
    <t>CAN-50CM-DIA-1</t>
  </si>
  <si>
    <t>MAL-VER-1</t>
  </si>
  <si>
    <t>ESC-PLA-1</t>
  </si>
  <si>
    <t>ESC-PLA-SIN-SOP-1</t>
  </si>
  <si>
    <t>SOP-PLA-3MM-BAS-DEL-MOV-1</t>
  </si>
  <si>
    <t>TIR-IMP-VEN-SIL-1</t>
  </si>
  <si>
    <t>LAM-PIN-1</t>
  </si>
  <si>
    <t>COUCHE MATE 150 GRS</t>
  </si>
  <si>
    <t>COUCHE MATE 130 GRS</t>
  </si>
  <si>
    <t>COUCHE MATE 300 GRS</t>
  </si>
  <si>
    <t>ADH-IVO-1</t>
  </si>
  <si>
    <t>TEX-COR</t>
  </si>
  <si>
    <t>CAPLE - RESPALDO CAFE</t>
  </si>
  <si>
    <t>RIV-MAR-1</t>
  </si>
  <si>
    <t>ENV-DES-1</t>
  </si>
  <si>
    <t>FAB-350GR-1</t>
  </si>
  <si>
    <t>sku</t>
  </si>
  <si>
    <t>name</t>
  </si>
  <si>
    <t>base</t>
  </si>
  <si>
    <t>height</t>
  </si>
  <si>
    <t>currentStock</t>
  </si>
  <si>
    <t>minStock</t>
  </si>
  <si>
    <t>skuProduct</t>
  </si>
  <si>
    <t>legalName</t>
  </si>
  <si>
    <t>tradeName</t>
  </si>
  <si>
    <t>code</t>
  </si>
  <si>
    <t>presentation</t>
  </si>
  <si>
    <t>ROLLO</t>
  </si>
  <si>
    <t>HOJA</t>
  </si>
  <si>
    <t>PIEZA</t>
  </si>
  <si>
    <t>LT1</t>
  </si>
  <si>
    <t>LT3</t>
  </si>
  <si>
    <t>LT5</t>
  </si>
  <si>
    <t>ML775</t>
  </si>
  <si>
    <t>CARTUCHO</t>
  </si>
  <si>
    <t>OJILLOS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</si>
</sst>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8"/>
      <color theme="1"/>
      <name val="CalibI"/>
    </font>
    <font>
      <u/>
      <sz val="8"/>
      <color theme="1"/>
      <name val="Calib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1" xfId="0" applyFont="1" applyBorder="1" applyAlignment="1">
      <alignment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right"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5" fillId="0" borderId="1" xfId="0" applyFont="1" applyBorder="1"/>
    <xf numFmtId="0" fontId="9" fillId="0" borderId="6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61DA-FE72-4165-98C2-EF265DC040F5}">
  <dimension ref="A1:C344"/>
  <sheetViews>
    <sheetView workbookViewId="0">
      <selection activeCell="B232" sqref="B232"/>
    </sheetView>
  </sheetViews>
  <sheetFormatPr baseColWidth="10" defaultRowHeight="14.4"/>
  <cols>
    <col min="1" max="1" width="20.33203125" customWidth="1"/>
    <col min="2" max="2" width="24.77734375" customWidth="1"/>
    <col min="3" max="3" width="45.33203125" customWidth="1"/>
  </cols>
  <sheetData>
    <row r="1" spans="1:3">
      <c r="A1" s="22" t="s">
        <v>480</v>
      </c>
      <c r="B1" s="23" t="s">
        <v>165</v>
      </c>
      <c r="C1" s="24" t="s">
        <v>474</v>
      </c>
    </row>
    <row r="2" spans="1:3">
      <c r="A2" s="23"/>
      <c r="B2" s="26"/>
      <c r="C2" s="25"/>
    </row>
    <row r="3" spans="1:3">
      <c r="A3" s="10" t="str">
        <f>INVENTARIO!A3</f>
        <v>LON-BAC-1</v>
      </c>
      <c r="B3" s="10" t="s">
        <v>286</v>
      </c>
      <c r="C3" s="7" t="str">
        <f>IFERROR(A3&amp;"-"&amp;_xlfn.XLOOKUP(B3,PROVEEDORES!$D$3:$D$37,PROVEEDORES!$B$3:$B$37),"")</f>
        <v>LON-BAC-1-Y</v>
      </c>
    </row>
    <row r="4" spans="1:3">
      <c r="A4" s="10" t="str">
        <f>INVENTARIO!A4</f>
        <v>LON-BAC-2</v>
      </c>
      <c r="B4" s="10" t="s">
        <v>287</v>
      </c>
      <c r="C4" s="7" t="str">
        <f>IFERROR(A4&amp;"-"&amp;_xlfn.XLOOKUP(B4,PROVEEDORES!$D$3:$D$37,PROVEEDORES!$B$3:$B$37),"")</f>
        <v>LON-BAC-2-V</v>
      </c>
    </row>
    <row r="5" spans="1:3">
      <c r="A5" s="10" t="str">
        <f>INVENTARIO!A5</f>
        <v>LON-BAC-3</v>
      </c>
      <c r="B5" s="10" t="s">
        <v>287</v>
      </c>
      <c r="C5" s="7" t="str">
        <f>IFERROR(A5&amp;"-"&amp;_xlfn.XLOOKUP(B5,PROVEEDORES!$D$3:$D$37,PROVEEDORES!$B$3:$B$37),"")</f>
        <v>LON-BAC-3-V</v>
      </c>
    </row>
    <row r="6" spans="1:3">
      <c r="A6" s="10" t="str">
        <f>INVENTARIO!A6</f>
        <v>LON-FRO-13OZ-1</v>
      </c>
      <c r="B6" s="10" t="s">
        <v>286</v>
      </c>
      <c r="C6" s="7" t="str">
        <f>IFERROR(A6&amp;"-"&amp;_xlfn.XLOOKUP(B6,PROVEEDORES!$D$3:$D$37,PROVEEDORES!$B$3:$B$37),"")</f>
        <v>LON-FRO-13OZ-1-Y</v>
      </c>
    </row>
    <row r="7" spans="1:3">
      <c r="A7" s="10" t="str">
        <f>INVENTARIO!A7</f>
        <v>LON-FRO-13OZ-2</v>
      </c>
      <c r="B7" s="10" t="s">
        <v>287</v>
      </c>
      <c r="C7" s="7" t="str">
        <f>IFERROR(A7&amp;"-"&amp;_xlfn.XLOOKUP(B7,PROVEEDORES!$D$3:$D$37,PROVEEDORES!$B$3:$B$37),"")</f>
        <v>LON-FRO-13OZ-2-V</v>
      </c>
    </row>
    <row r="8" spans="1:3">
      <c r="A8" s="10" t="str">
        <f>INVENTARIO!A8</f>
        <v>LON-FRO-13OZ-3</v>
      </c>
      <c r="B8" s="10" t="s">
        <v>287</v>
      </c>
      <c r="C8" s="7" t="str">
        <f>IFERROR(A8&amp;"-"&amp;_xlfn.XLOOKUP(B8,PROVEEDORES!$D$3:$D$37,PROVEEDORES!$B$3:$B$37),"")</f>
        <v>LON-FRO-13OZ-3-V</v>
      </c>
    </row>
    <row r="9" spans="1:3">
      <c r="A9" s="10" t="str">
        <f>INVENTARIO!A9</f>
        <v>LON-FRO-13OZ-4</v>
      </c>
      <c r="B9" s="10" t="s">
        <v>287</v>
      </c>
      <c r="C9" s="7" t="str">
        <f>IFERROR(A9&amp;"-"&amp;_xlfn.XLOOKUP(B9,PROVEEDORES!$D$3:$D$37,PROVEEDORES!$B$3:$B$37),"")</f>
        <v>LON-FRO-13OZ-4-V</v>
      </c>
    </row>
    <row r="10" spans="1:3">
      <c r="A10" s="10" t="str">
        <f>INVENTARIO!A10</f>
        <v>LON-FRO-13OZ-5</v>
      </c>
      <c r="B10" s="10" t="s">
        <v>287</v>
      </c>
      <c r="C10" s="7" t="str">
        <f>IFERROR(A10&amp;"-"&amp;_xlfn.XLOOKUP(B10,PROVEEDORES!$D$3:$D$37,PROVEEDORES!$B$3:$B$37),"")</f>
        <v>LON-FRO-13OZ-5-V</v>
      </c>
    </row>
    <row r="11" spans="1:3">
      <c r="A11" s="10" t="str">
        <f>INVENTARIO!A11</f>
        <v>LON-FRO-13OZ-6</v>
      </c>
      <c r="B11" s="10" t="s">
        <v>287</v>
      </c>
      <c r="C11" s="7" t="str">
        <f>IFERROR(A11&amp;"-"&amp;_xlfn.XLOOKUP(B11,PROVEEDORES!$D$3:$D$37,PROVEEDORES!$B$3:$B$37),"")</f>
        <v>LON-FRO-13OZ-6-V</v>
      </c>
    </row>
    <row r="12" spans="1:3">
      <c r="A12" s="10" t="str">
        <f>INVENTARIO!A12</f>
        <v>LON-FRO-13OZ-7</v>
      </c>
      <c r="B12" s="10" t="s">
        <v>287</v>
      </c>
      <c r="C12" s="7" t="str">
        <f>IFERROR(A12&amp;"-"&amp;_xlfn.XLOOKUP(B12,PROVEEDORES!$D$3:$D$37,PROVEEDORES!$B$3:$B$37),"")</f>
        <v>LON-FRO-13OZ-7-V</v>
      </c>
    </row>
    <row r="13" spans="1:3">
      <c r="A13" s="10" t="str">
        <f>INVENTARIO!A13</f>
        <v>LON-ALT-RES-1</v>
      </c>
      <c r="B13" s="10" t="s">
        <v>287</v>
      </c>
      <c r="C13" s="7" t="str">
        <f>IFERROR(A13&amp;"-"&amp;_xlfn.XLOOKUP(B13,PROVEEDORES!$D$3:$D$37,PROVEEDORES!$B$3:$B$37),"")</f>
        <v>LON-ALT-RES-1-V</v>
      </c>
    </row>
    <row r="14" spans="1:3">
      <c r="A14" s="10" t="str">
        <f>INVENTARIO!A14</f>
        <v>LON-ALT-RES-2</v>
      </c>
      <c r="B14" s="10" t="s">
        <v>287</v>
      </c>
      <c r="C14" s="7" t="str">
        <f>IFERROR(A14&amp;"-"&amp;_xlfn.XLOOKUP(B14,PROVEEDORES!$D$3:$D$37,PROVEEDORES!$B$3:$B$37),"")</f>
        <v>LON-ALT-RES-2-V</v>
      </c>
    </row>
    <row r="15" spans="1:3">
      <c r="A15" s="10" t="str">
        <f>INVENTARIO!A15</f>
        <v>LON-MAT-13OZ-LAT-1</v>
      </c>
      <c r="B15" s="10" t="s">
        <v>278</v>
      </c>
      <c r="C15" s="7" t="str">
        <f>IFERROR(A15&amp;"-"&amp;_xlfn.XLOOKUP(B15,PROVEEDORES!$D$3:$D$37,PROVEEDORES!$B$3:$B$37),"")</f>
        <v>LON-MAT-13OZ-LAT-1-T</v>
      </c>
    </row>
    <row r="16" spans="1:3">
      <c r="A16" s="10" t="str">
        <f>INVENTARIO!A16</f>
        <v>LON-MAT-13OZ-1</v>
      </c>
      <c r="B16" s="10" t="s">
        <v>287</v>
      </c>
      <c r="C16" s="7" t="str">
        <f>IFERROR(A16&amp;"-"&amp;_xlfn.XLOOKUP(B16,PROVEEDORES!$D$3:$D$37,PROVEEDORES!$B$3:$B$37),"")</f>
        <v>LON-MAT-13OZ-1-V</v>
      </c>
    </row>
    <row r="17" spans="1:3">
      <c r="A17" s="10" t="str">
        <f>INVENTARIO!A17</f>
        <v>LON-MAT-13OZ-2</v>
      </c>
      <c r="B17" s="10" t="s">
        <v>287</v>
      </c>
      <c r="C17" s="7" t="str">
        <f>IFERROR(A17&amp;"-"&amp;_xlfn.XLOOKUP(B17,PROVEEDORES!$D$3:$D$37,PROVEEDORES!$B$3:$B$37),"")</f>
        <v>LON-MAT-13OZ-2-V</v>
      </c>
    </row>
    <row r="18" spans="1:3">
      <c r="A18" s="10" t="str">
        <f>INVENTARIO!A18</f>
        <v>LON-MAT-13OZ-3</v>
      </c>
      <c r="B18" s="10" t="s">
        <v>287</v>
      </c>
      <c r="C18" s="7" t="str">
        <f>IFERROR(A18&amp;"-"&amp;_xlfn.XLOOKUP(B18,PROVEEDORES!$D$3:$D$37,PROVEEDORES!$B$3:$B$37),"")</f>
        <v>LON-MAT-13OZ-3-V</v>
      </c>
    </row>
    <row r="19" spans="1:3">
      <c r="A19" s="10" t="str">
        <f>INVENTARIO!A19</f>
        <v>LON-MAT-13OZ-4</v>
      </c>
      <c r="B19" s="10" t="s">
        <v>287</v>
      </c>
      <c r="C19" s="7" t="str">
        <f>IFERROR(A19&amp;"-"&amp;_xlfn.XLOOKUP(B19,PROVEEDORES!$D$3:$D$37,PROVEEDORES!$B$3:$B$37),"")</f>
        <v>LON-MAT-13OZ-4-V</v>
      </c>
    </row>
    <row r="20" spans="1:3" ht="20.399999999999999">
      <c r="A20" s="10" t="str">
        <f>INVENTARIO!A20</f>
        <v>LON-MAT-13OZ-NEG-RES-NEG-1</v>
      </c>
      <c r="B20" s="10" t="s">
        <v>287</v>
      </c>
      <c r="C20" s="7" t="str">
        <f>IFERROR(A20&amp;"-"&amp;_xlfn.XLOOKUP(B20,PROVEEDORES!$D$3:$D$37,PROVEEDORES!$B$3:$B$37),"")</f>
        <v>LON-MAT-13OZ-NEG-RES-NEG-1-V</v>
      </c>
    </row>
    <row r="21" spans="1:3" ht="20.399999999999999">
      <c r="A21" s="10" t="str">
        <f>INVENTARIO!A21</f>
        <v>LON-MAT-13OZ-NEG-RES-NEG-2</v>
      </c>
      <c r="B21" s="10" t="s">
        <v>287</v>
      </c>
      <c r="C21" s="7" t="str">
        <f>IFERROR(A21&amp;"-"&amp;_xlfn.XLOOKUP(B21,PROVEEDORES!$D$3:$D$37,PROVEEDORES!$B$3:$B$37),"")</f>
        <v>LON-MAT-13OZ-NEG-RES-NEG-2-V</v>
      </c>
    </row>
    <row r="22" spans="1:3" ht="20.399999999999999">
      <c r="A22" s="10" t="str">
        <f>INVENTARIO!A22</f>
        <v>LON-MAT-13OZ-NEG-RES-NEG-3</v>
      </c>
      <c r="B22" s="10" t="s">
        <v>287</v>
      </c>
      <c r="C22" s="7" t="str">
        <f>IFERROR(A22&amp;"-"&amp;_xlfn.XLOOKUP(B22,PROVEEDORES!$D$3:$D$37,PROVEEDORES!$B$3:$B$37),"")</f>
        <v>LON-MAT-13OZ-NEG-RES-NEG-3-V</v>
      </c>
    </row>
    <row r="23" spans="1:3" ht="20.399999999999999">
      <c r="A23" s="10" t="str">
        <f>INVENTARIO!A23</f>
        <v>LON-MAT-13OZ-NEG-RES-NEG-4</v>
      </c>
      <c r="B23" s="10" t="s">
        <v>287</v>
      </c>
      <c r="C23" s="7" t="str">
        <f>IFERROR(A23&amp;"-"&amp;_xlfn.XLOOKUP(B23,PROVEEDORES!$D$3:$D$37,PROVEEDORES!$B$3:$B$37),"")</f>
        <v>LON-MAT-13OZ-NEG-RES-NEG-4-V</v>
      </c>
    </row>
    <row r="24" spans="1:3">
      <c r="A24" s="10" t="str">
        <f>INVENTARIO!A24</f>
        <v>LON-MES-1</v>
      </c>
      <c r="B24" s="10" t="s">
        <v>287</v>
      </c>
      <c r="C24" s="7" t="str">
        <f>IFERROR(A24&amp;"-"&amp;_xlfn.XLOOKUP(B24,PROVEEDORES!$D$3:$D$37,PROVEEDORES!$B$3:$B$37),"")</f>
        <v>LON-MES-1-V</v>
      </c>
    </row>
    <row r="25" spans="1:3">
      <c r="A25" s="10" t="str">
        <f>INVENTARIO!A25</f>
        <v>LON-MES-2</v>
      </c>
      <c r="B25" s="10" t="s">
        <v>287</v>
      </c>
      <c r="C25" s="7" t="str">
        <f>IFERROR(A25&amp;"-"&amp;_xlfn.XLOOKUP(B25,PROVEEDORES!$D$3:$D$37,PROVEEDORES!$B$3:$B$37),"")</f>
        <v>LON-MES-2-V</v>
      </c>
    </row>
    <row r="26" spans="1:3">
      <c r="A26" s="10" t="str">
        <f>INVENTARIO!A26</f>
        <v>LON-MES-3</v>
      </c>
      <c r="B26" s="10" t="s">
        <v>287</v>
      </c>
      <c r="C26" s="7" t="str">
        <f>IFERROR(A26&amp;"-"&amp;_xlfn.XLOOKUP(B26,PROVEEDORES!$D$3:$D$37,PROVEEDORES!$B$3:$B$37),"")</f>
        <v>LON-MES-3-V</v>
      </c>
    </row>
    <row r="27" spans="1:3">
      <c r="A27" s="10" t="str">
        <f>INVENTARIO!A27</f>
        <v>LON-MES-4</v>
      </c>
      <c r="B27" s="10" t="s">
        <v>287</v>
      </c>
      <c r="C27" s="7" t="str">
        <f>IFERROR(A27&amp;"-"&amp;_xlfn.XLOOKUP(B27,PROVEEDORES!$D$3:$D$37,PROVEEDORES!$B$3:$B$37),"")</f>
        <v>LON-MES-4-V</v>
      </c>
    </row>
    <row r="28" spans="1:3">
      <c r="A28" s="10" t="str">
        <f>INVENTARIO!A28</f>
        <v>LON-MES-5</v>
      </c>
      <c r="B28" s="10" t="s">
        <v>287</v>
      </c>
      <c r="C28" s="7" t="str">
        <f>IFERROR(A28&amp;"-"&amp;_xlfn.XLOOKUP(B28,PROVEEDORES!$D$3:$D$37,PROVEEDORES!$B$3:$B$37),"")</f>
        <v>LON-MES-5-V</v>
      </c>
    </row>
    <row r="29" spans="1:3">
      <c r="A29" s="10" t="str">
        <f>INVENTARIO!A29</f>
        <v>PAP-BLU-BAC-1</v>
      </c>
      <c r="B29" s="10" t="s">
        <v>287</v>
      </c>
      <c r="C29" s="7" t="str">
        <f>IFERROR(A29&amp;"-"&amp;_xlfn.XLOOKUP(B29,PROVEEDORES!$D$3:$D$37,PROVEEDORES!$B$3:$B$37),"")</f>
        <v>PAP-BLU-BAC-1-V</v>
      </c>
    </row>
    <row r="30" spans="1:3">
      <c r="A30" s="10" t="str">
        <f>INVENTARIO!A30</f>
        <v>PAP-MAT-200GR-FOT-1</v>
      </c>
      <c r="B30" s="10" t="s">
        <v>278</v>
      </c>
      <c r="C30" s="7" t="str">
        <f>IFERROR(A30&amp;"-"&amp;_xlfn.XLOOKUP(B30,PROVEEDORES!$D$3:$D$37,PROVEEDORES!$B$3:$B$37),"")</f>
        <v>PAP-MAT-200GR-FOT-1-T</v>
      </c>
    </row>
    <row r="31" spans="1:3">
      <c r="A31" s="10" t="str">
        <f>INVENTARIO!A31</f>
        <v>PAP-BRI-200GR-FOT-1</v>
      </c>
      <c r="B31" s="10" t="s">
        <v>278</v>
      </c>
      <c r="C31" s="7" t="str">
        <f>IFERROR(A31&amp;"-"&amp;_xlfn.XLOOKUP(B31,PROVEEDORES!$D$3:$D$37,PROVEEDORES!$B$3:$B$37),"")</f>
        <v>PAP-BRI-200GR-FOT-1-T</v>
      </c>
    </row>
    <row r="32" spans="1:3">
      <c r="A32" s="10" t="str">
        <f>INVENTARIO!A32</f>
        <v>PAP-BAC-1</v>
      </c>
      <c r="B32" s="10" t="s">
        <v>287</v>
      </c>
      <c r="C32" s="7" t="str">
        <f>IFERROR(A32&amp;"-"&amp;_xlfn.XLOOKUP(B32,PROVEEDORES!$D$3:$D$37,PROVEEDORES!$B$3:$B$37),"")</f>
        <v>PAP-BAC-1-V</v>
      </c>
    </row>
    <row r="33" spans="1:3">
      <c r="A33" s="10" t="str">
        <f>INVENTARIO!A33</f>
        <v>PAP-BAC-2</v>
      </c>
      <c r="B33" s="10" t="s">
        <v>287</v>
      </c>
      <c r="C33" s="7" t="str">
        <f>IFERROR(A33&amp;"-"&amp;_xlfn.XLOOKUP(B33,PROVEEDORES!$D$3:$D$37,PROVEEDORES!$B$3:$B$37),"")</f>
        <v>PAP-BAC-2-V</v>
      </c>
    </row>
    <row r="34" spans="1:3">
      <c r="A34" s="10" t="str">
        <f>INVENTARIO!A34</f>
        <v>PAP-BAC-1</v>
      </c>
      <c r="B34" s="10" t="s">
        <v>273</v>
      </c>
      <c r="C34" s="7" t="str">
        <f>IFERROR(A34&amp;"-"&amp;_xlfn.XLOOKUP(B34,PROVEEDORES!$D$3:$D$37,PROVEEDORES!$B$3:$B$37),"")</f>
        <v>PAP-BAC-1-K</v>
      </c>
    </row>
    <row r="35" spans="1:3">
      <c r="A35" s="10" t="str">
        <f>INVENTARIO!A35</f>
        <v>PAP-SOL-KRO-1</v>
      </c>
      <c r="B35" s="10" t="s">
        <v>278</v>
      </c>
      <c r="C35" s="7" t="str">
        <f>IFERROR(A35&amp;"-"&amp;_xlfn.XLOOKUP(B35,PROVEEDORES!$D$3:$D$37,PROVEEDORES!$B$3:$B$37),"")</f>
        <v>PAP-SOL-KRO-1-T</v>
      </c>
    </row>
    <row r="36" spans="1:3">
      <c r="A36" s="10" t="str">
        <f>INVENTARIO!A36</f>
        <v>PAP-CIT-1</v>
      </c>
      <c r="B36" s="10" t="s">
        <v>287</v>
      </c>
      <c r="C36" s="7" t="str">
        <f>IFERROR(A36&amp;"-"&amp;_xlfn.XLOOKUP(B36,PROVEEDORES!$D$3:$D$37,PROVEEDORES!$B$3:$B$37),"")</f>
        <v>PAP-CIT-1-V</v>
      </c>
    </row>
    <row r="37" spans="1:3">
      <c r="A37" s="10" t="str">
        <f>INVENTARIO!A37</f>
        <v>PAP-CIT-2</v>
      </c>
      <c r="B37" s="10" t="s">
        <v>287</v>
      </c>
      <c r="C37" s="7" t="str">
        <f>IFERROR(A37&amp;"-"&amp;_xlfn.XLOOKUP(B37,PROVEEDORES!$D$3:$D$37,PROVEEDORES!$B$3:$B$37),"")</f>
        <v>PAP-CIT-2-V</v>
      </c>
    </row>
    <row r="38" spans="1:3">
      <c r="A38" s="10" t="str">
        <f>INVENTARIO!A38</f>
        <v>TEL-SIN-DEL-1</v>
      </c>
      <c r="B38" s="7" t="s">
        <v>273</v>
      </c>
      <c r="C38" s="7" t="str">
        <f>IFERROR(A38&amp;"-"&amp;_xlfn.XLOOKUP(B38,PROVEEDORES!$D$3:$D$37,PROVEEDORES!$B$3:$B$37),"")</f>
        <v>TEL-SIN-DEL-1-K</v>
      </c>
    </row>
    <row r="39" spans="1:3">
      <c r="A39" s="10" t="str">
        <f>INVENTARIO!A39</f>
        <v>TEL-SIN-DEL-2</v>
      </c>
      <c r="B39" s="7" t="s">
        <v>287</v>
      </c>
      <c r="C39" s="7" t="str">
        <f>IFERROR(A39&amp;"-"&amp;_xlfn.XLOOKUP(B39,PROVEEDORES!$D$3:$D$37,PROVEEDORES!$B$3:$B$37),"")</f>
        <v>TEL-SIN-DEL-2-V</v>
      </c>
    </row>
    <row r="40" spans="1:3">
      <c r="A40" s="10" t="str">
        <f>INVENTARIO!A40</f>
        <v>TEL-SIN-DEL-3</v>
      </c>
      <c r="B40" s="7" t="s">
        <v>287</v>
      </c>
      <c r="C40" s="7" t="str">
        <f>IFERROR(A40&amp;"-"&amp;_xlfn.XLOOKUP(B40,PROVEEDORES!$D$3:$D$37,PROVEEDORES!$B$3:$B$37),"")</f>
        <v>TEL-SIN-DEL-3-V</v>
      </c>
    </row>
    <row r="41" spans="1:3">
      <c r="A41" s="10" t="str">
        <f>INVENTARIO!A41</f>
        <v>TEL-CAN-1</v>
      </c>
      <c r="B41" s="7" t="s">
        <v>273</v>
      </c>
      <c r="C41" s="7" t="str">
        <f>IFERROR(A41&amp;"-"&amp;_xlfn.XLOOKUP(B41,PROVEEDORES!$D$3:$D$37,PROVEEDORES!$B$3:$B$37),"")</f>
        <v>TEL-CAN-1-K</v>
      </c>
    </row>
    <row r="42" spans="1:3">
      <c r="A42" s="10" t="str">
        <f>INVENTARIO!A42</f>
        <v>VIN-CON-TAC-1</v>
      </c>
      <c r="B42" s="7" t="s">
        <v>199</v>
      </c>
      <c r="C42" s="7" t="str">
        <f>IFERROR(A42&amp;"-"&amp;_xlfn.XLOOKUP(B42,PROVEEDORES!$D$3:$D$37,PROVEEDORES!$B$3:$B$37),"")</f>
        <v>VIN-CON-TAC-1-AE</v>
      </c>
    </row>
    <row r="43" spans="1:3">
      <c r="A43" s="10" t="str">
        <f>INVENTARIO!A43</f>
        <v>VIN-CON-TAC-2</v>
      </c>
      <c r="B43" s="7" t="s">
        <v>199</v>
      </c>
      <c r="C43" s="7" t="str">
        <f>IFERROR(A43&amp;"-"&amp;_xlfn.XLOOKUP(B43,PROVEEDORES!$D$3:$D$37,PROVEEDORES!$B$3:$B$37),"")</f>
        <v>VIN-CON-TAC-2-AE</v>
      </c>
    </row>
    <row r="44" spans="1:3">
      <c r="A44" s="10" t="str">
        <f>INVENTARIO!A44</f>
        <v>VIN-CON-40-1</v>
      </c>
      <c r="B44" s="7" t="s">
        <v>199</v>
      </c>
      <c r="C44" s="7" t="str">
        <f>IFERROR(A44&amp;"-"&amp;_xlfn.XLOOKUP(B44,PROVEEDORES!$D$3:$D$37,PROVEEDORES!$B$3:$B$37),"")</f>
        <v>VIN-CON-40-1-AE</v>
      </c>
    </row>
    <row r="45" spans="1:3">
      <c r="A45" s="10" t="str">
        <f>INVENTARIO!A45</f>
        <v>VIN-CON-40-2</v>
      </c>
      <c r="B45" s="7" t="s">
        <v>199</v>
      </c>
      <c r="C45" s="7" t="str">
        <f>IFERROR(A45&amp;"-"&amp;_xlfn.XLOOKUP(B45,PROVEEDORES!$D$3:$D$37,PROVEEDORES!$B$3:$B$37),"")</f>
        <v>VIN-CON-40-2-AE</v>
      </c>
    </row>
    <row r="46" spans="1:3">
      <c r="A46" s="10" t="str">
        <f>INVENTARIO!A46</f>
        <v>VIN-EST-BLA-LAT-1</v>
      </c>
      <c r="B46" s="7" t="s">
        <v>287</v>
      </c>
      <c r="C46" s="7" t="str">
        <f>IFERROR(A46&amp;"-"&amp;_xlfn.XLOOKUP(B46,PROVEEDORES!$D$3:$D$37,PROVEEDORES!$B$3:$B$37),"")</f>
        <v>VIN-EST-BLA-LAT-1-V</v>
      </c>
    </row>
    <row r="47" spans="1:3">
      <c r="A47" s="10" t="str">
        <f>INVENTARIO!A47</f>
        <v>VIN-EST-BLA-LAT-2</v>
      </c>
      <c r="B47" s="7" t="s">
        <v>287</v>
      </c>
      <c r="C47" s="7" t="str">
        <f>IFERROR(A47&amp;"-"&amp;_xlfn.XLOOKUP(B47,PROVEEDORES!$D$3:$D$37,PROVEEDORES!$B$3:$B$37),"")</f>
        <v>VIN-EST-BLA-LAT-2-V</v>
      </c>
    </row>
    <row r="48" spans="1:3">
      <c r="A48" s="10" t="str">
        <f>INVENTARIO!A48</f>
        <v>VIN-EST-BLA-1</v>
      </c>
      <c r="B48" s="7" t="s">
        <v>287</v>
      </c>
      <c r="C48" s="7" t="str">
        <f>IFERROR(A48&amp;"-"&amp;_xlfn.XLOOKUP(B48,PROVEEDORES!$D$3:$D$37,PROVEEDORES!$B$3:$B$37),"")</f>
        <v>VIN-EST-BLA-1-V</v>
      </c>
    </row>
    <row r="49" spans="1:3">
      <c r="A49" s="10" t="str">
        <f>INVENTARIO!A49</f>
        <v>VIN-EST-BLA-2</v>
      </c>
      <c r="B49" s="7" t="s">
        <v>287</v>
      </c>
      <c r="C49" s="7" t="str">
        <f>IFERROR(A49&amp;"-"&amp;_xlfn.XLOOKUP(B49,PROVEEDORES!$D$3:$D$37,PROVEEDORES!$B$3:$B$37),"")</f>
        <v>VIN-EST-BLA-2-V</v>
      </c>
    </row>
    <row r="50" spans="1:3">
      <c r="A50" s="10" t="str">
        <f>INVENTARIO!A50</f>
        <v>VIN-EST-BLA-3</v>
      </c>
      <c r="B50" s="7" t="s">
        <v>287</v>
      </c>
      <c r="C50" s="7" t="str">
        <f>IFERROR(A50&amp;"-"&amp;_xlfn.XLOOKUP(B50,PROVEEDORES!$D$3:$D$37,PROVEEDORES!$B$3:$B$37),"")</f>
        <v>VIN-EST-BLA-3-V</v>
      </c>
    </row>
    <row r="51" spans="1:3">
      <c r="A51" s="10" t="str">
        <f>INVENTARIO!A51</f>
        <v>VIN-EST-TRA-1</v>
      </c>
      <c r="B51" s="7" t="s">
        <v>287</v>
      </c>
      <c r="C51" s="7" t="str">
        <f>IFERROR(A51&amp;"-"&amp;_xlfn.XLOOKUP(B51,PROVEEDORES!$D$3:$D$37,PROVEEDORES!$B$3:$B$37),"")</f>
        <v>VIN-EST-TRA-1-V</v>
      </c>
    </row>
    <row r="52" spans="1:3">
      <c r="A52" s="10" t="str">
        <f>INVENTARIO!A52</f>
        <v>VIN-EST-TRA-2</v>
      </c>
      <c r="B52" s="7" t="s">
        <v>287</v>
      </c>
      <c r="C52" s="7" t="str">
        <f>IFERROR(A52&amp;"-"&amp;_xlfn.XLOOKUP(B52,PROVEEDORES!$D$3:$D$37,PROVEEDORES!$B$3:$B$37),"")</f>
        <v>VIN-EST-TRA-2-V</v>
      </c>
    </row>
    <row r="53" spans="1:3">
      <c r="A53" s="10" t="str">
        <f>INVENTARIO!A53</f>
        <v>VIN-FLO-GRA-TEX-1</v>
      </c>
      <c r="B53" s="7" t="s">
        <v>287</v>
      </c>
      <c r="C53" s="7" t="str">
        <f>IFERROR(A53&amp;"-"&amp;_xlfn.XLOOKUP(B53,PROVEEDORES!$D$3:$D$37,PROVEEDORES!$B$3:$B$37),"")</f>
        <v>VIN-FLO-GRA-TEX-1-V</v>
      </c>
    </row>
    <row r="54" spans="1:3">
      <c r="A54" s="10" t="str">
        <f>INVENTARIO!A54</f>
        <v>VIN-REF-GRA-ING-BLA-1</v>
      </c>
      <c r="B54" s="7" t="s">
        <v>199</v>
      </c>
      <c r="C54" s="7" t="str">
        <f>IFERROR(A54&amp;"-"&amp;_xlfn.XLOOKUP(B54,PROVEEDORES!$D$3:$D$37,PROVEEDORES!$B$3:$B$37),"")</f>
        <v>VIN-REF-GRA-ING-BLA-1-AE</v>
      </c>
    </row>
    <row r="55" spans="1:3">
      <c r="A55" s="10" t="str">
        <f>INVENTARIO!A55</f>
        <v>VIN-REF-GRA-ING-AZU-1</v>
      </c>
      <c r="B55" s="7" t="s">
        <v>199</v>
      </c>
      <c r="C55" s="7" t="str">
        <f>IFERROR(A55&amp;"-"&amp;_xlfn.XLOOKUP(B55,PROVEEDORES!$D$3:$D$37,PROVEEDORES!$B$3:$B$37),"")</f>
        <v>VIN-REF-GRA-ING-AZU-1-AE</v>
      </c>
    </row>
    <row r="56" spans="1:3">
      <c r="A56" s="10" t="str">
        <f>INVENTARIO!A56</f>
        <v>VIN-REF-GRA-ING-ROJ-1</v>
      </c>
      <c r="B56" s="7" t="s">
        <v>199</v>
      </c>
      <c r="C56" s="7" t="str">
        <f>IFERROR(A56&amp;"-"&amp;_xlfn.XLOOKUP(B56,PROVEEDORES!$D$3:$D$37,PROVEEDORES!$B$3:$B$37),"")</f>
        <v>VIN-REF-GRA-ING-ROJ-1-AE</v>
      </c>
    </row>
    <row r="57" spans="1:3">
      <c r="A57" s="10" t="str">
        <f>INVENTARIO!A57</f>
        <v>VIN-REF-GRA-ING-AMA-1</v>
      </c>
      <c r="B57" s="7" t="s">
        <v>199</v>
      </c>
      <c r="C57" s="7" t="str">
        <f>IFERROR(A57&amp;"-"&amp;_xlfn.XLOOKUP(B57,PROVEEDORES!$D$3:$D$37,PROVEEDORES!$B$3:$B$37),"")</f>
        <v>VIN-REF-GRA-ING-AMA-1-AE</v>
      </c>
    </row>
    <row r="58" spans="1:3">
      <c r="A58" s="10" t="str">
        <f>INVENTARIO!A58</f>
        <v>VIN-REF-GRA-ING-VER-1</v>
      </c>
      <c r="B58" s="7" t="s">
        <v>199</v>
      </c>
      <c r="C58" s="7" t="str">
        <f>IFERROR(A58&amp;"-"&amp;_xlfn.XLOOKUP(B58,PROVEEDORES!$D$3:$D$37,PROVEEDORES!$B$3:$B$37),"")</f>
        <v>VIN-REF-GRA-ING-VER-1-AE</v>
      </c>
    </row>
    <row r="59" spans="1:3">
      <c r="A59" s="10" t="str">
        <f>INVENTARIO!A59</f>
        <v>VIN-REF-GRA-ING-NEG-1</v>
      </c>
      <c r="B59" s="7" t="s">
        <v>199</v>
      </c>
      <c r="C59" s="7" t="str">
        <f>IFERROR(A59&amp;"-"&amp;_xlfn.XLOOKUP(B59,PROVEEDORES!$D$3:$D$37,PROVEEDORES!$B$3:$B$37),"")</f>
        <v>VIN-REF-GRA-ING-NEG-1-AE</v>
      </c>
    </row>
    <row r="60" spans="1:3">
      <c r="A60" s="10" t="str">
        <f>INVENTARIO!A60</f>
        <v>VIN-C30-IMA-C30-1</v>
      </c>
      <c r="B60" s="7" t="s">
        <v>199</v>
      </c>
      <c r="C60" s="7" t="str">
        <f>IFERROR(A60&amp;"-"&amp;_xlfn.XLOOKUP(B60,PROVEEDORES!$D$3:$D$37,PROVEEDORES!$B$3:$B$37),"")</f>
        <v>VIN-C30-IMA-C30-1-AE</v>
      </c>
    </row>
    <row r="61" spans="1:3">
      <c r="A61" s="10" t="str">
        <f>INVENTARIO!A61</f>
        <v>VIN-BRI-BLA-ALT-TAC-1</v>
      </c>
      <c r="B61" s="7" t="s">
        <v>287</v>
      </c>
      <c r="C61" s="7" t="str">
        <f>IFERROR(A61&amp;"-"&amp;_xlfn.XLOOKUP(B61,PROVEEDORES!$D$3:$D$37,PROVEEDORES!$B$3:$B$37),"")</f>
        <v>VIN-BRI-BLA-ALT-TAC-1-V</v>
      </c>
    </row>
    <row r="62" spans="1:3">
      <c r="A62" s="10" t="str">
        <f>INVENTARIO!A62</f>
        <v>VIN-MAT-BLA-RES-GRI-1</v>
      </c>
      <c r="B62" s="7" t="s">
        <v>287</v>
      </c>
      <c r="C62" s="7" t="str">
        <f>IFERROR(A62&amp;"-"&amp;_xlfn.XLOOKUP(B62,PROVEEDORES!$D$3:$D$37,PROVEEDORES!$B$3:$B$37),"")</f>
        <v>VIN-MAT-BLA-RES-GRI-1-V</v>
      </c>
    </row>
    <row r="63" spans="1:3" ht="20.399999999999999">
      <c r="A63" s="10" t="str">
        <f>INVENTARIO!A63</f>
        <v>VIN-MAT-BLA-RES-GRI-GEN.FOR-1</v>
      </c>
      <c r="B63" s="7" t="s">
        <v>201</v>
      </c>
      <c r="C63" s="7" t="str">
        <f>IFERROR(A63&amp;"-"&amp;_xlfn.XLOOKUP(B63,PROVEEDORES!$D$3:$D$37,PROVEEDORES!$B$3:$B$37),"")</f>
        <v>VIN-MAT-BLA-RES-GRI-GEN.FOR-1-B</v>
      </c>
    </row>
    <row r="64" spans="1:3" ht="20.399999999999999">
      <c r="A64" s="10" t="str">
        <f>INVENTARIO!A64</f>
        <v>VIN-MAT-BLA-ARL-RES-GRI-1</v>
      </c>
      <c r="B64" s="7" t="s">
        <v>199</v>
      </c>
      <c r="C64" s="7" t="str">
        <f>IFERROR(A64&amp;"-"&amp;_xlfn.XLOOKUP(B64,PROVEEDORES!$D$3:$D$37,PROVEEDORES!$B$3:$B$37),"")</f>
        <v>VIN-MAT-BLA-ARL-RES-GRI-1-AE</v>
      </c>
    </row>
    <row r="65" spans="1:3">
      <c r="A65" s="10" t="str">
        <f>INVENTARIO!A65</f>
        <v>VIN-BRI-BLA-RES-GRI-1</v>
      </c>
      <c r="B65" s="7" t="s">
        <v>287</v>
      </c>
      <c r="C65" s="7" t="str">
        <f>IFERROR(A65&amp;"-"&amp;_xlfn.XLOOKUP(B65,PROVEEDORES!$D$3:$D$37,PROVEEDORES!$B$3:$B$37),"")</f>
        <v>VIN-BRI-BLA-RES-GRI-1-V</v>
      </c>
    </row>
    <row r="66" spans="1:3">
      <c r="A66" s="10" t="str">
        <f>INVENTARIO!A66</f>
        <v>VIN-TRA-1</v>
      </c>
      <c r="B66" s="7" t="s">
        <v>287</v>
      </c>
      <c r="C66" s="7" t="str">
        <f>IFERROR(A66&amp;"-"&amp;_xlfn.XLOOKUP(B66,PROVEEDORES!$D$3:$D$37,PROVEEDORES!$B$3:$B$37),"")</f>
        <v>VIN-TRA-1-V</v>
      </c>
    </row>
    <row r="67" spans="1:3">
      <c r="A67" s="10" t="str">
        <f>INVENTARIO!A67</f>
        <v>VIN-MIC-1</v>
      </c>
      <c r="B67" s="7" t="s">
        <v>287</v>
      </c>
      <c r="C67" s="7" t="str">
        <f>IFERROR(A67&amp;"-"&amp;_xlfn.XLOOKUP(B67,PROVEEDORES!$D$3:$D$37,PROVEEDORES!$B$3:$B$37),"")</f>
        <v>VIN-MIC-1-V</v>
      </c>
    </row>
    <row r="68" spans="1:3">
      <c r="A68" s="10" t="str">
        <f>INVENTARIO!A68</f>
        <v>VIN-MIC-2</v>
      </c>
      <c r="B68" s="7" t="s">
        <v>287</v>
      </c>
      <c r="C68" s="7" t="str">
        <f>IFERROR(A68&amp;"-"&amp;_xlfn.XLOOKUP(B68,PROVEEDORES!$D$3:$D$37,PROVEEDORES!$B$3:$B$37),"")</f>
        <v>VIN-MIC-2-V</v>
      </c>
    </row>
    <row r="69" spans="1:3">
      <c r="A69" s="10" t="str">
        <f>INVENTARIO!A69</f>
        <v>VIN-BRI-BLA-1</v>
      </c>
      <c r="B69" s="7" t="s">
        <v>287</v>
      </c>
      <c r="C69" s="7" t="str">
        <f>IFERROR(A69&amp;"-"&amp;_xlfn.XLOOKUP(B69,PROVEEDORES!$D$3:$D$37,PROVEEDORES!$B$3:$B$37),"")</f>
        <v>VIN-BRI-BLA-1-V</v>
      </c>
    </row>
    <row r="70" spans="1:3">
      <c r="A70" s="10" t="str">
        <f>INVENTARIO!A70</f>
        <v>VIN-BRI-BLA-2</v>
      </c>
      <c r="B70" s="7" t="s">
        <v>287</v>
      </c>
      <c r="C70" s="7" t="str">
        <f>IFERROR(A70&amp;"-"&amp;_xlfn.XLOOKUP(B70,PROVEEDORES!$D$3:$D$37,PROVEEDORES!$B$3:$B$37),"")</f>
        <v>VIN-BRI-BLA-2-V</v>
      </c>
    </row>
    <row r="71" spans="1:3">
      <c r="A71" s="10" t="str">
        <f>INVENTARIO!A71</f>
        <v>VIN-BRI-BLA-3</v>
      </c>
      <c r="B71" s="7" t="s">
        <v>287</v>
      </c>
      <c r="C71" s="7" t="str">
        <f>IFERROR(A71&amp;"-"&amp;_xlfn.XLOOKUP(B71,PROVEEDORES!$D$3:$D$37,PROVEEDORES!$B$3:$B$37),"")</f>
        <v>VIN-BRI-BLA-3-V</v>
      </c>
    </row>
    <row r="72" spans="1:3">
      <c r="A72" s="10" t="str">
        <f>INVENTARIO!A72</f>
        <v>VIN-MAT-BLA-1</v>
      </c>
      <c r="B72" s="7" t="s">
        <v>287</v>
      </c>
      <c r="C72" s="7" t="str">
        <f>IFERROR(A72&amp;"-"&amp;_xlfn.XLOOKUP(B72,PROVEEDORES!$D$3:$D$37,PROVEEDORES!$B$3:$B$37),"")</f>
        <v>VIN-MAT-BLA-1-V</v>
      </c>
    </row>
    <row r="73" spans="1:3">
      <c r="A73" s="10" t="str">
        <f>INVENTARIO!A73</f>
        <v>VIN-MAT-BLA-2</v>
      </c>
      <c r="B73" s="7" t="s">
        <v>287</v>
      </c>
      <c r="C73" s="7" t="str">
        <f>IFERROR(A73&amp;"-"&amp;_xlfn.XLOOKUP(B73,PROVEEDORES!$D$3:$D$37,PROVEEDORES!$B$3:$B$37),"")</f>
        <v>VIN-MAT-BLA-2-V</v>
      </c>
    </row>
    <row r="74" spans="1:3">
      <c r="A74" s="10" t="str">
        <f>INVENTARIO!A74</f>
        <v>VIN-MAT-BLA-3</v>
      </c>
      <c r="B74" s="7" t="s">
        <v>287</v>
      </c>
      <c r="C74" s="7" t="str">
        <f>IFERROR(A74&amp;"-"&amp;_xlfn.XLOOKUP(B74,PROVEEDORES!$D$3:$D$37,PROVEEDORES!$B$3:$B$37),"")</f>
        <v>VIN-MAT-BLA-3-V</v>
      </c>
    </row>
    <row r="75" spans="1:3">
      <c r="A75" s="10" t="str">
        <f>INVENTARIO!A75</f>
        <v>VIN-MAT-BLA-4</v>
      </c>
      <c r="B75" s="7" t="s">
        <v>273</v>
      </c>
      <c r="C75" s="7" t="str">
        <f>IFERROR(A75&amp;"-"&amp;_xlfn.XLOOKUP(B75,PROVEEDORES!$D$3:$D$37,PROVEEDORES!$B$3:$B$37),"")</f>
        <v>VIN-MAT-BLA-4-K</v>
      </c>
    </row>
    <row r="76" spans="1:3">
      <c r="A76" s="10" t="str">
        <f>INVENTARIO!A76</f>
        <v>VIN-MAT-BLA-5</v>
      </c>
      <c r="B76" s="7" t="s">
        <v>273</v>
      </c>
      <c r="C76" s="7" t="str">
        <f>IFERROR(A76&amp;"-"&amp;_xlfn.XLOOKUP(B76,PROVEEDORES!$D$3:$D$37,PROVEEDORES!$B$3:$B$37),"")</f>
        <v>VIN-MAT-BLA-5-K</v>
      </c>
    </row>
    <row r="77" spans="1:3">
      <c r="A77" s="10" t="str">
        <f>INVENTARIO!A77</f>
        <v>VIN-PAR-WAL-1</v>
      </c>
      <c r="B77" s="7" t="s">
        <v>173</v>
      </c>
      <c r="C77" s="7" t="str">
        <f>IFERROR(A77&amp;"-"&amp;_xlfn.XLOOKUP(B77,PROVEEDORES!$D$3:$D$37,PROVEEDORES!$B$3:$B$37),"")</f>
        <v>VIN-PAR-WAL-1-W</v>
      </c>
    </row>
    <row r="78" spans="1:3">
      <c r="A78" s="10" t="str">
        <f>INVENTARIO!A78</f>
        <v>VIN-PSX-VIN-TEXT-STO-1</v>
      </c>
      <c r="B78" s="7" t="s">
        <v>173</v>
      </c>
      <c r="C78" s="7" t="str">
        <f>IFERROR(A78&amp;"-"&amp;_xlfn.XLOOKUP(B78,PROVEEDORES!$D$3:$D$37,PROVEEDORES!$B$3:$B$37),"")</f>
        <v>VIN-PSX-VIN-TEXT-STO-1-W</v>
      </c>
    </row>
    <row r="79" spans="1:3">
      <c r="A79" s="10" t="str">
        <f>INVENTARIO!A79</f>
        <v>VIN-WAL-CAN-GF-1</v>
      </c>
      <c r="B79" s="7" t="s">
        <v>173</v>
      </c>
      <c r="C79" s="7" t="str">
        <f>IFERROR(A79&amp;"-"&amp;_xlfn.XLOOKUP(B79,PROVEEDORES!$D$3:$D$37,PROVEEDORES!$B$3:$B$37),"")</f>
        <v>VIN-WAL-CAN-GF-1-W</v>
      </c>
    </row>
    <row r="80" spans="1:3">
      <c r="A80" s="10" t="str">
        <f>INVENTARIO!A80</f>
        <v>VIN-BLA-TRA-IMP-1</v>
      </c>
      <c r="B80" s="7" t="s">
        <v>199</v>
      </c>
      <c r="C80" s="7" t="str">
        <f>IFERROR(A80&amp;"-"&amp;_xlfn.XLOOKUP(B80,PROVEEDORES!$D$3:$D$37,PROVEEDORES!$B$3:$B$37),"")</f>
        <v>VIN-BLA-TRA-IMP-1-AE</v>
      </c>
    </row>
    <row r="81" spans="1:3">
      <c r="A81" s="10" t="str">
        <f>INVENTARIO!A81</f>
        <v>LAM-3M-1</v>
      </c>
      <c r="B81" s="7" t="s">
        <v>199</v>
      </c>
      <c r="C81" s="7" t="str">
        <f>IFERROR(A81&amp;"-"&amp;_xlfn.XLOOKUP(B81,PROVEEDORES!$D$3:$D$37,PROVEEDORES!$B$3:$B$37),"")</f>
        <v>LAM-3M-1-AE</v>
      </c>
    </row>
    <row r="82" spans="1:3">
      <c r="A82" s="10" t="str">
        <f>INVENTARIO!A82</f>
        <v>LAM-TER-BRI-TRA-1</v>
      </c>
      <c r="B82" s="7" t="s">
        <v>288</v>
      </c>
      <c r="C82" s="7" t="str">
        <f>IFERROR(A82&amp;"-"&amp;_xlfn.XLOOKUP(B82,PROVEEDORES!$D$3:$D$37,PROVEEDORES!$B$3:$B$37),"")</f>
        <v>LAM-TER-BRI-TRA-1-</v>
      </c>
    </row>
    <row r="83" spans="1:3">
      <c r="A83" s="10" t="str">
        <f>INVENTARIO!A83</f>
        <v>LAM-TER-MAT-TRA-1</v>
      </c>
      <c r="B83" s="7" t="s">
        <v>288</v>
      </c>
      <c r="C83" s="7" t="str">
        <f>IFERROR(A83&amp;"-"&amp;_xlfn.XLOOKUP(B83,PROVEEDORES!$D$3:$D$37,PROVEEDORES!$B$3:$B$37),"")</f>
        <v>LAM-TER-MAT-TRA-1-</v>
      </c>
    </row>
    <row r="84" spans="1:3">
      <c r="A84" s="10" t="str">
        <f>INVENTARIO!A84</f>
        <v>PVC-BLA-3MM-1</v>
      </c>
      <c r="B84" s="7" t="s">
        <v>201</v>
      </c>
      <c r="C84" s="7" t="str">
        <f>IFERROR(A84&amp;"-"&amp;_xlfn.XLOOKUP(B84,PROVEEDORES!$D$3:$D$37,PROVEEDORES!$B$3:$B$37),"")</f>
        <v>PVC-BLA-3MM-1-B</v>
      </c>
    </row>
    <row r="85" spans="1:3">
      <c r="A85" s="10" t="str">
        <f>INVENTARIO!A85</f>
        <v>PVC-BLA-3MM-2</v>
      </c>
      <c r="B85" s="7" t="s">
        <v>245</v>
      </c>
      <c r="C85" s="7" t="str">
        <f>IFERROR(A85&amp;"-"&amp;_xlfn.XLOOKUP(B85,PROVEEDORES!$D$3:$D$37,PROVEEDORES!$B$3:$B$37),"")</f>
        <v>PVC-BLA-3MM-2-R</v>
      </c>
    </row>
    <row r="86" spans="1:3">
      <c r="A86" s="10" t="str">
        <f>INVENTARIO!A86</f>
        <v>PVC-BLA-3MM-GAM-BAJ-1</v>
      </c>
      <c r="B86" s="7" t="s">
        <v>199</v>
      </c>
      <c r="C86" s="7" t="str">
        <f>IFERROR(A86&amp;"-"&amp;_xlfn.XLOOKUP(B86,PROVEEDORES!$D$3:$D$37,PROVEEDORES!$B$3:$B$37),"")</f>
        <v>PVC-BLA-3MM-GAM-BAJ-1-AE</v>
      </c>
    </row>
    <row r="87" spans="1:3">
      <c r="A87" s="10" t="str">
        <f>INVENTARIO!A87</f>
        <v>PVC-BLA-2MM-1</v>
      </c>
      <c r="B87" s="7" t="s">
        <v>289</v>
      </c>
      <c r="C87" s="7" t="str">
        <f>IFERROR(A87&amp;"-"&amp;_xlfn.XLOOKUP(B87,PROVEEDORES!$D$3:$D$37,PROVEEDORES!$B$3:$B$37),"")</f>
        <v>PVC-BLA-2MM-1-</v>
      </c>
    </row>
    <row r="88" spans="1:3">
      <c r="A88" s="10" t="str">
        <f>INVENTARIO!A88</f>
        <v>PVC-BLA-6MM-1</v>
      </c>
      <c r="B88" s="7" t="s">
        <v>201</v>
      </c>
      <c r="C88" s="7" t="str">
        <f>IFERROR(A88&amp;"-"&amp;_xlfn.XLOOKUP(B88,PROVEEDORES!$D$3:$D$37,PROVEEDORES!$B$3:$B$37),"")</f>
        <v>PVC-BLA-6MM-1-B</v>
      </c>
    </row>
    <row r="89" spans="1:3">
      <c r="A89" s="10" t="str">
        <f>INVENTARIO!A89</f>
        <v>PVC-BLA-6MM-GAM-BAJ-1</v>
      </c>
      <c r="B89" s="7" t="s">
        <v>287</v>
      </c>
      <c r="C89" s="7" t="str">
        <f>IFERROR(A89&amp;"-"&amp;_xlfn.XLOOKUP(B89,PROVEEDORES!$D$3:$D$37,PROVEEDORES!$B$3:$B$37),"")</f>
        <v>PVC-BLA-6MM-GAM-BAJ-1-V</v>
      </c>
    </row>
    <row r="90" spans="1:3">
      <c r="A90" s="10" t="str">
        <f>INVENTARIO!A90</f>
        <v>PVC-BLA-6MM-GAM-BAJ-2</v>
      </c>
      <c r="B90" s="7" t="s">
        <v>199</v>
      </c>
      <c r="C90" s="7" t="str">
        <f>IFERROR(A90&amp;"-"&amp;_xlfn.XLOOKUP(B90,PROVEEDORES!$D$3:$D$37,PROVEEDORES!$B$3:$B$37),"")</f>
        <v>PVC-BLA-6MM-GAM-BAJ-2-AE</v>
      </c>
    </row>
    <row r="91" spans="1:3">
      <c r="A91" s="10" t="str">
        <f>INVENTARIO!A91</f>
        <v>PVC-BLA-10MM-1</v>
      </c>
      <c r="B91" s="7" t="s">
        <v>200</v>
      </c>
      <c r="C91" s="7" t="str">
        <f>IFERROR(A91&amp;"-"&amp;_xlfn.XLOOKUP(B91,PROVEEDORES!$D$3:$D$37,PROVEEDORES!$B$3:$B$37),"")</f>
        <v>PVC-BLA-10MM-1-AF</v>
      </c>
    </row>
    <row r="92" spans="1:3">
      <c r="A92" s="10" t="str">
        <f>INVENTARIO!A92</f>
        <v>FOA-1GRA-1</v>
      </c>
      <c r="B92" s="7" t="s">
        <v>279</v>
      </c>
      <c r="C92" s="7" t="str">
        <f>IFERROR(A92&amp;"-"&amp;_xlfn.XLOOKUP(B92,PROVEEDORES!$D$3:$D$37,PROVEEDORES!$B$3:$B$37),"")</f>
        <v>FOA-1GRA-1-P</v>
      </c>
    </row>
    <row r="93" spans="1:3">
      <c r="A93" s="10" t="str">
        <f>INVENTARIO!A93</f>
        <v>COR-4MM-1</v>
      </c>
      <c r="B93" s="7" t="s">
        <v>287</v>
      </c>
      <c r="C93" s="7" t="str">
        <f>IFERROR(A93&amp;"-"&amp;_xlfn.XLOOKUP(B93,PROVEEDORES!$D$3:$D$37,PROVEEDORES!$B$3:$B$37),"")</f>
        <v>COR-4MM-1-V</v>
      </c>
    </row>
    <row r="94" spans="1:3">
      <c r="A94" s="10" t="str">
        <f>INVENTARIO!A94</f>
        <v>FOA-5MM-1</v>
      </c>
      <c r="B94" s="7" t="s">
        <v>287</v>
      </c>
      <c r="C94" s="7" t="str">
        <f>IFERROR(A94&amp;"-"&amp;_xlfn.XLOOKUP(B94,PROVEEDORES!$D$3:$D$37,PROVEEDORES!$B$3:$B$37),"")</f>
        <v>FOA-5MM-1-V</v>
      </c>
    </row>
    <row r="95" spans="1:3">
      <c r="A95" s="10" t="str">
        <f>INVENTARIO!A95</f>
        <v>FOA-10MM-1</v>
      </c>
      <c r="B95" s="7" t="s">
        <v>287</v>
      </c>
      <c r="C95" s="7" t="str">
        <f>IFERROR(A95&amp;"-"&amp;_xlfn.XLOOKUP(B95,PROVEEDORES!$D$3:$D$37,PROVEEDORES!$B$3:$B$37),"")</f>
        <v>FOA-10MM-1-V</v>
      </c>
    </row>
    <row r="96" spans="1:3">
      <c r="A96" s="10" t="str">
        <f>INVENTARIO!A96</f>
        <v>EST-C15-1</v>
      </c>
      <c r="B96" s="7" t="s">
        <v>201</v>
      </c>
      <c r="C96" s="7" t="str">
        <f>IFERROR(A96&amp;"-"&amp;_xlfn.XLOOKUP(B96,PROVEEDORES!$D$3:$D$37,PROVEEDORES!$B$3:$B$37),"")</f>
        <v>EST-C15-1-B</v>
      </c>
    </row>
    <row r="97" spans="1:3">
      <c r="A97" s="10" t="str">
        <f>INVENTARIO!A97</f>
        <v>EST-C20-1</v>
      </c>
      <c r="B97" s="7" t="s">
        <v>201</v>
      </c>
      <c r="C97" s="7" t="str">
        <f>IFERROR(A97&amp;"-"&amp;_xlfn.XLOOKUP(B97,PROVEEDORES!$D$3:$D$37,PROVEEDORES!$B$3:$B$37),"")</f>
        <v>EST-C20-1-B</v>
      </c>
    </row>
    <row r="98" spans="1:3">
      <c r="A98" s="10" t="str">
        <f>INVENTARIO!A98</f>
        <v>EST-C30-1</v>
      </c>
      <c r="B98" s="7" t="s">
        <v>201</v>
      </c>
      <c r="C98" s="7" t="str">
        <f>IFERROR(A98&amp;"-"&amp;_xlfn.XLOOKUP(B98,PROVEEDORES!$D$3:$D$37,PROVEEDORES!$B$3:$B$37),"")</f>
        <v>EST-C30-1-B</v>
      </c>
    </row>
    <row r="99" spans="1:3">
      <c r="A99" s="10" t="str">
        <f>INVENTARIO!A99</f>
        <v>EST-C40-1</v>
      </c>
      <c r="B99" s="7" t="s">
        <v>201</v>
      </c>
      <c r="C99" s="7" t="str">
        <f>IFERROR(A99&amp;"-"&amp;_xlfn.XLOOKUP(B99,PROVEEDORES!$D$3:$D$37,PROVEEDORES!$B$3:$B$37),"")</f>
        <v>EST-C40-1-B</v>
      </c>
    </row>
    <row r="100" spans="1:3">
      <c r="A100" s="10" t="str">
        <f>INVENTARIO!A100</f>
        <v>EST-C60-1</v>
      </c>
      <c r="B100" s="7" t="s">
        <v>201</v>
      </c>
      <c r="C100" s="7" t="str">
        <f>IFERROR(A100&amp;"-"&amp;_xlfn.XLOOKUP(B100,PROVEEDORES!$D$3:$D$37,PROVEEDORES!$B$3:$B$37),"")</f>
        <v>EST-C60-1-B</v>
      </c>
    </row>
    <row r="101" spans="1:3">
      <c r="A101" s="10" t="str">
        <f>INVENTARIO!A101</f>
        <v>EST-C80-1</v>
      </c>
      <c r="B101" s="7" t="s">
        <v>201</v>
      </c>
      <c r="C101" s="7" t="str">
        <f>IFERROR(A101&amp;"-"&amp;_xlfn.XLOOKUP(B101,PROVEEDORES!$D$3:$D$37,PROVEEDORES!$B$3:$B$37),"")</f>
        <v>EST-C80-1-B</v>
      </c>
    </row>
    <row r="102" spans="1:3">
      <c r="A102" s="10" t="str">
        <f>INVENTARIO!A102</f>
        <v>EST-C15-1</v>
      </c>
      <c r="B102" s="7" t="s">
        <v>286</v>
      </c>
      <c r="C102" s="7" t="str">
        <f>IFERROR(A102&amp;"-"&amp;_xlfn.XLOOKUP(B102,PROVEEDORES!$D$3:$D$37,PROVEEDORES!$B$3:$B$37),"")</f>
        <v>EST-C15-1-Y</v>
      </c>
    </row>
    <row r="103" spans="1:3">
      <c r="A103" s="10" t="str">
        <f>INVENTARIO!A103</f>
        <v>EST-C20-1</v>
      </c>
      <c r="B103" s="7" t="s">
        <v>286</v>
      </c>
      <c r="C103" s="7" t="str">
        <f>IFERROR(A103&amp;"-"&amp;_xlfn.XLOOKUP(B103,PROVEEDORES!$D$3:$D$37,PROVEEDORES!$B$3:$B$37),"")</f>
        <v>EST-C20-1-Y</v>
      </c>
    </row>
    <row r="104" spans="1:3">
      <c r="A104" s="10" t="str">
        <f>INVENTARIO!A104</f>
        <v>EST-C30-1</v>
      </c>
      <c r="B104" s="7" t="s">
        <v>286</v>
      </c>
      <c r="C104" s="7" t="str">
        <f>IFERROR(A104&amp;"-"&amp;_xlfn.XLOOKUP(B104,PROVEEDORES!$D$3:$D$37,PROVEEDORES!$B$3:$B$37),"")</f>
        <v>EST-C30-1-Y</v>
      </c>
    </row>
    <row r="105" spans="1:3">
      <c r="A105" s="10" t="str">
        <f>INVENTARIO!A105</f>
        <v>EST-C40-1</v>
      </c>
      <c r="B105" s="7" t="s">
        <v>286</v>
      </c>
      <c r="C105" s="7" t="str">
        <f>IFERROR(A105&amp;"-"&amp;_xlfn.XLOOKUP(B105,PROVEEDORES!$D$3:$D$37,PROVEEDORES!$B$3:$B$37),"")</f>
        <v>EST-C40-1-Y</v>
      </c>
    </row>
    <row r="106" spans="1:3">
      <c r="A106" s="10" t="str">
        <f>INVENTARIO!A106</f>
        <v>EST-C60-1</v>
      </c>
      <c r="B106" s="7" t="s">
        <v>286</v>
      </c>
      <c r="C106" s="7" t="str">
        <f>IFERROR(A106&amp;"-"&amp;_xlfn.XLOOKUP(B106,PROVEEDORES!$D$3:$D$37,PROVEEDORES!$B$3:$B$37),"")</f>
        <v>EST-C60-1-Y</v>
      </c>
    </row>
    <row r="107" spans="1:3">
      <c r="A107" s="10" t="str">
        <f>INVENTARIO!A107</f>
        <v>EST-C80-1</v>
      </c>
      <c r="B107" s="7" t="s">
        <v>286</v>
      </c>
      <c r="C107" s="7" t="str">
        <f>IFERROR(A107&amp;"-"&amp;_xlfn.XLOOKUP(B107,PROVEEDORES!$D$3:$D$37,PROVEEDORES!$B$3:$B$37),"")</f>
        <v>EST-C80-1-Y</v>
      </c>
    </row>
    <row r="108" spans="1:3">
      <c r="A108" s="10" t="str">
        <f>INVENTARIO!A108</f>
        <v>DIS-80X-1</v>
      </c>
      <c r="B108" s="7" t="s">
        <v>273</v>
      </c>
      <c r="C108" s="7" t="str">
        <f>IFERROR(A108&amp;"-"&amp;_xlfn.XLOOKUP(B108,PROVEEDORES!$D$3:$D$37,PROVEEDORES!$B$3:$B$37),"")</f>
        <v>DIS-80X-1-K</v>
      </c>
    </row>
    <row r="109" spans="1:3">
      <c r="A109" s="10" t="str">
        <f>INVENTARIO!A109</f>
        <v>DIS-80X-1</v>
      </c>
      <c r="B109" s="7" t="s">
        <v>286</v>
      </c>
      <c r="C109" s="7" t="str">
        <f>IFERROR(A109&amp;"-"&amp;_xlfn.XLOOKUP(B109,PROVEEDORES!$D$3:$D$37,PROVEEDORES!$B$3:$B$37),"")</f>
        <v>DIS-80X-1-Y</v>
      </c>
    </row>
    <row r="110" spans="1:3">
      <c r="A110" s="10" t="str">
        <f>INVENTARIO!A110</f>
        <v>DIS-60X-1</v>
      </c>
      <c r="B110" s="7" t="s">
        <v>273</v>
      </c>
      <c r="C110" s="7" t="str">
        <f>IFERROR(A110&amp;"-"&amp;_xlfn.XLOOKUP(B110,PROVEEDORES!$D$3:$D$37,PROVEEDORES!$B$3:$B$37),"")</f>
        <v>DIS-60X-1-K</v>
      </c>
    </row>
    <row r="111" spans="1:3">
      <c r="A111" s="10" t="str">
        <f>INVENTARIO!A111</f>
        <v>ROL-UP-200X-1</v>
      </c>
      <c r="B111" s="7" t="s">
        <v>273</v>
      </c>
      <c r="C111" s="7" t="str">
        <f>IFERROR(A111&amp;"-"&amp;_xlfn.XLOOKUP(B111,PROVEEDORES!$D$3:$D$37,PROVEEDORES!$B$3:$B$37),"")</f>
        <v>ROL-UP-200X-1-K</v>
      </c>
    </row>
    <row r="112" spans="1:3">
      <c r="A112" s="10" t="str">
        <f>INVENTARIO!A112</f>
        <v>ROL-UP-200X-2</v>
      </c>
      <c r="B112" s="7" t="s">
        <v>273</v>
      </c>
      <c r="C112" s="7" t="str">
        <f>IFERROR(A112&amp;"-"&amp;_xlfn.XLOOKUP(B112,PROVEEDORES!$D$3:$D$37,PROVEEDORES!$B$3:$B$37),"")</f>
        <v>ROL-UP-200X-2-K</v>
      </c>
    </row>
    <row r="113" spans="1:3">
      <c r="A113" s="10" t="str">
        <f>INVENTARIO!A113</f>
        <v>STA-ARA-307X-1</v>
      </c>
      <c r="B113" s="7" t="s">
        <v>291</v>
      </c>
      <c r="C113" s="7" t="str">
        <f>IFERROR(A113&amp;"-"&amp;_xlfn.XLOOKUP(B113,PROVEEDORES!$D$3:$D$37,PROVEEDORES!$B$3:$B$37),"")</f>
        <v>STA-ARA-307X-1-D</v>
      </c>
    </row>
    <row r="114" spans="1:3">
      <c r="A114" s="10" t="str">
        <f>INVENTARIO!A114</f>
        <v>SOL-EQU-GRA-FOR-1</v>
      </c>
      <c r="B114" s="7" t="s">
        <v>293</v>
      </c>
      <c r="C114" s="7" t="str">
        <f>IFERROR(A114&amp;"-"&amp;_xlfn.XLOOKUP(B114,PROVEEDORES!$D$3:$D$37,PROVEEDORES!$B$3:$B$37),"")</f>
        <v>SOL-EQU-GRA-FOR-1-Q</v>
      </c>
    </row>
    <row r="115" spans="1:3">
      <c r="A115" s="10" t="str">
        <f>INVENTARIO!A115</f>
        <v>SOL-EQU-CAM-PLA-1</v>
      </c>
      <c r="B115" s="7" t="s">
        <v>173</v>
      </c>
      <c r="C115" s="7" t="str">
        <f>IFERROR(A115&amp;"-"&amp;_xlfn.XLOOKUP(B115,PROVEEDORES!$D$3:$D$37,PROVEEDORES!$B$3:$B$37),"")</f>
        <v>SOL-EQU-CAM-PLA-1-W</v>
      </c>
    </row>
    <row r="116" spans="1:3">
      <c r="A116" s="10" t="str">
        <f>INVENTARIO!A116</f>
        <v>TIN-LX7-LAT-CYA-1</v>
      </c>
      <c r="B116" s="7" t="s">
        <v>173</v>
      </c>
      <c r="C116" s="7" t="str">
        <f>IFERROR(A116&amp;"-"&amp;_xlfn.XLOOKUP(B116,PROVEEDORES!$D$3:$D$37,PROVEEDORES!$B$3:$B$37),"")</f>
        <v>TIN-LX7-LAT-CYA-1-W</v>
      </c>
    </row>
    <row r="117" spans="1:3">
      <c r="A117" s="10" t="str">
        <f>INVENTARIO!A117</f>
        <v>TIN-LX7-LAT-MAG-1</v>
      </c>
      <c r="B117" s="7" t="s">
        <v>173</v>
      </c>
      <c r="C117" s="7" t="str">
        <f>IFERROR(A117&amp;"-"&amp;_xlfn.XLOOKUP(B117,PROVEEDORES!$D$3:$D$37,PROVEEDORES!$B$3:$B$37),"")</f>
        <v>TIN-LX7-LAT-MAG-1-W</v>
      </c>
    </row>
    <row r="118" spans="1:3">
      <c r="A118" s="10" t="str">
        <f>INVENTARIO!A118</f>
        <v>TIN-LX7-LAT-YEL-1</v>
      </c>
      <c r="B118" s="7" t="s">
        <v>173</v>
      </c>
      <c r="C118" s="7" t="str">
        <f>IFERROR(A118&amp;"-"&amp;_xlfn.XLOOKUP(B118,PROVEEDORES!$D$3:$D$37,PROVEEDORES!$B$3:$B$37),"")</f>
        <v>TIN-LX7-LAT-YEL-1-W</v>
      </c>
    </row>
    <row r="119" spans="1:3">
      <c r="A119" s="10" t="str">
        <f>INVENTARIO!A119</f>
        <v>TIN-LX7-LAT-BLA-1</v>
      </c>
      <c r="B119" s="7" t="s">
        <v>173</v>
      </c>
      <c r="C119" s="7" t="str">
        <f>IFERROR(A119&amp;"-"&amp;_xlfn.XLOOKUP(B119,PROVEEDORES!$D$3:$D$37,PROVEEDORES!$B$3:$B$37),"")</f>
        <v>TIN-LX7-LAT-BLA-1-W</v>
      </c>
    </row>
    <row r="120" spans="1:3">
      <c r="A120" s="10" t="str">
        <f>INVENTARIO!A120</f>
        <v>TIN-LX7-LAT-LIG-CYA-1</v>
      </c>
      <c r="B120" s="7" t="s">
        <v>173</v>
      </c>
      <c r="C120" s="7" t="str">
        <f>IFERROR(A120&amp;"-"&amp;_xlfn.XLOOKUP(B120,PROVEEDORES!$D$3:$D$37,PROVEEDORES!$B$3:$B$37),"")</f>
        <v>TIN-LX7-LAT-LIG-CYA-1-W</v>
      </c>
    </row>
    <row r="121" spans="1:3">
      <c r="A121" s="10" t="str">
        <f>INVENTARIO!A121</f>
        <v>TIN-LX7-LAT-LIG-MAG-1</v>
      </c>
      <c r="B121" s="7" t="s">
        <v>173</v>
      </c>
      <c r="C121" s="7" t="str">
        <f>IFERROR(A121&amp;"-"&amp;_xlfn.XLOOKUP(B121,PROVEEDORES!$D$3:$D$37,PROVEEDORES!$B$3:$B$37),"")</f>
        <v>TIN-LX7-LAT-LIG-MAG-1-W</v>
      </c>
    </row>
    <row r="122" spans="1:3">
      <c r="A122" s="10" t="str">
        <f>INVENTARIO!A122</f>
        <v>TIN-LX7-LAT-OPT-1</v>
      </c>
      <c r="B122" s="7" t="s">
        <v>173</v>
      </c>
      <c r="C122" s="7" t="str">
        <f>IFERROR(A122&amp;"-"&amp;_xlfn.XLOOKUP(B122,PROVEEDORES!$D$3:$D$37,PROVEEDORES!$B$3:$B$37),"")</f>
        <v>TIN-LX7-LAT-OPT-1-W</v>
      </c>
    </row>
    <row r="123" spans="1:3">
      <c r="A123" s="10" t="str">
        <f>INVENTARIO!A123</f>
        <v>TIN-LX7-LAT-OVE-1</v>
      </c>
      <c r="B123" s="7" t="s">
        <v>173</v>
      </c>
      <c r="C123" s="7" t="str">
        <f>IFERROR(A123&amp;"-"&amp;_xlfn.XLOOKUP(B123,PROVEEDORES!$D$3:$D$37,PROVEEDORES!$B$3:$B$37),"")</f>
        <v>TIN-LX7-LAT-OVE-1-W</v>
      </c>
    </row>
    <row r="124" spans="1:3">
      <c r="A124" s="10" t="str">
        <f>INVENTARIO!A124</f>
        <v>TIN-GRA-CYA-1</v>
      </c>
      <c r="B124" s="7" t="s">
        <v>173</v>
      </c>
      <c r="C124" s="7" t="str">
        <f>IFERROR(A124&amp;"-"&amp;_xlfn.XLOOKUP(B124,PROVEEDORES!$D$3:$D$37,PROVEEDORES!$B$3:$B$37),"")</f>
        <v>TIN-GRA-CYA-1-W</v>
      </c>
    </row>
    <row r="125" spans="1:3">
      <c r="A125" s="10" t="str">
        <f>INVENTARIO!A125</f>
        <v>TIN-GRA-MAG-1</v>
      </c>
      <c r="B125" s="7" t="s">
        <v>173</v>
      </c>
      <c r="C125" s="7" t="str">
        <f>IFERROR(A125&amp;"-"&amp;_xlfn.XLOOKUP(B125,PROVEEDORES!$D$3:$D$37,PROVEEDORES!$B$3:$B$37),"")</f>
        <v>TIN-GRA-MAG-1-W</v>
      </c>
    </row>
    <row r="126" spans="1:3">
      <c r="A126" s="10" t="str">
        <f>INVENTARIO!A126</f>
        <v>TIN-GRA-YEL-1</v>
      </c>
      <c r="B126" s="7" t="s">
        <v>173</v>
      </c>
      <c r="C126" s="7" t="str">
        <f>IFERROR(A126&amp;"-"&amp;_xlfn.XLOOKUP(B126,PROVEEDORES!$D$3:$D$37,PROVEEDORES!$B$3:$B$37),"")</f>
        <v>TIN-GRA-YEL-1-W</v>
      </c>
    </row>
    <row r="127" spans="1:3">
      <c r="A127" s="10" t="str">
        <f>INVENTARIO!A127</f>
        <v>TIN-GRA-BLA-1</v>
      </c>
      <c r="B127" s="7" t="s">
        <v>173</v>
      </c>
      <c r="C127" s="7" t="str">
        <f>IFERROR(A127&amp;"-"&amp;_xlfn.XLOOKUP(B127,PROVEEDORES!$D$3:$D$37,PROVEEDORES!$B$3:$B$37),"")</f>
        <v>TIN-GRA-BLA-1-W</v>
      </c>
    </row>
    <row r="128" spans="1:3">
      <c r="A128" s="10" t="str">
        <f>INVENTARIO!A128</f>
        <v>TIN-CAM-PLA-SUN-CYA-1</v>
      </c>
      <c r="B128" s="7" t="s">
        <v>173</v>
      </c>
      <c r="C128" s="7" t="str">
        <f>IFERROR(A128&amp;"-"&amp;_xlfn.XLOOKUP(B128,PROVEEDORES!$D$3:$D$37,PROVEEDORES!$B$3:$B$37),"")</f>
        <v>TIN-CAM-PLA-SUN-CYA-1-W</v>
      </c>
    </row>
    <row r="129" spans="1:3">
      <c r="A129" s="10" t="str">
        <f>INVENTARIO!A129</f>
        <v>TIN-CAM-PLA-SUN-MAG-1</v>
      </c>
      <c r="B129" s="7" t="s">
        <v>173</v>
      </c>
      <c r="C129" s="7" t="str">
        <f>IFERROR(A129&amp;"-"&amp;_xlfn.XLOOKUP(B129,PROVEEDORES!$D$3:$D$37,PROVEEDORES!$B$3:$B$37),"")</f>
        <v>TIN-CAM-PLA-SUN-MAG-1-W</v>
      </c>
    </row>
    <row r="130" spans="1:3">
      <c r="A130" s="10" t="str">
        <f>INVENTARIO!A130</f>
        <v>TIN-CAM-PLA-SUN-YEL-1</v>
      </c>
      <c r="B130" s="7" t="s">
        <v>173</v>
      </c>
      <c r="C130" s="7" t="str">
        <f>IFERROR(A130&amp;"-"&amp;_xlfn.XLOOKUP(B130,PROVEEDORES!$D$3:$D$37,PROVEEDORES!$B$3:$B$37),"")</f>
        <v>TIN-CAM-PLA-SUN-YEL-1-W</v>
      </c>
    </row>
    <row r="131" spans="1:3">
      <c r="A131" s="10" t="str">
        <f>INVENTARIO!A131</f>
        <v>TIN-CAM-PLA-SUN-BLA-1</v>
      </c>
      <c r="B131" s="7" t="s">
        <v>173</v>
      </c>
      <c r="C131" s="7" t="str">
        <f>IFERROR(A131&amp;"-"&amp;_xlfn.XLOOKUP(B131,PROVEEDORES!$D$3:$D$37,PROVEEDORES!$B$3:$B$37),"")</f>
        <v>TIN-CAM-PLA-SUN-BLA-1-W</v>
      </c>
    </row>
    <row r="132" spans="1:3">
      <c r="A132" s="10" t="str">
        <f>INVENTARIO!A132</f>
        <v>TIN-CAM-PLA-SUN-WHI-1</v>
      </c>
      <c r="B132" s="7" t="s">
        <v>173</v>
      </c>
      <c r="C132" s="7" t="str">
        <f>IFERROR(A132&amp;"-"&amp;_xlfn.XLOOKUP(B132,PROVEEDORES!$D$3:$D$37,PROVEEDORES!$B$3:$B$37),"")</f>
        <v>TIN-CAM-PLA-SUN-WHI-1-W</v>
      </c>
    </row>
    <row r="133" spans="1:3">
      <c r="A133" s="10" t="str">
        <f>INVENTARIO!A133</f>
        <v>TIN-FB7-CAM-PLA-CYA-1</v>
      </c>
      <c r="B133" s="7" t="s">
        <v>173</v>
      </c>
      <c r="C133" s="7" t="str">
        <f>IFERROR(A133&amp;"-"&amp;_xlfn.XLOOKUP(B133,PROVEEDORES!$D$3:$D$37,PROVEEDORES!$B$3:$B$37),"")</f>
        <v>TIN-FB7-CAM-PLA-CYA-1-W</v>
      </c>
    </row>
    <row r="134" spans="1:3">
      <c r="A134" s="10" t="str">
        <f>INVENTARIO!A134</f>
        <v>TIN-FB7-CAM-PLA-MAG-1</v>
      </c>
      <c r="B134" s="7" t="s">
        <v>173</v>
      </c>
      <c r="C134" s="7" t="str">
        <f>IFERROR(A134&amp;"-"&amp;_xlfn.XLOOKUP(B134,PROVEEDORES!$D$3:$D$37,PROVEEDORES!$B$3:$B$37),"")</f>
        <v>TIN-FB7-CAM-PLA-MAG-1-W</v>
      </c>
    </row>
    <row r="135" spans="1:3">
      <c r="A135" s="10" t="str">
        <f>INVENTARIO!A135</f>
        <v>TIN-FB7-CAM-PLA-YEL-1</v>
      </c>
      <c r="B135" s="7" t="s">
        <v>173</v>
      </c>
      <c r="C135" s="7" t="str">
        <f>IFERROR(A135&amp;"-"&amp;_xlfn.XLOOKUP(B135,PROVEEDORES!$D$3:$D$37,PROVEEDORES!$B$3:$B$37),"")</f>
        <v>TIN-FB7-CAM-PLA-YEL-1-W</v>
      </c>
    </row>
    <row r="136" spans="1:3">
      <c r="A136" s="10" t="str">
        <f>INVENTARIO!A136</f>
        <v>TIN-FB7-CAM-PLA-BLA-1</v>
      </c>
      <c r="B136" s="7" t="s">
        <v>173</v>
      </c>
      <c r="C136" s="7" t="str">
        <f>IFERROR(A136&amp;"-"&amp;_xlfn.XLOOKUP(B136,PROVEEDORES!$D$3:$D$37,PROVEEDORES!$B$3:$B$37),"")</f>
        <v>TIN-FB7-CAM-PLA-BLA-1-W</v>
      </c>
    </row>
    <row r="137" spans="1:3">
      <c r="A137" s="10" t="str">
        <f>INVENTARIO!A137</f>
        <v>TIN-FB7-CAM-PLA-LIG-CYA-1</v>
      </c>
      <c r="B137" s="7" t="s">
        <v>173</v>
      </c>
      <c r="C137" s="7" t="str">
        <f>IFERROR(A137&amp;"-"&amp;_xlfn.XLOOKUP(B137,PROVEEDORES!$D$3:$D$37,PROVEEDORES!$B$3:$B$37),"")</f>
        <v>TIN-FB7-CAM-PLA-LIG-CYA-1-W</v>
      </c>
    </row>
    <row r="138" spans="1:3" ht="20.399999999999999">
      <c r="A138" s="10" t="str">
        <f>INVENTARIO!A138</f>
        <v>TIN-FB7-CAM-PLA-LIG-MAG-1</v>
      </c>
      <c r="B138" s="7" t="s">
        <v>173</v>
      </c>
      <c r="C138" s="7" t="str">
        <f>IFERROR(A138&amp;"-"&amp;_xlfn.XLOOKUP(B138,PROVEEDORES!$D$3:$D$37,PROVEEDORES!$B$3:$B$37),"")</f>
        <v>TIN-FB7-CAM-PLA-LIG-MAG-1-W</v>
      </c>
    </row>
    <row r="139" spans="1:3">
      <c r="A139" s="10" t="str">
        <f>INVENTARIO!A139</f>
        <v>TIN-LX3-CYA-1</v>
      </c>
      <c r="B139" s="7" t="s">
        <v>173</v>
      </c>
      <c r="C139" s="7" t="str">
        <f>IFERROR(A139&amp;"-"&amp;_xlfn.XLOOKUP(B139,PROVEEDORES!$D$3:$D$37,PROVEEDORES!$B$3:$B$37),"")</f>
        <v>TIN-LX3-CYA-1-W</v>
      </c>
    </row>
    <row r="140" spans="1:3">
      <c r="A140" s="10" t="str">
        <f>INVENTARIO!A140</f>
        <v>TIN-LX3-MAG-1</v>
      </c>
      <c r="B140" s="7" t="s">
        <v>173</v>
      </c>
      <c r="C140" s="7" t="str">
        <f>IFERROR(A140&amp;"-"&amp;_xlfn.XLOOKUP(B140,PROVEEDORES!$D$3:$D$37,PROVEEDORES!$B$3:$B$37),"")</f>
        <v>TIN-LX3-MAG-1-W</v>
      </c>
    </row>
    <row r="141" spans="1:3">
      <c r="A141" s="10" t="str">
        <f>INVENTARIO!A141</f>
        <v>TIN-LX3-YEL-1</v>
      </c>
      <c r="B141" s="7" t="s">
        <v>173</v>
      </c>
      <c r="C141" s="7" t="str">
        <f>IFERROR(A141&amp;"-"&amp;_xlfn.XLOOKUP(B141,PROVEEDORES!$D$3:$D$37,PROVEEDORES!$B$3:$B$37),"")</f>
        <v>TIN-LX3-YEL-1-W</v>
      </c>
    </row>
    <row r="142" spans="1:3">
      <c r="A142" s="10" t="str">
        <f>INVENTARIO!A142</f>
        <v>TIN-LX3-BLA-1</v>
      </c>
      <c r="B142" s="7" t="s">
        <v>173</v>
      </c>
      <c r="C142" s="7" t="str">
        <f>IFERROR(A142&amp;"-"&amp;_xlfn.XLOOKUP(B142,PROVEEDORES!$D$3:$D$37,PROVEEDORES!$B$3:$B$37),"")</f>
        <v>TIN-LX3-BLA-1-W</v>
      </c>
    </row>
    <row r="143" spans="1:3">
      <c r="A143" s="10" t="str">
        <f>INVENTARIO!A143</f>
        <v>TIN-LX3-LIG-CYA-1</v>
      </c>
      <c r="B143" s="7" t="s">
        <v>173</v>
      </c>
      <c r="C143" s="7" t="str">
        <f>IFERROR(A143&amp;"-"&amp;_xlfn.XLOOKUP(B143,PROVEEDORES!$D$3:$D$37,PROVEEDORES!$B$3:$B$37),"")</f>
        <v>TIN-LX3-LIG-CYA-1-W</v>
      </c>
    </row>
    <row r="144" spans="1:3">
      <c r="A144" s="10" t="str">
        <f>INVENTARIO!A144</f>
        <v>TIN-LX3-LIG-MAG-1</v>
      </c>
      <c r="B144" s="7" t="s">
        <v>173</v>
      </c>
      <c r="C144" s="7" t="str">
        <f>IFERROR(A144&amp;"-"&amp;_xlfn.XLOOKUP(B144,PROVEEDORES!$D$3:$D$37,PROVEEDORES!$B$3:$B$37),"")</f>
        <v>TIN-LX3-LIG-MAG-1-W</v>
      </c>
    </row>
    <row r="145" spans="1:3">
      <c r="A145" s="10" t="str">
        <f>INVENTARIO!A145</f>
        <v>TIN-LX3-OPT-1</v>
      </c>
      <c r="B145" s="7" t="s">
        <v>173</v>
      </c>
      <c r="C145" s="7" t="str">
        <f>IFERROR(A145&amp;"-"&amp;_xlfn.XLOOKUP(B145,PROVEEDORES!$D$3:$D$37,PROVEEDORES!$B$3:$B$37),"")</f>
        <v>TIN-LX3-OPT-1-W</v>
      </c>
    </row>
    <row r="146" spans="1:3">
      <c r="A146" s="10" t="str">
        <f>INVENTARIO!A146</f>
        <v>TIN-XER-CYA-1</v>
      </c>
      <c r="B146" s="7" t="s">
        <v>272</v>
      </c>
      <c r="C146" s="7" t="str">
        <f>IFERROR(A146&amp;"-"&amp;_xlfn.XLOOKUP(B146,PROVEEDORES!$D$3:$D$37,PROVEEDORES!$B$3:$B$37),"")</f>
        <v>TIN-XER-CYA-1-J</v>
      </c>
    </row>
    <row r="147" spans="1:3">
      <c r="A147" s="10" t="str">
        <f>INVENTARIO!A147</f>
        <v>TIN-XER-MAG-1</v>
      </c>
      <c r="B147" s="7" t="s">
        <v>272</v>
      </c>
      <c r="C147" s="7" t="str">
        <f>IFERROR(A147&amp;"-"&amp;_xlfn.XLOOKUP(B147,PROVEEDORES!$D$3:$D$37,PROVEEDORES!$B$3:$B$37),"")</f>
        <v>TIN-XER-MAG-1-J</v>
      </c>
    </row>
    <row r="148" spans="1:3">
      <c r="A148" s="10" t="str">
        <f>INVENTARIO!A148</f>
        <v>TIN-XER-YEL-1</v>
      </c>
      <c r="B148" s="7" t="s">
        <v>272</v>
      </c>
      <c r="C148" s="7" t="str">
        <f>IFERROR(A148&amp;"-"&amp;_xlfn.XLOOKUP(B148,PROVEEDORES!$D$3:$D$37,PROVEEDORES!$B$3:$B$37),"")</f>
        <v>TIN-XER-YEL-1-J</v>
      </c>
    </row>
    <row r="149" spans="1:3">
      <c r="A149" s="10" t="str">
        <f>INVENTARIO!A149</f>
        <v>TIN-XER-BLA-1</v>
      </c>
      <c r="B149" s="7" t="s">
        <v>272</v>
      </c>
      <c r="C149" s="7" t="str">
        <f>IFERROR(A149&amp;"-"&amp;_xlfn.XLOOKUP(B149,PROVEEDORES!$D$3:$D$37,PROVEEDORES!$B$3:$B$37),"")</f>
        <v>TIN-XER-BLA-1-J</v>
      </c>
    </row>
    <row r="150" spans="1:3">
      <c r="A150" s="10" t="str">
        <f>INVENTARIO!A150</f>
        <v>OJI-MAN-#3-1</v>
      </c>
      <c r="B150" s="7" t="s">
        <v>286</v>
      </c>
      <c r="C150" s="7" t="str">
        <f>IFERROR(A150&amp;"-"&amp;_xlfn.XLOOKUP(B150,PROVEEDORES!$D$3:$D$37,PROVEEDORES!$B$3:$B$37),"")</f>
        <v>OJI-MAN-#3-1-Y</v>
      </c>
    </row>
    <row r="151" spans="1:3">
      <c r="A151" s="10" t="str">
        <f>INVENTARIO!A151</f>
        <v>OJI-AUT-EQ-FUK-#3-1</v>
      </c>
      <c r="B151" s="7" t="s">
        <v>280</v>
      </c>
      <c r="C151" s="7" t="str">
        <f>IFERROR(A151&amp;"-"&amp;_xlfn.XLOOKUP(B151,PROVEEDORES!$D$3:$D$37,PROVEEDORES!$B$3:$B$37),"")</f>
        <v>OJI-AUT-EQ-FUK-#3-1-S</v>
      </c>
    </row>
    <row r="152" spans="1:3">
      <c r="A152" s="10" t="str">
        <f>INVENTARIO!A152</f>
        <v>OJI-SEM-1</v>
      </c>
      <c r="B152" s="7" t="s">
        <v>294</v>
      </c>
      <c r="C152" s="7" t="str">
        <f>IFERROR(A152&amp;"-"&amp;_xlfn.XLOOKUP(B152,PROVEEDORES!$D$3:$D$37,PROVEEDORES!$B$3:$B$37),"")</f>
        <v>OJI-SEM-1-AA</v>
      </c>
    </row>
    <row r="153" spans="1:3">
      <c r="A153" s="10" t="str">
        <f>INVENTARIO!A153</f>
        <v>VIN-COR-6859LG-TRA-1</v>
      </c>
      <c r="B153" s="14" t="s">
        <v>248</v>
      </c>
      <c r="C153" s="7" t="str">
        <f>IFERROR(A153&amp;"-"&amp;_xlfn.XLOOKUP(B153,PROVEEDORES!$D$3:$D$37,PROVEEDORES!$B$3:$B$37),"")</f>
        <v>VIN-COR-6859LG-TRA-1-X</v>
      </c>
    </row>
    <row r="154" spans="1:3">
      <c r="A154" s="10" t="str">
        <f>INVENTARIO!A154</f>
        <v>VIN-COR-RED-6811LG-TRA-1</v>
      </c>
      <c r="B154" s="14" t="s">
        <v>248</v>
      </c>
      <c r="C154" s="7" t="str">
        <f>IFERROR(A154&amp;"-"&amp;_xlfn.XLOOKUP(B154,PROVEEDORES!$D$3:$D$37,PROVEEDORES!$B$3:$B$37),"")</f>
        <v>VIN-COR-RED-6811LG-TRA-1-X</v>
      </c>
    </row>
    <row r="155" spans="1:3" ht="20.399999999999999">
      <c r="A155" s="10" t="str">
        <f>INVENTARIO!A155</f>
        <v>VIN-COR-TOM-RED-6813LG-TRA-1</v>
      </c>
      <c r="B155" s="14" t="s">
        <v>248</v>
      </c>
      <c r="C155" s="7" t="str">
        <f>IFERROR(A155&amp;"-"&amp;_xlfn.XLOOKUP(B155,PROVEEDORES!$D$3:$D$37,PROVEEDORES!$B$3:$B$37),"")</f>
        <v>VIN-COR-TOM-RED-6813LG-TRA-1-X</v>
      </c>
    </row>
    <row r="156" spans="1:3" ht="20.399999999999999">
      <c r="A156" s="10" t="str">
        <f>INVENTARIO!A156</f>
        <v>VIN-COR-OLI-BLU-4055LG-TRA-1</v>
      </c>
      <c r="B156" s="14" t="s">
        <v>248</v>
      </c>
      <c r="C156" s="7" t="str">
        <f>IFERROR(A156&amp;"-"&amp;_xlfn.XLOOKUP(B156,PROVEEDORES!$D$3:$D$37,PROVEEDORES!$B$3:$B$37),"")</f>
        <v>VIN-COR-OLI-BLU-4055LG-TRA-1-X</v>
      </c>
    </row>
    <row r="157" spans="1:3">
      <c r="A157" s="10" t="str">
        <f>INVENTARIO!A157</f>
        <v>VIN-COR-NAR-4023LG-TRA-1</v>
      </c>
      <c r="B157" s="14" t="s">
        <v>248</v>
      </c>
      <c r="C157" s="7" t="str">
        <f>IFERROR(A157&amp;"-"&amp;_xlfn.XLOOKUP(B157,PROVEEDORES!$D$3:$D$37,PROVEEDORES!$B$3:$B$37),"")</f>
        <v>VIN-COR-NAR-4023LG-TRA-1-X</v>
      </c>
    </row>
    <row r="158" spans="1:3" ht="20.399999999999999">
      <c r="A158" s="10" t="str">
        <f>INVENTARIO!A158</f>
        <v>VIN-COR-VER-PEM-404LG-TRA-1</v>
      </c>
      <c r="B158" s="14" t="s">
        <v>248</v>
      </c>
      <c r="C158" s="7" t="str">
        <f>IFERROR(A158&amp;"-"&amp;_xlfn.XLOOKUP(B158,PROVEEDORES!$D$3:$D$37,PROVEEDORES!$B$3:$B$37),"")</f>
        <v>VIN-COR-VER-PEM-404LG-TRA-1-X</v>
      </c>
    </row>
    <row r="159" spans="1:3">
      <c r="A159" s="10" t="str">
        <f>INVENTARIO!A159</f>
        <v>VIN-COR-BLA-BRI-1</v>
      </c>
      <c r="B159" s="7" t="s">
        <v>173</v>
      </c>
      <c r="C159" s="7" t="str">
        <f>IFERROR(A159&amp;"-"&amp;_xlfn.XLOOKUP(B159,PROVEEDORES!$D$3:$D$37,PROVEEDORES!$B$3:$B$37),"")</f>
        <v>VIN-COR-BLA-BRI-1-W</v>
      </c>
    </row>
    <row r="160" spans="1:3">
      <c r="A160" s="10" t="str">
        <f>INVENTARIO!A160</f>
        <v>VIN-COR-BLA-MAT-1</v>
      </c>
      <c r="B160" s="7" t="s">
        <v>173</v>
      </c>
      <c r="C160" s="7" t="str">
        <f>IFERROR(A160&amp;"-"&amp;_xlfn.XLOOKUP(B160,PROVEEDORES!$D$3:$D$37,PROVEEDORES!$B$3:$B$37),"")</f>
        <v>VIN-COR-BLA-MAT-1-W</v>
      </c>
    </row>
    <row r="161" spans="1:3">
      <c r="A161" s="10" t="str">
        <f>INVENTARIO!A161</f>
        <v>VIN-COR-BLU-ORA-1</v>
      </c>
      <c r="B161" s="7" t="s">
        <v>173</v>
      </c>
      <c r="C161" s="7" t="str">
        <f>IFERROR(A161&amp;"-"&amp;_xlfn.XLOOKUP(B161,PROVEEDORES!$D$3:$D$37,PROVEEDORES!$B$3:$B$37),"")</f>
        <v>VIN-COR-BLU-ORA-1-W</v>
      </c>
    </row>
    <row r="162" spans="1:3">
      <c r="A162" s="10" t="str">
        <f>INVENTARIO!A162</f>
        <v>VIN-COR-BRI-ORA-1</v>
      </c>
      <c r="B162" s="7" t="s">
        <v>173</v>
      </c>
      <c r="C162" s="7" t="str">
        <f>IFERROR(A162&amp;"-"&amp;_xlfn.XLOOKUP(B162,PROVEEDORES!$D$3:$D$37,PROVEEDORES!$B$3:$B$37),"")</f>
        <v>VIN-COR-BRI-ORA-1-W</v>
      </c>
    </row>
    <row r="163" spans="1:3">
      <c r="A163" s="10" t="str">
        <f>INVENTARIO!A163</f>
        <v>VIN-COR-BUR-1</v>
      </c>
      <c r="B163" s="7" t="s">
        <v>173</v>
      </c>
      <c r="C163" s="7" t="str">
        <f>IFERROR(A163&amp;"-"&amp;_xlfn.XLOOKUP(B163,PROVEEDORES!$D$3:$D$37,PROVEEDORES!$B$3:$B$37),"")</f>
        <v>VIN-COR-BUR-1-W</v>
      </c>
    </row>
    <row r="164" spans="1:3">
      <c r="A164" s="10" t="str">
        <f>INVENTARIO!A164</f>
        <v>VIN-COR-CAR-RED-1</v>
      </c>
      <c r="B164" s="7" t="s">
        <v>173</v>
      </c>
      <c r="C164" s="7" t="str">
        <f>IFERROR(A164&amp;"-"&amp;_xlfn.XLOOKUP(B164,PROVEEDORES!$D$3:$D$37,PROVEEDORES!$B$3:$B$37),"")</f>
        <v>VIN-COR-CAR-RED-1-W</v>
      </c>
    </row>
    <row r="165" spans="1:3">
      <c r="A165" s="10" t="str">
        <f>INVENTARIO!A165</f>
        <v>VIN-COR-DAR-GRA-1</v>
      </c>
      <c r="B165" s="7" t="s">
        <v>173</v>
      </c>
      <c r="C165" s="7" t="str">
        <f>IFERROR(A165&amp;"-"&amp;_xlfn.XLOOKUP(B165,PROVEEDORES!$D$3:$D$37,PROVEEDORES!$B$3:$B$37),"")</f>
        <v>VIN-COR-DAR-GRA-1-W</v>
      </c>
    </row>
    <row r="166" spans="1:3" ht="20.399999999999999">
      <c r="A166" s="10" t="str">
        <f>INVENTARIO!A166</f>
        <v>VIN-COR-DAR-GRA-MAT-2073LG</v>
      </c>
      <c r="B166" s="7" t="s">
        <v>248</v>
      </c>
      <c r="C166" s="7" t="str">
        <f>IFERROR(A166&amp;"-"&amp;_xlfn.XLOOKUP(B166,PROVEEDORES!$D$3:$D$37,PROVEEDORES!$B$3:$B$37),"")</f>
        <v>VIN-COR-DAR-GRA-MAT-2073LG-X</v>
      </c>
    </row>
    <row r="167" spans="1:3">
      <c r="A167" s="10" t="str">
        <f>INVENTARIO!A167</f>
        <v>VIN-COR-ESM-1</v>
      </c>
      <c r="B167" s="7" t="s">
        <v>200</v>
      </c>
      <c r="C167" s="7" t="str">
        <f>IFERROR(A167&amp;"-"&amp;_xlfn.XLOOKUP(B167,PROVEEDORES!$D$3:$D$37,PROVEEDORES!$B$3:$B$37),"")</f>
        <v>VIN-COR-ESM-1-AF</v>
      </c>
    </row>
    <row r="168" spans="1:3">
      <c r="A168" s="10" t="str">
        <f>INVENTARIO!A168</f>
        <v>VIN-COR-FOT-1</v>
      </c>
      <c r="B168" s="7" t="s">
        <v>199</v>
      </c>
      <c r="C168" s="7" t="str">
        <f>IFERROR(A168&amp;"-"&amp;_xlfn.XLOOKUP(B168,PROVEEDORES!$D$3:$D$37,PROVEEDORES!$B$3:$B$37),"")</f>
        <v>VIN-COR-FOT-1-AE</v>
      </c>
    </row>
    <row r="169" spans="1:3">
      <c r="A169" s="10" t="str">
        <f>INVENTARIO!A169</f>
        <v>VIN-COR-GOL-1</v>
      </c>
      <c r="B169" s="7" t="s">
        <v>173</v>
      </c>
      <c r="C169" s="7" t="str">
        <f>IFERROR(A169&amp;"-"&amp;_xlfn.XLOOKUP(B169,PROVEEDORES!$D$3:$D$37,PROVEEDORES!$B$3:$B$37),"")</f>
        <v>VIN-COR-GOL-1-W</v>
      </c>
    </row>
    <row r="170" spans="1:3">
      <c r="A170" s="10" t="str">
        <f>INVENTARIO!A170</f>
        <v>VIN-COR-GRE-1</v>
      </c>
      <c r="B170" s="7" t="s">
        <v>173</v>
      </c>
      <c r="C170" s="7" t="str">
        <f>IFERROR(A170&amp;"-"&amp;_xlfn.XLOOKUP(B170,PROVEEDORES!$D$3:$D$37,PROVEEDORES!$B$3:$B$37),"")</f>
        <v>VIN-COR-GRE-1-W</v>
      </c>
    </row>
    <row r="171" spans="1:3">
      <c r="A171" s="10" t="str">
        <f>INVENTARIO!A171</f>
        <v>VIN-COR-MAJ-BLU-1</v>
      </c>
      <c r="B171" s="7" t="s">
        <v>173</v>
      </c>
      <c r="C171" s="7" t="str">
        <f>IFERROR(A171&amp;"-"&amp;_xlfn.XLOOKUP(B171,PROVEEDORES!$D$3:$D$37,PROVEEDORES!$B$3:$B$37),"")</f>
        <v>VIN-COR-MAJ-BLU-1-W</v>
      </c>
    </row>
    <row r="172" spans="1:3">
      <c r="A172" s="10" t="str">
        <f>INVENTARIO!A172</f>
        <v>VIN-COR-MED-GRA-1</v>
      </c>
      <c r="B172" s="7" t="s">
        <v>173</v>
      </c>
      <c r="C172" s="7" t="str">
        <f>IFERROR(A172&amp;"-"&amp;_xlfn.XLOOKUP(B172,PROVEEDORES!$D$3:$D$37,PROVEEDORES!$B$3:$B$37),"")</f>
        <v>VIN-COR-MED-GRA-1-W</v>
      </c>
    </row>
    <row r="173" spans="1:3">
      <c r="A173" s="10" t="str">
        <f>INVENTARIO!A173</f>
        <v>VIN-COR-NAR-MAT-2021LG-1</v>
      </c>
      <c r="B173" s="7" t="s">
        <v>248</v>
      </c>
      <c r="C173" s="7" t="str">
        <f>IFERROR(A173&amp;"-"&amp;_xlfn.XLOOKUP(B173,PROVEEDORES!$D$3:$D$37,PROVEEDORES!$B$3:$B$37),"")</f>
        <v>VIN-COR-NAR-MAT-2021LG-1-X</v>
      </c>
    </row>
    <row r="174" spans="1:3">
      <c r="A174" s="10" t="str">
        <f>INVENTARIO!A174</f>
        <v>VIN-COR-NEG-BRI-1</v>
      </c>
      <c r="B174" s="7" t="s">
        <v>173</v>
      </c>
      <c r="C174" s="7" t="str">
        <f>IFERROR(A174&amp;"-"&amp;_xlfn.XLOOKUP(B174,PROVEEDORES!$D$3:$D$37,PROVEEDORES!$B$3:$B$37),"")</f>
        <v>VIN-COR-NEG-BRI-1-W</v>
      </c>
    </row>
    <row r="175" spans="1:3">
      <c r="A175" s="10" t="str">
        <f>INVENTARIO!A175</f>
        <v>VIN-COR-NEG-MAT-1</v>
      </c>
      <c r="B175" s="7" t="s">
        <v>173</v>
      </c>
      <c r="C175" s="7" t="str">
        <f>IFERROR(A175&amp;"-"&amp;_xlfn.XLOOKUP(B175,PROVEEDORES!$D$3:$D$37,PROVEEDORES!$B$3:$B$37),"")</f>
        <v>VIN-COR-NEG-MAT-1-W</v>
      </c>
    </row>
    <row r="176" spans="1:3">
      <c r="A176" s="10" t="str">
        <f>INVENTARIO!A176</f>
        <v>VIN-COR-OLY-BLU-1</v>
      </c>
      <c r="B176" s="7" t="s">
        <v>173</v>
      </c>
      <c r="C176" s="7" t="str">
        <f>IFERROR(A176&amp;"-"&amp;_xlfn.XLOOKUP(B176,PROVEEDORES!$D$3:$D$37,PROVEEDORES!$B$3:$B$37),"")</f>
        <v>VIN-COR-OLY-BLU-1-W</v>
      </c>
    </row>
    <row r="177" spans="1:3">
      <c r="A177" s="10" t="str">
        <f>INVENTARIO!A177</f>
        <v>VIN-COR-ESP-ORO-ESP-1</v>
      </c>
      <c r="B177" s="7" t="s">
        <v>199</v>
      </c>
      <c r="C177" s="7" t="str">
        <f>IFERROR(A177&amp;"-"&amp;_xlfn.XLOOKUP(B177,PROVEEDORES!$D$3:$D$37,PROVEEDORES!$B$3:$B$37),"")</f>
        <v>VIN-COR-ESP-ORO-ESP-1-AE</v>
      </c>
    </row>
    <row r="178" spans="1:3">
      <c r="A178" s="10" t="str">
        <f>INVENTARIO!A178</f>
        <v>VIN-COR-ORO-ROS-1</v>
      </c>
      <c r="B178" s="7" t="s">
        <v>199</v>
      </c>
      <c r="C178" s="7" t="str">
        <f>IFERROR(A178&amp;"-"&amp;_xlfn.XLOOKUP(B178,PROVEEDORES!$D$3:$D$37,PROVEEDORES!$B$3:$B$37),"")</f>
        <v>VIN-COR-ORO-ROS-1-AE</v>
      </c>
    </row>
    <row r="179" spans="1:3">
      <c r="A179" s="10" t="str">
        <f>INVENTARIO!A179</f>
        <v>VIN-COR-CEP-PLA-CEP-1</v>
      </c>
      <c r="B179" s="7" t="s">
        <v>199</v>
      </c>
      <c r="C179" s="7" t="str">
        <f>IFERROR(A179&amp;"-"&amp;_xlfn.XLOOKUP(B179,PROVEEDORES!$D$3:$D$37,PROVEEDORES!$B$3:$B$37),"")</f>
        <v>VIN-COR-CEP-PLA-CEP-1-AE</v>
      </c>
    </row>
    <row r="180" spans="1:3">
      <c r="A180" s="10" t="str">
        <f>INVENTARIO!A180</f>
        <v>VIN-COR-ESP-PLA-ESP-1</v>
      </c>
      <c r="B180" s="7" t="s">
        <v>199</v>
      </c>
      <c r="C180" s="7" t="str">
        <f>IFERROR(A180&amp;"-"&amp;_xlfn.XLOOKUP(B180,PROVEEDORES!$D$3:$D$37,PROVEEDORES!$B$3:$B$37),"")</f>
        <v>VIN-COR-ESP-PLA-ESP-1-AE</v>
      </c>
    </row>
    <row r="181" spans="1:3">
      <c r="A181" s="10" t="str">
        <f>INVENTARIO!A181</f>
        <v>VIN-COR-ROY-BLU-1</v>
      </c>
      <c r="B181" s="7" t="s">
        <v>199</v>
      </c>
      <c r="C181" s="7" t="str">
        <f>IFERROR(A181&amp;"-"&amp;_xlfn.XLOOKUP(B181,PROVEEDORES!$D$3:$D$37,PROVEEDORES!$B$3:$B$37),"")</f>
        <v>VIN-COR-ROY-BLU-1-AE</v>
      </c>
    </row>
    <row r="182" spans="1:3">
      <c r="A182" s="10" t="str">
        <f>INVENTARIO!A182</f>
        <v>VIN-COR-ROY-BLU-2</v>
      </c>
      <c r="B182" s="7" t="s">
        <v>173</v>
      </c>
      <c r="C182" s="7" t="str">
        <f>IFERROR(A182&amp;"-"&amp;_xlfn.XLOOKUP(B182,PROVEEDORES!$D$3:$D$37,PROVEEDORES!$B$3:$B$37),"")</f>
        <v>VIN-COR-ROY-BLU-2-W</v>
      </c>
    </row>
    <row r="183" spans="1:3">
      <c r="A183" s="10" t="str">
        <f>INVENTARIO!A183</f>
        <v>VIN-COR-SIL-1</v>
      </c>
      <c r="B183" s="7" t="s">
        <v>199</v>
      </c>
      <c r="C183" s="7" t="str">
        <f>IFERROR(A183&amp;"-"&amp;_xlfn.XLOOKUP(B183,PROVEEDORES!$D$3:$D$37,PROVEEDORES!$B$3:$B$37),"")</f>
        <v>VIN-COR-SIL-1-AE</v>
      </c>
    </row>
    <row r="184" spans="1:3">
      <c r="A184" s="10" t="str">
        <f>INVENTARIO!A184</f>
        <v>VIN-COR-SIL-2</v>
      </c>
      <c r="B184" s="7" t="s">
        <v>173</v>
      </c>
      <c r="C184" s="7" t="str">
        <f>IFERROR(A184&amp;"-"&amp;_xlfn.XLOOKUP(B184,PROVEEDORES!$D$3:$D$37,PROVEEDORES!$B$3:$B$37),"")</f>
        <v>VIN-COR-SIL-2-W</v>
      </c>
    </row>
    <row r="185" spans="1:3">
      <c r="A185" s="10" t="str">
        <f>INVENTARIO!A185</f>
        <v>ACR-AZU-3MM-1</v>
      </c>
      <c r="B185" s="7" t="s">
        <v>199</v>
      </c>
      <c r="C185" s="7" t="str">
        <f>IFERROR(A185&amp;"-"&amp;_xlfn.XLOOKUP(B185,PROVEEDORES!$D$3:$D$37,PROVEEDORES!$B$3:$B$37),"")</f>
        <v>ACR-AZU-3MM-1-AE</v>
      </c>
    </row>
    <row r="186" spans="1:3">
      <c r="A186" s="10" t="str">
        <f>INVENTARIO!A186</f>
        <v>ACR-AZU-3MM-2</v>
      </c>
      <c r="B186" s="7" t="s">
        <v>199</v>
      </c>
      <c r="C186" s="7" t="str">
        <f>IFERROR(A186&amp;"-"&amp;_xlfn.XLOOKUP(B186,PROVEEDORES!$D$3:$D$37,PROVEEDORES!$B$3:$B$37),"")</f>
        <v>ACR-AZU-3MM-2-AE</v>
      </c>
    </row>
    <row r="187" spans="1:3">
      <c r="A187" s="10" t="str">
        <f>INVENTARIO!A187</f>
        <v>ACR-AZU-3MM-3</v>
      </c>
      <c r="B187" s="7" t="s">
        <v>200</v>
      </c>
      <c r="C187" s="7" t="str">
        <f>IFERROR(A187&amp;"-"&amp;_xlfn.XLOOKUP(B187,PROVEEDORES!$D$3:$D$37,PROVEEDORES!$B$3:$B$37),"")</f>
        <v>ACR-AZU-3MM-3-AF</v>
      </c>
    </row>
    <row r="188" spans="1:3">
      <c r="A188" s="10" t="str">
        <f>INVENTARIO!A188</f>
        <v>ACR-BLA-3MM-1</v>
      </c>
      <c r="B188" s="7" t="s">
        <v>199</v>
      </c>
      <c r="C188" s="7" t="str">
        <f>IFERROR(A188&amp;"-"&amp;_xlfn.XLOOKUP(B188,PROVEEDORES!$D$3:$D$37,PROVEEDORES!$B$3:$B$37),"")</f>
        <v>ACR-BLA-3MM-1-AE</v>
      </c>
    </row>
    <row r="189" spans="1:3">
      <c r="A189" s="10" t="str">
        <f>INVENTARIO!A189</f>
        <v>ACR-BLA-3MM-1</v>
      </c>
      <c r="B189" s="7" t="s">
        <v>201</v>
      </c>
      <c r="C189" s="7" t="str">
        <f>IFERROR(A189&amp;"-"&amp;_xlfn.XLOOKUP(B189,PROVEEDORES!$D$3:$D$37,PROVEEDORES!$B$3:$B$37),"")</f>
        <v>ACR-BLA-3MM-1-B</v>
      </c>
    </row>
    <row r="190" spans="1:3">
      <c r="A190" s="10" t="str">
        <f>INVENTARIO!A190</f>
        <v>ACR-BLA-5MM-1</v>
      </c>
      <c r="B190" s="7" t="s">
        <v>199</v>
      </c>
      <c r="C190" s="7" t="str">
        <f>IFERROR(A190&amp;"-"&amp;_xlfn.XLOOKUP(B190,PROVEEDORES!$D$3:$D$37,PROVEEDORES!$B$3:$B$37),"")</f>
        <v>ACR-BLA-5MM-1-AE</v>
      </c>
    </row>
    <row r="191" spans="1:3">
      <c r="A191" s="10" t="str">
        <f>INVENTARIO!A191</f>
        <v>ACR-CRI-6MM-1</v>
      </c>
      <c r="B191" s="7" t="s">
        <v>199</v>
      </c>
      <c r="C191" s="7" t="str">
        <f>IFERROR(A191&amp;"-"&amp;_xlfn.XLOOKUP(B191,PROVEEDORES!$D$3:$D$37,PROVEEDORES!$B$3:$B$37),"")</f>
        <v>ACR-CRI-6MM-1-AE</v>
      </c>
    </row>
    <row r="192" spans="1:3">
      <c r="A192" s="10" t="str">
        <f>INVENTARIO!A192</f>
        <v>ACR-CRI-3MM-1</v>
      </c>
      <c r="B192" s="7" t="s">
        <v>199</v>
      </c>
      <c r="C192" s="7" t="str">
        <f>IFERROR(A192&amp;"-"&amp;_xlfn.XLOOKUP(B192,PROVEEDORES!$D$3:$D$37,PROVEEDORES!$B$3:$B$37),"")</f>
        <v>ACR-CRI-3MM-1-AE</v>
      </c>
    </row>
    <row r="193" spans="1:3">
      <c r="A193" s="10" t="str">
        <f>INVENTARIO!A193</f>
        <v>ACR-CRI-4MM-1</v>
      </c>
      <c r="B193" s="7" t="s">
        <v>199</v>
      </c>
      <c r="C193" s="7" t="str">
        <f>IFERROR(A193&amp;"-"&amp;_xlfn.XLOOKUP(B193,PROVEEDORES!$D$3:$D$37,PROVEEDORES!$B$3:$B$37),"")</f>
        <v>ACR-CRI-4MM-1-AE</v>
      </c>
    </row>
    <row r="194" spans="1:3">
      <c r="A194" s="10" t="str">
        <f>INVENTARIO!A194</f>
        <v>ACR-CRI-5MM-1</v>
      </c>
      <c r="B194" s="7" t="s">
        <v>199</v>
      </c>
      <c r="C194" s="7" t="str">
        <f>IFERROR(A194&amp;"-"&amp;_xlfn.XLOOKUP(B194,PROVEEDORES!$D$3:$D$37,PROVEEDORES!$B$3:$B$37),"")</f>
        <v>ACR-CRI-5MM-1-AE</v>
      </c>
    </row>
    <row r="195" spans="1:3">
      <c r="A195" s="10" t="str">
        <f>INVENTARIO!A195</f>
        <v>ACR-CRI-2MM-1</v>
      </c>
      <c r="B195" s="7" t="s">
        <v>199</v>
      </c>
      <c r="C195" s="7" t="str">
        <f>IFERROR(A195&amp;"-"&amp;_xlfn.XLOOKUP(B195,PROVEEDORES!$D$3:$D$37,PROVEEDORES!$B$3:$B$37),"")</f>
        <v>ACR-CRI-2MM-1-AE</v>
      </c>
    </row>
    <row r="196" spans="1:3">
      <c r="A196" s="10" t="str">
        <f>INVENTARIO!A196</f>
        <v>ACR-CRI-9MM-1</v>
      </c>
      <c r="B196" s="7" t="s">
        <v>199</v>
      </c>
      <c r="C196" s="7" t="str">
        <f>IFERROR(A196&amp;"-"&amp;_xlfn.XLOOKUP(B196,PROVEEDORES!$D$3:$D$37,PROVEEDORES!$B$3:$B$37),"")</f>
        <v>ACR-CRI-9MM-1-AE</v>
      </c>
    </row>
    <row r="197" spans="1:3">
      <c r="A197" s="10" t="str">
        <f>INVENTARIO!A197</f>
        <v>ACR-ROJ-3MM-1</v>
      </c>
      <c r="B197" s="7" t="s">
        <v>199</v>
      </c>
      <c r="C197" s="7" t="str">
        <f>IFERROR(A197&amp;"-"&amp;_xlfn.XLOOKUP(B197,PROVEEDORES!$D$3:$D$37,PROVEEDORES!$B$3:$B$37),"")</f>
        <v>ACR-ROJ-3MM-1-AE</v>
      </c>
    </row>
    <row r="198" spans="1:3">
      <c r="A198" s="10" t="str">
        <f>INVENTARIO!A198</f>
        <v>ACR-ROJ-3MM-2</v>
      </c>
      <c r="B198" s="7" t="s">
        <v>200</v>
      </c>
      <c r="C198" s="7" t="str">
        <f>IFERROR(A198&amp;"-"&amp;_xlfn.XLOOKUP(B198,PROVEEDORES!$D$3:$D$37,PROVEEDORES!$B$3:$B$37),"")</f>
        <v>ACR-ROJ-3MM-2-AF</v>
      </c>
    </row>
    <row r="199" spans="1:3">
      <c r="A199" s="10" t="str">
        <f>INVENTARIO!A199</f>
        <v>ACR-NAR-3MM-1</v>
      </c>
      <c r="B199" s="7" t="s">
        <v>199</v>
      </c>
      <c r="C199" s="7" t="str">
        <f>IFERROR(A199&amp;"-"&amp;_xlfn.XLOOKUP(B199,PROVEEDORES!$D$3:$D$37,PROVEEDORES!$B$3:$B$37),"")</f>
        <v>ACR-NAR-3MM-1-AE</v>
      </c>
    </row>
    <row r="200" spans="1:3">
      <c r="A200" s="10" t="str">
        <f>INVENTARIO!A200</f>
        <v>ACR-ROJ-5MM-1</v>
      </c>
      <c r="B200" s="7" t="s">
        <v>199</v>
      </c>
      <c r="C200" s="7" t="str">
        <f>IFERROR(A200&amp;"-"&amp;_xlfn.XLOOKUP(B200,PROVEEDORES!$D$3:$D$37,PROVEEDORES!$B$3:$B$37),"")</f>
        <v>ACR-ROJ-5MM-1-AE</v>
      </c>
    </row>
    <row r="201" spans="1:3">
      <c r="A201" s="10" t="str">
        <f>INVENTARIO!A201</f>
        <v>ACR-NEG-3MM-1</v>
      </c>
      <c r="B201" s="7" t="s">
        <v>199</v>
      </c>
      <c r="C201" s="7" t="str">
        <f>IFERROR(A201&amp;"-"&amp;_xlfn.XLOOKUP(B201,PROVEEDORES!$D$3:$D$37,PROVEEDORES!$B$3:$B$37),"")</f>
        <v>ACR-NEG-3MM-1-AE</v>
      </c>
    </row>
    <row r="202" spans="1:3">
      <c r="A202" s="10" t="str">
        <f>INVENTARIO!A202</f>
        <v>ACR-NEG-3MM-2</v>
      </c>
      <c r="B202" s="7" t="s">
        <v>199</v>
      </c>
      <c r="C202" s="7" t="str">
        <f>IFERROR(A202&amp;"-"&amp;_xlfn.XLOOKUP(B202,PROVEEDORES!$D$3:$D$37,PROVEEDORES!$B$3:$B$37),"")</f>
        <v>ACR-NEG-3MM-2-AE</v>
      </c>
    </row>
    <row r="203" spans="1:3">
      <c r="A203" s="10" t="str">
        <f>INVENTARIO!A203</f>
        <v>ACR-NEG-6MM-1</v>
      </c>
      <c r="B203" s="7" t="s">
        <v>199</v>
      </c>
      <c r="C203" s="7" t="str">
        <f>IFERROR(A203&amp;"-"&amp;_xlfn.XLOOKUP(B203,PROVEEDORES!$D$3:$D$37,PROVEEDORES!$B$3:$B$37),"")</f>
        <v>ACR-NEG-6MM-1-AE</v>
      </c>
    </row>
    <row r="204" spans="1:3">
      <c r="A204" s="10" t="str">
        <f>INVENTARIO!A204</f>
        <v>ACR-NEG-6MM-2</v>
      </c>
      <c r="B204" s="7" t="s">
        <v>199</v>
      </c>
      <c r="C204" s="7" t="str">
        <f>IFERROR(A204&amp;"-"&amp;_xlfn.XLOOKUP(B204,PROVEEDORES!$D$3:$D$37,PROVEEDORES!$B$3:$B$37),"")</f>
        <v>ACR-NEG-6MM-2-AE</v>
      </c>
    </row>
    <row r="205" spans="1:3">
      <c r="A205" s="10" t="str">
        <f>INVENTARIO!A205</f>
        <v>ACR-AMA-3MM-1</v>
      </c>
      <c r="B205" s="7" t="s">
        <v>199</v>
      </c>
      <c r="C205" s="7" t="str">
        <f>IFERROR(A205&amp;"-"&amp;_xlfn.XLOOKUP(B205,PROVEEDORES!$D$3:$D$37,PROVEEDORES!$B$3:$B$37),"")</f>
        <v>ACR-AMA-3MM-1-AE</v>
      </c>
    </row>
    <row r="206" spans="1:3">
      <c r="A206" s="10" t="str">
        <f>INVENTARIO!A206</f>
        <v>ACR-AMA-3MM-TRA-1</v>
      </c>
      <c r="B206" s="7" t="s">
        <v>201</v>
      </c>
      <c r="C206" s="7" t="str">
        <f>IFERROR(A206&amp;"-"&amp;_xlfn.XLOOKUP(B206,PROVEEDORES!$D$3:$D$37,PROVEEDORES!$B$3:$B$37),"")</f>
        <v>ACR-AMA-3MM-TRA-1-B</v>
      </c>
    </row>
    <row r="207" spans="1:3">
      <c r="A207" s="10" t="str">
        <f>INVENTARIO!A207</f>
        <v>ACR-VER-3MM-1</v>
      </c>
      <c r="B207" s="7" t="s">
        <v>199</v>
      </c>
      <c r="C207" s="7" t="str">
        <f>IFERROR(A207&amp;"-"&amp;_xlfn.XLOOKUP(B207,PROVEEDORES!$D$3:$D$37,PROVEEDORES!$B$3:$B$37),"")</f>
        <v>ACR-VER-3MM-1-AE</v>
      </c>
    </row>
    <row r="208" spans="1:3">
      <c r="A208" s="10" t="str">
        <f>INVENTARIO!A208</f>
        <v>PAN-ALU-4MM-AZU-GLO-1</v>
      </c>
      <c r="B208" s="7" t="s">
        <v>197</v>
      </c>
      <c r="C208" s="7" t="str">
        <f>IFERROR(A208&amp;"-"&amp;_xlfn.XLOOKUP(B208,PROVEEDORES!$D$3:$D$37,PROVEEDORES!$B$3:$B$37),"")</f>
        <v>PAN-ALU-4MM-AZU-GLO-1-N</v>
      </c>
    </row>
    <row r="209" spans="1:3">
      <c r="A209" s="10" t="str">
        <f>INVENTARIO!A209</f>
        <v>PAN-ALU-4MM-AZU-GLO-2</v>
      </c>
      <c r="B209" s="7" t="s">
        <v>198</v>
      </c>
      <c r="C209" s="7" t="str">
        <f>IFERROR(A209&amp;"-"&amp;_xlfn.XLOOKUP(B209,PROVEEDORES!$D$3:$D$37,PROVEEDORES!$B$3:$B$37),"")</f>
        <v>PAN-ALU-4MM-AZU-GLO-2-A</v>
      </c>
    </row>
    <row r="210" spans="1:3">
      <c r="A210" s="10" t="str">
        <f>INVENTARIO!A210</f>
        <v>PAN-ALU-4MM-AZU-GLO-3</v>
      </c>
      <c r="B210" s="7" t="s">
        <v>198</v>
      </c>
      <c r="C210" s="7" t="str">
        <f>IFERROR(A210&amp;"-"&amp;_xlfn.XLOOKUP(B210,PROVEEDORES!$D$3:$D$37,PROVEEDORES!$B$3:$B$37),"")</f>
        <v>PAN-ALU-4MM-AZU-GLO-3-A</v>
      </c>
    </row>
    <row r="211" spans="1:3">
      <c r="A211" s="10" t="str">
        <f>INVENTARIO!A211</f>
        <v>PAN-ALU-4MM-ROJ-GLO-1</v>
      </c>
      <c r="B211" s="7" t="s">
        <v>197</v>
      </c>
      <c r="C211" s="7" t="str">
        <f>IFERROR(A211&amp;"-"&amp;_xlfn.XLOOKUP(B211,PROVEEDORES!$D$3:$D$37,PROVEEDORES!$B$3:$B$37),"")</f>
        <v>PAN-ALU-4MM-ROJ-GLO-1-N</v>
      </c>
    </row>
    <row r="212" spans="1:3">
      <c r="A212" s="10" t="str">
        <f>INVENTARIO!A212</f>
        <v>PAN-ALU-4MM-ROJ-GLO-2</v>
      </c>
      <c r="B212" s="7" t="s">
        <v>198</v>
      </c>
      <c r="C212" s="7" t="str">
        <f>IFERROR(A212&amp;"-"&amp;_xlfn.XLOOKUP(B212,PROVEEDORES!$D$3:$D$37,PROVEEDORES!$B$3:$B$37),"")</f>
        <v>PAN-ALU-4MM-ROJ-GLO-2-A</v>
      </c>
    </row>
    <row r="213" spans="1:3">
      <c r="A213" s="10" t="str">
        <f>INVENTARIO!A213</f>
        <v>PAN-ALU-4MM-NEG-MAT-1</v>
      </c>
      <c r="B213" s="7" t="s">
        <v>198</v>
      </c>
      <c r="C213" s="7" t="str">
        <f>IFERROR(A213&amp;"-"&amp;_xlfn.XLOOKUP(B213,PROVEEDORES!$D$3:$D$37,PROVEEDORES!$B$3:$B$37),"")</f>
        <v>PAN-ALU-4MM-NEG-MAT-1-A</v>
      </c>
    </row>
    <row r="214" spans="1:3">
      <c r="A214" s="10" t="str">
        <f>INVENTARIO!A214</f>
        <v>PAN-ALU-4MM-NEG-MAT-2</v>
      </c>
      <c r="B214" s="7" t="s">
        <v>197</v>
      </c>
      <c r="C214" s="7" t="str">
        <f>IFERROR(A214&amp;"-"&amp;_xlfn.XLOOKUP(B214,PROVEEDORES!$D$3:$D$37,PROVEEDORES!$B$3:$B$37),"")</f>
        <v>PAN-ALU-4MM-NEG-MAT-2-N</v>
      </c>
    </row>
    <row r="215" spans="1:3">
      <c r="A215" s="10" t="str">
        <f>INVENTARIO!A215</f>
        <v>PAN-ALU-4MM-PLA-BRI-1</v>
      </c>
      <c r="B215" s="7" t="s">
        <v>198</v>
      </c>
      <c r="C215" s="7" t="str">
        <f>IFERROR(A215&amp;"-"&amp;_xlfn.XLOOKUP(B215,PROVEEDORES!$D$3:$D$37,PROVEEDORES!$B$3:$B$37),"")</f>
        <v>PAN-ALU-4MM-PLA-BRI-1-A</v>
      </c>
    </row>
    <row r="216" spans="1:3">
      <c r="A216" s="10" t="str">
        <f>INVENTARIO!A216</f>
        <v>PAN-ALU-4MM-PLA-CEP-1</v>
      </c>
      <c r="B216" s="7" t="s">
        <v>198</v>
      </c>
      <c r="C216" s="7" t="str">
        <f>IFERROR(A216&amp;"-"&amp;_xlfn.XLOOKUP(B216,PROVEEDORES!$D$3:$D$37,PROVEEDORES!$B$3:$B$37),"")</f>
        <v>PAN-ALU-4MM-PLA-CEP-1-A</v>
      </c>
    </row>
    <row r="217" spans="1:3">
      <c r="A217" s="10" t="str">
        <f>INVENTARIO!A217</f>
        <v>PAN-ALU-4MM-VER-1</v>
      </c>
      <c r="B217" s="7" t="s">
        <v>198</v>
      </c>
      <c r="C217" s="7" t="str">
        <f>IFERROR(A217&amp;"-"&amp;_xlfn.XLOOKUP(B217,PROVEEDORES!$D$3:$D$37,PROVEEDORES!$B$3:$B$37),"")</f>
        <v>PAN-ALU-4MM-VER-1-A</v>
      </c>
    </row>
    <row r="218" spans="1:3">
      <c r="A218" s="10" t="str">
        <f>INVENTARIO!A218</f>
        <v>PAN-ALU-4MM-VER-2</v>
      </c>
      <c r="B218" s="7" t="s">
        <v>198</v>
      </c>
      <c r="C218" s="7" t="str">
        <f>IFERROR(A218&amp;"-"&amp;_xlfn.XLOOKUP(B218,PROVEEDORES!$D$3:$D$37,PROVEEDORES!$B$3:$B$37),"")</f>
        <v>PAN-ALU-4MM-VER-2-A</v>
      </c>
    </row>
    <row r="219" spans="1:3">
      <c r="A219" s="10" t="str">
        <f>INVENTARIO!A219</f>
        <v>PAN-ALU-4MM-NAR-1</v>
      </c>
      <c r="B219" s="7" t="s">
        <v>198</v>
      </c>
      <c r="C219" s="7" t="str">
        <f>IFERROR(A219&amp;"-"&amp;_xlfn.XLOOKUP(B219,PROVEEDORES!$D$3:$D$37,PROVEEDORES!$B$3:$B$37),"")</f>
        <v>PAN-ALU-4MM-NAR-1-A</v>
      </c>
    </row>
    <row r="220" spans="1:3">
      <c r="A220" s="10" t="str">
        <f>INVENTARIO!A220</f>
        <v>PAN-ALU-4MM-BLA-1</v>
      </c>
      <c r="B220" s="7" t="s">
        <v>198</v>
      </c>
      <c r="C220" s="7" t="str">
        <f>IFERROR(A220&amp;"-"&amp;_xlfn.XLOOKUP(B220,PROVEEDORES!$D$3:$D$37,PROVEEDORES!$B$3:$B$37),"")</f>
        <v>PAN-ALU-4MM-BLA-1-A</v>
      </c>
    </row>
    <row r="221" spans="1:3">
      <c r="A221" s="10" t="str">
        <f>INVENTARIO!A221</f>
        <v>PAN-ALU-3MM-NEG-MAT-1</v>
      </c>
      <c r="B221" s="7" t="s">
        <v>199</v>
      </c>
      <c r="C221" s="7" t="str">
        <f>IFERROR(A221&amp;"-"&amp;_xlfn.XLOOKUP(B221,PROVEEDORES!$D$3:$D$37,PROVEEDORES!$B$3:$B$37),"")</f>
        <v>PAN-ALU-3MM-NEG-MAT-1-AE</v>
      </c>
    </row>
    <row r="222" spans="1:3">
      <c r="A222" s="10" t="str">
        <f>INVENTARIO!A222</f>
        <v>PAN-ALU-3MM-BLA-MAT-1</v>
      </c>
      <c r="B222" s="7" t="s">
        <v>199</v>
      </c>
      <c r="C222" s="7" t="str">
        <f>IFERROR(A222&amp;"-"&amp;_xlfn.XLOOKUP(B222,PROVEEDORES!$D$3:$D$37,PROVEEDORES!$B$3:$B$37),"")</f>
        <v>PAN-ALU-3MM-BLA-MAT-1-AE</v>
      </c>
    </row>
    <row r="223" spans="1:3">
      <c r="A223" s="10" t="str">
        <f>INVENTARIO!A223</f>
        <v>PAN-ALU-3MM-PLA-BRI-1</v>
      </c>
      <c r="B223" s="7" t="s">
        <v>199</v>
      </c>
      <c r="C223" s="7" t="str">
        <f>IFERROR(A223&amp;"-"&amp;_xlfn.XLOOKUP(B223,PROVEEDORES!$D$3:$D$37,PROVEEDORES!$B$3:$B$37),"")</f>
        <v>PAN-ALU-3MM-PLA-BRI-1-AE</v>
      </c>
    </row>
    <row r="224" spans="1:3">
      <c r="A224" s="10" t="str">
        <f>INVENTARIO!A224</f>
        <v>PAN-ALU-3MM-PLA-BRI-1</v>
      </c>
      <c r="B224" s="7" t="s">
        <v>200</v>
      </c>
      <c r="C224" s="7" t="str">
        <f>IFERROR(A224&amp;"-"&amp;_xlfn.XLOOKUP(B224,PROVEEDORES!$D$3:$D$37,PROVEEDORES!$B$3:$B$37),"")</f>
        <v>PAN-ALU-3MM-PLA-BRI-1-AF</v>
      </c>
    </row>
    <row r="225" spans="1:3">
      <c r="A225" s="10" t="str">
        <f>INVENTARIO!A225</f>
        <v>PAN-ALU-3MM-PLA-CEP-1</v>
      </c>
      <c r="B225" s="7" t="s">
        <v>199</v>
      </c>
      <c r="C225" s="7" t="str">
        <f>IFERROR(A225&amp;"-"&amp;_xlfn.XLOOKUP(B225,PROVEEDORES!$D$3:$D$37,PROVEEDORES!$B$3:$B$37),"")</f>
        <v>PAN-ALU-3MM-PLA-CEP-1-AE</v>
      </c>
    </row>
    <row r="226" spans="1:3">
      <c r="A226" s="10" t="str">
        <f>INVENTARIO!A226</f>
        <v>PAN-ALU-3MM-PLA-CEP-1</v>
      </c>
      <c r="B226" s="7" t="s">
        <v>200</v>
      </c>
      <c r="C226" s="7" t="str">
        <f>IFERROR(A226&amp;"-"&amp;_xlfn.XLOOKUP(B226,PROVEEDORES!$D$3:$D$37,PROVEEDORES!$B$3:$B$37),"")</f>
        <v>PAN-ALU-3MM-PLA-CEP-1-AF</v>
      </c>
    </row>
    <row r="227" spans="1:3">
      <c r="A227" s="10" t="str">
        <f>INVENTARIO!A227</f>
        <v>PVC-3MM-NAR-1</v>
      </c>
      <c r="B227" s="7" t="s">
        <v>201</v>
      </c>
      <c r="C227" s="7" t="str">
        <f>IFERROR(A227&amp;"-"&amp;_xlfn.XLOOKUP(B227,PROVEEDORES!$D$3:$D$37,PROVEEDORES!$B$3:$B$37),"")</f>
        <v>PVC-3MM-NAR-1-B</v>
      </c>
    </row>
    <row r="228" spans="1:3">
      <c r="A228" s="10" t="str">
        <f>INVENTARIO!A228</f>
        <v>PVC-3MM-AZU-1</v>
      </c>
      <c r="B228" s="7" t="s">
        <v>201</v>
      </c>
      <c r="C228" s="7" t="str">
        <f>IFERROR(A228&amp;"-"&amp;_xlfn.XLOOKUP(B228,PROVEEDORES!$D$3:$D$37,PROVEEDORES!$B$3:$B$37),"")</f>
        <v>PVC-3MM-AZU-1-B</v>
      </c>
    </row>
    <row r="229" spans="1:3">
      <c r="A229" s="10" t="str">
        <f>INVENTARIO!A229</f>
        <v>PVC-3MM-NEG-1</v>
      </c>
      <c r="B229" s="7" t="s">
        <v>199</v>
      </c>
      <c r="C229" s="7" t="str">
        <f>IFERROR(A229&amp;"-"&amp;_xlfn.XLOOKUP(B229,PROVEEDORES!$D$3:$D$37,PROVEEDORES!$B$3:$B$37),"")</f>
        <v>PVC-3MM-NEG-1-AE</v>
      </c>
    </row>
    <row r="230" spans="1:3">
      <c r="A230" s="10" t="str">
        <f>INVENTARIO!A230</f>
        <v>PVC-6MM-NEG-1</v>
      </c>
      <c r="B230" s="7" t="s">
        <v>199</v>
      </c>
      <c r="C230" s="7" t="str">
        <f>IFERROR(A230&amp;"-"&amp;_xlfn.XLOOKUP(B230,PROVEEDORES!$D$3:$D$37,PROVEEDORES!$B$3:$B$37),"")</f>
        <v>PVC-6MM-NEG-1-AE</v>
      </c>
    </row>
    <row r="231" spans="1:3">
      <c r="A231" s="10" t="str">
        <f>INVENTARIO!A231</f>
        <v>PVC-6MM-NEG-1</v>
      </c>
      <c r="B231" s="7" t="s">
        <v>248</v>
      </c>
      <c r="C231" s="7" t="str">
        <f>IFERROR(A231&amp;"-"&amp;_xlfn.XLOOKUP(B231,PROVEEDORES!$D$3:$D$37,PROVEEDORES!$B$3:$B$37),"")</f>
        <v>PVC-6MM-NEG-1-X</v>
      </c>
    </row>
    <row r="232" spans="1:3">
      <c r="A232" s="10" t="str">
        <f>INVENTARIO!A232</f>
        <v>PVC-3MM-GRI-OSC-1</v>
      </c>
      <c r="B232" s="7" t="s">
        <v>201</v>
      </c>
      <c r="C232" s="7" t="str">
        <f>IFERROR(A232&amp;"-"&amp;_xlfn.XLOOKUP(B232,PROVEEDORES!$D$3:$D$37,PROVEEDORES!$B$3:$B$37),"")</f>
        <v>PVC-3MM-GRI-OSC-1-B</v>
      </c>
    </row>
    <row r="233" spans="1:3">
      <c r="A233" s="10" t="str">
        <f>INVENTARIO!A233</f>
        <v>PVC-6MM-GRI-OSC-1</v>
      </c>
      <c r="B233" s="7" t="s">
        <v>201</v>
      </c>
      <c r="C233" s="7" t="str">
        <f>IFERROR(A233&amp;"-"&amp;_xlfn.XLOOKUP(B233,PROVEEDORES!$D$3:$D$37,PROVEEDORES!$B$3:$B$37),"")</f>
        <v>PVC-6MM-GRI-OSC-1-B</v>
      </c>
    </row>
    <row r="234" spans="1:3">
      <c r="A234" s="10" t="str">
        <f>INVENTARIO!A234</f>
        <v>LED-BLA-CAL-3DI-1</v>
      </c>
      <c r="B234" s="7" t="s">
        <v>296</v>
      </c>
      <c r="C234" s="7" t="str">
        <f>IFERROR(A234&amp;"-"&amp;_xlfn.XLOOKUP(B234,PROVEEDORES!$D$3:$D$37,PROVEEDORES!$B$3:$B$37),"")</f>
        <v>LED-BLA-CAL-3DI-1-H</v>
      </c>
    </row>
    <row r="235" spans="1:3">
      <c r="A235" s="10" t="str">
        <f>INVENTARIO!A235</f>
        <v>LED-BLA-FRI-3DI-1</v>
      </c>
      <c r="B235" s="7" t="s">
        <v>296</v>
      </c>
      <c r="C235" s="7" t="str">
        <f>IFERROR(A235&amp;"-"&amp;_xlfn.XLOOKUP(B235,PROVEEDORES!$D$3:$D$37,PROVEEDORES!$B$3:$B$37),"")</f>
        <v>LED-BLA-FRI-3DI-1-H</v>
      </c>
    </row>
    <row r="236" spans="1:3">
      <c r="A236" s="10" t="str">
        <f>INVENTARIO!A236</f>
        <v>MIC-MIC-CAL-2DI-1</v>
      </c>
      <c r="B236" s="7" t="s">
        <v>296</v>
      </c>
      <c r="C236" s="7" t="str">
        <f>IFERROR(A236&amp;"-"&amp;_xlfn.XLOOKUP(B236,PROVEEDORES!$D$3:$D$37,PROVEEDORES!$B$3:$B$37),"")</f>
        <v>MIC-MIC-CAL-2DI-1-H</v>
      </c>
    </row>
    <row r="237" spans="1:3">
      <c r="A237" s="10" t="str">
        <f>INVENTARIO!A237</f>
        <v>MIC-MIC-FRI-2DI-1</v>
      </c>
      <c r="B237" s="7" t="s">
        <v>296</v>
      </c>
      <c r="C237" s="7" t="str">
        <f>IFERROR(A237&amp;"-"&amp;_xlfn.XLOOKUP(B237,PROVEEDORES!$D$3:$D$37,PROVEEDORES!$B$3:$B$37),"")</f>
        <v>MIC-MIC-FRI-2DI-1-H</v>
      </c>
    </row>
    <row r="238" spans="1:3">
      <c r="A238" s="10" t="str">
        <f>INVENTARIO!A238</f>
        <v>LED-BLA-FRI-OPT-3DI-1</v>
      </c>
      <c r="B238" s="7" t="s">
        <v>296</v>
      </c>
      <c r="C238" s="7" t="str">
        <f>IFERROR(A238&amp;"-"&amp;_xlfn.XLOOKUP(B238,PROVEEDORES!$D$3:$D$37,PROVEEDORES!$B$3:$B$37),"")</f>
        <v>LED-BLA-FRI-OPT-3DI-1-H</v>
      </c>
    </row>
    <row r="239" spans="1:3">
      <c r="A239" s="10" t="str">
        <f>INVENTARIO!A239</f>
        <v>LED-BLA-CAL-OPT-3DI-1</v>
      </c>
      <c r="B239" s="7" t="s">
        <v>296</v>
      </c>
      <c r="C239" s="7" t="str">
        <f>IFERROR(A239&amp;"-"&amp;_xlfn.XLOOKUP(B239,PROVEEDORES!$D$3:$D$37,PROVEEDORES!$B$3:$B$37),"")</f>
        <v>LED-BLA-CAL-OPT-3DI-1-H</v>
      </c>
    </row>
    <row r="240" spans="1:3">
      <c r="A240" s="10" t="str">
        <f>INVENTARIO!A240</f>
        <v>LED-ROJ-OPT-3DI-1</v>
      </c>
      <c r="B240" s="7" t="s">
        <v>296</v>
      </c>
      <c r="C240" s="7" t="str">
        <f>IFERROR(A240&amp;"-"&amp;_xlfn.XLOOKUP(B240,PROVEEDORES!$D$3:$D$37,PROVEEDORES!$B$3:$B$37),"")</f>
        <v>LED-ROJ-OPT-3DI-1-H</v>
      </c>
    </row>
    <row r="241" spans="1:3">
      <c r="A241" s="10" t="str">
        <f>INVENTARIO!A241</f>
        <v>FUE-POD-30WA-1</v>
      </c>
      <c r="B241" s="7" t="s">
        <v>296</v>
      </c>
      <c r="C241" s="7" t="str">
        <f>IFERROR(A241&amp;"-"&amp;_xlfn.XLOOKUP(B241,PROVEEDORES!$D$3:$D$37,PROVEEDORES!$B$3:$B$37),"")</f>
        <v>FUE-POD-30WA-1-H</v>
      </c>
    </row>
    <row r="242" spans="1:3">
      <c r="A242" s="10" t="str">
        <f>INVENTARIO!A242</f>
        <v>FUE-POD-60WA-1</v>
      </c>
      <c r="B242" s="7" t="s">
        <v>296</v>
      </c>
      <c r="C242" s="7" t="str">
        <f>IFERROR(A242&amp;"-"&amp;_xlfn.XLOOKUP(B242,PROVEEDORES!$D$3:$D$37,PROVEEDORES!$B$3:$B$37),"")</f>
        <v>FUE-POD-60WA-1-H</v>
      </c>
    </row>
    <row r="243" spans="1:3">
      <c r="A243" s="10" t="str">
        <f>INVENTARIO!A243</f>
        <v>FUE-POD-100WA-1</v>
      </c>
      <c r="B243" s="7" t="s">
        <v>296</v>
      </c>
      <c r="C243" s="7" t="str">
        <f>IFERROR(A243&amp;"-"&amp;_xlfn.XLOOKUP(B243,PROVEEDORES!$D$3:$D$37,PROVEEDORES!$B$3:$B$37),"")</f>
        <v>FUE-POD-100WA-1-H</v>
      </c>
    </row>
    <row r="244" spans="1:3">
      <c r="A244" s="10" t="str">
        <f>INVENTARIO!A244</f>
        <v>FUE-POD-150WA-1</v>
      </c>
      <c r="B244" s="7" t="s">
        <v>296</v>
      </c>
      <c r="C244" s="7" t="str">
        <f>IFERROR(A244&amp;"-"&amp;_xlfn.XLOOKUP(B244,PROVEEDORES!$D$3:$D$37,PROVEEDORES!$B$3:$B$37),"")</f>
        <v>FUE-POD-150WA-1-H</v>
      </c>
    </row>
    <row r="245" spans="1:3">
      <c r="A245" s="10" t="str">
        <f>INVENTARIO!A245</f>
        <v>FUE-POD-200WA-1</v>
      </c>
      <c r="B245" s="7" t="s">
        <v>296</v>
      </c>
      <c r="C245" s="7" t="str">
        <f>IFERROR(A245&amp;"-"&amp;_xlfn.XLOOKUP(B245,PROVEEDORES!$D$3:$D$37,PROVEEDORES!$B$3:$B$37),"")</f>
        <v>FUE-POD-200WA-1-H</v>
      </c>
    </row>
    <row r="246" spans="1:3">
      <c r="A246" s="10" t="str">
        <f>INVENTARIO!A246</f>
        <v>FUE-POD-220WA-1</v>
      </c>
      <c r="B246" s="7" t="s">
        <v>296</v>
      </c>
      <c r="C246" s="7" t="str">
        <f>IFERROR(A246&amp;"-"&amp;_xlfn.XLOOKUP(B246,PROVEEDORES!$D$3:$D$37,PROVEEDORES!$B$3:$B$37),"")</f>
        <v>FUE-POD-220WA-1-H</v>
      </c>
    </row>
    <row r="247" spans="1:3">
      <c r="A247" s="10" t="str">
        <f>INVENTARIO!A247</f>
        <v>FUE-POD-360WA-1</v>
      </c>
      <c r="B247" s="7" t="s">
        <v>296</v>
      </c>
      <c r="C247" s="7" t="str">
        <f>IFERROR(A247&amp;"-"&amp;_xlfn.XLOOKUP(B247,PROVEEDORES!$D$3:$D$37,PROVEEDORES!$B$3:$B$37),"")</f>
        <v>FUE-POD-360WA-1-H</v>
      </c>
    </row>
    <row r="248" spans="1:3">
      <c r="A248" s="10" t="str">
        <f>INVENTARIO!A248</f>
        <v>LAM-T8-1</v>
      </c>
      <c r="B248" s="7" t="s">
        <v>297</v>
      </c>
      <c r="C248" s="7" t="str">
        <f>IFERROR(A248&amp;"-"&amp;_xlfn.XLOOKUP(B248,PROVEEDORES!$D$3:$D$37,PROVEEDORES!$B$3:$B$37),"")</f>
        <v>LAM-T8-1-M</v>
      </c>
    </row>
    <row r="249" spans="1:3">
      <c r="A249" s="10" t="str">
        <f>INVENTARIO!A249</f>
        <v>PLA-1</v>
      </c>
      <c r="B249" s="7" t="s">
        <v>280</v>
      </c>
      <c r="C249" s="7" t="str">
        <f>IFERROR(A249&amp;"-"&amp;_xlfn.XLOOKUP(B249,PROVEEDORES!$D$3:$D$37,PROVEEDORES!$B$3:$B$37),"")</f>
        <v>PLA-1-S</v>
      </c>
    </row>
    <row r="250" spans="1:3">
      <c r="A250" s="10" t="str">
        <f>INVENTARIO!A250</f>
        <v>HUL-BUR-1</v>
      </c>
      <c r="B250" s="7" t="s">
        <v>298</v>
      </c>
      <c r="C250" s="7" t="str">
        <f>IFERROR(A250&amp;"-"&amp;_xlfn.XLOOKUP(B250,PROVEEDORES!$D$3:$D$37,PROVEEDORES!$B$3:$B$37),"")</f>
        <v>HUL-BUR-1-AB</v>
      </c>
    </row>
    <row r="251" spans="1:3">
      <c r="A251" s="10" t="str">
        <f>INVENTARIO!A251</f>
        <v>PAP-KRA-1</v>
      </c>
      <c r="B251" s="7" t="s">
        <v>298</v>
      </c>
      <c r="C251" s="7" t="str">
        <f>IFERROR(A251&amp;"-"&amp;_xlfn.XLOOKUP(B251,PROVEEDORES!$D$3:$D$37,PROVEEDORES!$B$3:$B$37),"")</f>
        <v>PAP-KRA-1-AB</v>
      </c>
    </row>
    <row r="252" spans="1:3">
      <c r="A252" s="10" t="str">
        <f>INVENTARIO!A252</f>
        <v>KOL-LOK-KLM-2000-1</v>
      </c>
      <c r="B252" s="7" t="s">
        <v>299</v>
      </c>
      <c r="C252" s="7" t="str">
        <f>IFERROR(A252&amp;"-"&amp;_xlfn.XLOOKUP(B252,PROVEEDORES!$D$3:$D$37,PROVEEDORES!$B$3:$B$37),"")</f>
        <v>KOL-LOK-KLM-2000-1-</v>
      </c>
    </row>
    <row r="253" spans="1:3">
      <c r="A253" s="10" t="str">
        <f>INVENTARIO!A253</f>
        <v>KOL-LOK-KL2-1200-1</v>
      </c>
      <c r="B253" s="7" t="s">
        <v>299</v>
      </c>
      <c r="C253" s="7" t="str">
        <f>IFERROR(A253&amp;"-"&amp;_xlfn.XLOOKUP(B253,PROVEEDORES!$D$3:$D$37,PROVEEDORES!$B$3:$B$37),"")</f>
        <v>KOL-LOK-KL2-1200-1-</v>
      </c>
    </row>
    <row r="254" spans="1:3">
      <c r="A254" s="10" t="str">
        <f>INVENTARIO!A254</f>
        <v>LON-18OZ-AZU-1</v>
      </c>
      <c r="B254" s="7" t="s">
        <v>286</v>
      </c>
      <c r="C254" s="7" t="str">
        <f>IFERROR(A254&amp;"-"&amp;_xlfn.XLOOKUP(B254,PROVEEDORES!$D$3:$D$37,PROVEEDORES!$B$3:$B$37),"")</f>
        <v>LON-18OZ-AZU-1-Y</v>
      </c>
    </row>
    <row r="255" spans="1:3">
      <c r="A255" s="10" t="str">
        <f>INVENTARIO!A255</f>
        <v>LON-18OZ-ROJ-1</v>
      </c>
      <c r="B255" s="7" t="s">
        <v>286</v>
      </c>
      <c r="C255" s="7" t="str">
        <f>IFERROR(A255&amp;"-"&amp;_xlfn.XLOOKUP(B255,PROVEEDORES!$D$3:$D$37,PROVEEDORES!$B$3:$B$37),"")</f>
        <v>LON-18OZ-ROJ-1-Y</v>
      </c>
    </row>
    <row r="256" spans="1:3">
      <c r="A256" s="10" t="str">
        <f>INVENTARIO!A256</f>
        <v>LON-18OZ-NEG-1</v>
      </c>
      <c r="B256" s="7" t="s">
        <v>286</v>
      </c>
      <c r="C256" s="7" t="str">
        <f>IFERROR(A256&amp;"-"&amp;_xlfn.XLOOKUP(B256,PROVEEDORES!$D$3:$D$37,PROVEEDORES!$B$3:$B$37),"")</f>
        <v>LON-18OZ-NEG-1-Y</v>
      </c>
    </row>
    <row r="257" spans="1:3">
      <c r="A257" s="10" t="str">
        <f>INVENTARIO!A257</f>
        <v>EST-NEG-CAL40-1</v>
      </c>
      <c r="B257" s="7" t="s">
        <v>199</v>
      </c>
      <c r="C257" s="7" t="str">
        <f>IFERROR(A257&amp;"-"&amp;_xlfn.XLOOKUP(B257,PROVEEDORES!$D$3:$D$37,PROVEEDORES!$B$3:$B$37),"")</f>
        <v>EST-NEG-CAL40-1-AE</v>
      </c>
    </row>
    <row r="258" spans="1:3">
      <c r="A258" s="10" t="str">
        <f>INVENTARIO!A258</f>
        <v>PET-CAL60-1</v>
      </c>
      <c r="B258" s="7" t="s">
        <v>199</v>
      </c>
      <c r="C258" s="7" t="str">
        <f>IFERROR(A258&amp;"-"&amp;_xlfn.XLOOKUP(B258,PROVEEDORES!$D$3:$D$37,PROVEEDORES!$B$3:$B$37),"")</f>
        <v>PET-CAL60-1-AE</v>
      </c>
    </row>
    <row r="259" spans="1:3">
      <c r="A259" s="10" t="str">
        <f>INVENTARIO!A259</f>
        <v>PET-CAL40-1</v>
      </c>
      <c r="B259" s="7" t="s">
        <v>199</v>
      </c>
      <c r="C259" s="7" t="str">
        <f>IFERROR(A259&amp;"-"&amp;_xlfn.XLOOKUP(B259,PROVEEDORES!$D$3:$D$37,PROVEEDORES!$B$3:$B$37),"")</f>
        <v>PET-CAL40-1-AE</v>
      </c>
    </row>
    <row r="260" spans="1:3">
      <c r="A260" s="10" t="str">
        <f>INVENTARIO!A260</f>
        <v>PET-CAL30-1</v>
      </c>
      <c r="B260" s="7" t="s">
        <v>199</v>
      </c>
      <c r="C260" s="7" t="str">
        <f>IFERROR(A260&amp;"-"&amp;_xlfn.XLOOKUP(B260,PROVEEDORES!$D$3:$D$37,PROVEEDORES!$B$3:$B$37),"")</f>
        <v>PET-CAL30-1-AE</v>
      </c>
    </row>
    <row r="261" spans="1:3">
      <c r="A261" s="10" t="str">
        <f>INVENTARIO!A261</f>
        <v>PET-CAL20-1</v>
      </c>
      <c r="B261" s="7" t="s">
        <v>199</v>
      </c>
      <c r="C261" s="7" t="str">
        <f>IFERROR(A261&amp;"-"&amp;_xlfn.XLOOKUP(B261,PROVEEDORES!$D$3:$D$37,PROVEEDORES!$B$3:$B$37),"")</f>
        <v>PET-CAL20-1-AE</v>
      </c>
    </row>
    <row r="262" spans="1:3">
      <c r="A262" s="10" t="str">
        <f>INVENTARIO!A262</f>
        <v>ALU-CEP-PLA-CEP-1</v>
      </c>
      <c r="B262" s="7" t="s">
        <v>199</v>
      </c>
      <c r="C262" s="7" t="str">
        <f>IFERROR(A262&amp;"-"&amp;_xlfn.XLOOKUP(B262,PROVEEDORES!$D$3:$D$37,PROVEEDORES!$B$3:$B$37),"")</f>
        <v>ALU-CEP-PLA-CEP-1-AE</v>
      </c>
    </row>
    <row r="263" spans="1:3">
      <c r="A263" s="10" t="str">
        <f>INVENTARIO!A263</f>
        <v>ALU-ESP-PLA-ESP-1</v>
      </c>
      <c r="B263" s="7" t="s">
        <v>199</v>
      </c>
      <c r="C263" s="7" t="str">
        <f>IFERROR(A263&amp;"-"&amp;_xlfn.XLOOKUP(B263,PROVEEDORES!$D$3:$D$37,PROVEEDORES!$B$3:$B$37),"")</f>
        <v>ALU-ESP-PLA-ESP-1-AE</v>
      </c>
    </row>
    <row r="264" spans="1:3">
      <c r="A264" s="10" t="str">
        <f>INVENTARIO!A264</f>
        <v>ALU-ESP-ORO-ESP-1</v>
      </c>
      <c r="B264" s="7" t="s">
        <v>199</v>
      </c>
      <c r="C264" s="7" t="str">
        <f>IFERROR(A264&amp;"-"&amp;_xlfn.XLOOKUP(B264,PROVEEDORES!$D$3:$D$37,PROVEEDORES!$B$3:$B$37),"")</f>
        <v>ALU-ESP-ORO-ESP-1-AE</v>
      </c>
    </row>
    <row r="265" spans="1:3">
      <c r="A265" s="10" t="str">
        <f>INVENTARIO!A265</f>
        <v>ALU-CEP-ORO-CEP-1</v>
      </c>
      <c r="B265" s="7" t="s">
        <v>199</v>
      </c>
      <c r="C265" s="7" t="str">
        <f>IFERROR(A265&amp;"-"&amp;_xlfn.XLOOKUP(B265,PROVEEDORES!$D$3:$D$37,PROVEEDORES!$B$3:$B$37),"")</f>
        <v>ALU-CEP-ORO-CEP-1-AE</v>
      </c>
    </row>
    <row r="266" spans="1:3">
      <c r="A266" s="10" t="str">
        <f>INVENTARIO!A266</f>
        <v>ALU-NEG-MAT-1</v>
      </c>
      <c r="B266" s="7" t="s">
        <v>300</v>
      </c>
      <c r="C266" s="7" t="str">
        <f>IFERROR(A266&amp;"-"&amp;_xlfn.XLOOKUP(B266,PROVEEDORES!$D$3:$D$37,PROVEEDORES!$B$3:$B$37),"")</f>
        <v>ALU-NEG-MAT-1-AD</v>
      </c>
    </row>
    <row r="267" spans="1:3">
      <c r="A267" s="10" t="str">
        <f>INVENTARIO!A267</f>
        <v>TRA-PAP-1</v>
      </c>
      <c r="B267" s="7" t="s">
        <v>199</v>
      </c>
      <c r="C267" s="7" t="str">
        <f>IFERROR(A267&amp;"-"&amp;_xlfn.XLOOKUP(B267,PROVEEDORES!$D$3:$D$37,PROVEEDORES!$B$3:$B$37),"")</f>
        <v>TRA-PAP-1-AE</v>
      </c>
    </row>
    <row r="268" spans="1:3">
      <c r="A268" s="10" t="str">
        <f>INVENTARIO!A268</f>
        <v>TRA-TRA-1</v>
      </c>
      <c r="B268" s="7" t="s">
        <v>199</v>
      </c>
      <c r="C268" s="7" t="str">
        <f>IFERROR(A268&amp;"-"&amp;_xlfn.XLOOKUP(B268,PROVEEDORES!$D$3:$D$37,PROVEEDORES!$B$3:$B$37),"")</f>
        <v>TRA-TRA-1-AE</v>
      </c>
    </row>
    <row r="269" spans="1:3">
      <c r="A269" s="10" t="str">
        <f>INVENTARIO!A269</f>
        <v>MIC-PVC-RIG-TT-243X-1</v>
      </c>
      <c r="B269" s="19" t="s">
        <v>282</v>
      </c>
      <c r="C269" s="7" t="str">
        <f>IFERROR(A269&amp;"-"&amp;_xlfn.XLOOKUP(B269,PROVEEDORES!$D$3:$D$37,PROVEEDORES!$B$3:$B$37),"")</f>
        <v>MIC-PVC-RIG-TT-243X-1-Z</v>
      </c>
    </row>
    <row r="270" spans="1:3">
      <c r="A270" s="10" t="str">
        <f>INVENTARIO!A270</f>
        <v>PAT-POR-BAN-35X-1</v>
      </c>
      <c r="B270" s="7" t="s">
        <v>277</v>
      </c>
      <c r="C270" s="7" t="str">
        <f>IFERROR(A270&amp;"-"&amp;_xlfn.XLOOKUP(B270,PROVEEDORES!$D$3:$D$37,PROVEEDORES!$B$3:$B$37),"")</f>
        <v>PAT-POR-BAN-35X-1-O</v>
      </c>
    </row>
    <row r="271" spans="1:3">
      <c r="A271" s="10" t="str">
        <f>INVENTARIO!A271</f>
        <v>CLI-PAT-POR-BAN-1</v>
      </c>
      <c r="B271" s="7" t="s">
        <v>277</v>
      </c>
      <c r="C271" s="7" t="str">
        <f>IFERROR(A271&amp;"-"&amp;_xlfn.XLOOKUP(B271,PROVEEDORES!$D$3:$D$37,PROVEEDORES!$B$3:$B$37),"")</f>
        <v>CLI-PAT-POR-BAN-1-O</v>
      </c>
    </row>
    <row r="272" spans="1:3">
      <c r="A272" s="10" t="str">
        <f>INVENTARIO!A272</f>
        <v>MAQ-CIE-BOL-MET-AZ-1</v>
      </c>
      <c r="B272" s="7" t="s">
        <v>301</v>
      </c>
      <c r="C272" s="7" t="str">
        <f>IFERROR(A272&amp;"-"&amp;_xlfn.XLOOKUP(B272,PROVEEDORES!$D$3:$D$37,PROVEEDORES!$B$3:$B$37),"")</f>
        <v>MAQ-CIE-BOL-MET-AZ-1-L</v>
      </c>
    </row>
    <row r="273" spans="1:3">
      <c r="A273" s="10" t="str">
        <f>INVENTARIO!A273</f>
        <v>SOP-DEL-ANC-MET-1</v>
      </c>
      <c r="B273" s="7" t="s">
        <v>277</v>
      </c>
      <c r="C273" s="7" t="str">
        <f>IFERROR(A273&amp;"-"&amp;_xlfn.XLOOKUP(B273,PROVEEDORES!$D$3:$D$37,PROVEEDORES!$B$3:$B$37),"")</f>
        <v>SOP-DEL-ANC-MET-1-O</v>
      </c>
    </row>
    <row r="274" spans="1:3">
      <c r="A274" s="10" t="str">
        <f>INVENTARIO!A274</f>
        <v>POR-CAR-PCA-ADH-1</v>
      </c>
      <c r="B274" s="7" t="s">
        <v>277</v>
      </c>
      <c r="C274" s="7" t="str">
        <f>IFERROR(A274&amp;"-"&amp;_xlfn.XLOOKUP(B274,PROVEEDORES!$D$3:$D$37,PROVEEDORES!$B$3:$B$37),"")</f>
        <v>POR-CAR-PCA-ADH-1-O</v>
      </c>
    </row>
    <row r="275" spans="1:3">
      <c r="A275" s="10" t="str">
        <f>INVENTARIO!A275</f>
        <v>SOP-MEN-SUPADH-3GR</v>
      </c>
      <c r="B275" s="7" t="s">
        <v>301</v>
      </c>
      <c r="C275" s="7" t="str">
        <f>IFERROR(A275&amp;"-"&amp;_xlfn.XLOOKUP(B275,PROVEEDORES!$D$3:$D$37,PROVEEDORES!$B$3:$B$37),"")</f>
        <v>SOP-MEN-SUPADH-3GR-L</v>
      </c>
    </row>
    <row r="276" spans="1:3">
      <c r="A276" s="10" t="str">
        <f>INVENTARIO!A276</f>
        <v>CAN-J-0060122-ADH-BLA-1</v>
      </c>
      <c r="B276" s="7" t="s">
        <v>277</v>
      </c>
      <c r="C276" s="7" t="str">
        <f>IFERROR(A276&amp;"-"&amp;_xlfn.XLOOKUP(B276,PROVEEDORES!$D$3:$D$37,PROVEEDORES!$B$3:$B$37),"")</f>
        <v>CAN-J-0060122-ADH-BLA-1-O</v>
      </c>
    </row>
    <row r="277" spans="1:3">
      <c r="A277" s="10" t="str">
        <f>INVENTARIO!A277</f>
        <v>CAN-H-0060122-ADH-BLA-1</v>
      </c>
      <c r="B277" s="7" t="s">
        <v>277</v>
      </c>
      <c r="C277" s="7" t="str">
        <f>IFERROR(A277&amp;"-"&amp;_xlfn.XLOOKUP(B277,PROVEEDORES!$D$3:$D$37,PROVEEDORES!$B$3:$B$37),"")</f>
        <v>CAN-H-0060122-ADH-BLA-1-O</v>
      </c>
    </row>
    <row r="278" spans="1:3">
      <c r="A278" s="10" t="str">
        <f>INVENTARIO!A278</f>
        <v>CAN-J-0060122-ADH-NEG-1</v>
      </c>
      <c r="B278" s="7" t="s">
        <v>277</v>
      </c>
      <c r="C278" s="7" t="str">
        <f>IFERROR(A278&amp;"-"&amp;_xlfn.XLOOKUP(B278,PROVEEDORES!$D$3:$D$37,PROVEEDORES!$B$3:$B$37),"")</f>
        <v>CAN-J-0060122-ADH-NEG-1-O</v>
      </c>
    </row>
    <row r="279" spans="1:3">
      <c r="A279" s="10" t="str">
        <f>INVENTARIO!A279</f>
        <v>CAN-H-0060122-ADH-NEG-1</v>
      </c>
      <c r="B279" s="7" t="s">
        <v>277</v>
      </c>
      <c r="C279" s="7" t="str">
        <f>IFERROR(A279&amp;"-"&amp;_xlfn.XLOOKUP(B279,PROVEEDORES!$D$3:$D$37,PROVEEDORES!$B$3:$B$37),"")</f>
        <v>CAN-H-0060122-ADH-NEG-1-O</v>
      </c>
    </row>
    <row r="280" spans="1:3">
      <c r="A280" s="10" t="str">
        <f>INVENTARIO!A280</f>
        <v>CAN-J0060122-ADH-TRA-1</v>
      </c>
      <c r="B280" s="7" t="s">
        <v>277</v>
      </c>
      <c r="C280" s="7" t="str">
        <f>IFERROR(A280&amp;"-"&amp;_xlfn.XLOOKUP(B280,PROVEEDORES!$D$3:$D$37,PROVEEDORES!$B$3:$B$37),"")</f>
        <v>CAN-J0060122-ADH-TRA-1-O</v>
      </c>
    </row>
    <row r="281" spans="1:3">
      <c r="A281" s="10" t="str">
        <f>INVENTARIO!A281</f>
        <v>CAN-H-0060122-ADH-TRA-1</v>
      </c>
      <c r="B281" s="7" t="s">
        <v>277</v>
      </c>
      <c r="C281" s="7" t="str">
        <f>IFERROR(A281&amp;"-"&amp;_xlfn.XLOOKUP(B281,PROVEEDORES!$D$3:$D$37,PROVEEDORES!$B$3:$B$37),"")</f>
        <v>CAN-H-0060122-ADH-TRA-1-O</v>
      </c>
    </row>
    <row r="282" spans="1:3">
      <c r="A282" s="10" t="str">
        <f>INVENTARIO!A282</f>
        <v>SOP-MEN-110ADH-TT-DEL-1</v>
      </c>
      <c r="B282" s="7" t="s">
        <v>277</v>
      </c>
      <c r="C282" s="7" t="str">
        <f>IFERROR(A282&amp;"-"&amp;_xlfn.XLOOKUP(B282,PROVEEDORES!$D$3:$D$37,PROVEEDORES!$B$3:$B$37),"")</f>
        <v>SOP-MEN-110ADH-TT-DEL-1-O</v>
      </c>
    </row>
    <row r="283" spans="1:3">
      <c r="A283" s="10" t="str">
        <f>INVENTARIO!A283</f>
        <v>SOP-MEN-1ACE-INO-1</v>
      </c>
      <c r="B283" s="7" t="s">
        <v>277</v>
      </c>
      <c r="C283" s="7" t="str">
        <f>IFERROR(A283&amp;"-"&amp;_xlfn.XLOOKUP(B283,PROVEEDORES!$D$3:$D$37,PROVEEDORES!$B$3:$B$37),"")</f>
        <v>SOP-MEN-1ACE-INO-1-O</v>
      </c>
    </row>
    <row r="284" spans="1:3">
      <c r="A284" s="10" t="str">
        <f>INVENTARIO!A284</f>
        <v>BOL-MOR-1</v>
      </c>
      <c r="B284" s="7" t="s">
        <v>282</v>
      </c>
      <c r="C284" s="7" t="str">
        <f>IFERROR(A284&amp;"-"&amp;_xlfn.XLOOKUP(B284,PROVEEDORES!$D$3:$D$37,PROVEEDORES!$B$3:$B$37),"")</f>
        <v>BOL-MOR-1-Z</v>
      </c>
    </row>
    <row r="285" spans="1:3">
      <c r="A285" s="10" t="str">
        <f>INVENTARIO!A285</f>
        <v>CIN-POR-1</v>
      </c>
      <c r="B285" s="7" t="s">
        <v>282</v>
      </c>
      <c r="C285" s="7" t="str">
        <f>IFERROR(A285&amp;"-"&amp;_xlfn.XLOOKUP(B285,PROVEEDORES!$D$3:$D$37,PROVEEDORES!$B$3:$B$37),"")</f>
        <v>CIN-POR-1-Z</v>
      </c>
    </row>
    <row r="286" spans="1:3">
      <c r="A286" s="10" t="str">
        <f>INVENTARIO!A286</f>
        <v>PVC-ROL-TRA-1</v>
      </c>
      <c r="B286" s="7" t="s">
        <v>282</v>
      </c>
      <c r="C286" s="7" t="str">
        <f>IFERROR(A286&amp;"-"&amp;_xlfn.XLOOKUP(B286,PROVEEDORES!$D$3:$D$37,PROVEEDORES!$B$3:$B$37),"")</f>
        <v>PVC-ROL-TRA-1-Z</v>
      </c>
    </row>
    <row r="287" spans="1:3">
      <c r="A287" s="10" t="str">
        <f>INVENTARIO!A287</f>
        <v>TOR-PLA-1</v>
      </c>
      <c r="B287" s="7" t="s">
        <v>301</v>
      </c>
      <c r="C287" s="7" t="str">
        <f>IFERROR(A287&amp;"-"&amp;_xlfn.XLOOKUP(B287,PROVEEDORES!$D$3:$D$37,PROVEEDORES!$B$3:$B$37),"")</f>
        <v>TOR-PLA-1-L</v>
      </c>
    </row>
    <row r="288" spans="1:3">
      <c r="A288" s="10" t="str">
        <f>INVENTARIO!A288</f>
        <v>VEN-MED-1</v>
      </c>
      <c r="B288" s="7" t="s">
        <v>301</v>
      </c>
      <c r="C288" s="7" t="str">
        <f>IFERROR(A288&amp;"-"&amp;_xlfn.XLOOKUP(B288,PROVEEDORES!$D$3:$D$37,PROVEEDORES!$B$3:$B$37),"")</f>
        <v>VEN-MED-1-L</v>
      </c>
    </row>
    <row r="289" spans="1:3">
      <c r="A289" s="10" t="str">
        <f>INVENTARIO!A289</f>
        <v>CAN-50CM-DIA-1</v>
      </c>
      <c r="B289" s="7" t="s">
        <v>282</v>
      </c>
      <c r="C289" s="7" t="str">
        <f>IFERROR(A289&amp;"-"&amp;_xlfn.XLOOKUP(B289,PROVEEDORES!$D$3:$D$37,PROVEEDORES!$B$3:$B$37),"")</f>
        <v>CAN-50CM-DIA-1-Z</v>
      </c>
    </row>
    <row r="290" spans="1:3">
      <c r="A290" s="10" t="str">
        <f>INVENTARIO!A290</f>
        <v>MAL-VER-1</v>
      </c>
      <c r="B290" s="7" t="s">
        <v>302</v>
      </c>
      <c r="C290" s="7" t="str">
        <f>IFERROR(A290&amp;"-"&amp;_xlfn.XLOOKUP(B290,PROVEEDORES!$D$3:$D$37,PROVEEDORES!$B$3:$B$37),"")</f>
        <v>MAL-VER-1-F</v>
      </c>
    </row>
    <row r="291" spans="1:3">
      <c r="A291" s="10" t="str">
        <f>INVENTARIO!A291</f>
        <v>ESC-PLA-1</v>
      </c>
      <c r="B291" s="7" t="s">
        <v>277</v>
      </c>
      <c r="C291" s="7" t="str">
        <f>IFERROR(A291&amp;"-"&amp;_xlfn.XLOOKUP(B291,PROVEEDORES!$D$3:$D$37,PROVEEDORES!$B$3:$B$37),"")</f>
        <v>ESC-PLA-1-O</v>
      </c>
    </row>
    <row r="292" spans="1:3">
      <c r="A292" s="10" t="str">
        <f>INVENTARIO!A292</f>
        <v>ESC-PLA-SIN-SOP-1</v>
      </c>
      <c r="B292" s="7" t="s">
        <v>277</v>
      </c>
      <c r="C292" s="7" t="str">
        <f>IFERROR(A292&amp;"-"&amp;_xlfn.XLOOKUP(B292,PROVEEDORES!$D$3:$D$37,PROVEEDORES!$B$3:$B$37),"")</f>
        <v>ESC-PLA-SIN-SOP-1-O</v>
      </c>
    </row>
    <row r="293" spans="1:3" ht="20.399999999999999">
      <c r="A293" s="10" t="str">
        <f>INVENTARIO!A293</f>
        <v>SOP-PLA-3MM-BAS-DEL-MOV-1</v>
      </c>
      <c r="B293" s="7" t="s">
        <v>277</v>
      </c>
      <c r="C293" s="7" t="str">
        <f>IFERROR(A293&amp;"-"&amp;_xlfn.XLOOKUP(B293,PROVEEDORES!$D$3:$D$37,PROVEEDORES!$B$3:$B$37),"")</f>
        <v>SOP-PLA-3MM-BAS-DEL-MOV-1-O</v>
      </c>
    </row>
    <row r="294" spans="1:3">
      <c r="A294" s="10" t="str">
        <f>INVENTARIO!A294</f>
        <v>TIR-IMP-VEN-SIL-1</v>
      </c>
      <c r="B294" s="7" t="s">
        <v>301</v>
      </c>
      <c r="C294" s="7" t="str">
        <f>IFERROR(A294&amp;"-"&amp;_xlfn.XLOOKUP(B294,PROVEEDORES!$D$3:$D$37,PROVEEDORES!$B$3:$B$37),"")</f>
        <v>TIR-IMP-VEN-SIL-1-L</v>
      </c>
    </row>
    <row r="295" spans="1:3">
      <c r="A295" s="10" t="str">
        <f>INVENTARIO!A295</f>
        <v>LAM-PIN-1</v>
      </c>
      <c r="B295" s="7" t="s">
        <v>241</v>
      </c>
      <c r="C295" s="7" t="str">
        <f>IFERROR(A295&amp;"-"&amp;_xlfn.XLOOKUP(B295,PROVEEDORES!$D$3:$D$37,PROVEEDORES!$B$3:$B$37),"")</f>
        <v>LAM-PIN-1-G</v>
      </c>
    </row>
    <row r="296" spans="1:3">
      <c r="A296" s="10" t="str">
        <f>INVENTARIO!A296</f>
        <v>CAR-12PT-1</v>
      </c>
      <c r="B296" s="20" t="s">
        <v>341</v>
      </c>
      <c r="C296" s="7" t="str">
        <f>IFERROR(A296&amp;"-"&amp;_xlfn.XLOOKUP(B296,PROVEEDORES!$D$3:$D$37,PROVEEDORES!$B$3:$B$37),"")</f>
        <v>CAR-12PT-1-AC</v>
      </c>
    </row>
    <row r="297" spans="1:3">
      <c r="A297" s="10" t="str">
        <f>INVENTARIO!A297</f>
        <v>CAR-12PT-DOB-CAR-1</v>
      </c>
      <c r="B297" s="20" t="s">
        <v>341</v>
      </c>
      <c r="C297" s="7" t="str">
        <f>IFERROR(A297&amp;"-"&amp;_xlfn.XLOOKUP(B297,PROVEEDORES!$D$3:$D$37,PROVEEDORES!$B$3:$B$37),"")</f>
        <v>CAR-12PT-DOB-CAR-1-AC</v>
      </c>
    </row>
    <row r="298" spans="1:3">
      <c r="A298" s="10" t="str">
        <f>INVENTARIO!A298</f>
        <v>CAR-14PT-DOB-CAR-1</v>
      </c>
      <c r="B298" s="20" t="s">
        <v>341</v>
      </c>
      <c r="C298" s="7" t="str">
        <f>IFERROR(A298&amp;"-"&amp;_xlfn.XLOOKUP(B298,PROVEEDORES!$D$3:$D$37,PROVEEDORES!$B$3:$B$37),"")</f>
        <v>CAR-14PT-DOB-CAR-1-AC</v>
      </c>
    </row>
    <row r="299" spans="1:3">
      <c r="A299" s="10" t="str">
        <f>INVENTARIO!A299</f>
        <v>CAR-14PT-1</v>
      </c>
      <c r="B299" s="20" t="s">
        <v>341</v>
      </c>
      <c r="C299" s="7" t="str">
        <f>IFERROR(A299&amp;"-"&amp;_xlfn.XLOOKUP(B299,PROVEEDORES!$D$3:$D$37,PROVEEDORES!$B$3:$B$37),"")</f>
        <v>CAR-14PT-1-AC</v>
      </c>
    </row>
    <row r="300" spans="1:3">
      <c r="A300" s="10" t="str">
        <f>INVENTARIO!A300</f>
        <v>COU-BRI-130GR-1</v>
      </c>
      <c r="B300" s="20" t="s">
        <v>341</v>
      </c>
      <c r="C300" s="7" t="str">
        <f>IFERROR(A300&amp;"-"&amp;_xlfn.XLOOKUP(B300,PROVEEDORES!$D$3:$D$37,PROVEEDORES!$B$3:$B$37),"")</f>
        <v>COU-BRI-130GR-1-AC</v>
      </c>
    </row>
    <row r="301" spans="1:3">
      <c r="A301" s="10" t="str">
        <f>INVENTARIO!A301</f>
        <v>COU-BRI-150GR-1</v>
      </c>
      <c r="B301" s="20" t="s">
        <v>341</v>
      </c>
      <c r="C301" s="7" t="str">
        <f>IFERROR(A301&amp;"-"&amp;_xlfn.XLOOKUP(B301,PROVEEDORES!$D$3:$D$37,PROVEEDORES!$B$3:$B$37),"")</f>
        <v>COU-BRI-150GR-1-AC</v>
      </c>
    </row>
    <row r="302" spans="1:3">
      <c r="A302" s="10" t="str">
        <f>INVENTARIO!A302</f>
        <v>COU-BRI-200GR-1</v>
      </c>
      <c r="B302" s="20" t="s">
        <v>341</v>
      </c>
      <c r="C302" s="7" t="str">
        <f>IFERROR(A302&amp;"-"&amp;_xlfn.XLOOKUP(B302,PROVEEDORES!$D$3:$D$37,PROVEEDORES!$B$3:$B$37),"")</f>
        <v>COU-BRI-200GR-1-AC</v>
      </c>
    </row>
    <row r="303" spans="1:3">
      <c r="A303" s="10" t="str">
        <f>INVENTARIO!A303</f>
        <v>COU-BRI-250GR-1</v>
      </c>
      <c r="B303" s="20" t="s">
        <v>341</v>
      </c>
      <c r="C303" s="7" t="str">
        <f>IFERROR(A303&amp;"-"&amp;_xlfn.XLOOKUP(B303,PROVEEDORES!$D$3:$D$37,PROVEEDORES!$B$3:$B$37),"")</f>
        <v>COU-BRI-250GR-1-AC</v>
      </c>
    </row>
    <row r="304" spans="1:3">
      <c r="A304" s="10" t="str">
        <f>INVENTARIO!A304</f>
        <v>COU-BRI-300GR-1</v>
      </c>
      <c r="B304" s="20" t="s">
        <v>341</v>
      </c>
      <c r="C304" s="7" t="str">
        <f>IFERROR(A304&amp;"-"&amp;_xlfn.XLOOKUP(B304,PROVEEDORES!$D$3:$D$37,PROVEEDORES!$B$3:$B$37),"")</f>
        <v>COU-BRI-300GR-1-AC</v>
      </c>
    </row>
    <row r="305" spans="1:3">
      <c r="A305" s="10" t="str">
        <f>INVENTARIO!A305</f>
        <v>KRO-12PT-1</v>
      </c>
      <c r="B305" s="20" t="s">
        <v>341</v>
      </c>
      <c r="C305" s="7" t="str">
        <f>IFERROR(A305&amp;"-"&amp;_xlfn.XLOOKUP(B305,PROVEEDORES!$D$3:$D$37,PROVEEDORES!$B$3:$B$37),"")</f>
        <v>KRO-12PT-1-AC</v>
      </c>
    </row>
    <row r="306" spans="1:3">
      <c r="A306" s="10" t="str">
        <f>INVENTARIO!A306</f>
        <v>KRO-10PT-1</v>
      </c>
      <c r="B306" s="20" t="s">
        <v>341</v>
      </c>
      <c r="C306" s="7" t="str">
        <f>IFERROR(A306&amp;"-"&amp;_xlfn.XLOOKUP(B306,PROVEEDORES!$D$3:$D$37,PROVEEDORES!$B$3:$B$37),"")</f>
        <v>KRO-10PT-1-AC</v>
      </c>
    </row>
    <row r="307" spans="1:3">
      <c r="A307" s="10" t="str">
        <f>INVENTARIO!A307</f>
        <v>CAR-OPA-1</v>
      </c>
      <c r="B307" s="20" t="s">
        <v>341</v>
      </c>
      <c r="C307" s="7" t="str">
        <f>IFERROR(A307&amp;"-"&amp;_xlfn.XLOOKUP(B307,PROVEEDORES!$D$3:$D$37,PROVEEDORES!$B$3:$B$37),"")</f>
        <v>CAR-OPA-1-AC</v>
      </c>
    </row>
    <row r="308" spans="1:3">
      <c r="A308" s="10" t="str">
        <f>INVENTARIO!A308</f>
        <v>PAP-OPA-1</v>
      </c>
      <c r="B308" s="20" t="s">
        <v>341</v>
      </c>
      <c r="C308" s="7" t="str">
        <f>IFERROR(A308&amp;"-"&amp;_xlfn.XLOOKUP(B308,PROVEEDORES!$D$3:$D$37,PROVEEDORES!$B$3:$B$37),"")</f>
        <v>PAP-OPA-1-AC</v>
      </c>
    </row>
    <row r="309" spans="1:3">
      <c r="A309" s="10" t="str">
        <f>INVENTARIO!A309</f>
        <v>COU-ADH-ALT-BRI-1</v>
      </c>
      <c r="B309" s="20" t="s">
        <v>341</v>
      </c>
      <c r="C309" s="7" t="str">
        <f>IFERROR(A309&amp;"-"&amp;_xlfn.XLOOKUP(B309,PROVEEDORES!$D$3:$D$37,PROVEEDORES!$B$3:$B$37),"")</f>
        <v>COU-ADH-ALT-BRI-1-AC</v>
      </c>
    </row>
    <row r="310" spans="1:3">
      <c r="A310" s="10" t="str">
        <f>INVENTARIO!A310</f>
        <v>COU-ADH-1</v>
      </c>
      <c r="B310" s="20" t="s">
        <v>341</v>
      </c>
      <c r="C310" s="7" t="str">
        <f>IFERROR(A310&amp;"-"&amp;_xlfn.XLOOKUP(B310,PROVEEDORES!$D$3:$D$37,PROVEEDORES!$B$3:$B$37),"")</f>
        <v>COU-ADH-1-AC</v>
      </c>
    </row>
    <row r="311" spans="1:3">
      <c r="A311" s="10" t="str">
        <f>INVENTARIO!A311</f>
        <v>COU-ADH-DOB-CAR-1</v>
      </c>
      <c r="B311" s="20" t="s">
        <v>341</v>
      </c>
      <c r="C311" s="7" t="str">
        <f>IFERROR(A311&amp;"-"&amp;_xlfn.XLOOKUP(B311,PROVEEDORES!$D$3:$D$37,PROVEEDORES!$B$3:$B$37),"")</f>
        <v>COU-ADH-DOB-CAR-1-AC</v>
      </c>
    </row>
    <row r="312" spans="1:3">
      <c r="A312" s="10" t="str">
        <f>INVENTARIO!A312</f>
        <v>COU-ADH-MAT-1</v>
      </c>
      <c r="B312" s="20" t="s">
        <v>341</v>
      </c>
      <c r="C312" s="7" t="str">
        <f>IFERROR(A312&amp;"-"&amp;_xlfn.XLOOKUP(B312,PROVEEDORES!$D$3:$D$37,PROVEEDORES!$B$3:$B$37),"")</f>
        <v>COU-ADH-MAT-1-AC</v>
      </c>
    </row>
    <row r="313" spans="1:3">
      <c r="A313" s="10" t="str">
        <f>INVENTARIO!A313</f>
        <v>ADH-IVO-1</v>
      </c>
      <c r="B313" s="20" t="s">
        <v>341</v>
      </c>
      <c r="C313" s="7" t="str">
        <f>IFERROR(A313&amp;"-"&amp;_xlfn.XLOOKUP(B313,PROVEEDORES!$D$3:$D$37,PROVEEDORES!$B$3:$B$37),"")</f>
        <v>ADH-IVO-1-AC</v>
      </c>
    </row>
    <row r="314" spans="1:3">
      <c r="A314" s="10" t="str">
        <f>INVENTARIO!A314</f>
        <v>STA-MAR-1</v>
      </c>
      <c r="B314" s="20" t="s">
        <v>341</v>
      </c>
      <c r="C314" s="7" t="str">
        <f>IFERROR(A314&amp;"-"&amp;_xlfn.XLOOKUP(B314,PROVEEDORES!$D$3:$D$37,PROVEEDORES!$B$3:$B$37),"")</f>
        <v>STA-MAR-1-AC</v>
      </c>
    </row>
    <row r="315" spans="1:3">
      <c r="A315" s="10" t="str">
        <f>INVENTARIO!A315</f>
        <v>STA-BLA-1</v>
      </c>
      <c r="B315" s="20" t="s">
        <v>341</v>
      </c>
      <c r="C315" s="7" t="str">
        <f>IFERROR(A315&amp;"-"&amp;_xlfn.XLOOKUP(B315,PROVEEDORES!$D$3:$D$37,PROVEEDORES!$B$3:$B$37),"")</f>
        <v>STA-BLA-1-AC</v>
      </c>
    </row>
    <row r="316" spans="1:3">
      <c r="A316" s="10" t="str">
        <f>INVENTARIO!A316</f>
        <v>STA-CEP-PLA-CEP-1</v>
      </c>
      <c r="B316" s="20" t="s">
        <v>341</v>
      </c>
      <c r="C316" s="7" t="str">
        <f>IFERROR(A316&amp;"-"&amp;_xlfn.XLOOKUP(B316,PROVEEDORES!$D$3:$D$37,PROVEEDORES!$B$3:$B$37),"")</f>
        <v>STA-CEP-PLA-CEP-1-AC</v>
      </c>
    </row>
    <row r="317" spans="1:3">
      <c r="A317" s="10" t="str">
        <f>INVENTARIO!A317</f>
        <v>STA-PLA-1</v>
      </c>
      <c r="B317" s="20" t="s">
        <v>341</v>
      </c>
      <c r="C317" s="7" t="str">
        <f>IFERROR(A317&amp;"-"&amp;_xlfn.XLOOKUP(B317,PROVEEDORES!$D$3:$D$37,PROVEEDORES!$B$3:$B$37),"")</f>
        <v>STA-PLA-1-AC</v>
      </c>
    </row>
    <row r="318" spans="1:3">
      <c r="A318" s="10" t="str">
        <f>INVENTARIO!A318</f>
        <v>STA-NEG-1</v>
      </c>
      <c r="B318" s="20" t="s">
        <v>341</v>
      </c>
      <c r="C318" s="7" t="str">
        <f>IFERROR(A318&amp;"-"&amp;_xlfn.XLOOKUP(B318,PROVEEDORES!$D$3:$D$37,PROVEEDORES!$B$3:$B$37),"")</f>
        <v>STA-NEG-1-AC</v>
      </c>
    </row>
    <row r="319" spans="1:3">
      <c r="A319" s="10" t="str">
        <f>INVENTARIO!A319</f>
        <v>STA-ROS-1</v>
      </c>
      <c r="B319" s="20" t="s">
        <v>341</v>
      </c>
      <c r="C319" s="7" t="str">
        <f>IFERROR(A319&amp;"-"&amp;_xlfn.XLOOKUP(B319,PROVEEDORES!$D$3:$D$37,PROVEEDORES!$B$3:$B$37),"")</f>
        <v>STA-ROS-1-AC</v>
      </c>
    </row>
    <row r="320" spans="1:3">
      <c r="A320" s="10" t="str">
        <f>INVENTARIO!A320</f>
        <v>STA-ORO-1</v>
      </c>
      <c r="B320" s="20" t="s">
        <v>341</v>
      </c>
      <c r="C320" s="7" t="str">
        <f>IFERROR(A320&amp;"-"&amp;_xlfn.XLOOKUP(B320,PROVEEDORES!$D$3:$D$37,PROVEEDORES!$B$3:$B$37),"")</f>
        <v>STA-ORO-1-AC</v>
      </c>
    </row>
    <row r="321" spans="1:3">
      <c r="A321" s="10" t="str">
        <f>INVENTARIO!A321</f>
        <v>TEX-COR</v>
      </c>
      <c r="B321" s="20" t="s">
        <v>341</v>
      </c>
      <c r="C321" s="7" t="str">
        <f>IFERROR(A321&amp;"-"&amp;_xlfn.XLOOKUP(B321,PROVEEDORES!$D$3:$D$37,PROVEEDORES!$B$3:$B$37),"")</f>
        <v>TEX-COR-AC</v>
      </c>
    </row>
    <row r="322" spans="1:3">
      <c r="A322" s="10" t="str">
        <f>INVENTARIO!A322</f>
        <v>CAR-LIN-AMA-1</v>
      </c>
      <c r="B322" s="20" t="s">
        <v>341</v>
      </c>
      <c r="C322" s="7" t="str">
        <f>IFERROR(A322&amp;"-"&amp;_xlfn.XLOOKUP(B322,PROVEEDORES!$D$3:$D$37,PROVEEDORES!$B$3:$B$37),"")</f>
        <v>CAR-LIN-AMA-1-AC</v>
      </c>
    </row>
    <row r="323" spans="1:3">
      <c r="A323" s="10" t="str">
        <f>INVENTARIO!A323</f>
        <v>CAR-LIN-MAR-1</v>
      </c>
      <c r="B323" s="20" t="s">
        <v>341</v>
      </c>
      <c r="C323" s="7" t="str">
        <f>IFERROR(A323&amp;"-"&amp;_xlfn.XLOOKUP(B323,PROVEEDORES!$D$3:$D$37,PROVEEDORES!$B$3:$B$37),"")</f>
        <v>CAR-LIN-MAR-1-AC</v>
      </c>
    </row>
    <row r="324" spans="1:3">
      <c r="A324" s="10" t="str">
        <f>INVENTARIO!A324</f>
        <v>CAR-LIN-BLA-1</v>
      </c>
      <c r="B324" s="20" t="s">
        <v>341</v>
      </c>
      <c r="C324" s="7" t="str">
        <f>IFERROR(A324&amp;"-"&amp;_xlfn.XLOOKUP(B324,PROVEEDORES!$D$3:$D$37,PROVEEDORES!$B$3:$B$37),"")</f>
        <v>CAR-LIN-BLA-1-AC</v>
      </c>
    </row>
    <row r="325" spans="1:3">
      <c r="A325" s="10" t="str">
        <f>INVENTARIO!A325</f>
        <v>PAP-LIN-BLA-1</v>
      </c>
      <c r="B325" s="20" t="s">
        <v>341</v>
      </c>
      <c r="C325" s="7" t="str">
        <f>IFERROR(A325&amp;"-"&amp;_xlfn.XLOOKUP(B325,PROVEEDORES!$D$3:$D$37,PROVEEDORES!$B$3:$B$37),"")</f>
        <v>PAP-LIN-BLA-1-AC</v>
      </c>
    </row>
    <row r="326" spans="1:3">
      <c r="A326" s="10" t="str">
        <f>INVENTARIO!A326</f>
        <v>PAP-LIN-MAR-1</v>
      </c>
      <c r="B326" s="20" t="s">
        <v>341</v>
      </c>
      <c r="C326" s="7" t="str">
        <f>IFERROR(A326&amp;"-"&amp;_xlfn.XLOOKUP(B326,PROVEEDORES!$D$3:$D$37,PROVEEDORES!$B$3:$B$37),"")</f>
        <v>PAP-LIN-MAR-1-AC</v>
      </c>
    </row>
    <row r="327" spans="1:3">
      <c r="A327" s="10" t="str">
        <f>INVENTARIO!A327</f>
        <v>PAP-TEX-REC-1</v>
      </c>
      <c r="B327" s="20" t="s">
        <v>341</v>
      </c>
      <c r="C327" s="7" t="str">
        <f>IFERROR(A327&amp;"-"&amp;_xlfn.XLOOKUP(B327,PROVEEDORES!$D$3:$D$37,PROVEEDORES!$B$3:$B$37),"")</f>
        <v>PAP-TEX-REC-1-AC</v>
      </c>
    </row>
    <row r="328" spans="1:3">
      <c r="A328" s="10" t="str">
        <f>INVENTARIO!A328</f>
        <v>OTR-RES-GRI-1</v>
      </c>
      <c r="B328" s="20" t="s">
        <v>341</v>
      </c>
      <c r="C328" s="7" t="str">
        <f>IFERROR(A328&amp;"-"&amp;_xlfn.XLOOKUP(B328,PROVEEDORES!$D$3:$D$37,PROVEEDORES!$B$3:$B$37),"")</f>
        <v>OTR-RES-GRI-1-AC</v>
      </c>
    </row>
    <row r="329" spans="1:3">
      <c r="A329" s="10" t="str">
        <f>INVENTARIO!A329</f>
        <v>OTR-RES-CAF-1</v>
      </c>
      <c r="B329" s="20" t="s">
        <v>341</v>
      </c>
      <c r="C329" s="7" t="str">
        <f>IFERROR(A329&amp;"-"&amp;_xlfn.XLOOKUP(B329,PROVEEDORES!$D$3:$D$37,PROVEEDORES!$B$3:$B$37),"")</f>
        <v>OTR-RES-CAF-1-AC</v>
      </c>
    </row>
    <row r="330" spans="1:3">
      <c r="A330" s="10" t="str">
        <f>INVENTARIO!A330</f>
        <v>PAP-BON-1</v>
      </c>
      <c r="B330" s="20" t="s">
        <v>341</v>
      </c>
      <c r="C330" s="7" t="str">
        <f>IFERROR(A330&amp;"-"&amp;_xlfn.XLOOKUP(B330,PROVEEDORES!$D$3:$D$37,PROVEEDORES!$B$3:$B$37),"")</f>
        <v>PAP-BON-1-AC</v>
      </c>
    </row>
    <row r="331" spans="1:3">
      <c r="A331" s="10" t="str">
        <f>INVENTARIO!A331</f>
        <v>COU-MAT-130GR-1</v>
      </c>
      <c r="B331" s="20" t="s">
        <v>341</v>
      </c>
      <c r="C331" s="7" t="str">
        <f>IFERROR(A331&amp;"-"&amp;_xlfn.XLOOKUP(B331,PROVEEDORES!$D$3:$D$37,PROVEEDORES!$B$3:$B$37),"")</f>
        <v>COU-MAT-130GR-1-AC</v>
      </c>
    </row>
    <row r="332" spans="1:3">
      <c r="A332" s="10" t="str">
        <f>INVENTARIO!A332</f>
        <v>COU-MAT-150GR-1</v>
      </c>
      <c r="B332" s="20" t="s">
        <v>341</v>
      </c>
      <c r="C332" s="7" t="str">
        <f>IFERROR(A332&amp;"-"&amp;_xlfn.XLOOKUP(B332,PROVEEDORES!$D$3:$D$37,PROVEEDORES!$B$3:$B$37),"")</f>
        <v>COU-MAT-150GR-1-AC</v>
      </c>
    </row>
    <row r="333" spans="1:3">
      <c r="A333" s="10" t="str">
        <f>INVENTARIO!A333</f>
        <v>COU-MAT-200GR-1</v>
      </c>
      <c r="B333" s="20" t="s">
        <v>341</v>
      </c>
      <c r="C333" s="7" t="str">
        <f>IFERROR(A333&amp;"-"&amp;_xlfn.XLOOKUP(B333,PROVEEDORES!$D$3:$D$37,PROVEEDORES!$B$3:$B$37),"")</f>
        <v>COU-MAT-200GR-1-AC</v>
      </c>
    </row>
    <row r="334" spans="1:3">
      <c r="A334" s="10" t="str">
        <f>INVENTARIO!A334</f>
        <v>COU-MAT-250GR-1</v>
      </c>
      <c r="B334" s="20" t="s">
        <v>341</v>
      </c>
      <c r="C334" s="7" t="str">
        <f>IFERROR(A334&amp;"-"&amp;_xlfn.XLOOKUP(B334,PROVEEDORES!$D$3:$D$37,PROVEEDORES!$B$3:$B$37),"")</f>
        <v>COU-MAT-250GR-1-AC</v>
      </c>
    </row>
    <row r="335" spans="1:3">
      <c r="A335" s="10" t="str">
        <f>INVENTARIO!A335</f>
        <v>COU-MAT-300GR-1</v>
      </c>
      <c r="B335" s="20" t="s">
        <v>341</v>
      </c>
      <c r="C335" s="7" t="str">
        <f>IFERROR(A335&amp;"-"&amp;_xlfn.XLOOKUP(B335,PROVEEDORES!$D$3:$D$37,PROVEEDORES!$B$3:$B$37),"")</f>
        <v>COU-MAT-300GR-1-AC</v>
      </c>
    </row>
    <row r="336" spans="1:3">
      <c r="A336" s="10" t="str">
        <f>INVENTARIO!A336</f>
        <v>COU-MAT-350GR-1</v>
      </c>
      <c r="B336" s="20" t="s">
        <v>341</v>
      </c>
      <c r="C336" s="7" t="str">
        <f>IFERROR(A336&amp;"-"&amp;_xlfn.XLOOKUP(B336,PROVEEDORES!$D$3:$D$37,PROVEEDORES!$B$3:$B$37),"")</f>
        <v>COU-MAT-350GR-1-AC</v>
      </c>
    </row>
    <row r="337" spans="1:3">
      <c r="A337" s="10" t="str">
        <f>INVENTARIO!A337</f>
        <v>RIV-MAR-1</v>
      </c>
      <c r="B337" s="20" t="s">
        <v>341</v>
      </c>
      <c r="C337" s="7" t="str">
        <f>IFERROR(A337&amp;"-"&amp;_xlfn.XLOOKUP(B337,PROVEEDORES!$D$3:$D$37,PROVEEDORES!$B$3:$B$37),"")</f>
        <v>RIV-MAR-1-AC</v>
      </c>
    </row>
    <row r="338" spans="1:3">
      <c r="A338" s="10" t="str">
        <f>INVENTARIO!A338</f>
        <v>ENV-DES-1</v>
      </c>
      <c r="B338" s="20" t="s">
        <v>341</v>
      </c>
      <c r="C338" s="7" t="str">
        <f>IFERROR(A338&amp;"-"&amp;_xlfn.XLOOKUP(B338,PROVEEDORES!$D$3:$D$37,PROVEEDORES!$B$3:$B$37),"")</f>
        <v>ENV-DES-1-AC</v>
      </c>
    </row>
    <row r="339" spans="1:3">
      <c r="A339" s="10" t="str">
        <f>INVENTARIO!A339</f>
        <v>PAP-SUN-BLA-1</v>
      </c>
      <c r="B339" s="20" t="s">
        <v>341</v>
      </c>
      <c r="C339" s="7" t="str">
        <f>IFERROR(A339&amp;"-"&amp;_xlfn.XLOOKUP(B339,PROVEEDORES!$D$3:$D$37,PROVEEDORES!$B$3:$B$37),"")</f>
        <v>PAP-SUN-BLA-1-AC</v>
      </c>
    </row>
    <row r="340" spans="1:3">
      <c r="A340" s="10" t="str">
        <f>INVENTARIO!A340</f>
        <v>CAR-SUN-BLA-1</v>
      </c>
      <c r="B340" s="20" t="s">
        <v>341</v>
      </c>
      <c r="C340" s="7" t="str">
        <f>IFERROR(A340&amp;"-"&amp;_xlfn.XLOOKUP(B340,PROVEEDORES!$D$3:$D$37,PROVEEDORES!$B$3:$B$37),"")</f>
        <v>CAR-SUN-BLA-1-AC</v>
      </c>
    </row>
    <row r="341" spans="1:3">
      <c r="A341" s="10" t="str">
        <f>INVENTARIO!A341</f>
        <v>CAR-BRI-1</v>
      </c>
      <c r="B341" s="20" t="s">
        <v>341</v>
      </c>
      <c r="C341" s="7" t="str">
        <f>IFERROR(A341&amp;"-"&amp;_xlfn.XLOOKUP(B341,PROVEEDORES!$D$3:$D$37,PROVEEDORES!$B$3:$B$37),"")</f>
        <v>CAR-BRI-1-AC</v>
      </c>
    </row>
    <row r="342" spans="1:3">
      <c r="A342" s="10" t="str">
        <f>INVENTARIO!A342</f>
        <v>CAR-FAB-185GR-GRI-ANT-1</v>
      </c>
      <c r="B342" s="20" t="s">
        <v>341</v>
      </c>
      <c r="C342" s="7" t="str">
        <f>IFERROR(A342&amp;"-"&amp;_xlfn.XLOOKUP(B342,PROVEEDORES!$D$3:$D$37,PROVEEDORES!$B$3:$B$37),"")</f>
        <v>CAR-FAB-185GR-GRI-ANT-1-AC</v>
      </c>
    </row>
    <row r="343" spans="1:3">
      <c r="A343" s="10" t="str">
        <f>INVENTARIO!A343</f>
        <v>PAP-FAB-CLA-130GR-1</v>
      </c>
      <c r="B343" s="20" t="s">
        <v>341</v>
      </c>
      <c r="C343" s="7" t="str">
        <f>IFERROR(A343&amp;"-"&amp;_xlfn.XLOOKUP(B343,PROVEEDORES!$D$3:$D$37,PROVEEDORES!$B$3:$B$37),"")</f>
        <v>PAP-FAB-CLA-130GR-1-AC</v>
      </c>
    </row>
    <row r="344" spans="1:3">
      <c r="A344" s="10" t="str">
        <f>INVENTARIO!A344</f>
        <v>FAB-350GR-1</v>
      </c>
      <c r="B344" s="20" t="s">
        <v>341</v>
      </c>
      <c r="C344" s="7" t="str">
        <f>IFERROR(A344&amp;"-"&amp;_xlfn.XLOOKUP(B344,PROVEEDORES!$D$3:$D$37,PROVEEDORES!$B$3:$B$37),"")</f>
        <v>FAB-350GR-1-AC</v>
      </c>
    </row>
  </sheetData>
  <mergeCells count="3">
    <mergeCell ref="A1:A2"/>
    <mergeCell ref="C1:C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8442-6E71-4F73-96D7-47E6AF020D46}">
  <dimension ref="A2:G320"/>
  <sheetViews>
    <sheetView workbookViewId="0">
      <selection activeCell="G245" sqref="G245:G320"/>
    </sheetView>
  </sheetViews>
  <sheetFormatPr baseColWidth="10" defaultRowHeight="14.4"/>
  <cols>
    <col min="1" max="1" width="36.33203125" customWidth="1"/>
    <col min="2" max="2" width="47.6640625" customWidth="1"/>
    <col min="5" max="5" width="17.5546875" customWidth="1"/>
    <col min="7" max="7" width="17.6640625" customWidth="1"/>
  </cols>
  <sheetData>
    <row r="2" spans="1:7">
      <c r="A2" s="6" t="s">
        <v>474</v>
      </c>
      <c r="B2" s="6" t="s">
        <v>475</v>
      </c>
      <c r="C2" s="18" t="s">
        <v>476</v>
      </c>
      <c r="D2" s="18" t="s">
        <v>477</v>
      </c>
      <c r="E2" s="18" t="s">
        <v>478</v>
      </c>
      <c r="F2" s="18" t="s">
        <v>479</v>
      </c>
      <c r="G2" s="21" t="s">
        <v>484</v>
      </c>
    </row>
    <row r="3" spans="1:7">
      <c r="A3" t="str" cm="1">
        <f t="array" ref="A3:A320">_xlfn.UNIQUE(INVENTARIO!A3:A344,FALSE,TRUE)</f>
        <v>LON-BAC-1</v>
      </c>
      <c r="B3" t="str">
        <f>IF(PRODUCTOS!A3="","",_xlfn.XLOOKUP(PRODUCTOS!A3,INVENTARIO!A3:A344,INVENTARIO!C3:C344))</f>
        <v>LONA BACKLITE</v>
      </c>
      <c r="C3" t="str">
        <f>IF(PRODUCTOS!A3="","",_xlfn.XLOOKUP(PRODUCTOS!A3,INVENTARIO!A3:A344,INVENTARIO!D3:D344))</f>
        <v>1,6</v>
      </c>
      <c r="D3">
        <f>IF(PRODUCTOS!A3="","",_xlfn.XLOOKUP(PRODUCTOS!A3,INVENTARIO!A3:A344,INVENTARIO!E3:E344))</f>
        <v>50</v>
      </c>
      <c r="G3" t="s">
        <v>485</v>
      </c>
    </row>
    <row r="4" spans="1:7">
      <c r="A4" t="str">
        <v>LON-BAC-2</v>
      </c>
      <c r="B4" t="str">
        <f>IF(PRODUCTOS!A4="","",_xlfn.XLOOKUP(PRODUCTOS!A4,INVENTARIO!A4:A345,INVENTARIO!C4:C345))</f>
        <v>LONA BACKLITE</v>
      </c>
      <c r="C4" t="str">
        <f>IF(PRODUCTOS!A4="","",_xlfn.XLOOKUP(PRODUCTOS!A4,INVENTARIO!A4:A345,INVENTARIO!D4:D345))</f>
        <v>2,5</v>
      </c>
      <c r="D4">
        <f>IF(PRODUCTOS!A4="","",_xlfn.XLOOKUP(PRODUCTOS!A4,INVENTARIO!A4:A345,INVENTARIO!E4:E345))</f>
        <v>50</v>
      </c>
      <c r="G4" t="s">
        <v>485</v>
      </c>
    </row>
    <row r="5" spans="1:7">
      <c r="A5" t="str">
        <v>LON-BAC-3</v>
      </c>
      <c r="B5" t="str">
        <f>IF(PRODUCTOS!A5="","",_xlfn.XLOOKUP(PRODUCTOS!A5,INVENTARIO!A5:A346,INVENTARIO!C5:C346))</f>
        <v>LONA BACKLITE</v>
      </c>
      <c r="C5" t="str">
        <f>IF(PRODUCTOS!A5="","",_xlfn.XLOOKUP(PRODUCTOS!A5,INVENTARIO!A5:A346,INVENTARIO!D5:D346))</f>
        <v>3,2</v>
      </c>
      <c r="D5">
        <f>IF(PRODUCTOS!A5="","",_xlfn.XLOOKUP(PRODUCTOS!A5,INVENTARIO!A5:A346,INVENTARIO!E5:E346))</f>
        <v>50</v>
      </c>
      <c r="G5" t="s">
        <v>485</v>
      </c>
    </row>
    <row r="6" spans="1:7">
      <c r="A6" t="str">
        <v>LON-FRO-13OZ-1</v>
      </c>
      <c r="B6" t="str">
        <f>IF(PRODUCTOS!A6="","",_xlfn.XLOOKUP(PRODUCTOS!A6,INVENTARIO!A6:A347,INVENTARIO!C6:C347))</f>
        <v>LONA FRONT 13 OZ</v>
      </c>
      <c r="C6" t="str">
        <f>IF(PRODUCTOS!A6="","",_xlfn.XLOOKUP(PRODUCTOS!A6,INVENTARIO!A6:A347,INVENTARIO!D6:D347))</f>
        <v>1,6</v>
      </c>
      <c r="D6">
        <f>IF(PRODUCTOS!A6="","",_xlfn.XLOOKUP(PRODUCTOS!A6,INVENTARIO!A6:A347,INVENTARIO!E6:E347))</f>
        <v>50</v>
      </c>
      <c r="G6" t="s">
        <v>485</v>
      </c>
    </row>
    <row r="7" spans="1:7">
      <c r="A7" t="str">
        <v>LON-FRO-13OZ-2</v>
      </c>
      <c r="B7" t="str">
        <f>IF(PRODUCTOS!A7="","",_xlfn.XLOOKUP(PRODUCTOS!A7,INVENTARIO!A7:A348,INVENTARIO!C7:C348))</f>
        <v>LONA FRONT 13 OZ</v>
      </c>
      <c r="C7" t="str">
        <f>IF(PRODUCTOS!A7="","",_xlfn.XLOOKUP(PRODUCTOS!A7,INVENTARIO!A7:A348,INVENTARIO!D7:D348))</f>
        <v>2,04</v>
      </c>
      <c r="D7">
        <f>IF(PRODUCTOS!A7="","",_xlfn.XLOOKUP(PRODUCTOS!A7,INVENTARIO!A7:A348,INVENTARIO!E7:E348))</f>
        <v>50</v>
      </c>
      <c r="G7" t="s">
        <v>485</v>
      </c>
    </row>
    <row r="8" spans="1:7">
      <c r="A8" t="str">
        <v>LON-FRO-13OZ-3</v>
      </c>
      <c r="B8" t="str">
        <f>IF(PRODUCTOS!A8="","",_xlfn.XLOOKUP(PRODUCTOS!A8,INVENTARIO!A8:A349,INVENTARIO!C8:C349))</f>
        <v>LONA FRONT 13 OZ</v>
      </c>
      <c r="C8" t="str">
        <f>IF(PRODUCTOS!A8="","",_xlfn.XLOOKUP(PRODUCTOS!A8,INVENTARIO!A8:A349,INVENTARIO!D8:D349))</f>
        <v>2,04</v>
      </c>
      <c r="D8">
        <f>IF(PRODUCTOS!A8="","",_xlfn.XLOOKUP(PRODUCTOS!A8,INVENTARIO!A8:A349,INVENTARIO!E8:E349))</f>
        <v>100</v>
      </c>
      <c r="G8" t="s">
        <v>485</v>
      </c>
    </row>
    <row r="9" spans="1:7">
      <c r="A9" t="str">
        <v>LON-FRO-13OZ-4</v>
      </c>
      <c r="B9" t="str">
        <f>IF(PRODUCTOS!A9="","",_xlfn.XLOOKUP(PRODUCTOS!A9,INVENTARIO!A9:A350,INVENTARIO!C9:C350))</f>
        <v>LONA FRONT 13 OZ</v>
      </c>
      <c r="C9" t="str">
        <f>IF(PRODUCTOS!A9="","",_xlfn.XLOOKUP(PRODUCTOS!A9,INVENTARIO!A9:A350,INVENTARIO!D9:D350))</f>
        <v>2,5</v>
      </c>
      <c r="D9">
        <f>IF(PRODUCTOS!A9="","",_xlfn.XLOOKUP(PRODUCTOS!A9,INVENTARIO!A9:A350,INVENTARIO!E9:E350))</f>
        <v>50</v>
      </c>
      <c r="G9" t="s">
        <v>485</v>
      </c>
    </row>
    <row r="10" spans="1:7">
      <c r="A10" t="str">
        <v>LON-FRO-13OZ-5</v>
      </c>
      <c r="B10" t="str">
        <f>IF(PRODUCTOS!A10="","",_xlfn.XLOOKUP(PRODUCTOS!A10,INVENTARIO!A10:A351,INVENTARIO!C10:C351))</f>
        <v>LONA FRONT 13 OZ</v>
      </c>
      <c r="C10" t="str">
        <f>IF(PRODUCTOS!A10="","",_xlfn.XLOOKUP(PRODUCTOS!A10,INVENTARIO!A10:A351,INVENTARIO!D10:D351))</f>
        <v>2,5</v>
      </c>
      <c r="D10">
        <f>IF(PRODUCTOS!A10="","",_xlfn.XLOOKUP(PRODUCTOS!A10,INVENTARIO!A10:A351,INVENTARIO!E10:E351))</f>
        <v>100</v>
      </c>
      <c r="G10" t="s">
        <v>485</v>
      </c>
    </row>
    <row r="11" spans="1:7">
      <c r="A11" t="str">
        <v>LON-FRO-13OZ-6</v>
      </c>
      <c r="B11" t="str">
        <f>IF(PRODUCTOS!A11="","",_xlfn.XLOOKUP(PRODUCTOS!A11,INVENTARIO!A11:A352,INVENTARIO!C11:C352))</f>
        <v>LONA FRONT 13 OZ</v>
      </c>
      <c r="C11" t="str">
        <f>IF(PRODUCTOS!A11="","",_xlfn.XLOOKUP(PRODUCTOS!A11,INVENTARIO!A11:A352,INVENTARIO!D11:D352))</f>
        <v>3,2</v>
      </c>
      <c r="D11">
        <f>IF(PRODUCTOS!A11="","",_xlfn.XLOOKUP(PRODUCTOS!A11,INVENTARIO!A11:A352,INVENTARIO!E11:E352))</f>
        <v>50</v>
      </c>
      <c r="G11" t="s">
        <v>485</v>
      </c>
    </row>
    <row r="12" spans="1:7">
      <c r="A12" t="str">
        <v>LON-FRO-13OZ-7</v>
      </c>
      <c r="B12" t="str">
        <f>IF(PRODUCTOS!A12="","",_xlfn.XLOOKUP(PRODUCTOS!A12,INVENTARIO!A12:A353,INVENTARIO!C12:C353))</f>
        <v>LONA FRONT 13 OZ</v>
      </c>
      <c r="C12" t="str">
        <f>IF(PRODUCTOS!A12="","",_xlfn.XLOOKUP(PRODUCTOS!A12,INVENTARIO!A12:A353,INVENTARIO!D12:D353))</f>
        <v>3,2</v>
      </c>
      <c r="D12">
        <f>IF(PRODUCTOS!A12="","",_xlfn.XLOOKUP(PRODUCTOS!A12,INVENTARIO!A12:A353,INVENTARIO!E12:E353))</f>
        <v>100</v>
      </c>
      <c r="G12" t="s">
        <v>485</v>
      </c>
    </row>
    <row r="13" spans="1:7">
      <c r="A13" t="str">
        <v>LON-ALT-RES-1</v>
      </c>
      <c r="B13" t="str">
        <f>IF(PRODUCTOS!A13="","",_xlfn.XLOOKUP(PRODUCTOS!A13,INVENTARIO!A13:A354,INVENTARIO!C13:C354))</f>
        <v>LONA ALTA RESISTENCIA</v>
      </c>
      <c r="C13" t="str">
        <f>IF(PRODUCTOS!A13="","",_xlfn.XLOOKUP(PRODUCTOS!A13,INVENTARIO!A13:A354,INVENTARIO!D13:D354))</f>
        <v>2,5</v>
      </c>
      <c r="D13">
        <f>IF(PRODUCTOS!A13="","",_xlfn.XLOOKUP(PRODUCTOS!A13,INVENTARIO!A13:A354,INVENTARIO!E13:E354))</f>
        <v>50</v>
      </c>
      <c r="G13" t="s">
        <v>485</v>
      </c>
    </row>
    <row r="14" spans="1:7">
      <c r="A14" t="str">
        <v>LON-ALT-RES-2</v>
      </c>
      <c r="B14" t="str">
        <f>IF(PRODUCTOS!A14="","",_xlfn.XLOOKUP(PRODUCTOS!A14,INVENTARIO!A14:A355,INVENTARIO!C14:C355))</f>
        <v>LONA ALTA RESISTENCIA</v>
      </c>
      <c r="C14" t="str">
        <f>IF(PRODUCTOS!A14="","",_xlfn.XLOOKUP(PRODUCTOS!A14,INVENTARIO!A14:A355,INVENTARIO!D14:D355))</f>
        <v>3,2</v>
      </c>
      <c r="D14">
        <f>IF(PRODUCTOS!A14="","",_xlfn.XLOOKUP(PRODUCTOS!A14,INVENTARIO!A14:A355,INVENTARIO!E14:E355))</f>
        <v>50</v>
      </c>
      <c r="G14" t="s">
        <v>485</v>
      </c>
    </row>
    <row r="15" spans="1:7">
      <c r="A15" t="str">
        <v>LON-MAT-13OZ-LAT-1</v>
      </c>
      <c r="B15" t="str">
        <f>IF(PRODUCTOS!A15="","",_xlfn.XLOOKUP(PRODUCTOS!A15,INVENTARIO!A15:A356,INVENTARIO!C15:C356))</f>
        <v>LONA MATE 13 OZ LATEX</v>
      </c>
      <c r="C15" t="str">
        <f>IF(PRODUCTOS!A15="","",_xlfn.XLOOKUP(PRODUCTOS!A15,INVENTARIO!A15:A356,INVENTARIO!D15:D356))</f>
        <v>1,52</v>
      </c>
      <c r="D15">
        <f>IF(PRODUCTOS!A15="","",_xlfn.XLOOKUP(PRODUCTOS!A15,INVENTARIO!A15:A356,INVENTARIO!E15:E356))</f>
        <v>50</v>
      </c>
      <c r="G15" t="s">
        <v>485</v>
      </c>
    </row>
    <row r="16" spans="1:7">
      <c r="A16" t="str">
        <v>LON-MAT-13OZ-1</v>
      </c>
      <c r="B16" t="str">
        <f>IF(PRODUCTOS!A16="","",_xlfn.XLOOKUP(PRODUCTOS!A16,INVENTARIO!A16:A357,INVENTARIO!C16:C357))</f>
        <v>LONA MATE 13 OZ</v>
      </c>
      <c r="C16" t="str">
        <f>IF(PRODUCTOS!A16="","",_xlfn.XLOOKUP(PRODUCTOS!A16,INVENTARIO!A16:A357,INVENTARIO!D16:D357))</f>
        <v>1,6</v>
      </c>
      <c r="D16">
        <f>IF(PRODUCTOS!A16="","",_xlfn.XLOOKUP(PRODUCTOS!A16,INVENTARIO!A16:A357,INVENTARIO!E16:E357))</f>
        <v>50</v>
      </c>
      <c r="G16" t="s">
        <v>485</v>
      </c>
    </row>
    <row r="17" spans="1:7">
      <c r="A17" t="str">
        <v>LON-MAT-13OZ-2</v>
      </c>
      <c r="B17" t="str">
        <f>IF(PRODUCTOS!A17="","",_xlfn.XLOOKUP(PRODUCTOS!A17,INVENTARIO!A17:A358,INVENTARIO!C17:C358))</f>
        <v>LONA MATE 13 OZ</v>
      </c>
      <c r="C17" t="str">
        <f>IF(PRODUCTOS!A17="","",_xlfn.XLOOKUP(PRODUCTOS!A17,INVENTARIO!A17:A358,INVENTARIO!D17:D358))</f>
        <v>2,5</v>
      </c>
      <c r="D17">
        <f>IF(PRODUCTOS!A17="","",_xlfn.XLOOKUP(PRODUCTOS!A17,INVENTARIO!A17:A358,INVENTARIO!E17:E358))</f>
        <v>50</v>
      </c>
      <c r="G17" t="s">
        <v>485</v>
      </c>
    </row>
    <row r="18" spans="1:7">
      <c r="A18" t="str">
        <v>LON-MAT-13OZ-3</v>
      </c>
      <c r="B18" t="str">
        <f>IF(PRODUCTOS!A18="","",_xlfn.XLOOKUP(PRODUCTOS!A18,INVENTARIO!A18:A359,INVENTARIO!C18:C359))</f>
        <v>LONA MATE 13 OZ</v>
      </c>
      <c r="C18" t="str">
        <f>IF(PRODUCTOS!A18="","",_xlfn.XLOOKUP(PRODUCTOS!A18,INVENTARIO!A18:A359,INVENTARIO!D18:D359))</f>
        <v>3,2</v>
      </c>
      <c r="D18">
        <f>IF(PRODUCTOS!A18="","",_xlfn.XLOOKUP(PRODUCTOS!A18,INVENTARIO!A18:A359,INVENTARIO!E18:E359))</f>
        <v>50</v>
      </c>
      <c r="G18" t="s">
        <v>485</v>
      </c>
    </row>
    <row r="19" spans="1:7">
      <c r="A19" t="str">
        <v>LON-MAT-13OZ-4</v>
      </c>
      <c r="B19" t="str">
        <f>IF(PRODUCTOS!A19="","",_xlfn.XLOOKUP(PRODUCTOS!A19,INVENTARIO!A19:A360,INVENTARIO!C19:C360))</f>
        <v>LONA MATE 13 OZ</v>
      </c>
      <c r="C19" t="str">
        <f>IF(PRODUCTOS!A19="","",_xlfn.XLOOKUP(PRODUCTOS!A19,INVENTARIO!A19:A360,INVENTARIO!D19:D360))</f>
        <v>3,2</v>
      </c>
      <c r="D19">
        <f>IF(PRODUCTOS!A19="","",_xlfn.XLOOKUP(PRODUCTOS!A19,INVENTARIO!A19:A360,INVENTARIO!E19:E360))</f>
        <v>100</v>
      </c>
      <c r="G19" t="s">
        <v>485</v>
      </c>
    </row>
    <row r="20" spans="1:7">
      <c r="A20" t="str">
        <v>LON-MAT-13OZ-NEG-RES-NEG-1</v>
      </c>
      <c r="B20" t="str">
        <f>IF(PRODUCTOS!A20="","",_xlfn.XLOOKUP(PRODUCTOS!A20,INVENTARIO!A20:A361,INVENTARIO!C20:C361))</f>
        <v>LONA MATE 13 OZ - RESP. NEGRO</v>
      </c>
      <c r="C20" t="str">
        <f>IF(PRODUCTOS!A20="","",_xlfn.XLOOKUP(PRODUCTOS!A20,INVENTARIO!A20:A361,INVENTARIO!D20:D361))</f>
        <v>2,5</v>
      </c>
      <c r="D20">
        <f>IF(PRODUCTOS!A20="","",_xlfn.XLOOKUP(PRODUCTOS!A20,INVENTARIO!A20:A361,INVENTARIO!E20:E361))</f>
        <v>50</v>
      </c>
      <c r="G20" t="s">
        <v>485</v>
      </c>
    </row>
    <row r="21" spans="1:7">
      <c r="A21" t="str">
        <v>LON-MAT-13OZ-NEG-RES-NEG-2</v>
      </c>
      <c r="B21" t="str">
        <f>IF(PRODUCTOS!A21="","",_xlfn.XLOOKUP(PRODUCTOS!A21,INVENTARIO!A21:A362,INVENTARIO!C21:C362))</f>
        <v>LONA MATE 13 OZ - RESP. NEGRO</v>
      </c>
      <c r="C21" t="str">
        <f>IF(PRODUCTOS!A21="","",_xlfn.XLOOKUP(PRODUCTOS!A21,INVENTARIO!A21:A362,INVENTARIO!D21:D362))</f>
        <v>2,5</v>
      </c>
      <c r="D21">
        <f>IF(PRODUCTOS!A21="","",_xlfn.XLOOKUP(PRODUCTOS!A21,INVENTARIO!A21:A362,INVENTARIO!E21:E362))</f>
        <v>100</v>
      </c>
      <c r="G21" t="s">
        <v>485</v>
      </c>
    </row>
    <row r="22" spans="1:7">
      <c r="A22" t="str">
        <v>LON-MAT-13OZ-NEG-RES-NEG-3</v>
      </c>
      <c r="B22" t="str">
        <f>IF(PRODUCTOS!A22="","",_xlfn.XLOOKUP(PRODUCTOS!A22,INVENTARIO!A22:A363,INVENTARIO!C22:C363))</f>
        <v>LONA MATE 13 OZ RESP. NEGRO</v>
      </c>
      <c r="C22" t="str">
        <f>IF(PRODUCTOS!A22="","",_xlfn.XLOOKUP(PRODUCTOS!A22,INVENTARIO!A22:A363,INVENTARIO!D22:D363))</f>
        <v>3,2</v>
      </c>
      <c r="D22">
        <f>IF(PRODUCTOS!A22="","",_xlfn.XLOOKUP(PRODUCTOS!A22,INVENTARIO!A22:A363,INVENTARIO!E22:E363))</f>
        <v>50</v>
      </c>
      <c r="G22" t="s">
        <v>485</v>
      </c>
    </row>
    <row r="23" spans="1:7">
      <c r="A23" t="str">
        <v>LON-MAT-13OZ-NEG-RES-NEG-4</v>
      </c>
      <c r="B23" t="str">
        <f>IF(PRODUCTOS!A23="","",_xlfn.XLOOKUP(PRODUCTOS!A23,INVENTARIO!A23:A364,INVENTARIO!C23:C364))</f>
        <v>LONA MATE 13 OZ - RESP. NEGRO</v>
      </c>
      <c r="C23" t="str">
        <f>IF(PRODUCTOS!A23="","",_xlfn.XLOOKUP(PRODUCTOS!A23,INVENTARIO!A23:A364,INVENTARIO!D23:D364))</f>
        <v>3,2</v>
      </c>
      <c r="D23">
        <f>IF(PRODUCTOS!A23="","",_xlfn.XLOOKUP(PRODUCTOS!A23,INVENTARIO!A23:A364,INVENTARIO!E23:E364))</f>
        <v>100</v>
      </c>
      <c r="G23" t="s">
        <v>485</v>
      </c>
    </row>
    <row r="24" spans="1:7">
      <c r="A24" t="str">
        <v>LON-MES-1</v>
      </c>
      <c r="B24" t="str">
        <f>IF(PRODUCTOS!A24="","",_xlfn.XLOOKUP(PRODUCTOS!A24,INVENTARIO!A24:A365,INVENTARIO!C24:C365))</f>
        <v>LONA MESH</v>
      </c>
      <c r="C24" t="str">
        <f>IF(PRODUCTOS!A24="","",_xlfn.XLOOKUP(PRODUCTOS!A24,INVENTARIO!A24:A365,INVENTARIO!D24:D365))</f>
        <v>1,6</v>
      </c>
      <c r="D24">
        <f>IF(PRODUCTOS!A24="","",_xlfn.XLOOKUP(PRODUCTOS!A24,INVENTARIO!A24:A365,INVENTARIO!E24:E365))</f>
        <v>50</v>
      </c>
      <c r="G24" t="s">
        <v>485</v>
      </c>
    </row>
    <row r="25" spans="1:7">
      <c r="A25" t="str">
        <v>LON-MES-2</v>
      </c>
      <c r="B25" t="str">
        <f>IF(PRODUCTOS!A25="","",_xlfn.XLOOKUP(PRODUCTOS!A25,INVENTARIO!A25:A366,INVENTARIO!C25:C366))</f>
        <v>LONA MESH</v>
      </c>
      <c r="C25">
        <f>IF(PRODUCTOS!A25="","",_xlfn.XLOOKUP(PRODUCTOS!A25,INVENTARIO!A25:A366,INVENTARIO!D25:D366))</f>
        <v>2.5</v>
      </c>
      <c r="D25">
        <f>IF(PRODUCTOS!A25="","",_xlfn.XLOOKUP(PRODUCTOS!A25,INVENTARIO!A25:A366,INVENTARIO!E25:E366))</f>
        <v>50</v>
      </c>
      <c r="G25" t="s">
        <v>485</v>
      </c>
    </row>
    <row r="26" spans="1:7">
      <c r="A26" t="str">
        <v>LON-MES-3</v>
      </c>
      <c r="B26" t="str">
        <f>IF(PRODUCTOS!A26="","",_xlfn.XLOOKUP(PRODUCTOS!A26,INVENTARIO!A26:A367,INVENTARIO!C26:C367))</f>
        <v>LONA MESH</v>
      </c>
      <c r="C26" t="str">
        <f>IF(PRODUCTOS!A26="","",_xlfn.XLOOKUP(PRODUCTOS!A26,INVENTARIO!A26:A367,INVENTARIO!D26:D367))</f>
        <v>2,5</v>
      </c>
      <c r="D26">
        <f>IF(PRODUCTOS!A26="","",_xlfn.XLOOKUP(PRODUCTOS!A26,INVENTARIO!A26:A367,INVENTARIO!E26:E367))</f>
        <v>100</v>
      </c>
      <c r="G26" t="s">
        <v>485</v>
      </c>
    </row>
    <row r="27" spans="1:7">
      <c r="A27" t="str">
        <v>LON-MES-4</v>
      </c>
      <c r="B27" t="str">
        <f>IF(PRODUCTOS!A27="","",_xlfn.XLOOKUP(PRODUCTOS!A27,INVENTARIO!A27:A368,INVENTARIO!C27:C368))</f>
        <v>LONA MESH</v>
      </c>
      <c r="C27" t="str">
        <f>IF(PRODUCTOS!A27="","",_xlfn.XLOOKUP(PRODUCTOS!A27,INVENTARIO!A27:A368,INVENTARIO!D27:D368))</f>
        <v>3,2</v>
      </c>
      <c r="D27">
        <f>IF(PRODUCTOS!A27="","",_xlfn.XLOOKUP(PRODUCTOS!A27,INVENTARIO!A27:A368,INVENTARIO!E27:E368))</f>
        <v>50</v>
      </c>
      <c r="G27" t="s">
        <v>485</v>
      </c>
    </row>
    <row r="28" spans="1:7">
      <c r="A28" t="str">
        <v>LON-MES-5</v>
      </c>
      <c r="B28" t="str">
        <f>IF(PRODUCTOS!A28="","",_xlfn.XLOOKUP(PRODUCTOS!A28,INVENTARIO!A28:A369,INVENTARIO!C28:C369))</f>
        <v>LONA MESH</v>
      </c>
      <c r="C28" t="str">
        <f>IF(PRODUCTOS!A28="","",_xlfn.XLOOKUP(PRODUCTOS!A28,INVENTARIO!A28:A369,INVENTARIO!D28:D369))</f>
        <v>3,2</v>
      </c>
      <c r="D28">
        <f>IF(PRODUCTOS!A28="","",_xlfn.XLOOKUP(PRODUCTOS!A28,INVENTARIO!A28:A369,INVENTARIO!E28:E369))</f>
        <v>100</v>
      </c>
      <c r="G28" t="s">
        <v>485</v>
      </c>
    </row>
    <row r="29" spans="1:7">
      <c r="A29" t="str">
        <v>PAP-BLU-BAC-1</v>
      </c>
      <c r="B29" t="str">
        <f>IF(PRODUCTOS!A29="","",_xlfn.XLOOKUP(PRODUCTOS!A29,INVENTARIO!A29:A370,INVENTARIO!C29:C370))</f>
        <v>PAPEL BLUE BACK</v>
      </c>
      <c r="C29" t="str">
        <f>IF(PRODUCTOS!A29="","",_xlfn.XLOOKUP(PRODUCTOS!A29,INVENTARIO!A29:A370,INVENTARIO!D29:D370))</f>
        <v>1,55</v>
      </c>
      <c r="D29">
        <f>IF(PRODUCTOS!A29="","",_xlfn.XLOOKUP(PRODUCTOS!A29,INVENTARIO!A29:A370,INVENTARIO!E29:E370))</f>
        <v>50</v>
      </c>
      <c r="G29" t="s">
        <v>485</v>
      </c>
    </row>
    <row r="30" spans="1:7">
      <c r="A30" t="str">
        <v>PAP-MAT-200GR-FOT-1</v>
      </c>
      <c r="B30" t="str">
        <f>IF(PRODUCTOS!A30="","",_xlfn.XLOOKUP(PRODUCTOS!A30,INVENTARIO!A30:A371,INVENTARIO!C30:C371))</f>
        <v>PAPEL MATE 200 GRS FOTOGRAFICO</v>
      </c>
      <c r="C30" t="str">
        <f>IF(PRODUCTOS!A30="","",_xlfn.XLOOKUP(PRODUCTOS!A30,INVENTARIO!A30:A371,INVENTARIO!D30:D371))</f>
        <v>1,52</v>
      </c>
      <c r="D30">
        <f>IF(PRODUCTOS!A30="","",_xlfn.XLOOKUP(PRODUCTOS!A30,INVENTARIO!A30:A371,INVENTARIO!E30:E371))</f>
        <v>50</v>
      </c>
      <c r="G30" t="s">
        <v>485</v>
      </c>
    </row>
    <row r="31" spans="1:7">
      <c r="A31" t="str">
        <v>PAP-BRI-200GR-FOT-1</v>
      </c>
      <c r="B31" t="str">
        <f>IF(PRODUCTOS!A31="","",_xlfn.XLOOKUP(PRODUCTOS!A31,INVENTARIO!A31:A372,INVENTARIO!C31:C372))</f>
        <v>PAPEL BRILLANTE 200 GRS FOTOGRAFICO</v>
      </c>
      <c r="C31" t="str">
        <f>IF(PRODUCTOS!A31="","",_xlfn.XLOOKUP(PRODUCTOS!A31,INVENTARIO!A31:A372,INVENTARIO!D31:D372))</f>
        <v>1,52</v>
      </c>
      <c r="D31">
        <f>IF(PRODUCTOS!A31="","",_xlfn.XLOOKUP(PRODUCTOS!A31,INVENTARIO!A31:A372,INVENTARIO!E31:E372))</f>
        <v>50</v>
      </c>
      <c r="G31" t="s">
        <v>485</v>
      </c>
    </row>
    <row r="32" spans="1:7">
      <c r="A32" t="str">
        <v>PAP-BAC-2</v>
      </c>
      <c r="B32" t="str">
        <f>IF(PRODUCTOS!A32="","",_xlfn.XLOOKUP(PRODUCTOS!A32,INVENTARIO!A32:A373,INVENTARIO!C32:C373))</f>
        <v>PAPEL BACKLITE ( SEMIMATE)</v>
      </c>
      <c r="C32" t="str">
        <f>IF(PRODUCTOS!A32="","",_xlfn.XLOOKUP(PRODUCTOS!A32,INVENTARIO!A32:A373,INVENTARIO!D32:D373))</f>
        <v>1,52</v>
      </c>
      <c r="D32">
        <f>IF(PRODUCTOS!A32="","",_xlfn.XLOOKUP(PRODUCTOS!A32,INVENTARIO!A32:A373,INVENTARIO!E32:E373))</f>
        <v>30</v>
      </c>
      <c r="G32" t="s">
        <v>485</v>
      </c>
    </row>
    <row r="33" spans="1:7">
      <c r="A33" t="str">
        <v>PAP-SOL-KRO-1</v>
      </c>
      <c r="B33" t="str">
        <f>IF(PRODUCTOS!A33="","",_xlfn.XLOOKUP(PRODUCTOS!A33,INVENTARIO!A33:A374,INVENTARIO!C33:C374))</f>
        <v>PAPEL SOLVATEX KRONALINE</v>
      </c>
      <c r="C33" t="str">
        <f>IF(PRODUCTOS!A33="","",_xlfn.XLOOKUP(PRODUCTOS!A33,INVENTARIO!A33:A374,INVENTARIO!D33:D374))</f>
        <v>1,52</v>
      </c>
      <c r="D33">
        <f>IF(PRODUCTOS!A33="","",_xlfn.XLOOKUP(PRODUCTOS!A33,INVENTARIO!A33:A374,INVENTARIO!E33:E374))</f>
        <v>50</v>
      </c>
      <c r="G33" t="s">
        <v>485</v>
      </c>
    </row>
    <row r="34" spans="1:7">
      <c r="A34" t="str">
        <v>PAP-CIT-1</v>
      </c>
      <c r="B34" t="str">
        <f>IF(PRODUCTOS!A34="","",_xlfn.XLOOKUP(PRODUCTOS!A34,INVENTARIO!A34:A375,INVENTARIO!C34:C375))</f>
        <v>PAPEL CITYLIGHT</v>
      </c>
      <c r="C34" t="str">
        <f>IF(PRODUCTOS!A34="","",_xlfn.XLOOKUP(PRODUCTOS!A34,INVENTARIO!A34:A375,INVENTARIO!D34:D375))</f>
        <v>1,6</v>
      </c>
      <c r="D34">
        <f>IF(PRODUCTOS!A34="","",_xlfn.XLOOKUP(PRODUCTOS!A34,INVENTARIO!A34:A375,INVENTARIO!E34:E375))</f>
        <v>50</v>
      </c>
      <c r="G34" t="s">
        <v>485</v>
      </c>
    </row>
    <row r="35" spans="1:7">
      <c r="A35" t="str">
        <v>PAP-CIT-2</v>
      </c>
      <c r="B35" t="str">
        <f>IF(PRODUCTOS!A35="","",_xlfn.XLOOKUP(PRODUCTOS!A35,INVENTARIO!A35:A376,INVENTARIO!C35:C376))</f>
        <v>PAPEL CITYLIGHT</v>
      </c>
      <c r="C35" t="str">
        <f>IF(PRODUCTOS!A35="","",_xlfn.XLOOKUP(PRODUCTOS!A35,INVENTARIO!A35:A376,INVENTARIO!D35:D376))</f>
        <v>1,6</v>
      </c>
      <c r="D35">
        <f>IF(PRODUCTOS!A35="","",_xlfn.XLOOKUP(PRODUCTOS!A35,INVENTARIO!A35:A376,INVENTARIO!E35:E376))</f>
        <v>100</v>
      </c>
      <c r="G35" t="s">
        <v>485</v>
      </c>
    </row>
    <row r="36" spans="1:7">
      <c r="A36" t="str">
        <v>TEL-SIN-DEL-1</v>
      </c>
      <c r="B36" t="str">
        <f>IF(PRODUCTOS!A36="","",_xlfn.XLOOKUP(PRODUCTOS!A36,INVENTARIO!A36:A377,INVENTARIO!C36:C377))</f>
        <v>TELA SINTETICA DELGADA</v>
      </c>
      <c r="C36" t="str">
        <f>IF(PRODUCTOS!A36="","",_xlfn.XLOOKUP(PRODUCTOS!A36,INVENTARIO!A36:A377,INVENTARIO!D36:D377))</f>
        <v>1,52</v>
      </c>
      <c r="D36">
        <f>IF(PRODUCTOS!A36="","",_xlfn.XLOOKUP(PRODUCTOS!A36,INVENTARIO!A36:A377,INVENTARIO!E36:E377))</f>
        <v>50</v>
      </c>
      <c r="G36" t="s">
        <v>485</v>
      </c>
    </row>
    <row r="37" spans="1:7">
      <c r="A37" t="str">
        <v>TEL-SIN-DEL-2</v>
      </c>
      <c r="B37" t="str">
        <f>IF(PRODUCTOS!A37="","",_xlfn.XLOOKUP(PRODUCTOS!A37,INVENTARIO!A37:A378,INVENTARIO!C37:C378))</f>
        <v>TELA SINTETICA DELGADA</v>
      </c>
      <c r="C37" t="str">
        <f>IF(PRODUCTOS!A37="","",_xlfn.XLOOKUP(PRODUCTOS!A37,INVENTARIO!A37:A378,INVENTARIO!D37:D378))</f>
        <v>2,5</v>
      </c>
      <c r="D37">
        <f>IF(PRODUCTOS!A37="","",_xlfn.XLOOKUP(PRODUCTOS!A37,INVENTARIO!A37:A378,INVENTARIO!E37:E378))</f>
        <v>50</v>
      </c>
      <c r="G37" t="s">
        <v>485</v>
      </c>
    </row>
    <row r="38" spans="1:7">
      <c r="A38" t="str">
        <v>TEL-SIN-DEL-3</v>
      </c>
      <c r="B38" t="str">
        <f>IF(PRODUCTOS!A38="","",_xlfn.XLOOKUP(PRODUCTOS!A38,INVENTARIO!A38:A379,INVENTARIO!C38:C379))</f>
        <v>TELA SINTETICA DELGADA</v>
      </c>
      <c r="C38" t="str">
        <f>IF(PRODUCTOS!A38="","",_xlfn.XLOOKUP(PRODUCTOS!A38,INVENTARIO!A38:A379,INVENTARIO!D38:D379))</f>
        <v>3,2</v>
      </c>
      <c r="D38">
        <f>IF(PRODUCTOS!A38="","",_xlfn.XLOOKUP(PRODUCTOS!A38,INVENTARIO!A38:A379,INVENTARIO!E38:E379))</f>
        <v>50</v>
      </c>
      <c r="G38" t="s">
        <v>485</v>
      </c>
    </row>
    <row r="39" spans="1:7">
      <c r="A39" t="str">
        <v>TEL-CAN-1</v>
      </c>
      <c r="B39" t="str">
        <f>IF(PRODUCTOS!A39="","",_xlfn.XLOOKUP(PRODUCTOS!A39,INVENTARIO!A39:A380,INVENTARIO!C39:C380))</f>
        <v>TELA CANVAS</v>
      </c>
      <c r="C39" t="str">
        <f>IF(PRODUCTOS!A39="","",_xlfn.XLOOKUP(PRODUCTOS!A39,INVENTARIO!A39:A380,INVENTARIO!D39:D380))</f>
        <v>1,52</v>
      </c>
      <c r="D39">
        <f>IF(PRODUCTOS!A39="","",_xlfn.XLOOKUP(PRODUCTOS!A39,INVENTARIO!A39:A380,INVENTARIO!E39:E380))</f>
        <v>30</v>
      </c>
      <c r="G39" t="s">
        <v>485</v>
      </c>
    </row>
    <row r="40" spans="1:7">
      <c r="A40" t="str">
        <v>VIN-CON-TAC-1</v>
      </c>
      <c r="B40" t="str">
        <f>IF(PRODUCTOS!A40="","",_xlfn.XLOOKUP(PRODUCTOS!A40,INVENTARIO!A40:A381,INVENTARIO!C40:C381))</f>
        <v>VINIL CONTROL TAC (IJ180)</v>
      </c>
      <c r="C40" t="str">
        <f>IF(PRODUCTOS!A40="","",_xlfn.XLOOKUP(PRODUCTOS!A40,INVENTARIO!A40:A381,INVENTARIO!D40:D381))</f>
        <v>1,52</v>
      </c>
      <c r="D40" t="str">
        <f>IF(PRODUCTOS!A40="","",_xlfn.XLOOKUP(PRODUCTOS!A40,INVENTARIO!A40:A381,INVENTARIO!E40:E381))</f>
        <v>45,7</v>
      </c>
      <c r="G40" t="s">
        <v>485</v>
      </c>
    </row>
    <row r="41" spans="1:7">
      <c r="A41" t="str">
        <v>VIN-CON-TAC-2</v>
      </c>
      <c r="B41" t="str">
        <f>IF(PRODUCTOS!A41="","",_xlfn.XLOOKUP(PRODUCTOS!A41,INVENTARIO!A41:A382,INVENTARIO!C41:C382))</f>
        <v>VINIL CONTROL TAC (IJ180)</v>
      </c>
      <c r="C41" t="str">
        <f>IF(PRODUCTOS!A41="","",_xlfn.XLOOKUP(PRODUCTOS!A41,INVENTARIO!A41:A382,INVENTARIO!D41:D382))</f>
        <v>1,52</v>
      </c>
      <c r="D41" t="str">
        <f>IF(PRODUCTOS!A41="","",_xlfn.XLOOKUP(PRODUCTOS!A41,INVENTARIO!A41:A382,INVENTARIO!E41:E382))</f>
        <v>91,4</v>
      </c>
      <c r="G41" t="s">
        <v>485</v>
      </c>
    </row>
    <row r="42" spans="1:7">
      <c r="A42" t="str">
        <v>VIN-CON-40-1</v>
      </c>
      <c r="B42" t="str">
        <f>IF(PRODUCTOS!A42="","",_xlfn.XLOOKUP(PRODUCTOS!A42,INVENTARIO!A42:A383,INVENTARIO!C42:C383))</f>
        <v>VINIL CONTROL 40 (40-C / IJ40)</v>
      </c>
      <c r="C42" t="str">
        <f>IF(PRODUCTOS!A42="","",_xlfn.XLOOKUP(PRODUCTOS!A42,INVENTARIO!A42:A383,INVENTARIO!D42:D383))</f>
        <v>1,52</v>
      </c>
      <c r="D42" t="str">
        <f>IF(PRODUCTOS!A42="","",_xlfn.XLOOKUP(PRODUCTOS!A42,INVENTARIO!A42:A383,INVENTARIO!E42:E383))</f>
        <v>45,7</v>
      </c>
      <c r="G42" t="s">
        <v>485</v>
      </c>
    </row>
    <row r="43" spans="1:7">
      <c r="A43" t="str">
        <v>VIN-CON-40-2</v>
      </c>
      <c r="B43" t="str">
        <f>IF(PRODUCTOS!A43="","",_xlfn.XLOOKUP(PRODUCTOS!A43,INVENTARIO!A43:A384,INVENTARIO!C43:C384))</f>
        <v>VINIL CONTROL 40 (40-C / IJ40)</v>
      </c>
      <c r="C43" t="str">
        <f>IF(PRODUCTOS!A43="","",_xlfn.XLOOKUP(PRODUCTOS!A43,INVENTARIO!A43:A384,INVENTARIO!D43:D384))</f>
        <v>1,52</v>
      </c>
      <c r="D43" t="str">
        <f>IF(PRODUCTOS!A43="","",_xlfn.XLOOKUP(PRODUCTOS!A43,INVENTARIO!A43:A384,INVENTARIO!E43:E384))</f>
        <v>91,4</v>
      </c>
      <c r="G43" t="s">
        <v>485</v>
      </c>
    </row>
    <row r="44" spans="1:7">
      <c r="A44" t="str">
        <v>VIN-EST-BLA-LAT-1</v>
      </c>
      <c r="B44" t="str">
        <f>IF(PRODUCTOS!A44="","",_xlfn.XLOOKUP(PRODUCTOS!A44,INVENTARIO!A44:A385,INVENTARIO!C44:C385))</f>
        <v>VINIL ESTATICO BLANCO LATEX</v>
      </c>
      <c r="C44" t="str">
        <f>IF(PRODUCTOS!A44="","",_xlfn.XLOOKUP(PRODUCTOS!A44,INVENTARIO!A44:A385,INVENTARIO!D44:D385))</f>
        <v>1,37</v>
      </c>
      <c r="D44">
        <f>IF(PRODUCTOS!A44="","",_xlfn.XLOOKUP(PRODUCTOS!A44,INVENTARIO!A44:A385,INVENTARIO!E44:E385))</f>
        <v>50</v>
      </c>
      <c r="G44" t="s">
        <v>485</v>
      </c>
    </row>
    <row r="45" spans="1:7">
      <c r="A45" t="str">
        <v>VIN-EST-BLA-LAT-2</v>
      </c>
      <c r="B45" t="str">
        <f>IF(PRODUCTOS!A45="","",_xlfn.XLOOKUP(PRODUCTOS!A45,INVENTARIO!A45:A386,INVENTARIO!C45:C386))</f>
        <v>VINIL ESTATICO BLANCO LATEX</v>
      </c>
      <c r="C45" t="str">
        <f>IF(PRODUCTOS!A45="","",_xlfn.XLOOKUP(PRODUCTOS!A45,INVENTARIO!A45:A386,INVENTARIO!D45:D386))</f>
        <v>1,52</v>
      </c>
      <c r="D45">
        <f>IF(PRODUCTOS!A45="","",_xlfn.XLOOKUP(PRODUCTOS!A45,INVENTARIO!A45:A386,INVENTARIO!E45:E386))</f>
        <v>50</v>
      </c>
      <c r="G45" t="s">
        <v>485</v>
      </c>
    </row>
    <row r="46" spans="1:7">
      <c r="A46" t="str">
        <v>VIN-EST-BLA-1</v>
      </c>
      <c r="B46" t="str">
        <f>IF(PRODUCTOS!A46="","",_xlfn.XLOOKUP(PRODUCTOS!A46,INVENTARIO!A46:A387,INVENTARIO!C46:C387))</f>
        <v>VINIL ESTATICO BLANCO</v>
      </c>
      <c r="C46" t="str">
        <f>IF(PRODUCTOS!A46="","",_xlfn.XLOOKUP(PRODUCTOS!A46,INVENTARIO!A46:A387,INVENTARIO!D46:D387))</f>
        <v>1,27</v>
      </c>
      <c r="D46">
        <f>IF(PRODUCTOS!A46="","",_xlfn.XLOOKUP(PRODUCTOS!A46,INVENTARIO!A46:A387,INVENTARIO!E46:E387))</f>
        <v>50</v>
      </c>
      <c r="G46" t="s">
        <v>485</v>
      </c>
    </row>
    <row r="47" spans="1:7">
      <c r="A47" t="str">
        <v>VIN-EST-BLA-2</v>
      </c>
      <c r="B47" t="str">
        <f>IF(PRODUCTOS!A47="","",_xlfn.XLOOKUP(PRODUCTOS!A47,INVENTARIO!A47:A388,INVENTARIO!C47:C388))</f>
        <v>VINIL ESTATICO BLANCO</v>
      </c>
      <c r="C47" t="str">
        <f>IF(PRODUCTOS!A47="","",_xlfn.XLOOKUP(PRODUCTOS!A47,INVENTARIO!A47:A388,INVENTARIO!D47:D388))</f>
        <v>1,52</v>
      </c>
      <c r="D47">
        <f>IF(PRODUCTOS!A47="","",_xlfn.XLOOKUP(PRODUCTOS!A47,INVENTARIO!A47:A388,INVENTARIO!E47:E388))</f>
        <v>50</v>
      </c>
      <c r="G47" t="s">
        <v>485</v>
      </c>
    </row>
    <row r="48" spans="1:7">
      <c r="A48" t="str">
        <v>VIN-EST-BLA-3</v>
      </c>
      <c r="B48" t="str">
        <f>IF(PRODUCTOS!A48="","",_xlfn.XLOOKUP(PRODUCTOS!A48,INVENTARIO!A48:A389,INVENTARIO!C48:C389))</f>
        <v>VINIL ESTATICO BLANCO</v>
      </c>
      <c r="C48" t="str">
        <f>IF(PRODUCTOS!A48="","",_xlfn.XLOOKUP(PRODUCTOS!A48,INVENTARIO!A48:A389,INVENTARIO!D48:D389))</f>
        <v>1,37</v>
      </c>
      <c r="D48" t="str">
        <f>IF(PRODUCTOS!A48="","",_xlfn.XLOOKUP(PRODUCTOS!A48,INVENTARIO!A48:A389,INVENTARIO!E48:E389))</f>
        <v>41,7</v>
      </c>
      <c r="G48" t="s">
        <v>485</v>
      </c>
    </row>
    <row r="49" spans="1:7">
      <c r="A49" t="str">
        <v>VIN-EST-TRA-1</v>
      </c>
      <c r="B49" t="str">
        <f>IF(PRODUCTOS!A49="","",_xlfn.XLOOKUP(PRODUCTOS!A49,INVENTARIO!A49:A390,INVENTARIO!C49:C390))</f>
        <v>VINIL ESTATICO TRANSPARENTE</v>
      </c>
      <c r="C49" t="str">
        <f>IF(PRODUCTOS!A49="","",_xlfn.XLOOKUP(PRODUCTOS!A49,INVENTARIO!A49:A390,INVENTARIO!D49:D390))</f>
        <v>1,37</v>
      </c>
      <c r="D49">
        <f>IF(PRODUCTOS!A49="","",_xlfn.XLOOKUP(PRODUCTOS!A49,INVENTARIO!A49:A390,INVENTARIO!E49:E390))</f>
        <v>50</v>
      </c>
      <c r="G49" t="s">
        <v>485</v>
      </c>
    </row>
    <row r="50" spans="1:7">
      <c r="A50" t="str">
        <v>VIN-EST-TRA-2</v>
      </c>
      <c r="B50" t="str">
        <f>IF(PRODUCTOS!A50="","",_xlfn.XLOOKUP(PRODUCTOS!A50,INVENTARIO!A50:A391,INVENTARIO!C50:C391))</f>
        <v>VINIL ESTATICO TRANSPARENTE</v>
      </c>
      <c r="C50" t="str">
        <f>IF(PRODUCTOS!A50="","",_xlfn.XLOOKUP(PRODUCTOS!A50,INVENTARIO!A50:A391,INVENTARIO!D50:D391))</f>
        <v>1,52</v>
      </c>
      <c r="D50">
        <f>IF(PRODUCTOS!A50="","",_xlfn.XLOOKUP(PRODUCTOS!A50,INVENTARIO!A50:A391,INVENTARIO!E50:E391))</f>
        <v>50</v>
      </c>
      <c r="G50" t="s">
        <v>485</v>
      </c>
    </row>
    <row r="51" spans="1:7">
      <c r="A51" t="str">
        <v>VIN-FLO-GRA-TEX-1</v>
      </c>
      <c r="B51" t="str">
        <f>IF(PRODUCTOS!A51="","",_xlfn.XLOOKUP(PRODUCTOS!A51,INVENTARIO!A51:A392,INVENTARIO!C51:C392))</f>
        <v>VINIL FLOOR GRAPHICS C/TEXTURA</v>
      </c>
      <c r="C51" t="str">
        <f>IF(PRODUCTOS!A51="","",_xlfn.XLOOKUP(PRODUCTOS!A51,INVENTARIO!A51:A392,INVENTARIO!D51:D392))</f>
        <v>1,52</v>
      </c>
      <c r="D51">
        <f>IF(PRODUCTOS!A51="","",_xlfn.XLOOKUP(PRODUCTOS!A51,INVENTARIO!A51:A392,INVENTARIO!E51:E392))</f>
        <v>50</v>
      </c>
      <c r="G51" t="s">
        <v>485</v>
      </c>
    </row>
    <row r="52" spans="1:7">
      <c r="A52" t="str">
        <v>VIN-REF-GRA-ING-BLA-1</v>
      </c>
      <c r="B52" t="str">
        <f>IF(PRODUCTOS!A52="","",_xlfn.XLOOKUP(PRODUCTOS!A52,INVENTARIO!A52:A393,INVENTARIO!C52:C393))</f>
        <v>VINIL REFLECTIVO GRADO INGENIERIA BLANCO</v>
      </c>
      <c r="C52" t="str">
        <f>IF(PRODUCTOS!A52="","",_xlfn.XLOOKUP(PRODUCTOS!A52,INVENTARIO!A52:A393,INVENTARIO!D52:D393))</f>
        <v>1,22</v>
      </c>
      <c r="D52" t="str">
        <f>IF(PRODUCTOS!A52="","",_xlfn.XLOOKUP(PRODUCTOS!A52,INVENTARIO!A52:A393,INVENTARIO!E52:E393))</f>
        <v>45,7</v>
      </c>
      <c r="G52" t="s">
        <v>485</v>
      </c>
    </row>
    <row r="53" spans="1:7">
      <c r="A53" t="str">
        <v>VIN-REF-GRA-ING-AZU-1</v>
      </c>
      <c r="B53" t="str">
        <f>IF(PRODUCTOS!A53="","",_xlfn.XLOOKUP(PRODUCTOS!A53,INVENTARIO!A53:A394,INVENTARIO!C53:C394))</f>
        <v>VINIL REFLECTIVO GRADO INGENIERIA AZUL</v>
      </c>
      <c r="C53">
        <f>IF(PRODUCTOS!A53="","",_xlfn.XLOOKUP(PRODUCTOS!A53,INVENTARIO!A53:A394,INVENTARIO!D53:D394))</f>
        <v>1.22</v>
      </c>
      <c r="D53">
        <f>IF(PRODUCTOS!A53="","",_xlfn.XLOOKUP(PRODUCTOS!A53,INVENTARIO!A53:A394,INVENTARIO!E53:E394))</f>
        <v>1</v>
      </c>
      <c r="G53" t="s">
        <v>486</v>
      </c>
    </row>
    <row r="54" spans="1:7">
      <c r="A54" t="str">
        <v>VIN-REF-GRA-ING-ROJ-1</v>
      </c>
      <c r="B54" t="str">
        <f>IF(PRODUCTOS!A54="","",_xlfn.XLOOKUP(PRODUCTOS!A54,INVENTARIO!A54:A395,INVENTARIO!C54:C395))</f>
        <v>VINIL REFLECTIVO GRADO INGENIERIA ROJO</v>
      </c>
      <c r="C54">
        <f>IF(PRODUCTOS!A54="","",_xlfn.XLOOKUP(PRODUCTOS!A54,INVENTARIO!A54:A395,INVENTARIO!D54:D395))</f>
        <v>1.22</v>
      </c>
      <c r="D54">
        <f>IF(PRODUCTOS!A54="","",_xlfn.XLOOKUP(PRODUCTOS!A54,INVENTARIO!A54:A395,INVENTARIO!E54:E395))</f>
        <v>1</v>
      </c>
      <c r="G54" t="s">
        <v>486</v>
      </c>
    </row>
    <row r="55" spans="1:7">
      <c r="A55" t="str">
        <v>VIN-REF-GRA-ING-AMA-1</v>
      </c>
      <c r="B55" t="str">
        <f>IF(PRODUCTOS!A55="","",_xlfn.XLOOKUP(PRODUCTOS!A55,INVENTARIO!A55:A396,INVENTARIO!C55:C396))</f>
        <v>VINIL REFLECTIVO GRADO INGENIERIA AMARILLO</v>
      </c>
      <c r="C55">
        <f>IF(PRODUCTOS!A55="","",_xlfn.XLOOKUP(PRODUCTOS!A55,INVENTARIO!A55:A396,INVENTARIO!D55:D396))</f>
        <v>1.22</v>
      </c>
      <c r="D55">
        <f>IF(PRODUCTOS!A55="","",_xlfn.XLOOKUP(PRODUCTOS!A55,INVENTARIO!A55:A396,INVENTARIO!E55:E396))</f>
        <v>1</v>
      </c>
      <c r="G55" t="s">
        <v>486</v>
      </c>
    </row>
    <row r="56" spans="1:7">
      <c r="A56" t="str">
        <v>VIN-REF-GRA-ING-VER-1</v>
      </c>
      <c r="B56" t="str">
        <f>IF(PRODUCTOS!A56="","",_xlfn.XLOOKUP(PRODUCTOS!A56,INVENTARIO!A56:A397,INVENTARIO!C56:C397))</f>
        <v>VINIL REFLECTIVO GRADO INGENIERIA VERDE</v>
      </c>
      <c r="C56">
        <f>IF(PRODUCTOS!A56="","",_xlfn.XLOOKUP(PRODUCTOS!A56,INVENTARIO!A56:A397,INVENTARIO!D56:D397))</f>
        <v>1.22</v>
      </c>
      <c r="D56">
        <f>IF(PRODUCTOS!A56="","",_xlfn.XLOOKUP(PRODUCTOS!A56,INVENTARIO!A56:A397,INVENTARIO!E56:E397))</f>
        <v>1</v>
      </c>
      <c r="G56" t="s">
        <v>486</v>
      </c>
    </row>
    <row r="57" spans="1:7">
      <c r="A57" t="str">
        <v>VIN-REF-GRA-ING-NEG-1</v>
      </c>
      <c r="B57" t="str">
        <f>IF(PRODUCTOS!A57="","",_xlfn.XLOOKUP(PRODUCTOS!A57,INVENTARIO!A57:A398,INVENTARIO!C57:C398))</f>
        <v>VINIL REFLECTIVO GRADO INGENIERIA NEGRO</v>
      </c>
      <c r="C57">
        <f>IF(PRODUCTOS!A57="","",_xlfn.XLOOKUP(PRODUCTOS!A57,INVENTARIO!A57:A398,INVENTARIO!D57:D398))</f>
        <v>1.22</v>
      </c>
      <c r="D57">
        <f>IF(PRODUCTOS!A57="","",_xlfn.XLOOKUP(PRODUCTOS!A57,INVENTARIO!A57:A398,INVENTARIO!E57:E398))</f>
        <v>1</v>
      </c>
      <c r="G57" t="s">
        <v>486</v>
      </c>
    </row>
    <row r="58" spans="1:7">
      <c r="A58" t="str">
        <v>VIN-C30-IMA-C30-1</v>
      </c>
      <c r="B58" t="str">
        <f>IF(PRODUCTOS!A58="","",_xlfn.XLOOKUP(PRODUCTOS!A58,INVENTARIO!A58:A399,INVENTARIO!C58:C399))</f>
        <v>VINIL IMANTADO C-30</v>
      </c>
      <c r="C58" t="str">
        <f>IF(PRODUCTOS!A58="","",_xlfn.XLOOKUP(PRODUCTOS!A58,INVENTARIO!A58:A399,INVENTARIO!D58:D399))</f>
        <v>0,61</v>
      </c>
      <c r="D58">
        <f>IF(PRODUCTOS!A58="","",_xlfn.XLOOKUP(PRODUCTOS!A58,INVENTARIO!A58:A399,INVENTARIO!E58:E399))</f>
        <v>30</v>
      </c>
      <c r="G58" t="s">
        <v>485</v>
      </c>
    </row>
    <row r="59" spans="1:7">
      <c r="A59" t="str">
        <v>VIN-BRI-BLA-ALT-TAC-1</v>
      </c>
      <c r="B59" t="str">
        <f>IF(PRODUCTOS!A59="","",_xlfn.XLOOKUP(PRODUCTOS!A59,INVENTARIO!A59:A400,INVENTARIO!C59:C400))</f>
        <v>VINIL BRILLANTE BLANCO ALTO TAC</v>
      </c>
      <c r="C59" t="str">
        <f>IF(PRODUCTOS!A59="","",_xlfn.XLOOKUP(PRODUCTOS!A59,INVENTARIO!A59:A400,INVENTARIO!D59:D400))</f>
        <v>1,55</v>
      </c>
      <c r="D59">
        <f>IF(PRODUCTOS!A59="","",_xlfn.XLOOKUP(PRODUCTOS!A59,INVENTARIO!A59:A400,INVENTARIO!E59:E400))</f>
        <v>50</v>
      </c>
      <c r="G59" t="s">
        <v>485</v>
      </c>
    </row>
    <row r="60" spans="1:7">
      <c r="A60" t="str">
        <v>VIN-MAT-BLA-RES-GRI-1</v>
      </c>
      <c r="B60" t="str">
        <f>IF(PRODUCTOS!A60="","",_xlfn.XLOOKUP(PRODUCTOS!A60,INVENTARIO!A60:A401,INVENTARIO!C60:C401))</f>
        <v>VINIL MATE BLANCO RESPALDO GRIS</v>
      </c>
      <c r="C60" t="str">
        <f>IF(PRODUCTOS!A60="","",_xlfn.XLOOKUP(PRODUCTOS!A60,INVENTARIO!A60:A401,INVENTARIO!D60:D401))</f>
        <v>1,55</v>
      </c>
      <c r="D60">
        <f>IF(PRODUCTOS!A60="","",_xlfn.XLOOKUP(PRODUCTOS!A60,INVENTARIO!A60:A401,INVENTARIO!E60:E401))</f>
        <v>50</v>
      </c>
      <c r="G60" t="s">
        <v>485</v>
      </c>
    </row>
    <row r="61" spans="1:7">
      <c r="A61" t="str">
        <v>VIN-MAT-BLA-RES-GRI-GEN.FOR-1</v>
      </c>
      <c r="B61" t="str">
        <f>IF(PRODUCTOS!A61="","",_xlfn.XLOOKUP(PRODUCTOS!A61,INVENTARIO!A61:A402,INVENTARIO!C61:C402))</f>
        <v>VINIL MATE BLANCO RESPALDO GRIS GENERAL FORMULATION</v>
      </c>
      <c r="C61" t="str">
        <f>IF(PRODUCTOS!A61="","",_xlfn.XLOOKUP(PRODUCTOS!A61,INVENTARIO!A61:A402,INVENTARIO!D61:D402))</f>
        <v>1,37</v>
      </c>
      <c r="D61">
        <f>IF(PRODUCTOS!A61="","",_xlfn.XLOOKUP(PRODUCTOS!A61,INVENTARIO!A61:A402,INVENTARIO!E61:E402))</f>
        <v>50</v>
      </c>
      <c r="G61" t="s">
        <v>485</v>
      </c>
    </row>
    <row r="62" spans="1:7">
      <c r="A62" t="str">
        <v>VIN-MAT-BLA-ARL-RES-GRI-1</v>
      </c>
      <c r="B62" t="str">
        <f>IF(PRODUCTOS!A62="","",_xlfn.XLOOKUP(PRODUCTOS!A62,INVENTARIO!A62:A403,INVENTARIO!C62:C403))</f>
        <v>VINIL MATE BLANCO ARLON RESPALDO GRIS</v>
      </c>
      <c r="C62" t="str">
        <f>IF(PRODUCTOS!A62="","",_xlfn.XLOOKUP(PRODUCTOS!A62,INVENTARIO!A62:A403,INVENTARIO!D62:D403))</f>
        <v>1,52</v>
      </c>
      <c r="D62">
        <f>IF(PRODUCTOS!A62="","",_xlfn.XLOOKUP(PRODUCTOS!A62,INVENTARIO!A62:A403,INVENTARIO!E62:E403))</f>
        <v>50</v>
      </c>
      <c r="G62" t="s">
        <v>485</v>
      </c>
    </row>
    <row r="63" spans="1:7">
      <c r="A63" t="str">
        <v>VIN-BRI-BLA-RES-GRI-1</v>
      </c>
      <c r="B63" t="str">
        <f>IF(PRODUCTOS!A63="","",_xlfn.XLOOKUP(PRODUCTOS!A63,INVENTARIO!A63:A404,INVENTARIO!C63:C404))</f>
        <v>VINIL BRILLANTE BLANCO RESPALDO GRIS</v>
      </c>
      <c r="C63" t="str">
        <f>IF(PRODUCTOS!A63="","",_xlfn.XLOOKUP(PRODUCTOS!A63,INVENTARIO!A63:A404,INVENTARIO!D63:D404))</f>
        <v>1,55</v>
      </c>
      <c r="D63">
        <f>IF(PRODUCTOS!A63="","",_xlfn.XLOOKUP(PRODUCTOS!A63,INVENTARIO!A63:A404,INVENTARIO!E63:E404))</f>
        <v>50</v>
      </c>
      <c r="G63" t="s">
        <v>485</v>
      </c>
    </row>
    <row r="64" spans="1:7">
      <c r="A64" t="str">
        <v>VIN-TRA-1</v>
      </c>
      <c r="B64" t="str">
        <f>IF(PRODUCTOS!A64="","",_xlfn.XLOOKUP(PRODUCTOS!A64,INVENTARIO!A64:A405,INVENTARIO!C64:C405))</f>
        <v>VINIL TRANSPARENTE</v>
      </c>
      <c r="C64" t="str">
        <f>IF(PRODUCTOS!A64="","",_xlfn.XLOOKUP(PRODUCTOS!A64,INVENTARIO!A64:A405,INVENTARIO!D64:D405))</f>
        <v>1,55</v>
      </c>
      <c r="D64">
        <f>IF(PRODUCTOS!A64="","",_xlfn.XLOOKUP(PRODUCTOS!A64,INVENTARIO!A64:A405,INVENTARIO!E64:E405))</f>
        <v>50</v>
      </c>
      <c r="G64" t="s">
        <v>485</v>
      </c>
    </row>
    <row r="65" spans="1:7">
      <c r="A65" t="str">
        <v>VIN-MIC-1</v>
      </c>
      <c r="B65" t="str">
        <f>IF(PRODUCTOS!A65="","",_xlfn.XLOOKUP(PRODUCTOS!A65,INVENTARIO!A65:A406,INVENTARIO!C65:C406))</f>
        <v>VINIL MICROPERFORADO</v>
      </c>
      <c r="C65" t="str">
        <f>IF(PRODUCTOS!A65="","",_xlfn.XLOOKUP(PRODUCTOS!A65,INVENTARIO!A65:A406,INVENTARIO!D65:D406))</f>
        <v>1,52</v>
      </c>
      <c r="D65">
        <f>IF(PRODUCTOS!A65="","",_xlfn.XLOOKUP(PRODUCTOS!A65,INVENTARIO!A65:A406,INVENTARIO!E65:E406))</f>
        <v>100</v>
      </c>
      <c r="G65" t="s">
        <v>485</v>
      </c>
    </row>
    <row r="66" spans="1:7">
      <c r="A66" t="str">
        <v>VIN-MIC-2</v>
      </c>
      <c r="B66" t="str">
        <f>IF(PRODUCTOS!A66="","",_xlfn.XLOOKUP(PRODUCTOS!A66,INVENTARIO!A66:A407,INVENTARIO!C66:C407))</f>
        <v>VINIL MICROPERFORADO</v>
      </c>
      <c r="C66" t="str">
        <f>IF(PRODUCTOS!A66="","",_xlfn.XLOOKUP(PRODUCTOS!A66,INVENTARIO!A66:A407,INVENTARIO!D66:D407))</f>
        <v>1,52</v>
      </c>
      <c r="D66">
        <f>IF(PRODUCTOS!A66="","",_xlfn.XLOOKUP(PRODUCTOS!A66,INVENTARIO!A66:A407,INVENTARIO!E66:E407))</f>
        <v>50</v>
      </c>
      <c r="G66" t="s">
        <v>485</v>
      </c>
    </row>
    <row r="67" spans="1:7">
      <c r="A67" t="str">
        <v>VIN-BRI-BLA-1</v>
      </c>
      <c r="B67" t="str">
        <f>IF(PRODUCTOS!A67="","",_xlfn.XLOOKUP(PRODUCTOS!A67,INVENTARIO!A67:A408,INVENTARIO!C67:C408))</f>
        <v>VINIL BRILLANTE BLANCO</v>
      </c>
      <c r="C67" t="str">
        <f>IF(PRODUCTOS!A67="","",_xlfn.XLOOKUP(PRODUCTOS!A67,INVENTARIO!A67:A408,INVENTARIO!D67:D408))</f>
        <v>1,55</v>
      </c>
      <c r="D67">
        <f>IF(PRODUCTOS!A67="","",_xlfn.XLOOKUP(PRODUCTOS!A67,INVENTARIO!A67:A408,INVENTARIO!E67:E408))</f>
        <v>50</v>
      </c>
      <c r="G67" t="s">
        <v>485</v>
      </c>
    </row>
    <row r="68" spans="1:7">
      <c r="A68" t="str">
        <v>VIN-BRI-BLA-2</v>
      </c>
      <c r="B68" t="str">
        <f>IF(PRODUCTOS!A68="","",_xlfn.XLOOKUP(PRODUCTOS!A68,INVENTARIO!A68:A409,INVENTARIO!C68:C409))</f>
        <v>VINIL BRILLANTE BLANCO</v>
      </c>
      <c r="C68" t="str">
        <f>IF(PRODUCTOS!A68="","",_xlfn.XLOOKUP(PRODUCTOS!A68,INVENTARIO!A68:A409,INVENTARIO!D68:D409))</f>
        <v>1,26</v>
      </c>
      <c r="D68">
        <f>IF(PRODUCTOS!A68="","",_xlfn.XLOOKUP(PRODUCTOS!A68,INVENTARIO!A68:A409,INVENTARIO!E68:E409))</f>
        <v>50</v>
      </c>
      <c r="G68" t="s">
        <v>485</v>
      </c>
    </row>
    <row r="69" spans="1:7">
      <c r="A69" t="str">
        <v>VIN-BRI-BLA-3</v>
      </c>
      <c r="B69" t="str">
        <f>IF(PRODUCTOS!A69="","",_xlfn.XLOOKUP(PRODUCTOS!A69,INVENTARIO!A69:A410,INVENTARIO!C69:C410))</f>
        <v>VINIL BRILLANTE BLANCO</v>
      </c>
      <c r="C69" t="str">
        <f>IF(PRODUCTOS!A69="","",_xlfn.XLOOKUP(PRODUCTOS!A69,INVENTARIO!A69:A410,INVENTARIO!D69:D410))</f>
        <v>1,05</v>
      </c>
      <c r="D69">
        <f>IF(PRODUCTOS!A69="","",_xlfn.XLOOKUP(PRODUCTOS!A69,INVENTARIO!A69:A410,INVENTARIO!E69:E410))</f>
        <v>50</v>
      </c>
      <c r="G69" t="s">
        <v>485</v>
      </c>
    </row>
    <row r="70" spans="1:7">
      <c r="A70" t="str">
        <v>VIN-MAT-BLA-1</v>
      </c>
      <c r="B70" t="str">
        <f>IF(PRODUCTOS!A70="","",_xlfn.XLOOKUP(PRODUCTOS!A70,INVENTARIO!A70:A411,INVENTARIO!C70:C411))</f>
        <v>VINIL MATE BLANCO</v>
      </c>
      <c r="C70" t="str">
        <f>IF(PRODUCTOS!A70="","",_xlfn.XLOOKUP(PRODUCTOS!A70,INVENTARIO!A70:A411,INVENTARIO!D70:D411))</f>
        <v>1,55</v>
      </c>
      <c r="D70">
        <f>IF(PRODUCTOS!A70="","",_xlfn.XLOOKUP(PRODUCTOS!A70,INVENTARIO!A70:A411,INVENTARIO!E70:E411))</f>
        <v>50</v>
      </c>
      <c r="G70" t="s">
        <v>485</v>
      </c>
    </row>
    <row r="71" spans="1:7">
      <c r="A71" t="str">
        <v>VIN-MAT-BLA-2</v>
      </c>
      <c r="B71" t="str">
        <f>IF(PRODUCTOS!A71="","",_xlfn.XLOOKUP(PRODUCTOS!A71,INVENTARIO!A71:A412,INVENTARIO!C71:C412))</f>
        <v>VINIL MATE BLANCO</v>
      </c>
      <c r="C71" t="str">
        <f>IF(PRODUCTOS!A71="","",_xlfn.XLOOKUP(PRODUCTOS!A71,INVENTARIO!A71:A412,INVENTARIO!D71:D412))</f>
        <v>1,26</v>
      </c>
      <c r="D71">
        <f>IF(PRODUCTOS!A71="","",_xlfn.XLOOKUP(PRODUCTOS!A71,INVENTARIO!A71:A412,INVENTARIO!E71:E412))</f>
        <v>50</v>
      </c>
      <c r="G71" t="s">
        <v>485</v>
      </c>
    </row>
    <row r="72" spans="1:7">
      <c r="A72" t="str">
        <v>VIN-MAT-BLA-3</v>
      </c>
      <c r="B72" t="str">
        <f>IF(PRODUCTOS!A72="","",_xlfn.XLOOKUP(PRODUCTOS!A72,INVENTARIO!A72:A413,INVENTARIO!C72:C413))</f>
        <v>VINIL MATE BLANCO</v>
      </c>
      <c r="C72" t="str">
        <f>IF(PRODUCTOS!A72="","",_xlfn.XLOOKUP(PRODUCTOS!A72,INVENTARIO!A72:A413,INVENTARIO!D72:D413))</f>
        <v>1,05</v>
      </c>
      <c r="D72">
        <f>IF(PRODUCTOS!A72="","",_xlfn.XLOOKUP(PRODUCTOS!A72,INVENTARIO!A72:A413,INVENTARIO!E72:E413))</f>
        <v>50</v>
      </c>
      <c r="G72" t="s">
        <v>485</v>
      </c>
    </row>
    <row r="73" spans="1:7">
      <c r="A73" t="str">
        <v>VIN-MAT-BLA-4</v>
      </c>
      <c r="B73" t="str">
        <f>IF(PRODUCTOS!A73="","",_xlfn.XLOOKUP(PRODUCTOS!A73,INVENTARIO!A73:A414,INVENTARIO!C73:C414))</f>
        <v>VINIL MATE BLANCO</v>
      </c>
      <c r="C73" t="str">
        <f>IF(PRODUCTOS!A73="","",_xlfn.XLOOKUP(PRODUCTOS!A73,INVENTARIO!A73:A414,INVENTARIO!D73:D414))</f>
        <v>1,52</v>
      </c>
      <c r="D73">
        <f>IF(PRODUCTOS!A73="","",_xlfn.XLOOKUP(PRODUCTOS!A73,INVENTARIO!A73:A414,INVENTARIO!E73:E414))</f>
        <v>50</v>
      </c>
      <c r="G73" t="s">
        <v>485</v>
      </c>
    </row>
    <row r="74" spans="1:7">
      <c r="A74" t="str">
        <v>VIN-MAT-BLA-5</v>
      </c>
      <c r="B74" t="str">
        <f>IF(PRODUCTOS!A74="","",_xlfn.XLOOKUP(PRODUCTOS!A74,INVENTARIO!A74:A415,INVENTARIO!C74:C415))</f>
        <v>VINIL MATE BLANCO</v>
      </c>
      <c r="C74" t="str">
        <f>IF(PRODUCTOS!A74="","",_xlfn.XLOOKUP(PRODUCTOS!A74,INVENTARIO!A74:A415,INVENTARIO!D74:D415))</f>
        <v>1,27</v>
      </c>
      <c r="D74">
        <f>IF(PRODUCTOS!A74="","",_xlfn.XLOOKUP(PRODUCTOS!A74,INVENTARIO!A74:A415,INVENTARIO!E74:E415))</f>
        <v>50</v>
      </c>
      <c r="G74" t="s">
        <v>485</v>
      </c>
    </row>
    <row r="75" spans="1:7">
      <c r="A75" t="str">
        <v>VIN-PAR-WAL-1</v>
      </c>
      <c r="B75" t="str">
        <f>IF(PRODUCTOS!A75="","",_xlfn.XLOOKUP(PRODUCTOS!A75,INVENTARIO!A75:A416,INVENTARIO!C75:C416))</f>
        <v>VINIL PARA PARED - WALLGRAPHIC</v>
      </c>
      <c r="C75" t="str">
        <f>IF(PRODUCTOS!A75="","",_xlfn.XLOOKUP(PRODUCTOS!A75,INVENTARIO!A75:A416,INVENTARIO!D75:D416))</f>
        <v>1,37</v>
      </c>
      <c r="D75" t="str">
        <f>IF(PRODUCTOS!A75="","",_xlfn.XLOOKUP(PRODUCTOS!A75,INVENTARIO!A75:A416,INVENTARIO!E75:E416))</f>
        <v>45,7</v>
      </c>
      <c r="G75" t="s">
        <v>485</v>
      </c>
    </row>
    <row r="76" spans="1:7">
      <c r="A76" t="str">
        <v>VIN-PSX-VIN-TEXT-STO-1</v>
      </c>
      <c r="B76" t="str">
        <f>IF(PRODUCTOS!A76="","",_xlfn.XLOOKUP(PRODUCTOS!A76,INVENTARIO!A76:A417,INVENTARIO!C76:C417))</f>
        <v>VINIL PSXPVTX001SM-60 VINIL TEXT STONE</v>
      </c>
      <c r="C76" t="str">
        <f>IF(PRODUCTOS!A76="","",_xlfn.XLOOKUP(PRODUCTOS!A76,INVENTARIO!A76:A417,INVENTARIO!D76:D417))</f>
        <v>1,52</v>
      </c>
      <c r="D76">
        <f>IF(PRODUCTOS!A76="","",_xlfn.XLOOKUP(PRODUCTOS!A76,INVENTARIO!A76:A417,INVENTARIO!E76:E417))</f>
        <v>50</v>
      </c>
      <c r="G76" t="s">
        <v>485</v>
      </c>
    </row>
    <row r="77" spans="1:7">
      <c r="A77" t="str">
        <v>VIN-WAL-CAN-GF-1</v>
      </c>
      <c r="B77" t="str">
        <f>IF(PRODUCTOS!A77="","",_xlfn.XLOOKUP(PRODUCTOS!A77,INVENTARIO!A77:A418,INVENTARIO!C77:C418))</f>
        <v>VINIL WALL CANVAS - GF</v>
      </c>
      <c r="C77" t="str">
        <f>IF(PRODUCTOS!A77="","",_xlfn.XLOOKUP(PRODUCTOS!A77,INVENTARIO!A77:A418,INVENTARIO!D77:D418))</f>
        <v>1,37</v>
      </c>
      <c r="D77">
        <f>IF(PRODUCTOS!A77="","",_xlfn.XLOOKUP(PRODUCTOS!A77,INVENTARIO!A77:A418,INVENTARIO!E77:E418))</f>
        <v>50</v>
      </c>
      <c r="G77" t="s">
        <v>485</v>
      </c>
    </row>
    <row r="78" spans="1:7">
      <c r="A78" t="str">
        <v>VIN-BLA-TRA-IMP-1</v>
      </c>
      <c r="B78" t="str">
        <f>IF(PRODUCTOS!A78="","",_xlfn.XLOOKUP(PRODUCTOS!A78,INVENTARIO!A78:A419,INVENTARIO!C78:C419))</f>
        <v>VINIL BLANCO TRANSLUCIDO PARA IMPRESIÓN</v>
      </c>
      <c r="C78" t="str">
        <f>IF(PRODUCTOS!A78="","",_xlfn.XLOOKUP(PRODUCTOS!A78,INVENTARIO!A78:A419,INVENTARIO!D78:D419))</f>
        <v>1,52</v>
      </c>
      <c r="D78">
        <f>IF(PRODUCTOS!A78="","",_xlfn.XLOOKUP(PRODUCTOS!A78,INVENTARIO!A78:A419,INVENTARIO!E78:E419))</f>
        <v>10</v>
      </c>
      <c r="G78" t="s">
        <v>485</v>
      </c>
    </row>
    <row r="79" spans="1:7">
      <c r="A79" t="str">
        <v>LAM-3M-1</v>
      </c>
      <c r="B79" t="str">
        <f>IF(PRODUCTOS!A79="","",_xlfn.XLOOKUP(PRODUCTOS!A79,INVENTARIO!A79:A420,INVENTARIO!C79:C420))</f>
        <v>LAMINADO 3M (PROTECCION LUSTRE 8519)</v>
      </c>
      <c r="C79" t="str">
        <f>IF(PRODUCTOS!A79="","",_xlfn.XLOOKUP(PRODUCTOS!A79,INVENTARIO!A79:A420,INVENTARIO!D79:D420))</f>
        <v>1,52</v>
      </c>
      <c r="D79">
        <f>IF(PRODUCTOS!A79="","",_xlfn.XLOOKUP(PRODUCTOS!A79,INVENTARIO!A79:A420,INVENTARIO!E79:E420))</f>
        <v>40</v>
      </c>
      <c r="G79" t="s">
        <v>485</v>
      </c>
    </row>
    <row r="80" spans="1:7">
      <c r="A80" t="str">
        <v>LAM-TER-BRI-TRA-1</v>
      </c>
      <c r="B80" t="str">
        <f>IF(PRODUCTOS!A80="","",_xlfn.XLOOKUP(PRODUCTOS!A80,INVENTARIO!A80:A421,INVENTARIO!C80:C421))</f>
        <v>LAMINADO TERMICO - TRANSPARENTE BRILLANTE</v>
      </c>
      <c r="C80" t="str">
        <f>IF(PRODUCTOS!A80="","",_xlfn.XLOOKUP(PRODUCTOS!A80,INVENTARIO!A80:A421,INVENTARIO!D80:D421))</f>
        <v>0,6</v>
      </c>
      <c r="D80">
        <f>IF(PRODUCTOS!A80="","",_xlfn.XLOOKUP(PRODUCTOS!A80,INVENTARIO!A80:A421,INVENTARIO!E80:E421))</f>
        <v>300</v>
      </c>
      <c r="G80" t="s">
        <v>485</v>
      </c>
    </row>
    <row r="81" spans="1:7">
      <c r="A81" t="str">
        <v>LAM-TER-MAT-TRA-1</v>
      </c>
      <c r="B81" t="str">
        <f>IF(PRODUCTOS!A81="","",_xlfn.XLOOKUP(PRODUCTOS!A81,INVENTARIO!A81:A422,INVENTARIO!C81:C422))</f>
        <v>LAMINADO TERMICO - TRANSPARENTE MATE</v>
      </c>
      <c r="C81">
        <f>IF(PRODUCTOS!A81="","",_xlfn.XLOOKUP(PRODUCTOS!A81,INVENTARIO!A81:A422,INVENTARIO!D81:D422))</f>
        <v>0</v>
      </c>
      <c r="D81">
        <f>IF(PRODUCTOS!A81="","",_xlfn.XLOOKUP(PRODUCTOS!A81,INVENTARIO!A81:A422,INVENTARIO!E81:E422))</f>
        <v>0</v>
      </c>
      <c r="G81" t="s">
        <v>487</v>
      </c>
    </row>
    <row r="82" spans="1:7">
      <c r="A82" t="str">
        <v>PVC-BLA-3MM-1</v>
      </c>
      <c r="B82" t="str">
        <f>IF(PRODUCTOS!A82="","",_xlfn.XLOOKUP(PRODUCTOS!A82,INVENTARIO!A82:A423,INVENTARIO!C82:C423))</f>
        <v>PVC BLANCO 3 MM</v>
      </c>
      <c r="C82" t="str">
        <f>IF(PRODUCTOS!A82="","",_xlfn.XLOOKUP(PRODUCTOS!A82,INVENTARIO!A82:A423,INVENTARIO!D82:D423))</f>
        <v>1,22</v>
      </c>
      <c r="D82" t="str">
        <f>IF(PRODUCTOS!A82="","",_xlfn.XLOOKUP(PRODUCTOS!A82,INVENTARIO!A82:A423,INVENTARIO!E82:E423))</f>
        <v>2,44</v>
      </c>
      <c r="G82" t="s">
        <v>486</v>
      </c>
    </row>
    <row r="83" spans="1:7">
      <c r="A83" t="str">
        <v>PVC-BLA-3MM-2</v>
      </c>
      <c r="B83" t="str">
        <f>IF(PRODUCTOS!A83="","",_xlfn.XLOOKUP(PRODUCTOS!A83,INVENTARIO!A83:A424,INVENTARIO!C83:C424))</f>
        <v>PVC BLANCO 3 MM</v>
      </c>
      <c r="C83" t="str">
        <f>IF(PRODUCTOS!A83="","",_xlfn.XLOOKUP(PRODUCTOS!A83,INVENTARIO!A83:A424,INVENTARIO!D83:D424))</f>
        <v>1,23</v>
      </c>
      <c r="D83" t="str">
        <f>IF(PRODUCTOS!A83="","",_xlfn.XLOOKUP(PRODUCTOS!A83,INVENTARIO!A83:A424,INVENTARIO!E83:E424))</f>
        <v>2,45</v>
      </c>
      <c r="G83" t="s">
        <v>486</v>
      </c>
    </row>
    <row r="84" spans="1:7">
      <c r="A84" t="str">
        <v>PVC-BLA-3MM-GAM-BAJ-1</v>
      </c>
      <c r="B84" t="str">
        <f>IF(PRODUCTOS!A84="","",_xlfn.XLOOKUP(PRODUCTOS!A84,INVENTARIO!A84:A425,INVENTARIO!C84:C425))</f>
        <v>PVC BLANCO 3 MM GAMA BAJA</v>
      </c>
      <c r="C84" t="str">
        <f>IF(PRODUCTOS!A84="","",_xlfn.XLOOKUP(PRODUCTOS!A84,INVENTARIO!A84:A425,INVENTARIO!D84:D425))</f>
        <v>1,22</v>
      </c>
      <c r="D84" t="str">
        <f>IF(PRODUCTOS!A84="","",_xlfn.XLOOKUP(PRODUCTOS!A84,INVENTARIO!A84:A425,INVENTARIO!E84:E425))</f>
        <v>2,44</v>
      </c>
      <c r="G84" t="s">
        <v>486</v>
      </c>
    </row>
    <row r="85" spans="1:7">
      <c r="A85" t="str">
        <v>PVC-BLA-2MM-1</v>
      </c>
      <c r="B85" t="str">
        <f>IF(PRODUCTOS!A85="","",_xlfn.XLOOKUP(PRODUCTOS!A85,INVENTARIO!A85:A426,INVENTARIO!C85:C426))</f>
        <v>PVC BLANCO 2 MM</v>
      </c>
      <c r="C85" t="str">
        <f>IF(PRODUCTOS!A85="","",_xlfn.XLOOKUP(PRODUCTOS!A85,INVENTARIO!A85:A426,INVENTARIO!D85:D426))</f>
        <v>1,22</v>
      </c>
      <c r="D85" t="str">
        <f>IF(PRODUCTOS!A85="","",_xlfn.XLOOKUP(PRODUCTOS!A85,INVENTARIO!A85:A426,INVENTARIO!E85:E426))</f>
        <v>2,44</v>
      </c>
      <c r="G85" t="s">
        <v>486</v>
      </c>
    </row>
    <row r="86" spans="1:7">
      <c r="A86" t="str">
        <v>PVC-BLA-6MM-1</v>
      </c>
      <c r="B86" t="str">
        <f>IF(PRODUCTOS!A86="","",_xlfn.XLOOKUP(PRODUCTOS!A86,INVENTARIO!A86:A427,INVENTARIO!C86:C427))</f>
        <v>PVC BLANCO 6 MM</v>
      </c>
      <c r="C86" t="str">
        <f>IF(PRODUCTOS!A86="","",_xlfn.XLOOKUP(PRODUCTOS!A86,INVENTARIO!A86:A427,INVENTARIO!D86:D427))</f>
        <v>1,22</v>
      </c>
      <c r="D86" t="str">
        <f>IF(PRODUCTOS!A86="","",_xlfn.XLOOKUP(PRODUCTOS!A86,INVENTARIO!A86:A427,INVENTARIO!E86:E427))</f>
        <v>2,44</v>
      </c>
      <c r="G86" t="s">
        <v>486</v>
      </c>
    </row>
    <row r="87" spans="1:7">
      <c r="A87" t="str">
        <v>PVC-BLA-6MM-GAM-BAJ-1</v>
      </c>
      <c r="B87" t="str">
        <f>IF(PRODUCTOS!A87="","",_xlfn.XLOOKUP(PRODUCTOS!A87,INVENTARIO!A87:A428,INVENTARIO!C87:C428))</f>
        <v>PVC BLANCO 6 MM GAMA BAJA</v>
      </c>
      <c r="C87" t="str">
        <f>IF(PRODUCTOS!A87="","",_xlfn.XLOOKUP(PRODUCTOS!A87,INVENTARIO!A87:A428,INVENTARIO!D87:D428))</f>
        <v>1,22</v>
      </c>
      <c r="D87" t="str">
        <f>IF(PRODUCTOS!A87="","",_xlfn.XLOOKUP(PRODUCTOS!A87,INVENTARIO!A87:A428,INVENTARIO!E87:E428))</f>
        <v>2,44</v>
      </c>
      <c r="G87" t="s">
        <v>486</v>
      </c>
    </row>
    <row r="88" spans="1:7">
      <c r="A88" t="str">
        <v>PVC-BLA-6MM-GAM-BAJ-2</v>
      </c>
      <c r="B88" t="str">
        <f>IF(PRODUCTOS!A88="","",_xlfn.XLOOKUP(PRODUCTOS!A88,INVENTARIO!A88:A429,INVENTARIO!C88:C429))</f>
        <v>PVC BLANCO 6 MM GAMA BAJA</v>
      </c>
      <c r="C88" t="str">
        <f>IF(PRODUCTOS!A88="","",_xlfn.XLOOKUP(PRODUCTOS!A88,INVENTARIO!A88:A429,INVENTARIO!D88:D429))</f>
        <v>1,23</v>
      </c>
      <c r="D88" t="str">
        <f>IF(PRODUCTOS!A88="","",_xlfn.XLOOKUP(PRODUCTOS!A88,INVENTARIO!A88:A429,INVENTARIO!E88:E429))</f>
        <v>2,45</v>
      </c>
      <c r="G88" t="s">
        <v>486</v>
      </c>
    </row>
    <row r="89" spans="1:7">
      <c r="A89" t="str">
        <v>PVC-BLA-10MM-1</v>
      </c>
      <c r="B89" t="str">
        <f>IF(PRODUCTOS!A89="","",_xlfn.XLOOKUP(PRODUCTOS!A89,INVENTARIO!A89:A430,INVENTARIO!C89:C430))</f>
        <v>PVC BLANCO 10 MM</v>
      </c>
      <c r="C89" t="str">
        <f>IF(PRODUCTOS!A89="","",_xlfn.XLOOKUP(PRODUCTOS!A89,INVENTARIO!A89:A430,INVENTARIO!D89:D430))</f>
        <v>1,22</v>
      </c>
      <c r="D89" t="str">
        <f>IF(PRODUCTOS!A89="","",_xlfn.XLOOKUP(PRODUCTOS!A89,INVENTARIO!A89:A430,INVENTARIO!E89:E430))</f>
        <v>2,44</v>
      </c>
      <c r="G89" t="s">
        <v>486</v>
      </c>
    </row>
    <row r="90" spans="1:7">
      <c r="A90" t="str">
        <v>FOA-1GRA-1</v>
      </c>
      <c r="B90" t="str">
        <f>IF(PRODUCTOS!A90="","",_xlfn.XLOOKUP(PRODUCTOS!A90,INVENTARIO!A90:A431,INVENTARIO!C90:C431))</f>
        <v>FOAMULAR 1"</v>
      </c>
      <c r="C90" t="str">
        <f>IF(PRODUCTOS!A90="","",_xlfn.XLOOKUP(PRODUCTOS!A90,INVENTARIO!A90:A431,INVENTARIO!D90:D431))</f>
        <v>1,22</v>
      </c>
      <c r="D90" t="str">
        <f>IF(PRODUCTOS!A90="","",_xlfn.XLOOKUP(PRODUCTOS!A90,INVENTARIO!A90:A431,INVENTARIO!E90:E431))</f>
        <v>2,44</v>
      </c>
      <c r="G90" t="s">
        <v>486</v>
      </c>
    </row>
    <row r="91" spans="1:7">
      <c r="A91" t="str">
        <v>COR-4MM-1</v>
      </c>
      <c r="B91" t="str">
        <f>IF(PRODUCTOS!A91="","",_xlfn.XLOOKUP(PRODUCTOS!A91,INVENTARIO!A91:A432,INVENTARIO!C91:C432))</f>
        <v>COROPLAST 4 MM</v>
      </c>
      <c r="C91" t="str">
        <f>IF(PRODUCTOS!A91="","",_xlfn.XLOOKUP(PRODUCTOS!A91,INVENTARIO!A91:A432,INVENTARIO!D91:D432))</f>
        <v>1,22</v>
      </c>
      <c r="D91" t="str">
        <f>IF(PRODUCTOS!A91="","",_xlfn.XLOOKUP(PRODUCTOS!A91,INVENTARIO!A91:A432,INVENTARIO!E91:E432))</f>
        <v>2,44</v>
      </c>
      <c r="G91" t="s">
        <v>486</v>
      </c>
    </row>
    <row r="92" spans="1:7">
      <c r="A92" t="str">
        <v>FOA-5MM-1</v>
      </c>
      <c r="B92" t="str">
        <f>IF(PRODUCTOS!A92="","",_xlfn.XLOOKUP(PRODUCTOS!A92,INVENTARIO!A92:A433,INVENTARIO!C92:C433))</f>
        <v>FOAMBOARD 5 MM</v>
      </c>
      <c r="C92" t="str">
        <f>IF(PRODUCTOS!A92="","",_xlfn.XLOOKUP(PRODUCTOS!A92,INVENTARIO!A92:A433,INVENTARIO!D92:D433))</f>
        <v>1,22</v>
      </c>
      <c r="D92" t="str">
        <f>IF(PRODUCTOS!A92="","",_xlfn.XLOOKUP(PRODUCTOS!A92,INVENTARIO!A92:A433,INVENTARIO!E92:E433))</f>
        <v>2,44</v>
      </c>
      <c r="G92" t="s">
        <v>486</v>
      </c>
    </row>
    <row r="93" spans="1:7">
      <c r="A93" t="str">
        <v>FOA-10MM-1</v>
      </c>
      <c r="B93" t="str">
        <f>IF(PRODUCTOS!A93="","",_xlfn.XLOOKUP(PRODUCTOS!A93,INVENTARIO!A93:A434,INVENTARIO!C93:C434))</f>
        <v>FOAMBOARD 10 MM</v>
      </c>
      <c r="C93" t="str">
        <f>IF(PRODUCTOS!A93="","",_xlfn.XLOOKUP(PRODUCTOS!A93,INVENTARIO!A93:A434,INVENTARIO!D93:D434))</f>
        <v>1,22</v>
      </c>
      <c r="D93" t="str">
        <f>IF(PRODUCTOS!A93="","",_xlfn.XLOOKUP(PRODUCTOS!A93,INVENTARIO!A93:A434,INVENTARIO!E93:E434))</f>
        <v>2,44</v>
      </c>
      <c r="G93" t="s">
        <v>486</v>
      </c>
    </row>
    <row r="94" spans="1:7">
      <c r="A94" t="str">
        <v>DIS-60X-1</v>
      </c>
      <c r="B94" t="str">
        <f>IF(PRODUCTOS!A94="","",_xlfn.XLOOKUP(PRODUCTOS!A94,INVENTARIO!A94:A435,INVENTARIO!C94:C435))</f>
        <v>DISPLAY 60X160</v>
      </c>
      <c r="C94" t="str">
        <f>IF(PRODUCTOS!A94="","",_xlfn.XLOOKUP(PRODUCTOS!A94,INVENTARIO!A94:A435,INVENTARIO!D94:D435))</f>
        <v>0,6</v>
      </c>
      <c r="D94" t="str">
        <f>IF(PRODUCTOS!A94="","",_xlfn.XLOOKUP(PRODUCTOS!A94,INVENTARIO!A94:A435,INVENTARIO!E94:E435))</f>
        <v>1,6</v>
      </c>
      <c r="G94" t="s">
        <v>486</v>
      </c>
    </row>
    <row r="95" spans="1:7">
      <c r="A95" t="str">
        <v>ROL-UP-200X-1</v>
      </c>
      <c r="B95" t="str">
        <f>IF(PRODUCTOS!A95="","",_xlfn.XLOOKUP(PRODUCTOS!A95,INVENTARIO!A95:A436,INVENTARIO!C95:C436))</f>
        <v>ROLL UP 200X85</v>
      </c>
      <c r="C95" t="str">
        <f>IF(PRODUCTOS!A95="","",_xlfn.XLOOKUP(PRODUCTOS!A95,INVENTARIO!A95:A436,INVENTARIO!D95:D436))</f>
        <v>0,85</v>
      </c>
      <c r="D95">
        <f>IF(PRODUCTOS!A95="","",_xlfn.XLOOKUP(PRODUCTOS!A95,INVENTARIO!A95:A436,INVENTARIO!E95:E436))</f>
        <v>2</v>
      </c>
      <c r="G95" t="s">
        <v>486</v>
      </c>
    </row>
    <row r="96" spans="1:7">
      <c r="A96" t="str">
        <v>ROL-UP-200X-2</v>
      </c>
      <c r="B96" t="str">
        <f>IF(PRODUCTOS!A96="","",_xlfn.XLOOKUP(PRODUCTOS!A96,INVENTARIO!A96:A437,INVENTARIO!C96:C437))</f>
        <v>ROLL UP 200X80</v>
      </c>
      <c r="C96">
        <f>IF(PRODUCTOS!A96="","",_xlfn.XLOOKUP(PRODUCTOS!A96,INVENTARIO!A96:A437,INVENTARIO!D96:D437))</f>
        <v>0.8</v>
      </c>
      <c r="D96">
        <f>IF(PRODUCTOS!A96="","",_xlfn.XLOOKUP(PRODUCTOS!A96,INVENTARIO!A96:A437,INVENTARIO!E96:E437))</f>
        <v>2</v>
      </c>
      <c r="G96" t="s">
        <v>486</v>
      </c>
    </row>
    <row r="97" spans="1:7">
      <c r="A97" t="str">
        <v>STA-ARA-307X-1</v>
      </c>
      <c r="B97" t="str">
        <f>IF(PRODUCTOS!A97="","",_xlfn.XLOOKUP(PRODUCTOS!A97,INVENTARIO!A97:A438,INVENTARIO!C97:C438))</f>
        <v>STAND ARAÑA 307×232</v>
      </c>
      <c r="C97" t="str">
        <f>IF(PRODUCTOS!A97="","",_xlfn.XLOOKUP(PRODUCTOS!A97,INVENTARIO!A97:A438,INVENTARIO!D97:D438))</f>
        <v>2,96</v>
      </c>
      <c r="D97" t="str">
        <f>IF(PRODUCTOS!A97="","",_xlfn.XLOOKUP(PRODUCTOS!A97,INVENTARIO!A97:A438,INVENTARIO!E97:E438))</f>
        <v>2,22</v>
      </c>
      <c r="G97" t="s">
        <v>486</v>
      </c>
    </row>
    <row r="98" spans="1:7">
      <c r="A98" t="str">
        <v>SOL-EQU-GRA-FOR-1</v>
      </c>
      <c r="B98" t="str">
        <f>IF(PRODUCTOS!A98="","",_xlfn.XLOOKUP(PRODUCTOS!A98,INVENTARIO!A98:A439,INVENTARIO!C98:C439))</f>
        <v>SOLVENTE EQUIPO GRAN FORMATO</v>
      </c>
      <c r="C98">
        <f>IF(PRODUCTOS!A98="","",_xlfn.XLOOKUP(PRODUCTOS!A98,INVENTARIO!A98:A439,INVENTARIO!D98:D439))</f>
        <v>1</v>
      </c>
      <c r="D98">
        <f>IF(PRODUCTOS!A98="","",_xlfn.XLOOKUP(PRODUCTOS!A98,INVENTARIO!A98:A439,INVENTARIO!E98:E439))</f>
        <v>5</v>
      </c>
      <c r="G98" t="s">
        <v>488</v>
      </c>
    </row>
    <row r="99" spans="1:7">
      <c r="A99" t="str">
        <v>SOL-EQU-CAM-PLA-1</v>
      </c>
      <c r="B99" t="str">
        <f>IF(PRODUCTOS!A99="","",_xlfn.XLOOKUP(PRODUCTOS!A99,INVENTARIO!A99:A440,INVENTARIO!C99:C440))</f>
        <v>SOLVENTE EQUIPO CAMA PLANA</v>
      </c>
      <c r="C99">
        <f>IF(PRODUCTOS!A99="","",_xlfn.XLOOKUP(PRODUCTOS!A99,INVENTARIO!A99:A440,INVENTARIO!D99:D440))</f>
        <v>1</v>
      </c>
      <c r="D99">
        <f>IF(PRODUCTOS!A99="","",_xlfn.XLOOKUP(PRODUCTOS!A99,INVENTARIO!A99:A440,INVENTARIO!E99:E440))</f>
        <v>1</v>
      </c>
      <c r="G99" t="s">
        <v>488</v>
      </c>
    </row>
    <row r="100" spans="1:7">
      <c r="A100" t="str">
        <v>TIN-LX7-LAT-CYA-1</v>
      </c>
      <c r="B100" t="str">
        <f>IF(PRODUCTOS!A100="","",_xlfn.XLOOKUP(PRODUCTOS!A100,INVENTARIO!A100:A441,INVENTARIO!C100:C441))</f>
        <v>TINTA LX700 LATEX CYAN</v>
      </c>
      <c r="C100">
        <f>IF(PRODUCTOS!A100="","",_xlfn.XLOOKUP(PRODUCTOS!A100,INVENTARIO!A100:A441,INVENTARIO!D100:D441))</f>
        <v>1</v>
      </c>
      <c r="D100">
        <f>IF(PRODUCTOS!A100="","",_xlfn.XLOOKUP(PRODUCTOS!A100,INVENTARIO!A100:A441,INVENTARIO!E100:E441))</f>
        <v>1</v>
      </c>
      <c r="G100" t="s">
        <v>488</v>
      </c>
    </row>
    <row r="101" spans="1:7">
      <c r="A101" t="str">
        <v>TIN-LX7-LAT-MAG-1</v>
      </c>
      <c r="B101" t="str">
        <f>IF(PRODUCTOS!A101="","",_xlfn.XLOOKUP(PRODUCTOS!A101,INVENTARIO!A101:A442,INVENTARIO!C101:C442))</f>
        <v>TINTA LX700 LATEX MAGENTA</v>
      </c>
      <c r="C101">
        <f>IF(PRODUCTOS!A101="","",_xlfn.XLOOKUP(PRODUCTOS!A101,INVENTARIO!A101:A442,INVENTARIO!D101:D442))</f>
        <v>1</v>
      </c>
      <c r="D101">
        <f>IF(PRODUCTOS!A101="","",_xlfn.XLOOKUP(PRODUCTOS!A101,INVENTARIO!A101:A442,INVENTARIO!E101:E442))</f>
        <v>1</v>
      </c>
      <c r="G101" t="s">
        <v>488</v>
      </c>
    </row>
    <row r="102" spans="1:7">
      <c r="A102" t="str">
        <v>TIN-LX7-LAT-YEL-1</v>
      </c>
      <c r="B102" t="str">
        <f>IF(PRODUCTOS!A102="","",_xlfn.XLOOKUP(PRODUCTOS!A102,INVENTARIO!A102:A443,INVENTARIO!C102:C443))</f>
        <v>TINTA LX700 LATEX YELLOW</v>
      </c>
      <c r="C102">
        <f>IF(PRODUCTOS!A102="","",_xlfn.XLOOKUP(PRODUCTOS!A102,INVENTARIO!A102:A443,INVENTARIO!D102:D443))</f>
        <v>1</v>
      </c>
      <c r="D102">
        <f>IF(PRODUCTOS!A102="","",_xlfn.XLOOKUP(PRODUCTOS!A102,INVENTARIO!A102:A443,INVENTARIO!E102:E443))</f>
        <v>1</v>
      </c>
      <c r="G102" t="s">
        <v>488</v>
      </c>
    </row>
    <row r="103" spans="1:7">
      <c r="A103" t="str">
        <v>TIN-LX7-LAT-BLA-1</v>
      </c>
      <c r="B103" t="str">
        <f>IF(PRODUCTOS!A103="","",_xlfn.XLOOKUP(PRODUCTOS!A103,INVENTARIO!A103:A444,INVENTARIO!C103:C444))</f>
        <v>TINTA LX700 LATEX BLACK</v>
      </c>
      <c r="C103">
        <f>IF(PRODUCTOS!A103="","",_xlfn.XLOOKUP(PRODUCTOS!A103,INVENTARIO!A103:A444,INVENTARIO!D103:D444))</f>
        <v>1</v>
      </c>
      <c r="D103">
        <f>IF(PRODUCTOS!A103="","",_xlfn.XLOOKUP(PRODUCTOS!A103,INVENTARIO!A103:A444,INVENTARIO!E103:E444))</f>
        <v>1</v>
      </c>
      <c r="G103" t="s">
        <v>488</v>
      </c>
    </row>
    <row r="104" spans="1:7">
      <c r="A104" t="str">
        <v>TIN-LX7-LAT-LIG-CYA-1</v>
      </c>
      <c r="B104" t="str">
        <f>IF(PRODUCTOS!A104="","",_xlfn.XLOOKUP(PRODUCTOS!A104,INVENTARIO!A104:A445,INVENTARIO!C104:C445))</f>
        <v>TINTA LX700 LATEX LIGHT CYAN</v>
      </c>
      <c r="C104">
        <f>IF(PRODUCTOS!A104="","",_xlfn.XLOOKUP(PRODUCTOS!A104,INVENTARIO!A104:A445,INVENTARIO!D104:D445))</f>
        <v>1</v>
      </c>
      <c r="D104">
        <f>IF(PRODUCTOS!A104="","",_xlfn.XLOOKUP(PRODUCTOS!A104,INVENTARIO!A104:A445,INVENTARIO!E104:E445))</f>
        <v>1</v>
      </c>
      <c r="G104" t="s">
        <v>488</v>
      </c>
    </row>
    <row r="105" spans="1:7">
      <c r="A105" t="str">
        <v>TIN-LX7-LAT-LIG-MAG-1</v>
      </c>
      <c r="B105" t="str">
        <f>IF(PRODUCTOS!A105="","",_xlfn.XLOOKUP(PRODUCTOS!A105,INVENTARIO!A105:A446,INVENTARIO!C105:C446))</f>
        <v>TINTA LX700 LATEX LIGHT MAGENTA</v>
      </c>
      <c r="C105">
        <f>IF(PRODUCTOS!A105="","",_xlfn.XLOOKUP(PRODUCTOS!A105,INVENTARIO!A105:A446,INVENTARIO!D105:D446))</f>
        <v>1</v>
      </c>
      <c r="D105">
        <f>IF(PRODUCTOS!A105="","",_xlfn.XLOOKUP(PRODUCTOS!A105,INVENTARIO!A105:A446,INVENTARIO!E105:E446))</f>
        <v>1</v>
      </c>
      <c r="G105" t="s">
        <v>488</v>
      </c>
    </row>
    <row r="106" spans="1:7">
      <c r="A106" t="str">
        <v>TIN-LX7-LAT-OPT-1</v>
      </c>
      <c r="B106" t="str">
        <f>IF(PRODUCTOS!A106="","",_xlfn.XLOOKUP(PRODUCTOS!A106,INVENTARIO!A106:A447,INVENTARIO!C106:C447))</f>
        <v>TINTA LX700 LATEX OPTIMIZADOR</v>
      </c>
      <c r="C106">
        <f>IF(PRODUCTOS!A106="","",_xlfn.XLOOKUP(PRODUCTOS!A106,INVENTARIO!A106:A447,INVENTARIO!D106:D447))</f>
        <v>1</v>
      </c>
      <c r="D106">
        <f>IF(PRODUCTOS!A106="","",_xlfn.XLOOKUP(PRODUCTOS!A106,INVENTARIO!A106:A447,INVENTARIO!E106:E447))</f>
        <v>1</v>
      </c>
      <c r="G106" t="s">
        <v>488</v>
      </c>
    </row>
    <row r="107" spans="1:7">
      <c r="A107" t="str">
        <v>TIN-LX7-LAT-OVE-1</v>
      </c>
      <c r="B107" t="str">
        <f>IF(PRODUCTOS!A107="","",_xlfn.XLOOKUP(PRODUCTOS!A107,INVENTARIO!A107:A448,INVENTARIO!C107:C448))</f>
        <v>TINTA LX700 LATEX OVERCOAT</v>
      </c>
      <c r="C107">
        <f>IF(PRODUCTOS!A107="","",_xlfn.XLOOKUP(PRODUCTOS!A107,INVENTARIO!A107:A448,INVENTARIO!D107:D448))</f>
        <v>1</v>
      </c>
      <c r="D107">
        <f>IF(PRODUCTOS!A107="","",_xlfn.XLOOKUP(PRODUCTOS!A107,INVENTARIO!A107:A448,INVENTARIO!E107:E448))</f>
        <v>1</v>
      </c>
      <c r="G107" t="s">
        <v>488</v>
      </c>
    </row>
    <row r="108" spans="1:7">
      <c r="A108" t="str">
        <v>TIN-GRA-CYA-1</v>
      </c>
      <c r="B108" t="str">
        <f>IF(PRODUCTOS!A108="","",_xlfn.XLOOKUP(PRODUCTOS!A108,INVENTARIO!A108:A449,INVENTARIO!C108:C449))</f>
        <v>TINTA GRANDO CYAN</v>
      </c>
      <c r="C108">
        <f>IF(PRODUCTOS!A108="","",_xlfn.XLOOKUP(PRODUCTOS!A108,INVENTARIO!A108:A449,INVENTARIO!D108:D449))</f>
        <v>1</v>
      </c>
      <c r="D108">
        <f>IF(PRODUCTOS!A108="","",_xlfn.XLOOKUP(PRODUCTOS!A108,INVENTARIO!A108:A449,INVENTARIO!E108:E449))</f>
        <v>5</v>
      </c>
      <c r="G108" t="s">
        <v>490</v>
      </c>
    </row>
    <row r="109" spans="1:7">
      <c r="A109" t="str">
        <v>TIN-GRA-MAG-1</v>
      </c>
      <c r="B109" t="str">
        <f>IF(PRODUCTOS!A109="","",_xlfn.XLOOKUP(PRODUCTOS!A109,INVENTARIO!A109:A450,INVENTARIO!C109:C450))</f>
        <v>TINTA GRANDO MAGENTA</v>
      </c>
      <c r="C109">
        <f>IF(PRODUCTOS!A109="","",_xlfn.XLOOKUP(PRODUCTOS!A109,INVENTARIO!A109:A450,INVENTARIO!D109:D450))</f>
        <v>1</v>
      </c>
      <c r="D109">
        <f>IF(PRODUCTOS!A109="","",_xlfn.XLOOKUP(PRODUCTOS!A109,INVENTARIO!A109:A450,INVENTARIO!E109:E450))</f>
        <v>5</v>
      </c>
      <c r="G109" t="s">
        <v>490</v>
      </c>
    </row>
    <row r="110" spans="1:7">
      <c r="A110" t="str">
        <v>TIN-GRA-YEL-1</v>
      </c>
      <c r="B110" t="str">
        <f>IF(PRODUCTOS!A110="","",_xlfn.XLOOKUP(PRODUCTOS!A110,INVENTARIO!A110:A451,INVENTARIO!C110:C451))</f>
        <v>TINTA GRANDO YELLOW</v>
      </c>
      <c r="C110">
        <f>IF(PRODUCTOS!A110="","",_xlfn.XLOOKUP(PRODUCTOS!A110,INVENTARIO!A110:A451,INVENTARIO!D110:D451))</f>
        <v>1</v>
      </c>
      <c r="D110">
        <f>IF(PRODUCTOS!A110="","",_xlfn.XLOOKUP(PRODUCTOS!A110,INVENTARIO!A110:A451,INVENTARIO!E110:E451))</f>
        <v>5</v>
      </c>
      <c r="G110" t="s">
        <v>490</v>
      </c>
    </row>
    <row r="111" spans="1:7">
      <c r="A111" t="str">
        <v>TIN-GRA-BLA-1</v>
      </c>
      <c r="B111" t="str">
        <f>IF(PRODUCTOS!A111="","",_xlfn.XLOOKUP(PRODUCTOS!A111,INVENTARIO!A111:A452,INVENTARIO!C111:C452))</f>
        <v>TINTA GRANDO BLACK</v>
      </c>
      <c r="C111">
        <f>IF(PRODUCTOS!A111="","",_xlfn.XLOOKUP(PRODUCTOS!A111,INVENTARIO!A111:A452,INVENTARIO!D111:D452))</f>
        <v>1</v>
      </c>
      <c r="D111">
        <f>IF(PRODUCTOS!A111="","",_xlfn.XLOOKUP(PRODUCTOS!A111,INVENTARIO!A111:A452,INVENTARIO!E111:E452))</f>
        <v>5</v>
      </c>
      <c r="G111" t="s">
        <v>490</v>
      </c>
    </row>
    <row r="112" spans="1:7">
      <c r="A112" t="str">
        <v>TIN-CAM-PLA-SUN-CYA-1</v>
      </c>
      <c r="B112" t="str">
        <f>IF(PRODUCTOS!A112="","",_xlfn.XLOOKUP(PRODUCTOS!A112,INVENTARIO!A112:A453,INVENTARIO!C112:C453))</f>
        <v>TINTA - CAMA PLANA SUNTHINKS CYAN</v>
      </c>
      <c r="C112">
        <f>IF(PRODUCTOS!A112="","",_xlfn.XLOOKUP(PRODUCTOS!A112,INVENTARIO!A112:A453,INVENTARIO!D112:D453))</f>
        <v>1</v>
      </c>
      <c r="D112">
        <f>IF(PRODUCTOS!A112="","",_xlfn.XLOOKUP(PRODUCTOS!A112,INVENTARIO!A112:A453,INVENTARIO!E112:E453))</f>
        <v>1</v>
      </c>
      <c r="G112" t="s">
        <v>488</v>
      </c>
    </row>
    <row r="113" spans="1:7">
      <c r="A113" t="str">
        <v>TIN-CAM-PLA-SUN-MAG-1</v>
      </c>
      <c r="B113" t="str">
        <f>IF(PRODUCTOS!A113="","",_xlfn.XLOOKUP(PRODUCTOS!A113,INVENTARIO!A113:A454,INVENTARIO!C113:C454))</f>
        <v>TINTA - CAMA PLANA SUNTHINKS MAGENTA</v>
      </c>
      <c r="C113">
        <f>IF(PRODUCTOS!A113="","",_xlfn.XLOOKUP(PRODUCTOS!A113,INVENTARIO!A113:A454,INVENTARIO!D113:D454))</f>
        <v>1</v>
      </c>
      <c r="D113">
        <f>IF(PRODUCTOS!A113="","",_xlfn.XLOOKUP(PRODUCTOS!A113,INVENTARIO!A113:A454,INVENTARIO!E113:E454))</f>
        <v>1</v>
      </c>
      <c r="G113" t="s">
        <v>488</v>
      </c>
    </row>
    <row r="114" spans="1:7">
      <c r="A114" t="str">
        <v>TIN-CAM-PLA-SUN-YEL-1</v>
      </c>
      <c r="B114" t="str">
        <f>IF(PRODUCTOS!A114="","",_xlfn.XLOOKUP(PRODUCTOS!A114,INVENTARIO!A114:A455,INVENTARIO!C114:C455))</f>
        <v>TINTA - CAMA PLANA SUNTHINKS YELLOW</v>
      </c>
      <c r="C114">
        <f>IF(PRODUCTOS!A114="","",_xlfn.XLOOKUP(PRODUCTOS!A114,INVENTARIO!A114:A455,INVENTARIO!D114:D455))</f>
        <v>1</v>
      </c>
      <c r="D114">
        <f>IF(PRODUCTOS!A114="","",_xlfn.XLOOKUP(PRODUCTOS!A114,INVENTARIO!A114:A455,INVENTARIO!E114:E455))</f>
        <v>1</v>
      </c>
      <c r="G114" t="s">
        <v>488</v>
      </c>
    </row>
    <row r="115" spans="1:7">
      <c r="A115" t="str">
        <v>TIN-CAM-PLA-SUN-BLA-1</v>
      </c>
      <c r="B115" t="str">
        <f>IF(PRODUCTOS!A115="","",_xlfn.XLOOKUP(PRODUCTOS!A115,INVENTARIO!A115:A456,INVENTARIO!C115:C456))</f>
        <v>TINTA - CAMA PLANA SUNTHINKS BLACK</v>
      </c>
      <c r="C115">
        <f>IF(PRODUCTOS!A115="","",_xlfn.XLOOKUP(PRODUCTOS!A115,INVENTARIO!A115:A456,INVENTARIO!D115:D456))</f>
        <v>1</v>
      </c>
      <c r="D115">
        <f>IF(PRODUCTOS!A115="","",_xlfn.XLOOKUP(PRODUCTOS!A115,INVENTARIO!A115:A456,INVENTARIO!E115:E456))</f>
        <v>1</v>
      </c>
      <c r="G115" t="s">
        <v>488</v>
      </c>
    </row>
    <row r="116" spans="1:7">
      <c r="A116" t="str">
        <v>TIN-CAM-PLA-SUN-WHI-1</v>
      </c>
      <c r="B116" t="str">
        <f>IF(PRODUCTOS!A116="","",_xlfn.XLOOKUP(PRODUCTOS!A116,INVENTARIO!A116:A457,INVENTARIO!C116:C457))</f>
        <v>TINTA - CAMA PLANA SUNTHINKS WHITE</v>
      </c>
      <c r="C116">
        <f>IF(PRODUCTOS!A116="","",_xlfn.XLOOKUP(PRODUCTOS!A116,INVENTARIO!A116:A457,INVENTARIO!D116:D457))</f>
        <v>1</v>
      </c>
      <c r="D116">
        <f>IF(PRODUCTOS!A116="","",_xlfn.XLOOKUP(PRODUCTOS!A116,INVENTARIO!A116:A457,INVENTARIO!E116:E457))</f>
        <v>1</v>
      </c>
      <c r="G116" t="s">
        <v>488</v>
      </c>
    </row>
    <row r="117" spans="1:7">
      <c r="A117" t="str">
        <v>TIN-FB7-CAM-PLA-CYA-1</v>
      </c>
      <c r="B117" t="str">
        <f>IF(PRODUCTOS!A117="","",_xlfn.XLOOKUP(PRODUCTOS!A117,INVENTARIO!A117:A458,INVENTARIO!C117:C458))</f>
        <v>TINTA FB700 - CAMA PLANA CYAN</v>
      </c>
      <c r="C117">
        <f>IF(PRODUCTOS!A117="","",_xlfn.XLOOKUP(PRODUCTOS!A117,INVENTARIO!A117:A458,INVENTARIO!D117:D458))</f>
        <v>1</v>
      </c>
      <c r="D117">
        <f>IF(PRODUCTOS!A117="","",_xlfn.XLOOKUP(PRODUCTOS!A117,INVENTARIO!A117:A458,INVENTARIO!E117:E458))</f>
        <v>3</v>
      </c>
      <c r="G117" t="s">
        <v>489</v>
      </c>
    </row>
    <row r="118" spans="1:7">
      <c r="A118" t="str">
        <v>TIN-FB7-CAM-PLA-MAG-1</v>
      </c>
      <c r="B118" t="str">
        <f>IF(PRODUCTOS!A118="","",_xlfn.XLOOKUP(PRODUCTOS!A118,INVENTARIO!A118:A459,INVENTARIO!C118:C459))</f>
        <v>TINTA FB700 - CAMA PLANA MAGENTA</v>
      </c>
      <c r="C118">
        <f>IF(PRODUCTOS!A118="","",_xlfn.XLOOKUP(PRODUCTOS!A118,INVENTARIO!A118:A459,INVENTARIO!D118:D459))</f>
        <v>1</v>
      </c>
      <c r="D118">
        <f>IF(PRODUCTOS!A118="","",_xlfn.XLOOKUP(PRODUCTOS!A118,INVENTARIO!A118:A459,INVENTARIO!E118:E459))</f>
        <v>3</v>
      </c>
      <c r="G118" t="s">
        <v>489</v>
      </c>
    </row>
    <row r="119" spans="1:7">
      <c r="A119" t="str">
        <v>TIN-FB7-CAM-PLA-YEL-1</v>
      </c>
      <c r="B119" t="str">
        <f>IF(PRODUCTOS!A119="","",_xlfn.XLOOKUP(PRODUCTOS!A119,INVENTARIO!A119:A460,INVENTARIO!C119:C460))</f>
        <v>TINTA FB700 - CAMA PLANA YELLOW</v>
      </c>
      <c r="C119">
        <f>IF(PRODUCTOS!A119="","",_xlfn.XLOOKUP(PRODUCTOS!A119,INVENTARIO!A119:A460,INVENTARIO!D119:D460))</f>
        <v>1</v>
      </c>
      <c r="D119">
        <f>IF(PRODUCTOS!A119="","",_xlfn.XLOOKUP(PRODUCTOS!A119,INVENTARIO!A119:A460,INVENTARIO!E119:E460))</f>
        <v>3</v>
      </c>
      <c r="G119" t="s">
        <v>489</v>
      </c>
    </row>
    <row r="120" spans="1:7">
      <c r="A120" t="str">
        <v>TIN-FB7-CAM-PLA-BLA-1</v>
      </c>
      <c r="B120" t="str">
        <f>IF(PRODUCTOS!A120="","",_xlfn.XLOOKUP(PRODUCTOS!A120,INVENTARIO!A120:A461,INVENTARIO!C120:C461))</f>
        <v>TINTA FB700 - CAMA PLANA BLACK</v>
      </c>
      <c r="C120">
        <f>IF(PRODUCTOS!A120="","",_xlfn.XLOOKUP(PRODUCTOS!A120,INVENTARIO!A120:A461,INVENTARIO!D120:D461))</f>
        <v>1</v>
      </c>
      <c r="D120">
        <f>IF(PRODUCTOS!A120="","",_xlfn.XLOOKUP(PRODUCTOS!A120,INVENTARIO!A120:A461,INVENTARIO!E120:E461))</f>
        <v>3</v>
      </c>
      <c r="G120" t="s">
        <v>489</v>
      </c>
    </row>
    <row r="121" spans="1:7">
      <c r="A121" t="str">
        <v>TIN-FB7-CAM-PLA-LIG-CYA-1</v>
      </c>
      <c r="B121" t="str">
        <f>IF(PRODUCTOS!A121="","",_xlfn.XLOOKUP(PRODUCTOS!A121,INVENTARIO!A121:A462,INVENTARIO!C121:C462))</f>
        <v>TINTA FB700 - CAMA PLANA LIGHT CYAN</v>
      </c>
      <c r="C121">
        <f>IF(PRODUCTOS!A121="","",_xlfn.XLOOKUP(PRODUCTOS!A121,INVENTARIO!A121:A462,INVENTARIO!D121:D462))</f>
        <v>1</v>
      </c>
      <c r="D121">
        <f>IF(PRODUCTOS!A121="","",_xlfn.XLOOKUP(PRODUCTOS!A121,INVENTARIO!A121:A462,INVENTARIO!E121:E462))</f>
        <v>3</v>
      </c>
      <c r="G121" t="s">
        <v>489</v>
      </c>
    </row>
    <row r="122" spans="1:7">
      <c r="A122" t="str">
        <v>TIN-FB7-CAM-PLA-LIG-MAG-1</v>
      </c>
      <c r="B122" t="str">
        <f>IF(PRODUCTOS!A122="","",_xlfn.XLOOKUP(PRODUCTOS!A122,INVENTARIO!A122:A463,INVENTARIO!C122:C463))</f>
        <v>TINTA FB700 - CAMA PLANA LIGHT MAGENTA</v>
      </c>
      <c r="C122">
        <f>IF(PRODUCTOS!A122="","",_xlfn.XLOOKUP(PRODUCTOS!A122,INVENTARIO!A122:A463,INVENTARIO!D122:D463))</f>
        <v>1</v>
      </c>
      <c r="D122">
        <f>IF(PRODUCTOS!A122="","",_xlfn.XLOOKUP(PRODUCTOS!A122,INVENTARIO!A122:A463,INVENTARIO!E122:E463))</f>
        <v>3</v>
      </c>
      <c r="G122" t="s">
        <v>489</v>
      </c>
    </row>
    <row r="123" spans="1:7">
      <c r="A123" t="str">
        <v>TIN-LX3-CYA-1</v>
      </c>
      <c r="B123" t="str">
        <f>IF(PRODUCTOS!A123="","",_xlfn.XLOOKUP(PRODUCTOS!A123,INVENTARIO!A123:A464,INVENTARIO!C123:C464))</f>
        <v>TINTA LX360 CYAN</v>
      </c>
      <c r="C123">
        <f>IF(PRODUCTOS!A123="","",_xlfn.XLOOKUP(PRODUCTOS!A123,INVENTARIO!A123:A464,INVENTARIO!D123:D464))</f>
        <v>1</v>
      </c>
      <c r="D123">
        <f>IF(PRODUCTOS!A123="","",_xlfn.XLOOKUP(PRODUCTOS!A123,INVENTARIO!A123:A464,INVENTARIO!E123:E464))</f>
        <v>0.78</v>
      </c>
      <c r="G123" t="s">
        <v>491</v>
      </c>
    </row>
    <row r="124" spans="1:7">
      <c r="A124" t="str">
        <v>TIN-LX3-MAG-1</v>
      </c>
      <c r="B124" t="str">
        <f>IF(PRODUCTOS!A124="","",_xlfn.XLOOKUP(PRODUCTOS!A124,INVENTARIO!A124:A465,INVENTARIO!C124:C465))</f>
        <v>TINTA LX360 MAGENTA</v>
      </c>
      <c r="C124">
        <f>IF(PRODUCTOS!A124="","",_xlfn.XLOOKUP(PRODUCTOS!A124,INVENTARIO!A124:A465,INVENTARIO!D124:D465))</f>
        <v>1</v>
      </c>
      <c r="D124">
        <f>IF(PRODUCTOS!A124="","",_xlfn.XLOOKUP(PRODUCTOS!A124,INVENTARIO!A124:A465,INVENTARIO!E124:E465))</f>
        <v>0.78</v>
      </c>
      <c r="G124" t="s">
        <v>491</v>
      </c>
    </row>
    <row r="125" spans="1:7">
      <c r="A125" t="str">
        <v>TIN-LX3-YEL-1</v>
      </c>
      <c r="B125" t="str">
        <f>IF(PRODUCTOS!A125="","",_xlfn.XLOOKUP(PRODUCTOS!A125,INVENTARIO!A125:A466,INVENTARIO!C125:C466))</f>
        <v>TINTA LX360 YELLOW</v>
      </c>
      <c r="C125">
        <f>IF(PRODUCTOS!A125="","",_xlfn.XLOOKUP(PRODUCTOS!A125,INVENTARIO!A125:A466,INVENTARIO!D125:D466))</f>
        <v>1</v>
      </c>
      <c r="D125">
        <f>IF(PRODUCTOS!A125="","",_xlfn.XLOOKUP(PRODUCTOS!A125,INVENTARIO!A125:A466,INVENTARIO!E125:E466))</f>
        <v>0.78</v>
      </c>
      <c r="G125" t="s">
        <v>491</v>
      </c>
    </row>
    <row r="126" spans="1:7">
      <c r="A126" t="str">
        <v>TIN-LX3-BLA-1</v>
      </c>
      <c r="B126" t="str">
        <f>IF(PRODUCTOS!A126="","",_xlfn.XLOOKUP(PRODUCTOS!A126,INVENTARIO!A126:A467,INVENTARIO!C126:C467))</f>
        <v>TINTA LX360 BLACK</v>
      </c>
      <c r="C126">
        <f>IF(PRODUCTOS!A126="","",_xlfn.XLOOKUP(PRODUCTOS!A126,INVENTARIO!A126:A467,INVENTARIO!D126:D467))</f>
        <v>1</v>
      </c>
      <c r="D126">
        <f>IF(PRODUCTOS!A126="","",_xlfn.XLOOKUP(PRODUCTOS!A126,INVENTARIO!A126:A467,INVENTARIO!E126:E467))</f>
        <v>0.78</v>
      </c>
      <c r="G126" t="s">
        <v>491</v>
      </c>
    </row>
    <row r="127" spans="1:7">
      <c r="A127" t="str">
        <v>TIN-LX3-LIG-CYA-1</v>
      </c>
      <c r="B127" t="str">
        <f>IF(PRODUCTOS!A127="","",_xlfn.XLOOKUP(PRODUCTOS!A127,INVENTARIO!A127:A468,INVENTARIO!C127:C468))</f>
        <v>TINTA LX360 LIGHT CYAN</v>
      </c>
      <c r="C127">
        <f>IF(PRODUCTOS!A127="","",_xlfn.XLOOKUP(PRODUCTOS!A127,INVENTARIO!A127:A468,INVENTARIO!D127:D468))</f>
        <v>1</v>
      </c>
      <c r="D127">
        <f>IF(PRODUCTOS!A127="","",_xlfn.XLOOKUP(PRODUCTOS!A127,INVENTARIO!A127:A468,INVENTARIO!E127:E468))</f>
        <v>0.78</v>
      </c>
      <c r="G127" t="s">
        <v>491</v>
      </c>
    </row>
    <row r="128" spans="1:7">
      <c r="A128" t="str">
        <v>TIN-LX3-LIG-MAG-1</v>
      </c>
      <c r="B128" t="str">
        <f>IF(PRODUCTOS!A128="","",_xlfn.XLOOKUP(PRODUCTOS!A128,INVENTARIO!A128:A469,INVENTARIO!C128:C469))</f>
        <v>TINTA LX360 LIGHT MAGENTA</v>
      </c>
      <c r="C128">
        <f>IF(PRODUCTOS!A128="","",_xlfn.XLOOKUP(PRODUCTOS!A128,INVENTARIO!A128:A469,INVENTARIO!D128:D469))</f>
        <v>1</v>
      </c>
      <c r="D128">
        <f>IF(PRODUCTOS!A128="","",_xlfn.XLOOKUP(PRODUCTOS!A128,INVENTARIO!A128:A469,INVENTARIO!E128:E469))</f>
        <v>0.78</v>
      </c>
      <c r="G128" t="s">
        <v>491</v>
      </c>
    </row>
    <row r="129" spans="1:7">
      <c r="A129" t="str">
        <v>TIN-LX3-OPT-1</v>
      </c>
      <c r="B129" t="str">
        <f>IF(PRODUCTOS!A129="","",_xlfn.XLOOKUP(PRODUCTOS!A129,INVENTARIO!A129:A470,INVENTARIO!C129:C470))</f>
        <v>TINTA LX360 OPTIMIZADOR</v>
      </c>
      <c r="C129">
        <f>IF(PRODUCTOS!A129="","",_xlfn.XLOOKUP(PRODUCTOS!A129,INVENTARIO!A129:A470,INVENTARIO!D129:D470))</f>
        <v>1</v>
      </c>
      <c r="D129">
        <f>IF(PRODUCTOS!A129="","",_xlfn.XLOOKUP(PRODUCTOS!A129,INVENTARIO!A129:A470,INVENTARIO!E129:E470))</f>
        <v>0.78</v>
      </c>
      <c r="G129" t="s">
        <v>491</v>
      </c>
    </row>
    <row r="130" spans="1:7">
      <c r="A130" t="str">
        <v>TIN-XER-CYA-1</v>
      </c>
      <c r="B130" t="str">
        <f>IF(PRODUCTOS!A130="","",_xlfn.XLOOKUP(PRODUCTOS!A130,INVENTARIO!A130:A471,INVENTARIO!C130:C471))</f>
        <v>TINTA XEROX CYAN</v>
      </c>
      <c r="C130">
        <f>IF(PRODUCTOS!A130="","",_xlfn.XLOOKUP(PRODUCTOS!A130,INVENTARIO!A130:A471,INVENTARIO!D130:D471))</f>
        <v>0</v>
      </c>
      <c r="D130">
        <f>IF(PRODUCTOS!A130="","",_xlfn.XLOOKUP(PRODUCTOS!A130,INVENTARIO!A130:A471,INVENTARIO!E130:E471))</f>
        <v>0</v>
      </c>
      <c r="G130" t="s">
        <v>492</v>
      </c>
    </row>
    <row r="131" spans="1:7">
      <c r="A131" t="str">
        <v>TIN-XER-MAG-1</v>
      </c>
      <c r="B131" t="str">
        <f>IF(PRODUCTOS!A131="","",_xlfn.XLOOKUP(PRODUCTOS!A131,INVENTARIO!A131:A472,INVENTARIO!C131:C472))</f>
        <v>TINTA XEROX MAGENTA</v>
      </c>
      <c r="C131">
        <f>IF(PRODUCTOS!A131="","",_xlfn.XLOOKUP(PRODUCTOS!A131,INVENTARIO!A131:A472,INVENTARIO!D131:D472))</f>
        <v>0</v>
      </c>
      <c r="D131">
        <f>IF(PRODUCTOS!A131="","",_xlfn.XLOOKUP(PRODUCTOS!A131,INVENTARIO!A131:A472,INVENTARIO!E131:E472))</f>
        <v>0</v>
      </c>
      <c r="G131" t="s">
        <v>492</v>
      </c>
    </row>
    <row r="132" spans="1:7">
      <c r="A132" t="str">
        <v>TIN-XER-YEL-1</v>
      </c>
      <c r="B132" t="str">
        <f>IF(PRODUCTOS!A132="","",_xlfn.XLOOKUP(PRODUCTOS!A132,INVENTARIO!A132:A473,INVENTARIO!C132:C473))</f>
        <v>TINTA XEROX YELLOW</v>
      </c>
      <c r="C132">
        <f>IF(PRODUCTOS!A132="","",_xlfn.XLOOKUP(PRODUCTOS!A132,INVENTARIO!A132:A473,INVENTARIO!D132:D473))</f>
        <v>0</v>
      </c>
      <c r="D132">
        <f>IF(PRODUCTOS!A132="","",_xlfn.XLOOKUP(PRODUCTOS!A132,INVENTARIO!A132:A473,INVENTARIO!E132:E473))</f>
        <v>0</v>
      </c>
      <c r="G132" t="s">
        <v>492</v>
      </c>
    </row>
    <row r="133" spans="1:7">
      <c r="A133" t="str">
        <v>TIN-XER-BLA-1</v>
      </c>
      <c r="B133" t="str">
        <f>IF(PRODUCTOS!A133="","",_xlfn.XLOOKUP(PRODUCTOS!A133,INVENTARIO!A133:A474,INVENTARIO!C133:C474))</f>
        <v>TINTA XEROX BLACK</v>
      </c>
      <c r="C133">
        <f>IF(PRODUCTOS!A133="","",_xlfn.XLOOKUP(PRODUCTOS!A133,INVENTARIO!A133:A474,INVENTARIO!D133:D474))</f>
        <v>0</v>
      </c>
      <c r="D133">
        <f>IF(PRODUCTOS!A133="","",_xlfn.XLOOKUP(PRODUCTOS!A133,INVENTARIO!A133:A474,INVENTARIO!E133:E474))</f>
        <v>0</v>
      </c>
      <c r="G133" t="s">
        <v>492</v>
      </c>
    </row>
    <row r="134" spans="1:7">
      <c r="A134" t="str">
        <v>OJI-MAN-#3-1</v>
      </c>
      <c r="B134" t="str">
        <f>IF(PRODUCTOS!A134="","",_xlfn.XLOOKUP(PRODUCTOS!A134,INVENTARIO!A134:A475,INVENTARIO!C134:C475))</f>
        <v>OJILLO MANUAL #3</v>
      </c>
      <c r="C134">
        <f>IF(PRODUCTOS!A134="","",_xlfn.XLOOKUP(PRODUCTOS!A134,INVENTARIO!A134:A475,INVENTARIO!D134:D475))</f>
        <v>0</v>
      </c>
      <c r="D134">
        <f>IF(PRODUCTOS!A134="","",_xlfn.XLOOKUP(PRODUCTOS!A134,INVENTARIO!A134:A475,INVENTARIO!E134:E475))</f>
        <v>0</v>
      </c>
      <c r="G134" t="s">
        <v>493</v>
      </c>
    </row>
    <row r="135" spans="1:7">
      <c r="A135" t="str">
        <v>OJI-AUT-EQ-FUK-#3-1</v>
      </c>
      <c r="B135" t="str">
        <f>IF(PRODUCTOS!A135="","",_xlfn.XLOOKUP(PRODUCTOS!A135,INVENTARIO!A135:A476,INVENTARIO!C135:C476))</f>
        <v>OJILLO AUTOMÁTICO EQ. FUKAIDO #3</v>
      </c>
      <c r="C135">
        <f>IF(PRODUCTOS!A135="","",_xlfn.XLOOKUP(PRODUCTOS!A135,INVENTARIO!A135:A476,INVENTARIO!D135:D476))</f>
        <v>0</v>
      </c>
      <c r="D135">
        <f>IF(PRODUCTOS!A135="","",_xlfn.XLOOKUP(PRODUCTOS!A135,INVENTARIO!A135:A476,INVENTARIO!E135:E476))</f>
        <v>0</v>
      </c>
      <c r="G135" t="s">
        <v>493</v>
      </c>
    </row>
    <row r="136" spans="1:7">
      <c r="A136" t="str">
        <v>OJI-SEM-1</v>
      </c>
      <c r="B136" t="str">
        <f>IF(PRODUCTOS!A136="","",_xlfn.XLOOKUP(PRODUCTOS!A136,INVENTARIO!A136:A477,INVENTARIO!C136:C477))</f>
        <v>OJILLO SEMIAUTOMATICO</v>
      </c>
      <c r="C136">
        <f>IF(PRODUCTOS!A136="","",_xlfn.XLOOKUP(PRODUCTOS!A136,INVENTARIO!A136:A477,INVENTARIO!D136:D477))</f>
        <v>0</v>
      </c>
      <c r="D136">
        <f>IF(PRODUCTOS!A136="","",_xlfn.XLOOKUP(PRODUCTOS!A136,INVENTARIO!A136:A477,INVENTARIO!E136:E477))</f>
        <v>0</v>
      </c>
      <c r="G136" t="s">
        <v>493</v>
      </c>
    </row>
    <row r="137" spans="1:7">
      <c r="A137" t="str">
        <v>VIN-COR-6859LG-TRA-1</v>
      </c>
      <c r="B137" t="str">
        <f>IF(PRODUCTOS!A137="","",_xlfn.XLOOKUP(PRODUCTOS!A137,INVENTARIO!A137:A478,INVENTARIO!C137:C478))</f>
        <v>VINIL DE CORTE AZUL 6859 LG TRASLUCIDO</v>
      </c>
      <c r="C137" t="str">
        <f>IF(PRODUCTOS!A137="","",_xlfn.XLOOKUP(PRODUCTOS!A137,INVENTARIO!A137:A478,INVENTARIO!D137:D478))</f>
        <v>1,22</v>
      </c>
      <c r="D137">
        <f>IF(PRODUCTOS!A137="","",_xlfn.XLOOKUP(PRODUCTOS!A137,INVENTARIO!A137:A478,INVENTARIO!E137:E478))</f>
        <v>50</v>
      </c>
      <c r="G137" t="s">
        <v>485</v>
      </c>
    </row>
    <row r="138" spans="1:7">
      <c r="A138" t="str">
        <v>VIN-COR-RED-6811LG-TRA-1</v>
      </c>
      <c r="B138" t="str">
        <f>IF(PRODUCTOS!A138="","",_xlfn.XLOOKUP(PRODUCTOS!A138,INVENTARIO!A138:A479,INVENTARIO!C138:C479))</f>
        <v>VINIL DE CORTE RED 6811 LG TRASLUCIDO</v>
      </c>
      <c r="C138" t="str">
        <f>IF(PRODUCTOS!A138="","",_xlfn.XLOOKUP(PRODUCTOS!A138,INVENTARIO!A138:A479,INVENTARIO!D138:D479))</f>
        <v>1,22</v>
      </c>
      <c r="D138">
        <f>IF(PRODUCTOS!A138="","",_xlfn.XLOOKUP(PRODUCTOS!A138,INVENTARIO!A138:A479,INVENTARIO!E138:E479))</f>
        <v>50</v>
      </c>
      <c r="G138" t="s">
        <v>485</v>
      </c>
    </row>
    <row r="139" spans="1:7">
      <c r="A139" t="str">
        <v>VIN-COR-TOM-RED-6813LG-TRA-1</v>
      </c>
      <c r="B139" t="str">
        <f>IF(PRODUCTOS!A139="","",_xlfn.XLOOKUP(PRODUCTOS!A139,INVENTARIO!A139:A480,INVENTARIO!C139:C480))</f>
        <v>VINIL DE CORTE TOMATO RED 6813 LG TRASLUCIDO</v>
      </c>
      <c r="C139" t="str">
        <f>IF(PRODUCTOS!A139="","",_xlfn.XLOOKUP(PRODUCTOS!A139,INVENTARIO!A139:A480,INVENTARIO!D139:D480))</f>
        <v>1,22</v>
      </c>
      <c r="D139">
        <f>IF(PRODUCTOS!A139="","",_xlfn.XLOOKUP(PRODUCTOS!A139,INVENTARIO!A139:A480,INVENTARIO!E139:E480))</f>
        <v>50</v>
      </c>
      <c r="G139" t="s">
        <v>485</v>
      </c>
    </row>
    <row r="140" spans="1:7">
      <c r="A140" t="str">
        <v>VIN-COR-OLI-BLU-4055LG-TRA-1</v>
      </c>
      <c r="B140" t="str">
        <f>IF(PRODUCTOS!A140="","",_xlfn.XLOOKUP(PRODUCTOS!A140,INVENTARIO!A140:A481,INVENTARIO!C140:C481))</f>
        <v>VINIL DE CORTE OLIMPIC BLUE 4055 LG TRASLUCIDO</v>
      </c>
      <c r="C140" t="str">
        <f>IF(PRODUCTOS!A140="","",_xlfn.XLOOKUP(PRODUCTOS!A140,INVENTARIO!A140:A481,INVENTARIO!D140:D481))</f>
        <v>1,22</v>
      </c>
      <c r="D140">
        <f>IF(PRODUCTOS!A140="","",_xlfn.XLOOKUP(PRODUCTOS!A140,INVENTARIO!A140:A481,INVENTARIO!E140:E481))</f>
        <v>50</v>
      </c>
      <c r="G140" t="s">
        <v>485</v>
      </c>
    </row>
    <row r="141" spans="1:7">
      <c r="A141" t="str">
        <v>VIN-COR-NAR-4023LG-TRA-1</v>
      </c>
      <c r="B141" t="str">
        <f>IF(PRODUCTOS!A141="","",_xlfn.XLOOKUP(PRODUCTOS!A141,INVENTARIO!A141:A482,INVENTARIO!C141:C482))</f>
        <v>VINIL DE CORTE NARANJA 4023 LG TRASLUCIDO</v>
      </c>
      <c r="C141" t="str">
        <f>IF(PRODUCTOS!A141="","",_xlfn.XLOOKUP(PRODUCTOS!A141,INVENTARIO!A141:A482,INVENTARIO!D141:D482))</f>
        <v>1,22</v>
      </c>
      <c r="D141">
        <f>IF(PRODUCTOS!A141="","",_xlfn.XLOOKUP(PRODUCTOS!A141,INVENTARIO!A141:A482,INVENTARIO!E141:E482))</f>
        <v>50</v>
      </c>
      <c r="G141" t="s">
        <v>485</v>
      </c>
    </row>
    <row r="142" spans="1:7">
      <c r="A142" t="str">
        <v>VIN-COR-VER-PEM-404LG-TRA-1</v>
      </c>
      <c r="B142" t="str">
        <f>IF(PRODUCTOS!A142="","",_xlfn.XLOOKUP(PRODUCTOS!A142,INVENTARIO!A142:A483,INVENTARIO!C142:C483))</f>
        <v>VINIL DE CORTE VERDE PEMEX 404 LG TRASLUCIDO</v>
      </c>
      <c r="C142" t="str">
        <f>IF(PRODUCTOS!A142="","",_xlfn.XLOOKUP(PRODUCTOS!A142,INVENTARIO!A142:A483,INVENTARIO!D142:D483))</f>
        <v>1,22</v>
      </c>
      <c r="D142">
        <f>IF(PRODUCTOS!A142="","",_xlfn.XLOOKUP(PRODUCTOS!A142,INVENTARIO!A142:A483,INVENTARIO!E142:E483))</f>
        <v>50</v>
      </c>
      <c r="G142" t="s">
        <v>485</v>
      </c>
    </row>
    <row r="143" spans="1:7">
      <c r="A143" t="str">
        <v>VIN-COR-BLA-BRI-1</v>
      </c>
      <c r="B143" t="str">
        <f>IF(PRODUCTOS!A143="","",_xlfn.XLOOKUP(PRODUCTOS!A143,INVENTARIO!A143:A484,INVENTARIO!C143:C484))</f>
        <v>VINIL DE CORTE BLANCO BRILLANTE</v>
      </c>
      <c r="C143" t="str">
        <f>IF(PRODUCTOS!A143="","",_xlfn.XLOOKUP(PRODUCTOS!A143,INVENTARIO!A143:A484,INVENTARIO!D143:D484))</f>
        <v>1,22</v>
      </c>
      <c r="D143" t="str">
        <f>IF(PRODUCTOS!A143="","",_xlfn.XLOOKUP(PRODUCTOS!A143,INVENTARIO!A143:A484,INVENTARIO!E143:E484))</f>
        <v>45,7</v>
      </c>
      <c r="G143" t="s">
        <v>485</v>
      </c>
    </row>
    <row r="144" spans="1:7">
      <c r="A144" t="str">
        <v>VIN-COR-BLA-MAT-1</v>
      </c>
      <c r="B144" t="str">
        <f>IF(PRODUCTOS!A144="","",_xlfn.XLOOKUP(PRODUCTOS!A144,INVENTARIO!A144:A485,INVENTARIO!C144:C485))</f>
        <v>VINIL DE CORTE BLANCO MATE</v>
      </c>
      <c r="C144" t="str">
        <f>IF(PRODUCTOS!A144="","",_xlfn.XLOOKUP(PRODUCTOS!A144,INVENTARIO!A144:A485,INVENTARIO!D144:D485))</f>
        <v>1,22</v>
      </c>
      <c r="D144" t="str">
        <f>IF(PRODUCTOS!A144="","",_xlfn.XLOOKUP(PRODUCTOS!A144,INVENTARIO!A144:A485,INVENTARIO!E144:E485))</f>
        <v>45,7</v>
      </c>
      <c r="G144" t="s">
        <v>485</v>
      </c>
    </row>
    <row r="145" spans="1:7">
      <c r="A145" t="str">
        <v>VIN-COR-BLU-ORA-1</v>
      </c>
      <c r="B145" t="str">
        <f>IF(PRODUCTOS!A145="","",_xlfn.XLOOKUP(PRODUCTOS!A145,INVENTARIO!A145:A486,INVENTARIO!C145:C486))</f>
        <v>VINIL DE CORTE BLUE ORACAL</v>
      </c>
      <c r="C145" t="str">
        <f>IF(PRODUCTOS!A145="","",_xlfn.XLOOKUP(PRODUCTOS!A145,INVENTARIO!A145:A486,INVENTARIO!D145:D486))</f>
        <v>1,22</v>
      </c>
      <c r="D145" t="str">
        <f>IF(PRODUCTOS!A145="","",_xlfn.XLOOKUP(PRODUCTOS!A145,INVENTARIO!A145:A486,INVENTARIO!E145:E486))</f>
        <v>45,7</v>
      </c>
      <c r="G145" t="s">
        <v>485</v>
      </c>
    </row>
    <row r="146" spans="1:7">
      <c r="A146" t="str">
        <v>VIN-COR-BRI-ORA-1</v>
      </c>
      <c r="B146" t="str">
        <f>IF(PRODUCTOS!A146="","",_xlfn.XLOOKUP(PRODUCTOS!A146,INVENTARIO!A146:A487,INVENTARIO!C146:C487))</f>
        <v>VINIL DE CORTE BRIGHT ORANGE</v>
      </c>
      <c r="C146" t="str">
        <f>IF(PRODUCTOS!A146="","",_xlfn.XLOOKUP(PRODUCTOS!A146,INVENTARIO!A146:A487,INVENTARIO!D146:D487))</f>
        <v>1,22</v>
      </c>
      <c r="D146" t="str">
        <f>IF(PRODUCTOS!A146="","",_xlfn.XLOOKUP(PRODUCTOS!A146,INVENTARIO!A146:A487,INVENTARIO!E146:E487))</f>
        <v>45,7</v>
      </c>
      <c r="G146" t="s">
        <v>485</v>
      </c>
    </row>
    <row r="147" spans="1:7">
      <c r="A147" t="str">
        <v>VIN-COR-BUR-1</v>
      </c>
      <c r="B147" t="str">
        <f>IF(PRODUCTOS!A147="","",_xlfn.XLOOKUP(PRODUCTOS!A147,INVENTARIO!A147:A488,INVENTARIO!C147:C488))</f>
        <v>VINIL DE CORTE BURGUNDY</v>
      </c>
      <c r="C147" t="str">
        <f>IF(PRODUCTOS!A147="","",_xlfn.XLOOKUP(PRODUCTOS!A147,INVENTARIO!A147:A488,INVENTARIO!D147:D488))</f>
        <v>1,22</v>
      </c>
      <c r="D147" t="str">
        <f>IF(PRODUCTOS!A147="","",_xlfn.XLOOKUP(PRODUCTOS!A147,INVENTARIO!A147:A488,INVENTARIO!E147:E488))</f>
        <v>45,7</v>
      </c>
      <c r="G147" t="s">
        <v>485</v>
      </c>
    </row>
    <row r="148" spans="1:7">
      <c r="A148" t="str">
        <v>VIN-COR-CAR-RED-1</v>
      </c>
      <c r="B148" t="str">
        <f>IF(PRODUCTOS!A148="","",_xlfn.XLOOKUP(PRODUCTOS!A148,INVENTARIO!A148:A489,INVENTARIO!C148:C489))</f>
        <v>VINIL DE CORTE CARDINAL RED</v>
      </c>
      <c r="C148" t="str">
        <f>IF(PRODUCTOS!A148="","",_xlfn.XLOOKUP(PRODUCTOS!A148,INVENTARIO!A148:A489,INVENTARIO!D148:D489))</f>
        <v>1,22</v>
      </c>
      <c r="D148" t="str">
        <f>IF(PRODUCTOS!A148="","",_xlfn.XLOOKUP(PRODUCTOS!A148,INVENTARIO!A148:A489,INVENTARIO!E148:E489))</f>
        <v>45,7</v>
      </c>
      <c r="G148" t="s">
        <v>485</v>
      </c>
    </row>
    <row r="149" spans="1:7">
      <c r="A149" t="str">
        <v>VIN-COR-DAR-GRA-1</v>
      </c>
      <c r="B149" t="str">
        <f>IF(PRODUCTOS!A149="","",_xlfn.XLOOKUP(PRODUCTOS!A149,INVENTARIO!A149:A490,INVENTARIO!C149:C490))</f>
        <v>VINIL DE CORTE DARK GRAY</v>
      </c>
      <c r="C149" t="str">
        <f>IF(PRODUCTOS!A149="","",_xlfn.XLOOKUP(PRODUCTOS!A149,INVENTARIO!A149:A490,INVENTARIO!D149:D490))</f>
        <v>1,22</v>
      </c>
      <c r="D149" t="str">
        <f>IF(PRODUCTOS!A149="","",_xlfn.XLOOKUP(PRODUCTOS!A149,INVENTARIO!A149:A490,INVENTARIO!E149:E490))</f>
        <v>45,7</v>
      </c>
      <c r="G149" t="s">
        <v>485</v>
      </c>
    </row>
    <row r="150" spans="1:7">
      <c r="A150" t="str">
        <v>VIN-COR-DAR-GRA-MAT-2073LG</v>
      </c>
      <c r="B150" t="str">
        <f>IF(PRODUCTOS!A150="","",_xlfn.XLOOKUP(PRODUCTOS!A150,INVENTARIO!A150:A491,INVENTARIO!C150:C491))</f>
        <v>VINIL DE CORTE DARK GRAY MATE 2073 LG</v>
      </c>
      <c r="C150" t="str">
        <f>IF(PRODUCTOS!A150="","",_xlfn.XLOOKUP(PRODUCTOS!A150,INVENTARIO!A150:A491,INVENTARIO!D150:D491))</f>
        <v>1,22</v>
      </c>
      <c r="D150">
        <f>IF(PRODUCTOS!A150="","",_xlfn.XLOOKUP(PRODUCTOS!A150,INVENTARIO!A150:A491,INVENTARIO!E150:E491))</f>
        <v>50</v>
      </c>
      <c r="G150" t="s">
        <v>485</v>
      </c>
    </row>
    <row r="151" spans="1:7">
      <c r="A151" t="str">
        <v>VIN-COR-ESM-1</v>
      </c>
      <c r="B151" t="str">
        <f>IF(PRODUCTOS!A151="","",_xlfn.XLOOKUP(PRODUCTOS!A151,INVENTARIO!A151:A492,INVENTARIO!C151:C492))</f>
        <v>VINIL DE CORTE ESMERILADO</v>
      </c>
      <c r="C151" t="str">
        <f>IF(PRODUCTOS!A151="","",_xlfn.XLOOKUP(PRODUCTOS!A151,INVENTARIO!A151:A492,INVENTARIO!D151:D492))</f>
        <v>1,22</v>
      </c>
      <c r="D151">
        <f>IF(PRODUCTOS!A151="","",_xlfn.XLOOKUP(PRODUCTOS!A151,INVENTARIO!A151:A492,INVENTARIO!E151:E492))</f>
        <v>50</v>
      </c>
      <c r="G151" t="s">
        <v>485</v>
      </c>
    </row>
    <row r="152" spans="1:7">
      <c r="A152" t="str">
        <v>VIN-COR-FOT-1</v>
      </c>
      <c r="B152" t="str">
        <f>IF(PRODUCTOS!A152="","",_xlfn.XLOOKUP(PRODUCTOS!A152,INVENTARIO!A152:A493,INVENTARIO!C152:C493))</f>
        <v>VINIL DE CORTE FOTOLUMINISCENTE</v>
      </c>
      <c r="C152" t="str">
        <f>IF(PRODUCTOS!A152="","",_xlfn.XLOOKUP(PRODUCTOS!A152,INVENTARIO!A152:A493,INVENTARIO!D152:D493))</f>
        <v>1,22</v>
      </c>
      <c r="D152">
        <f>IF(PRODUCTOS!A152="","",_xlfn.XLOOKUP(PRODUCTOS!A152,INVENTARIO!A152:A493,INVENTARIO!E152:E493))</f>
        <v>50</v>
      </c>
      <c r="G152" t="s">
        <v>485</v>
      </c>
    </row>
    <row r="153" spans="1:7">
      <c r="A153" t="str">
        <v>VIN-COR-GOL-1</v>
      </c>
      <c r="B153" t="str">
        <f>IF(PRODUCTOS!A153="","",_xlfn.XLOOKUP(PRODUCTOS!A153,INVENTARIO!A153:A494,INVENTARIO!C153:C494))</f>
        <v>VINIL DE CORTE GOLD</v>
      </c>
      <c r="C153" t="str">
        <f>IF(PRODUCTOS!A153="","",_xlfn.XLOOKUP(PRODUCTOS!A153,INVENTARIO!A153:A494,INVENTARIO!D153:D494))</f>
        <v>1,22</v>
      </c>
      <c r="D153" t="str">
        <f>IF(PRODUCTOS!A153="","",_xlfn.XLOOKUP(PRODUCTOS!A153,INVENTARIO!A153:A494,INVENTARIO!E153:E494))</f>
        <v>45,7</v>
      </c>
      <c r="G153" t="s">
        <v>485</v>
      </c>
    </row>
    <row r="154" spans="1:7">
      <c r="A154" t="str">
        <v>VIN-COR-GRE-1</v>
      </c>
      <c r="B154" t="str">
        <f>IF(PRODUCTOS!A154="","",_xlfn.XLOOKUP(PRODUCTOS!A154,INVENTARIO!A154:A495,INVENTARIO!C154:C495))</f>
        <v>VINIL DE CORTE GREEN</v>
      </c>
      <c r="C154" t="str">
        <f>IF(PRODUCTOS!A154="","",_xlfn.XLOOKUP(PRODUCTOS!A154,INVENTARIO!A154:A495,INVENTARIO!D154:D495))</f>
        <v>1,22</v>
      </c>
      <c r="D154" t="str">
        <f>IF(PRODUCTOS!A154="","",_xlfn.XLOOKUP(PRODUCTOS!A154,INVENTARIO!A154:A495,INVENTARIO!E154:E495))</f>
        <v>45,7</v>
      </c>
      <c r="G154" t="s">
        <v>485</v>
      </c>
    </row>
    <row r="155" spans="1:7">
      <c r="A155" t="str">
        <v>VIN-COR-MAJ-BLU-1</v>
      </c>
      <c r="B155" t="str">
        <f>IF(PRODUCTOS!A155="","",_xlfn.XLOOKUP(PRODUCTOS!A155,INVENTARIO!A155:A496,INVENTARIO!C155:C496))</f>
        <v>VINIL DE CORTE MAJESTIC BLUE</v>
      </c>
      <c r="C155" t="str">
        <f>IF(PRODUCTOS!A155="","",_xlfn.XLOOKUP(PRODUCTOS!A155,INVENTARIO!A155:A496,INVENTARIO!D155:D496))</f>
        <v>1,22</v>
      </c>
      <c r="D155" t="str">
        <f>IF(PRODUCTOS!A155="","",_xlfn.XLOOKUP(PRODUCTOS!A155,INVENTARIO!A155:A496,INVENTARIO!E155:E496))</f>
        <v>45,7</v>
      </c>
      <c r="G155" t="s">
        <v>485</v>
      </c>
    </row>
    <row r="156" spans="1:7">
      <c r="A156" t="str">
        <v>VIN-COR-MED-GRA-1</v>
      </c>
      <c r="B156" t="str">
        <f>IF(PRODUCTOS!A156="","",_xlfn.XLOOKUP(PRODUCTOS!A156,INVENTARIO!A156:A497,INVENTARIO!C156:C497))</f>
        <v>VINIL DE CORTE MEDIUM GRAY</v>
      </c>
      <c r="C156" t="str">
        <f>IF(PRODUCTOS!A156="","",_xlfn.XLOOKUP(PRODUCTOS!A156,INVENTARIO!A156:A497,INVENTARIO!D156:D497))</f>
        <v>1,22</v>
      </c>
      <c r="D156" t="str">
        <f>IF(PRODUCTOS!A156="","",_xlfn.XLOOKUP(PRODUCTOS!A156,INVENTARIO!A156:A497,INVENTARIO!E156:E497))</f>
        <v>45,7</v>
      </c>
      <c r="G156" t="s">
        <v>485</v>
      </c>
    </row>
    <row r="157" spans="1:7">
      <c r="A157" t="str">
        <v>VIN-COR-NAR-MAT-2021LG-1</v>
      </c>
      <c r="B157" t="str">
        <f>IF(PRODUCTOS!A157="","",_xlfn.XLOOKUP(PRODUCTOS!A157,INVENTARIO!A157:A498,INVENTARIO!C157:C498))</f>
        <v>VINIL DE CORTE NARANJA MATE 2021 LG</v>
      </c>
      <c r="C157" t="str">
        <f>IF(PRODUCTOS!A157="","",_xlfn.XLOOKUP(PRODUCTOS!A157,INVENTARIO!A157:A498,INVENTARIO!D157:D498))</f>
        <v>1,22</v>
      </c>
      <c r="D157">
        <f>IF(PRODUCTOS!A157="","",_xlfn.XLOOKUP(PRODUCTOS!A157,INVENTARIO!A157:A498,INVENTARIO!E157:E498))</f>
        <v>50</v>
      </c>
      <c r="G157" t="s">
        <v>485</v>
      </c>
    </row>
    <row r="158" spans="1:7">
      <c r="A158" t="str">
        <v>VIN-COR-NEG-BRI-1</v>
      </c>
      <c r="B158" t="str">
        <f>IF(PRODUCTOS!A158="","",_xlfn.XLOOKUP(PRODUCTOS!A158,INVENTARIO!A158:A499,INVENTARIO!C158:C499))</f>
        <v>VINIL DE CORTE NEGRO BRILLANTE</v>
      </c>
      <c r="C158" t="str">
        <f>IF(PRODUCTOS!A158="","",_xlfn.XLOOKUP(PRODUCTOS!A158,INVENTARIO!A158:A499,INVENTARIO!D158:D499))</f>
        <v>1,22</v>
      </c>
      <c r="D158" t="str">
        <f>IF(PRODUCTOS!A158="","",_xlfn.XLOOKUP(PRODUCTOS!A158,INVENTARIO!A158:A499,INVENTARIO!E158:E499))</f>
        <v>45,7</v>
      </c>
      <c r="G158" t="s">
        <v>485</v>
      </c>
    </row>
    <row r="159" spans="1:7">
      <c r="A159" t="str">
        <v>VIN-COR-NEG-MAT-1</v>
      </c>
      <c r="B159" t="str">
        <f>IF(PRODUCTOS!A159="","",_xlfn.XLOOKUP(PRODUCTOS!A159,INVENTARIO!A159:A500,INVENTARIO!C159:C500))</f>
        <v>VINIL DE CORTE NEGRO MATE</v>
      </c>
      <c r="C159" t="str">
        <f>IF(PRODUCTOS!A159="","",_xlfn.XLOOKUP(PRODUCTOS!A159,INVENTARIO!A159:A500,INVENTARIO!D159:D500))</f>
        <v>1,22</v>
      </c>
      <c r="D159" t="str">
        <f>IF(PRODUCTOS!A159="","",_xlfn.XLOOKUP(PRODUCTOS!A159,INVENTARIO!A159:A500,INVENTARIO!E159:E500))</f>
        <v>45,7</v>
      </c>
      <c r="G159" t="s">
        <v>485</v>
      </c>
    </row>
    <row r="160" spans="1:7">
      <c r="A160" t="str">
        <v>VIN-COR-OLY-BLU-1</v>
      </c>
      <c r="B160" t="str">
        <f>IF(PRODUCTOS!A160="","",_xlfn.XLOOKUP(PRODUCTOS!A160,INVENTARIO!A160:A501,INVENTARIO!C160:C501))</f>
        <v>VINIL DE CORTE OLYMPLIC BLUE</v>
      </c>
      <c r="C160" t="str">
        <f>IF(PRODUCTOS!A160="","",_xlfn.XLOOKUP(PRODUCTOS!A160,INVENTARIO!A160:A501,INVENTARIO!D160:D501))</f>
        <v>1,22</v>
      </c>
      <c r="D160" t="str">
        <f>IF(PRODUCTOS!A160="","",_xlfn.XLOOKUP(PRODUCTOS!A160,INVENTARIO!A160:A501,INVENTARIO!E160:E501))</f>
        <v>45,7</v>
      </c>
      <c r="G160" t="s">
        <v>485</v>
      </c>
    </row>
    <row r="161" spans="1:7">
      <c r="A161" t="str">
        <v>VIN-COR-ESP-ORO-ESP-1</v>
      </c>
      <c r="B161" t="str">
        <f>IF(PRODUCTOS!A161="","",_xlfn.XLOOKUP(PRODUCTOS!A161,INVENTARIO!A161:A502,INVENTARIO!C161:C502))</f>
        <v>VINIL DE CORTE ORO ESPEJO</v>
      </c>
      <c r="C161" t="str">
        <f>IF(PRODUCTOS!A161="","",_xlfn.XLOOKUP(PRODUCTOS!A161,INVENTARIO!A161:A502,INVENTARIO!D161:D502))</f>
        <v>1,52</v>
      </c>
      <c r="D161">
        <f>IF(PRODUCTOS!A161="","",_xlfn.XLOOKUP(PRODUCTOS!A161,INVENTARIO!A161:A502,INVENTARIO!E161:E502))</f>
        <v>5</v>
      </c>
      <c r="G161" t="s">
        <v>485</v>
      </c>
    </row>
    <row r="162" spans="1:7">
      <c r="A162" t="str">
        <v>VIN-COR-ORO-ROS-1</v>
      </c>
      <c r="B162" t="str">
        <f>IF(PRODUCTOS!A162="","",_xlfn.XLOOKUP(PRODUCTOS!A162,INVENTARIO!A162:A503,INVENTARIO!C162:C503))</f>
        <v>VINIL DE CORTE ORO ROSA</v>
      </c>
      <c r="C162" t="str">
        <f>IF(PRODUCTOS!A162="","",_xlfn.XLOOKUP(PRODUCTOS!A162,INVENTARIO!A162:A503,INVENTARIO!D162:D503))</f>
        <v>0,6</v>
      </c>
      <c r="D162">
        <f>IF(PRODUCTOS!A162="","",_xlfn.XLOOKUP(PRODUCTOS!A162,INVENTARIO!A162:A503,INVENTARIO!E162:E503))</f>
        <v>50</v>
      </c>
      <c r="G162" t="s">
        <v>485</v>
      </c>
    </row>
    <row r="163" spans="1:7">
      <c r="A163" t="str">
        <v>VIN-COR-CEP-PLA-CEP-1</v>
      </c>
      <c r="B163" t="str">
        <f>IF(PRODUCTOS!A163="","",_xlfn.XLOOKUP(PRODUCTOS!A163,INVENTARIO!A163:A504,INVENTARIO!C163:C504))</f>
        <v>VINIL DE CORTE PLATA CEPILLADO</v>
      </c>
      <c r="C163" t="str">
        <f>IF(PRODUCTOS!A163="","",_xlfn.XLOOKUP(PRODUCTOS!A163,INVENTARIO!A163:A504,INVENTARIO!D163:D504))</f>
        <v>1,22</v>
      </c>
      <c r="D163">
        <f>IF(PRODUCTOS!A163="","",_xlfn.XLOOKUP(PRODUCTOS!A163,INVENTARIO!A163:A504,INVENTARIO!E163:E504))</f>
        <v>10</v>
      </c>
      <c r="G163" t="s">
        <v>485</v>
      </c>
    </row>
    <row r="164" spans="1:7">
      <c r="A164" t="str">
        <v>VIN-COR-ESP-PLA-ESP-1</v>
      </c>
      <c r="B164" t="str">
        <f>IF(PRODUCTOS!A164="","",_xlfn.XLOOKUP(PRODUCTOS!A164,INVENTARIO!A164:A505,INVENTARIO!C164:C505))</f>
        <v>VINIL DE CORTE PLATA ESPEJO</v>
      </c>
      <c r="C164">
        <f>IF(PRODUCTOS!A164="","",_xlfn.XLOOKUP(PRODUCTOS!A164,INVENTARIO!A164:A505,INVENTARIO!D164:D505))</f>
        <v>1.22</v>
      </c>
      <c r="D164">
        <f>IF(PRODUCTOS!A164="","",_xlfn.XLOOKUP(PRODUCTOS!A164,INVENTARIO!A164:A505,INVENTARIO!E164:E505))</f>
        <v>50</v>
      </c>
      <c r="G164" t="s">
        <v>485</v>
      </c>
    </row>
    <row r="165" spans="1:7">
      <c r="A165" t="str">
        <v>VIN-COR-ROY-BLU-1</v>
      </c>
      <c r="B165" t="str">
        <f>IF(PRODUCTOS!A165="","",_xlfn.XLOOKUP(PRODUCTOS!A165,INVENTARIO!A165:A506,INVENTARIO!C165:C506))</f>
        <v>VINIL DE CORTE ROYAL BLUE</v>
      </c>
      <c r="C165" t="str">
        <f>IF(PRODUCTOS!A165="","",_xlfn.XLOOKUP(PRODUCTOS!A165,INVENTARIO!A165:A506,INVENTARIO!D165:D506))</f>
        <v>1,22</v>
      </c>
      <c r="D165" t="str">
        <f>IF(PRODUCTOS!A165="","",_xlfn.XLOOKUP(PRODUCTOS!A165,INVENTARIO!A165:A506,INVENTARIO!E165:E506))</f>
        <v>45,7</v>
      </c>
      <c r="G165" t="s">
        <v>485</v>
      </c>
    </row>
    <row r="166" spans="1:7">
      <c r="A166" t="str">
        <v>VIN-COR-ROY-BLU-2</v>
      </c>
      <c r="B166" t="str">
        <f>IF(PRODUCTOS!A166="","",_xlfn.XLOOKUP(PRODUCTOS!A166,INVENTARIO!A166:A507,INVENTARIO!C166:C507))</f>
        <v>VINIL DE CORTE ROYAL BLUE</v>
      </c>
      <c r="C166" t="str">
        <f>IF(PRODUCTOS!A166="","",_xlfn.XLOOKUP(PRODUCTOS!A166,INVENTARIO!A166:A507,INVENTARIO!D166:D507))</f>
        <v>1,23</v>
      </c>
      <c r="D166" t="str">
        <f>IF(PRODUCTOS!A166="","",_xlfn.XLOOKUP(PRODUCTOS!A166,INVENTARIO!A166:A507,INVENTARIO!E166:E507))</f>
        <v>45,8</v>
      </c>
      <c r="G166" t="s">
        <v>485</v>
      </c>
    </row>
    <row r="167" spans="1:7">
      <c r="A167" t="str">
        <v>VIN-COR-SIL-1</v>
      </c>
      <c r="B167" t="str">
        <f>IF(PRODUCTOS!A167="","",_xlfn.XLOOKUP(PRODUCTOS!A167,INVENTARIO!A167:A508,INVENTARIO!C167:C508))</f>
        <v>VINIL DE CORTE SILVER</v>
      </c>
      <c r="C167" t="str">
        <f>IF(PRODUCTOS!A167="","",_xlfn.XLOOKUP(PRODUCTOS!A167,INVENTARIO!A167:A508,INVENTARIO!D167:D508))</f>
        <v>1,22</v>
      </c>
      <c r="D167" t="str">
        <f>IF(PRODUCTOS!A167="","",_xlfn.XLOOKUP(PRODUCTOS!A167,INVENTARIO!A167:A508,INVENTARIO!E167:E508))</f>
        <v>45,7</v>
      </c>
      <c r="G167" t="s">
        <v>485</v>
      </c>
    </row>
    <row r="168" spans="1:7">
      <c r="A168" t="str">
        <v>VIN-COR-SIL-2</v>
      </c>
      <c r="B168" t="str">
        <f>IF(PRODUCTOS!A168="","",_xlfn.XLOOKUP(PRODUCTOS!A168,INVENTARIO!A168:A509,INVENTARIO!C168:C509))</f>
        <v>VINIL DE CORTE SILVER</v>
      </c>
      <c r="C168" t="str">
        <f>IF(PRODUCTOS!A168="","",_xlfn.XLOOKUP(PRODUCTOS!A168,INVENTARIO!A168:A509,INVENTARIO!D168:D509))</f>
        <v>1,23</v>
      </c>
      <c r="D168" t="str">
        <f>IF(PRODUCTOS!A168="","",_xlfn.XLOOKUP(PRODUCTOS!A168,INVENTARIO!A168:A509,INVENTARIO!E168:E509))</f>
        <v>45,8</v>
      </c>
      <c r="G168" t="s">
        <v>485</v>
      </c>
    </row>
    <row r="169" spans="1:7">
      <c r="A169" t="str">
        <v>ACR-AZU-3MM-1</v>
      </c>
      <c r="B169" t="str">
        <f>IF(PRODUCTOS!A169="","",_xlfn.XLOOKUP(PRODUCTOS!A169,INVENTARIO!A169:A510,INVENTARIO!C169:C510))</f>
        <v>ACRILICO AZUL 3 MM</v>
      </c>
      <c r="C169" t="str">
        <f>IF(PRODUCTOS!A169="","",_xlfn.XLOOKUP(PRODUCTOS!A169,INVENTARIO!A169:A510,INVENTARIO!D169:D510))</f>
        <v>1,22</v>
      </c>
      <c r="D169" t="str">
        <f>IF(PRODUCTOS!A169="","",_xlfn.XLOOKUP(PRODUCTOS!A169,INVENTARIO!A169:A510,INVENTARIO!E169:E510))</f>
        <v>1,8</v>
      </c>
      <c r="G169" t="s">
        <v>486</v>
      </c>
    </row>
    <row r="170" spans="1:7">
      <c r="A170" t="str">
        <v>ACR-AZU-3MM-2</v>
      </c>
      <c r="B170" t="str">
        <f>IF(PRODUCTOS!A170="","",_xlfn.XLOOKUP(PRODUCTOS!A170,INVENTARIO!A170:A511,INVENTARIO!C170:C511))</f>
        <v>ACRILICO AZUL 3 MM</v>
      </c>
      <c r="C170" t="str">
        <f>IF(PRODUCTOS!A170="","",_xlfn.XLOOKUP(PRODUCTOS!A170,INVENTARIO!A170:A511,INVENTARIO!D170:D511))</f>
        <v>1,22</v>
      </c>
      <c r="D170" t="str">
        <f>IF(PRODUCTOS!A170="","",_xlfn.XLOOKUP(PRODUCTOS!A170,INVENTARIO!A170:A511,INVENTARIO!E170:E511))</f>
        <v>2,44</v>
      </c>
      <c r="G170" t="s">
        <v>486</v>
      </c>
    </row>
    <row r="171" spans="1:7">
      <c r="A171" t="str">
        <v>ACR-AZU-3MM-3</v>
      </c>
      <c r="B171" t="str">
        <f>IF(PRODUCTOS!A171="","",_xlfn.XLOOKUP(PRODUCTOS!A171,INVENTARIO!A171:A512,INVENTARIO!C171:C512))</f>
        <v>ACRILICO AZUL 3 MM</v>
      </c>
      <c r="C171" t="str">
        <f>IF(PRODUCTOS!A171="","",_xlfn.XLOOKUP(PRODUCTOS!A171,INVENTARIO!A171:A512,INVENTARIO!D171:D512))</f>
        <v>1,23</v>
      </c>
      <c r="D171" t="str">
        <f>IF(PRODUCTOS!A171="","",_xlfn.XLOOKUP(PRODUCTOS!A171,INVENTARIO!A171:A512,INVENTARIO!E171:E512))</f>
        <v>2,45</v>
      </c>
      <c r="G171" t="s">
        <v>486</v>
      </c>
    </row>
    <row r="172" spans="1:7">
      <c r="A172" t="str">
        <v>ACR-BLA-5MM-1</v>
      </c>
      <c r="B172" t="str">
        <f>IF(PRODUCTOS!A172="","",_xlfn.XLOOKUP(PRODUCTOS!A172,INVENTARIO!A172:A513,INVENTARIO!C172:C513))</f>
        <v>ACRILICO BLANCO 5 MM</v>
      </c>
      <c r="C172" t="str">
        <f>IF(PRODUCTOS!A172="","",_xlfn.XLOOKUP(PRODUCTOS!A172,INVENTARIO!A172:A513,INVENTARIO!D172:D513))</f>
        <v>1,22</v>
      </c>
      <c r="D172" t="str">
        <f>IF(PRODUCTOS!A172="","",_xlfn.XLOOKUP(PRODUCTOS!A172,INVENTARIO!A172:A513,INVENTARIO!E172:E513))</f>
        <v>2,44</v>
      </c>
      <c r="G172" t="s">
        <v>486</v>
      </c>
    </row>
    <row r="173" spans="1:7">
      <c r="A173" t="str">
        <v>ACR-CRI-6MM-1</v>
      </c>
      <c r="B173" t="str">
        <f>IF(PRODUCTOS!A173="","",_xlfn.XLOOKUP(PRODUCTOS!A173,INVENTARIO!A173:A514,INVENTARIO!C173:C514))</f>
        <v>ACRILICO CRISTAL 6 MM</v>
      </c>
      <c r="C173" t="str">
        <f>IF(PRODUCTOS!A173="","",_xlfn.XLOOKUP(PRODUCTOS!A173,INVENTARIO!A173:A514,INVENTARIO!D173:D514))</f>
        <v>1,22</v>
      </c>
      <c r="D173" t="str">
        <f>IF(PRODUCTOS!A173="","",_xlfn.XLOOKUP(PRODUCTOS!A173,INVENTARIO!A173:A514,INVENTARIO!E173:E514))</f>
        <v>2,44</v>
      </c>
      <c r="G173" t="s">
        <v>486</v>
      </c>
    </row>
    <row r="174" spans="1:7">
      <c r="A174" t="str">
        <v>ACR-CRI-3MM-1</v>
      </c>
      <c r="B174" t="str">
        <f>IF(PRODUCTOS!A174="","",_xlfn.XLOOKUP(PRODUCTOS!A174,INVENTARIO!A174:A515,INVENTARIO!C174:C515))</f>
        <v>ACRILICO CRISTAL 3 MM</v>
      </c>
      <c r="C174" t="str">
        <f>IF(PRODUCTOS!A174="","",_xlfn.XLOOKUP(PRODUCTOS!A174,INVENTARIO!A174:A515,INVENTARIO!D174:D515))</f>
        <v>1,22</v>
      </c>
      <c r="D174" t="str">
        <f>IF(PRODUCTOS!A174="","",_xlfn.XLOOKUP(PRODUCTOS!A174,INVENTARIO!A174:A515,INVENTARIO!E174:E515))</f>
        <v>2,44</v>
      </c>
      <c r="G174" t="s">
        <v>486</v>
      </c>
    </row>
    <row r="175" spans="1:7">
      <c r="A175" t="str">
        <v>ACR-CRI-4MM-1</v>
      </c>
      <c r="B175" t="str">
        <f>IF(PRODUCTOS!A175="","",_xlfn.XLOOKUP(PRODUCTOS!A175,INVENTARIO!A175:A516,INVENTARIO!C175:C516))</f>
        <v>ACRILICO CRISTAL 4 MM</v>
      </c>
      <c r="C175" t="str">
        <f>IF(PRODUCTOS!A175="","",_xlfn.XLOOKUP(PRODUCTOS!A175,INVENTARIO!A175:A516,INVENTARIO!D175:D516))</f>
        <v>1,22</v>
      </c>
      <c r="D175" t="str">
        <f>IF(PRODUCTOS!A175="","",_xlfn.XLOOKUP(PRODUCTOS!A175,INVENTARIO!A175:A516,INVENTARIO!E175:E516))</f>
        <v>2,44</v>
      </c>
      <c r="G175" t="s">
        <v>486</v>
      </c>
    </row>
    <row r="176" spans="1:7">
      <c r="A176" t="str">
        <v>ACR-CRI-5MM-1</v>
      </c>
      <c r="B176" t="str">
        <f>IF(PRODUCTOS!A176="","",_xlfn.XLOOKUP(PRODUCTOS!A176,INVENTARIO!A176:A517,INVENTARIO!C176:C517))</f>
        <v>ACRILICO CRISTAL 5 MM</v>
      </c>
      <c r="C176" t="str">
        <f>IF(PRODUCTOS!A176="","",_xlfn.XLOOKUP(PRODUCTOS!A176,INVENTARIO!A176:A517,INVENTARIO!D176:D517))</f>
        <v>1,22</v>
      </c>
      <c r="D176" t="str">
        <f>IF(PRODUCTOS!A176="","",_xlfn.XLOOKUP(PRODUCTOS!A176,INVENTARIO!A176:A517,INVENTARIO!E176:E517))</f>
        <v>2,44</v>
      </c>
      <c r="G176" t="s">
        <v>486</v>
      </c>
    </row>
    <row r="177" spans="1:7">
      <c r="A177" t="str">
        <v>ACR-CRI-2MM-1</v>
      </c>
      <c r="B177" t="str">
        <f>IF(PRODUCTOS!A177="","",_xlfn.XLOOKUP(PRODUCTOS!A177,INVENTARIO!A177:A518,INVENTARIO!C177:C518))</f>
        <v>ACRILICO CRISTAL 2 MM</v>
      </c>
      <c r="C177" t="str">
        <f>IF(PRODUCTOS!A177="","",_xlfn.XLOOKUP(PRODUCTOS!A177,INVENTARIO!A177:A518,INVENTARIO!D177:D518))</f>
        <v>1,22</v>
      </c>
      <c r="D177" t="str">
        <f>IF(PRODUCTOS!A177="","",_xlfn.XLOOKUP(PRODUCTOS!A177,INVENTARIO!A177:A518,INVENTARIO!E177:E518))</f>
        <v>2,44</v>
      </c>
      <c r="G177" t="s">
        <v>486</v>
      </c>
    </row>
    <row r="178" spans="1:7">
      <c r="A178" t="str">
        <v>ACR-CRI-9MM-1</v>
      </c>
      <c r="B178" t="str">
        <f>IF(PRODUCTOS!A178="","",_xlfn.XLOOKUP(PRODUCTOS!A178,INVENTARIO!A178:A519,INVENTARIO!C178:C519))</f>
        <v>ACRILICO CRISTAL 9 MM</v>
      </c>
      <c r="C178" t="str">
        <f>IF(PRODUCTOS!A178="","",_xlfn.XLOOKUP(PRODUCTOS!A178,INVENTARIO!A178:A519,INVENTARIO!D178:D519))</f>
        <v>1,22</v>
      </c>
      <c r="D178" t="str">
        <f>IF(PRODUCTOS!A178="","",_xlfn.XLOOKUP(PRODUCTOS!A178,INVENTARIO!A178:A519,INVENTARIO!E178:E519))</f>
        <v>2,44</v>
      </c>
      <c r="G178" t="s">
        <v>486</v>
      </c>
    </row>
    <row r="179" spans="1:7">
      <c r="A179" t="str">
        <v>ACR-ROJ-3MM-1</v>
      </c>
      <c r="B179" t="str">
        <f>IF(PRODUCTOS!A179="","",_xlfn.XLOOKUP(PRODUCTOS!A179,INVENTARIO!A179:A520,INVENTARIO!C179:C520))</f>
        <v>ACRILICO ROJO 3 MM</v>
      </c>
      <c r="C179" t="str">
        <f>IF(PRODUCTOS!A179="","",_xlfn.XLOOKUP(PRODUCTOS!A179,INVENTARIO!A179:A520,INVENTARIO!D179:D520))</f>
        <v>1,22</v>
      </c>
      <c r="D179" t="str">
        <f>IF(PRODUCTOS!A179="","",_xlfn.XLOOKUP(PRODUCTOS!A179,INVENTARIO!A179:A520,INVENTARIO!E179:E520))</f>
        <v>2,44</v>
      </c>
      <c r="G179" t="s">
        <v>486</v>
      </c>
    </row>
    <row r="180" spans="1:7">
      <c r="A180" t="str">
        <v>ACR-ROJ-3MM-2</v>
      </c>
      <c r="B180" t="str">
        <f>IF(PRODUCTOS!A180="","",_xlfn.XLOOKUP(PRODUCTOS!A180,INVENTARIO!A180:A521,INVENTARIO!C180:C521))</f>
        <v>ACRILICO ROJO 3 MM</v>
      </c>
      <c r="C180" t="str">
        <f>IF(PRODUCTOS!A180="","",_xlfn.XLOOKUP(PRODUCTOS!A180,INVENTARIO!A180:A521,INVENTARIO!D180:D521))</f>
        <v>1,23</v>
      </c>
      <c r="D180" t="str">
        <f>IF(PRODUCTOS!A180="","",_xlfn.XLOOKUP(PRODUCTOS!A180,INVENTARIO!A180:A521,INVENTARIO!E180:E521))</f>
        <v>2,45</v>
      </c>
      <c r="G180" t="s">
        <v>486</v>
      </c>
    </row>
    <row r="181" spans="1:7">
      <c r="A181" t="str">
        <v>ACR-NAR-3MM-1</v>
      </c>
      <c r="B181" t="str">
        <f>IF(PRODUCTOS!A181="","",_xlfn.XLOOKUP(PRODUCTOS!A181,INVENTARIO!A181:A522,INVENTARIO!C181:C522))</f>
        <v>ACRILICO NARANJA 3 MM</v>
      </c>
      <c r="C181" t="str">
        <f>IF(PRODUCTOS!A181="","",_xlfn.XLOOKUP(PRODUCTOS!A181,INVENTARIO!A181:A522,INVENTARIO!D181:D522))</f>
        <v>1,22</v>
      </c>
      <c r="D181" t="str">
        <f>IF(PRODUCTOS!A181="","",_xlfn.XLOOKUP(PRODUCTOS!A181,INVENTARIO!A181:A522,INVENTARIO!E181:E522))</f>
        <v>2,44</v>
      </c>
      <c r="G181" t="s">
        <v>486</v>
      </c>
    </row>
    <row r="182" spans="1:7">
      <c r="A182" t="str">
        <v>ACR-ROJ-5MM-1</v>
      </c>
      <c r="B182" t="str">
        <f>IF(PRODUCTOS!A182="","",_xlfn.XLOOKUP(PRODUCTOS!A182,INVENTARIO!A182:A523,INVENTARIO!C182:C523))</f>
        <v>ACRILICO ROJO 5 MM</v>
      </c>
      <c r="C182" t="str">
        <f>IF(PRODUCTOS!A182="","",_xlfn.XLOOKUP(PRODUCTOS!A182,INVENTARIO!A182:A523,INVENTARIO!D182:D523))</f>
        <v>1,8</v>
      </c>
      <c r="D182" t="str">
        <f>IF(PRODUCTOS!A182="","",_xlfn.XLOOKUP(PRODUCTOS!A182,INVENTARIO!A182:A523,INVENTARIO!E182:E523))</f>
        <v>2,44</v>
      </c>
      <c r="G182" t="s">
        <v>486</v>
      </c>
    </row>
    <row r="183" spans="1:7">
      <c r="A183" t="str">
        <v>ACR-NEG-3MM-1</v>
      </c>
      <c r="B183" t="str">
        <f>IF(PRODUCTOS!A183="","",_xlfn.XLOOKUP(PRODUCTOS!A183,INVENTARIO!A183:A524,INVENTARIO!C183:C524))</f>
        <v>ACRILICO NEGRO 3 MM</v>
      </c>
      <c r="C183" t="str">
        <f>IF(PRODUCTOS!A183="","",_xlfn.XLOOKUP(PRODUCTOS!A183,INVENTARIO!A183:A524,INVENTARIO!D183:D524))</f>
        <v>1,22</v>
      </c>
      <c r="D183" t="str">
        <f>IF(PRODUCTOS!A183="","",_xlfn.XLOOKUP(PRODUCTOS!A183,INVENTARIO!A183:A524,INVENTARIO!E183:E524))</f>
        <v>2,44</v>
      </c>
      <c r="G183" t="s">
        <v>486</v>
      </c>
    </row>
    <row r="184" spans="1:7">
      <c r="A184" t="str">
        <v>ACR-NEG-3MM-2</v>
      </c>
      <c r="B184" t="str">
        <f>IF(PRODUCTOS!A184="","",_xlfn.XLOOKUP(PRODUCTOS!A184,INVENTARIO!A184:A525,INVENTARIO!C184:C525))</f>
        <v>ACRILICO NEGRO 3 MM</v>
      </c>
      <c r="C184" t="str">
        <f>IF(PRODUCTOS!A184="","",_xlfn.XLOOKUP(PRODUCTOS!A184,INVENTARIO!A184:A525,INVENTARIO!D184:D525))</f>
        <v>1,8</v>
      </c>
      <c r="D184" t="str">
        <f>IF(PRODUCTOS!A184="","",_xlfn.XLOOKUP(PRODUCTOS!A184,INVENTARIO!A184:A525,INVENTARIO!E184:E525))</f>
        <v>2,44</v>
      </c>
      <c r="G184" t="s">
        <v>486</v>
      </c>
    </row>
    <row r="185" spans="1:7">
      <c r="A185" t="str">
        <v>ACR-NEG-6MM-1</v>
      </c>
      <c r="B185" t="str">
        <f>IF(PRODUCTOS!A185="","",_xlfn.XLOOKUP(PRODUCTOS!A185,INVENTARIO!A185:A526,INVENTARIO!C185:C526))</f>
        <v>ACRILICO NEGRO 6 MM</v>
      </c>
      <c r="C185" t="str">
        <f>IF(PRODUCTOS!A185="","",_xlfn.XLOOKUP(PRODUCTOS!A185,INVENTARIO!A185:A526,INVENTARIO!D185:D526))</f>
        <v>1,22</v>
      </c>
      <c r="D185" t="str">
        <f>IF(PRODUCTOS!A185="","",_xlfn.XLOOKUP(PRODUCTOS!A185,INVENTARIO!A185:A526,INVENTARIO!E185:E526))</f>
        <v>2,44</v>
      </c>
      <c r="G185" t="s">
        <v>486</v>
      </c>
    </row>
    <row r="186" spans="1:7">
      <c r="A186" t="str">
        <v>ACR-NEG-6MM-2</v>
      </c>
      <c r="B186" t="str">
        <f>IF(PRODUCTOS!A186="","",_xlfn.XLOOKUP(PRODUCTOS!A186,INVENTARIO!A186:A527,INVENTARIO!C186:C527))</f>
        <v>ACRILICO NEGRO 6 MM</v>
      </c>
      <c r="C186" t="str">
        <f>IF(PRODUCTOS!A186="","",_xlfn.XLOOKUP(PRODUCTOS!A186,INVENTARIO!A186:A527,INVENTARIO!D186:D527))</f>
        <v>1,8</v>
      </c>
      <c r="D186" t="str">
        <f>IF(PRODUCTOS!A186="","",_xlfn.XLOOKUP(PRODUCTOS!A186,INVENTARIO!A186:A527,INVENTARIO!E186:E527))</f>
        <v>2,44</v>
      </c>
      <c r="G186" t="s">
        <v>486</v>
      </c>
    </row>
    <row r="187" spans="1:7">
      <c r="A187" t="str">
        <v>ACR-AMA-3MM-1</v>
      </c>
      <c r="B187" t="str">
        <f>IF(PRODUCTOS!A187="","",_xlfn.XLOOKUP(PRODUCTOS!A187,INVENTARIO!A187:A528,INVENTARIO!C187:C528))</f>
        <v>ACRILICO AMARILLO 3 MM</v>
      </c>
      <c r="C187" t="str">
        <f>IF(PRODUCTOS!A187="","",_xlfn.XLOOKUP(PRODUCTOS!A187,INVENTARIO!A187:A528,INVENTARIO!D187:D528))</f>
        <v>2,44</v>
      </c>
      <c r="D187" t="str">
        <f>IF(PRODUCTOS!A187="","",_xlfn.XLOOKUP(PRODUCTOS!A187,INVENTARIO!A187:A528,INVENTARIO!E187:E528))</f>
        <v>1,22</v>
      </c>
      <c r="G187" t="s">
        <v>486</v>
      </c>
    </row>
    <row r="188" spans="1:7">
      <c r="A188" t="str">
        <v>ACR-AMA-3MM-TRA-1</v>
      </c>
      <c r="B188" t="str">
        <f>IF(PRODUCTOS!A188="","",_xlfn.XLOOKUP(PRODUCTOS!A188,INVENTARIO!A188:A529,INVENTARIO!C188:C529))</f>
        <v>ACRILICO AMARILLO 3 MM - TRANSLUCIDO</v>
      </c>
      <c r="C188" t="str">
        <f>IF(PRODUCTOS!A188="","",_xlfn.XLOOKUP(PRODUCTOS!A188,INVENTARIO!A188:A529,INVENTARIO!D188:D529))</f>
        <v>2,44</v>
      </c>
      <c r="D188" t="str">
        <f>IF(PRODUCTOS!A188="","",_xlfn.XLOOKUP(PRODUCTOS!A188,INVENTARIO!A188:A529,INVENTARIO!E188:E529))</f>
        <v>1,22</v>
      </c>
      <c r="G188" t="s">
        <v>486</v>
      </c>
    </row>
    <row r="189" spans="1:7">
      <c r="A189" t="str">
        <v>ACR-VER-3MM-1</v>
      </c>
      <c r="B189" t="str">
        <f>IF(PRODUCTOS!A189="","",_xlfn.XLOOKUP(PRODUCTOS!A189,INVENTARIO!A189:A530,INVENTARIO!C189:C530))</f>
        <v>ACRILICO VERDE DE 3 MM</v>
      </c>
      <c r="C189" t="str">
        <f>IF(PRODUCTOS!A189="","",_xlfn.XLOOKUP(PRODUCTOS!A189,INVENTARIO!A189:A530,INVENTARIO!D189:D530))</f>
        <v>1,22</v>
      </c>
      <c r="D189" t="str">
        <f>IF(PRODUCTOS!A189="","",_xlfn.XLOOKUP(PRODUCTOS!A189,INVENTARIO!A189:A530,INVENTARIO!E189:E530))</f>
        <v>2,44</v>
      </c>
      <c r="G189" t="s">
        <v>486</v>
      </c>
    </row>
    <row r="190" spans="1:7">
      <c r="A190" t="str">
        <v>PAN-ALU-4MM-AZU-GLO-1</v>
      </c>
      <c r="B190" t="str">
        <f>IF(PRODUCTOS!A190="","",_xlfn.XLOOKUP(PRODUCTOS!A190,INVENTARIO!A190:A531,INVENTARIO!C190:C531))</f>
        <v>PANEL DE ALUMINIO 4 MM AZUL GLOSS</v>
      </c>
      <c r="C190">
        <f>IF(PRODUCTOS!A190="","",_xlfn.XLOOKUP(PRODUCTOS!A190,INVENTARIO!A190:A531,INVENTARIO!D190:D531))</f>
        <v>1.27</v>
      </c>
      <c r="D190">
        <f>IF(PRODUCTOS!A190="","",_xlfn.XLOOKUP(PRODUCTOS!A190,INVENTARIO!A190:A531,INVENTARIO!E190:E531))</f>
        <v>5</v>
      </c>
      <c r="G190" t="s">
        <v>486</v>
      </c>
    </row>
    <row r="191" spans="1:7">
      <c r="A191" t="str">
        <v>PAN-ALU-4MM-AZU-GLO-2</v>
      </c>
      <c r="B191" t="str">
        <f>IF(PRODUCTOS!A191="","",_xlfn.XLOOKUP(PRODUCTOS!A191,INVENTARIO!A191:A532,INVENTARIO!C191:C532))</f>
        <v>PANEL DE ALUMINIO 4 MM AZUL GLOSS</v>
      </c>
      <c r="C191">
        <f>IF(PRODUCTOS!A191="","",_xlfn.XLOOKUP(PRODUCTOS!A191,INVENTARIO!A191:A532,INVENTARIO!D191:D532))</f>
        <v>1.22</v>
      </c>
      <c r="D191">
        <f>IF(PRODUCTOS!A191="","",_xlfn.XLOOKUP(PRODUCTOS!A191,INVENTARIO!A191:A532,INVENTARIO!E191:E532))</f>
        <v>5</v>
      </c>
      <c r="G191" t="s">
        <v>486</v>
      </c>
    </row>
    <row r="192" spans="1:7">
      <c r="A192" t="str">
        <v>PAN-ALU-4MM-AZU-GLO-3</v>
      </c>
      <c r="B192" t="str">
        <f>IF(PRODUCTOS!A192="","",_xlfn.XLOOKUP(PRODUCTOS!A192,INVENTARIO!A192:A533,INVENTARIO!C192:C533))</f>
        <v>PANEL DE ALUMINIO 4 MM AZUL GLOSS</v>
      </c>
      <c r="C192">
        <f>IF(PRODUCTOS!A192="","",_xlfn.XLOOKUP(PRODUCTOS!A192,INVENTARIO!A192:A533,INVENTARIO!D192:D533))</f>
        <v>1.5</v>
      </c>
      <c r="D192">
        <f>IF(PRODUCTOS!A192="","",_xlfn.XLOOKUP(PRODUCTOS!A192,INVENTARIO!A192:A533,INVENTARIO!E192:E533))</f>
        <v>5</v>
      </c>
      <c r="G192" t="s">
        <v>486</v>
      </c>
    </row>
    <row r="193" spans="1:7">
      <c r="A193" t="str">
        <v>PAN-ALU-4MM-ROJ-GLO-1</v>
      </c>
      <c r="B193" t="str">
        <f>IF(PRODUCTOS!A193="","",_xlfn.XLOOKUP(PRODUCTOS!A193,INVENTARIO!A193:A534,INVENTARIO!C193:C534))</f>
        <v>PANEL DE ALUMINIO 4 MM ROJO GLOSS</v>
      </c>
      <c r="C193">
        <f>IF(PRODUCTOS!A193="","",_xlfn.XLOOKUP(PRODUCTOS!A193,INVENTARIO!A193:A534,INVENTARIO!D193:D534))</f>
        <v>1.27</v>
      </c>
      <c r="D193">
        <f>IF(PRODUCTOS!A193="","",_xlfn.XLOOKUP(PRODUCTOS!A193,INVENTARIO!A193:A534,INVENTARIO!E193:E534))</f>
        <v>5</v>
      </c>
      <c r="G193" t="s">
        <v>486</v>
      </c>
    </row>
    <row r="194" spans="1:7">
      <c r="A194" t="str">
        <v>PAN-ALU-4MM-ROJ-GLO-2</v>
      </c>
      <c r="B194" t="str">
        <f>IF(PRODUCTOS!A194="","",_xlfn.XLOOKUP(PRODUCTOS!A194,INVENTARIO!A194:A535,INVENTARIO!C194:C535))</f>
        <v>PANEL DE ALUMINIO 4 MM ROJO GLOSS</v>
      </c>
      <c r="C194">
        <f>IF(PRODUCTOS!A194="","",_xlfn.XLOOKUP(PRODUCTOS!A194,INVENTARIO!A194:A535,INVENTARIO!D194:D535))</f>
        <v>1.22</v>
      </c>
      <c r="D194">
        <f>IF(PRODUCTOS!A194="","",_xlfn.XLOOKUP(PRODUCTOS!A194,INVENTARIO!A194:A535,INVENTARIO!E194:E535))</f>
        <v>5</v>
      </c>
      <c r="G194" t="s">
        <v>486</v>
      </c>
    </row>
    <row r="195" spans="1:7">
      <c r="A195" t="str">
        <v>PAN-ALU-4MM-NEG-MAT-1</v>
      </c>
      <c r="B195" t="str">
        <f>IF(PRODUCTOS!A195="","",_xlfn.XLOOKUP(PRODUCTOS!A195,INVENTARIO!A195:A536,INVENTARIO!C195:C536))</f>
        <v>PANEL DE ALUMINIO 4 MM NEGRO MATE</v>
      </c>
      <c r="C195">
        <f>IF(PRODUCTOS!A195="","",_xlfn.XLOOKUP(PRODUCTOS!A195,INVENTARIO!A195:A536,INVENTARIO!D195:D536))</f>
        <v>1.22</v>
      </c>
      <c r="D195">
        <f>IF(PRODUCTOS!A195="","",_xlfn.XLOOKUP(PRODUCTOS!A195,INVENTARIO!A195:A536,INVENTARIO!E195:E536))</f>
        <v>5</v>
      </c>
      <c r="G195" t="s">
        <v>486</v>
      </c>
    </row>
    <row r="196" spans="1:7">
      <c r="A196" t="str">
        <v>PAN-ALU-4MM-NEG-MAT-2</v>
      </c>
      <c r="B196" t="str">
        <f>IF(PRODUCTOS!A196="","",_xlfn.XLOOKUP(PRODUCTOS!A196,INVENTARIO!A196:A537,INVENTARIO!C196:C537))</f>
        <v>PANEL DE ALUMINIO 4 MM NEGRO MATE</v>
      </c>
      <c r="C196">
        <f>IF(PRODUCTOS!A196="","",_xlfn.XLOOKUP(PRODUCTOS!A196,INVENTARIO!A196:A537,INVENTARIO!D196:D537))</f>
        <v>1.55</v>
      </c>
      <c r="D196">
        <f>IF(PRODUCTOS!A196="","",_xlfn.XLOOKUP(PRODUCTOS!A196,INVENTARIO!A196:A537,INVENTARIO!E196:E537))</f>
        <v>5</v>
      </c>
      <c r="G196" t="s">
        <v>486</v>
      </c>
    </row>
    <row r="197" spans="1:7">
      <c r="A197" t="str">
        <v>PAN-ALU-4MM-PLA-BRI-1</v>
      </c>
      <c r="B197" t="str">
        <f>IF(PRODUCTOS!A197="","",_xlfn.XLOOKUP(PRODUCTOS!A197,INVENTARIO!A197:A538,INVENTARIO!C197:C538))</f>
        <v>PANEL DE ALUMINIO 4 MM PLATA BRILLANTE</v>
      </c>
      <c r="C197">
        <f>IF(PRODUCTOS!A197="","",_xlfn.XLOOKUP(PRODUCTOS!A197,INVENTARIO!A197:A538,INVENTARIO!D197:D538))</f>
        <v>1.22</v>
      </c>
      <c r="D197">
        <f>IF(PRODUCTOS!A197="","",_xlfn.XLOOKUP(PRODUCTOS!A197,INVENTARIO!A197:A538,INVENTARIO!E197:E538))</f>
        <v>5</v>
      </c>
      <c r="G197" t="s">
        <v>486</v>
      </c>
    </row>
    <row r="198" spans="1:7">
      <c r="A198" t="str">
        <v>PAN-ALU-4MM-PLA-CEP-1</v>
      </c>
      <c r="B198" t="str">
        <f>IF(PRODUCTOS!A198="","",_xlfn.XLOOKUP(PRODUCTOS!A198,INVENTARIO!A198:A539,INVENTARIO!C198:C539))</f>
        <v>PANEL DE ALUMINIO 4 MM PLATA CEPILLADO</v>
      </c>
      <c r="C198">
        <f>IF(PRODUCTOS!A198="","",_xlfn.XLOOKUP(PRODUCTOS!A198,INVENTARIO!A198:A539,INVENTARIO!D198:D539))</f>
        <v>1.25</v>
      </c>
      <c r="D198">
        <f>IF(PRODUCTOS!A198="","",_xlfn.XLOOKUP(PRODUCTOS!A198,INVENTARIO!A198:A539,INVENTARIO!E198:E539))</f>
        <v>5</v>
      </c>
      <c r="G198" t="s">
        <v>486</v>
      </c>
    </row>
    <row r="199" spans="1:7">
      <c r="A199" t="str">
        <v>PAN-ALU-4MM-VER-1</v>
      </c>
      <c r="B199" t="str">
        <f>IF(PRODUCTOS!A199="","",_xlfn.XLOOKUP(PRODUCTOS!A199,INVENTARIO!A199:A540,INVENTARIO!C199:C540))</f>
        <v>PANEL DE ALUMINIO 4 MM VERDE</v>
      </c>
      <c r="C199">
        <f>IF(PRODUCTOS!A199="","",_xlfn.XLOOKUP(PRODUCTOS!A199,INVENTARIO!A199:A540,INVENTARIO!D199:D540))</f>
        <v>1.22</v>
      </c>
      <c r="D199">
        <f>IF(PRODUCTOS!A199="","",_xlfn.XLOOKUP(PRODUCTOS!A199,INVENTARIO!A199:A540,INVENTARIO!E199:E540))</f>
        <v>3.4</v>
      </c>
      <c r="G199" t="s">
        <v>486</v>
      </c>
    </row>
    <row r="200" spans="1:7">
      <c r="A200" t="str">
        <v>PAN-ALU-4MM-VER-2</v>
      </c>
      <c r="B200" t="str">
        <f>IF(PRODUCTOS!A200="","",_xlfn.XLOOKUP(PRODUCTOS!A200,INVENTARIO!A200:A541,INVENTARIO!C200:C541))</f>
        <v>PANEL DE ALUMINIO 4 MM VERDE</v>
      </c>
      <c r="C200">
        <f>IF(PRODUCTOS!A200="","",_xlfn.XLOOKUP(PRODUCTOS!A200,INVENTARIO!A200:A541,INVENTARIO!D200:D541))</f>
        <v>1.22</v>
      </c>
      <c r="D200">
        <f>IF(PRODUCTOS!A200="","",_xlfn.XLOOKUP(PRODUCTOS!A200,INVENTARIO!A200:A541,INVENTARIO!E200:E541))</f>
        <v>5</v>
      </c>
      <c r="G200" t="s">
        <v>486</v>
      </c>
    </row>
    <row r="201" spans="1:7">
      <c r="A201" t="str">
        <v>PAN-ALU-4MM-NAR-1</v>
      </c>
      <c r="B201" t="str">
        <f>IF(PRODUCTOS!A201="","",_xlfn.XLOOKUP(PRODUCTOS!A201,INVENTARIO!A201:A542,INVENTARIO!C201:C542))</f>
        <v>PANEL DE ALUMINIO 4 MM NARANJA</v>
      </c>
      <c r="C201">
        <f>IF(PRODUCTOS!A201="","",_xlfn.XLOOKUP(PRODUCTOS!A201,INVENTARIO!A201:A542,INVENTARIO!D201:D542))</f>
        <v>1.5</v>
      </c>
      <c r="D201">
        <f>IF(PRODUCTOS!A201="","",_xlfn.XLOOKUP(PRODUCTOS!A201,INVENTARIO!A201:A542,INVENTARIO!E201:E542))</f>
        <v>5</v>
      </c>
      <c r="G201" t="s">
        <v>486</v>
      </c>
    </row>
    <row r="202" spans="1:7">
      <c r="A202" t="str">
        <v>PAN-ALU-4MM-BLA-1</v>
      </c>
      <c r="B202" t="str">
        <f>IF(PRODUCTOS!A202="","",_xlfn.XLOOKUP(PRODUCTOS!A202,INVENTARIO!A202:A543,INVENTARIO!C202:C543))</f>
        <v>PANEL DE ALUMINIO 4 MM BLANCO</v>
      </c>
      <c r="C202">
        <f>IF(PRODUCTOS!A202="","",_xlfn.XLOOKUP(PRODUCTOS!A202,INVENTARIO!A202:A543,INVENTARIO!D202:D543))</f>
        <v>1.5</v>
      </c>
      <c r="D202">
        <f>IF(PRODUCTOS!A202="","",_xlfn.XLOOKUP(PRODUCTOS!A202,INVENTARIO!A202:A543,INVENTARIO!E202:E543))</f>
        <v>5</v>
      </c>
      <c r="G202" t="s">
        <v>486</v>
      </c>
    </row>
    <row r="203" spans="1:7">
      <c r="A203" t="str">
        <v>PAN-ALU-3MM-NEG-MAT-1</v>
      </c>
      <c r="B203" t="str">
        <f>IF(PRODUCTOS!A203="","",_xlfn.XLOOKUP(PRODUCTOS!A203,INVENTARIO!A203:A544,INVENTARIO!C203:C544))</f>
        <v>PANEL DE ALUMINIO 3 MM NEGRO MATE</v>
      </c>
      <c r="C203">
        <f>IF(PRODUCTOS!A203="","",_xlfn.XLOOKUP(PRODUCTOS!A203,INVENTARIO!A203:A544,INVENTARIO!D203:D544))</f>
        <v>1.22</v>
      </c>
      <c r="D203">
        <f>IF(PRODUCTOS!A203="","",_xlfn.XLOOKUP(PRODUCTOS!A203,INVENTARIO!A203:A544,INVENTARIO!E203:E544))</f>
        <v>2.44</v>
      </c>
      <c r="G203" t="s">
        <v>486</v>
      </c>
    </row>
    <row r="204" spans="1:7">
      <c r="A204" t="str">
        <v>PAN-ALU-3MM-BLA-MAT-1</v>
      </c>
      <c r="B204" t="str">
        <f>IF(PRODUCTOS!A204="","",_xlfn.XLOOKUP(PRODUCTOS!A204,INVENTARIO!A204:A545,INVENTARIO!C204:C545))</f>
        <v>PANEL DE ALUMINIO 3 MM BLANCO MATE</v>
      </c>
      <c r="C204">
        <f>IF(PRODUCTOS!A204="","",_xlfn.XLOOKUP(PRODUCTOS!A204,INVENTARIO!A204:A545,INVENTARIO!D204:D545))</f>
        <v>1.22</v>
      </c>
      <c r="D204">
        <f>IF(PRODUCTOS!A204="","",_xlfn.XLOOKUP(PRODUCTOS!A204,INVENTARIO!A204:A545,INVENTARIO!E204:E545))</f>
        <v>2.44</v>
      </c>
      <c r="G204" t="s">
        <v>486</v>
      </c>
    </row>
    <row r="205" spans="1:7">
      <c r="A205" t="str">
        <v>PVC-3MM-NAR-1</v>
      </c>
      <c r="B205" t="str">
        <f>IF(PRODUCTOS!A205="","",_xlfn.XLOOKUP(PRODUCTOS!A205,INVENTARIO!A205:A546,INVENTARIO!C205:C546))</f>
        <v>PVC 3 MM NARANJA</v>
      </c>
      <c r="C205">
        <f>IF(PRODUCTOS!A205="","",_xlfn.XLOOKUP(PRODUCTOS!A205,INVENTARIO!A205:A546,INVENTARIO!D205:D546))</f>
        <v>1.22</v>
      </c>
      <c r="D205">
        <f>IF(PRODUCTOS!A205="","",_xlfn.XLOOKUP(PRODUCTOS!A205,INVENTARIO!A205:A546,INVENTARIO!E205:E546))</f>
        <v>2.44</v>
      </c>
      <c r="G205" t="s">
        <v>486</v>
      </c>
    </row>
    <row r="206" spans="1:7">
      <c r="A206" t="str">
        <v>PVC-3MM-AZU-1</v>
      </c>
      <c r="B206" t="str">
        <f>IF(PRODUCTOS!A206="","",_xlfn.XLOOKUP(PRODUCTOS!A206,INVENTARIO!A206:A547,INVENTARIO!C206:C547))</f>
        <v>PVC 3 MM AZUL</v>
      </c>
      <c r="C206">
        <f>IF(PRODUCTOS!A206="","",_xlfn.XLOOKUP(PRODUCTOS!A206,INVENTARIO!A206:A547,INVENTARIO!D206:D547))</f>
        <v>1.22</v>
      </c>
      <c r="D206">
        <f>IF(PRODUCTOS!A206="","",_xlfn.XLOOKUP(PRODUCTOS!A206,INVENTARIO!A206:A547,INVENTARIO!E206:E547))</f>
        <v>2.44</v>
      </c>
      <c r="G206" t="s">
        <v>486</v>
      </c>
    </row>
    <row r="207" spans="1:7">
      <c r="A207" t="str">
        <v>PVC-3MM-NEG-1</v>
      </c>
      <c r="B207" t="str">
        <f>IF(PRODUCTOS!A207="","",_xlfn.XLOOKUP(PRODUCTOS!A207,INVENTARIO!A207:A548,INVENTARIO!C207:C548))</f>
        <v>PVC 3 MM NEGRO</v>
      </c>
      <c r="C207">
        <f>IF(PRODUCTOS!A207="","",_xlfn.XLOOKUP(PRODUCTOS!A207,INVENTARIO!A207:A548,INVENTARIO!D207:D548))</f>
        <v>1.22</v>
      </c>
      <c r="D207">
        <f>IF(PRODUCTOS!A207="","",_xlfn.XLOOKUP(PRODUCTOS!A207,INVENTARIO!A207:A548,INVENTARIO!E207:E548))</f>
        <v>2.44</v>
      </c>
      <c r="G207" t="s">
        <v>486</v>
      </c>
    </row>
    <row r="208" spans="1:7">
      <c r="A208" t="str">
        <v>PVC-3MM-GRI-OSC-1</v>
      </c>
      <c r="B208" t="str">
        <f>IF(PRODUCTOS!A208="","",_xlfn.XLOOKUP(PRODUCTOS!A208,INVENTARIO!A208:A549,INVENTARIO!C208:C549))</f>
        <v>PVC 3 MM GRIS OSCURO</v>
      </c>
      <c r="C208">
        <f>IF(PRODUCTOS!A208="","",_xlfn.XLOOKUP(PRODUCTOS!A208,INVENTARIO!A208:A549,INVENTARIO!D208:D549))</f>
        <v>1.22</v>
      </c>
      <c r="D208">
        <f>IF(PRODUCTOS!A208="","",_xlfn.XLOOKUP(PRODUCTOS!A208,INVENTARIO!A208:A549,INVENTARIO!E208:E549))</f>
        <v>2.44</v>
      </c>
      <c r="G208" t="s">
        <v>486</v>
      </c>
    </row>
    <row r="209" spans="1:7">
      <c r="A209" t="str">
        <v>PVC-6MM-GRI-OSC-1</v>
      </c>
      <c r="B209" t="str">
        <f>IF(PRODUCTOS!A209="","",_xlfn.XLOOKUP(PRODUCTOS!A209,INVENTARIO!A209:A550,INVENTARIO!C209:C550))</f>
        <v>PVC 6 MM GRIS OSCURO</v>
      </c>
      <c r="C209">
        <f>IF(PRODUCTOS!A209="","",_xlfn.XLOOKUP(PRODUCTOS!A209,INVENTARIO!A209:A550,INVENTARIO!D209:D550))</f>
        <v>1.22</v>
      </c>
      <c r="D209">
        <f>IF(PRODUCTOS!A209="","",_xlfn.XLOOKUP(PRODUCTOS!A209,INVENTARIO!A209:A550,INVENTARIO!E209:E550))</f>
        <v>2.44</v>
      </c>
      <c r="G209" t="s">
        <v>486</v>
      </c>
    </row>
    <row r="210" spans="1:7">
      <c r="A210" t="str">
        <v>LED-BLA-CAL-3DI-1</v>
      </c>
      <c r="B210" t="str">
        <f>IF(PRODUCTOS!A210="","",_xlfn.XLOOKUP(PRODUCTOS!A210,INVENTARIO!A210:A551,INVENTARIO!C210:C551))</f>
        <v>LED BLANCO CALIDO 3 DIODOS</v>
      </c>
      <c r="C210">
        <f>IF(PRODUCTOS!A210="","",_xlfn.XLOOKUP(PRODUCTOS!A210,INVENTARIO!A210:A551,INVENTARIO!D210:D551))</f>
        <v>0</v>
      </c>
      <c r="D210">
        <f>IF(PRODUCTOS!A210="","",_xlfn.XLOOKUP(PRODUCTOS!A210,INVENTARIO!A210:A551,INVENTARIO!E210:E551))</f>
        <v>0</v>
      </c>
      <c r="G210" t="s">
        <v>487</v>
      </c>
    </row>
    <row r="211" spans="1:7">
      <c r="A211" t="str">
        <v>LED-BLA-FRI-3DI-1</v>
      </c>
      <c r="B211" t="str">
        <f>IF(PRODUCTOS!A211="","",_xlfn.XLOOKUP(PRODUCTOS!A211,INVENTARIO!A211:A552,INVENTARIO!C211:C552))</f>
        <v>LED BLANCO FRIO 3 DIODOS</v>
      </c>
      <c r="C211">
        <f>IF(PRODUCTOS!A211="","",_xlfn.XLOOKUP(PRODUCTOS!A211,INVENTARIO!A211:A552,INVENTARIO!D211:D552))</f>
        <v>0</v>
      </c>
      <c r="D211">
        <f>IF(PRODUCTOS!A211="","",_xlfn.XLOOKUP(PRODUCTOS!A211,INVENTARIO!A211:A552,INVENTARIO!E211:E552))</f>
        <v>0</v>
      </c>
      <c r="G211" t="s">
        <v>487</v>
      </c>
    </row>
    <row r="212" spans="1:7">
      <c r="A212" t="str">
        <v>MIC-MIC-CAL-2DI-1</v>
      </c>
      <c r="B212" t="str">
        <f>IF(PRODUCTOS!A212="","",_xlfn.XLOOKUP(PRODUCTOS!A212,INVENTARIO!A212:A553,INVENTARIO!C212:C553))</f>
        <v>MICROLED CALIDO 2 DIODOS</v>
      </c>
      <c r="C212">
        <f>IF(PRODUCTOS!A212="","",_xlfn.XLOOKUP(PRODUCTOS!A212,INVENTARIO!A212:A553,INVENTARIO!D212:D553))</f>
        <v>0</v>
      </c>
      <c r="D212">
        <f>IF(PRODUCTOS!A212="","",_xlfn.XLOOKUP(PRODUCTOS!A212,INVENTARIO!A212:A553,INVENTARIO!E212:E553))</f>
        <v>0</v>
      </c>
      <c r="G212" t="s">
        <v>487</v>
      </c>
    </row>
    <row r="213" spans="1:7">
      <c r="A213" t="str">
        <v>MIC-MIC-FRI-2DI-1</v>
      </c>
      <c r="B213" t="str">
        <f>IF(PRODUCTOS!A213="","",_xlfn.XLOOKUP(PRODUCTOS!A213,INVENTARIO!A213:A554,INVENTARIO!C213:C554))</f>
        <v>MICROLED FRIO 2 DIODOS</v>
      </c>
      <c r="C213">
        <f>IF(PRODUCTOS!A213="","",_xlfn.XLOOKUP(PRODUCTOS!A213,INVENTARIO!A213:A554,INVENTARIO!D213:D554))</f>
        <v>0</v>
      </c>
      <c r="D213">
        <f>IF(PRODUCTOS!A213="","",_xlfn.XLOOKUP(PRODUCTOS!A213,INVENTARIO!A213:A554,INVENTARIO!E213:E554))</f>
        <v>0</v>
      </c>
      <c r="G213" t="s">
        <v>487</v>
      </c>
    </row>
    <row r="214" spans="1:7">
      <c r="A214" t="str">
        <v>LED-BLA-FRI-OPT-3DI-1</v>
      </c>
      <c r="B214" t="str">
        <f>IF(PRODUCTOS!A214="","",_xlfn.XLOOKUP(PRODUCTOS!A214,INVENTARIO!A214:A555,INVENTARIO!C214:C555))</f>
        <v>LED BLANCO FRIO OPTICO 3 DIODOS</v>
      </c>
      <c r="C214">
        <f>IF(PRODUCTOS!A214="","",_xlfn.XLOOKUP(PRODUCTOS!A214,INVENTARIO!A214:A555,INVENTARIO!D214:D555))</f>
        <v>0</v>
      </c>
      <c r="D214">
        <f>IF(PRODUCTOS!A214="","",_xlfn.XLOOKUP(PRODUCTOS!A214,INVENTARIO!A214:A555,INVENTARIO!E214:E555))</f>
        <v>0</v>
      </c>
      <c r="G214" t="s">
        <v>487</v>
      </c>
    </row>
    <row r="215" spans="1:7">
      <c r="A215" t="str">
        <v>LED-BLA-CAL-OPT-3DI-1</v>
      </c>
      <c r="B215" t="str">
        <f>IF(PRODUCTOS!A215="","",_xlfn.XLOOKUP(PRODUCTOS!A215,INVENTARIO!A215:A556,INVENTARIO!C215:C556))</f>
        <v>LED BLANCO CALIDO OPTICO 3 DIODOS</v>
      </c>
      <c r="C215">
        <f>IF(PRODUCTOS!A215="","",_xlfn.XLOOKUP(PRODUCTOS!A215,INVENTARIO!A215:A556,INVENTARIO!D215:D556))</f>
        <v>0</v>
      </c>
      <c r="D215">
        <f>IF(PRODUCTOS!A215="","",_xlfn.XLOOKUP(PRODUCTOS!A215,INVENTARIO!A215:A556,INVENTARIO!E215:E556))</f>
        <v>0</v>
      </c>
      <c r="G215" t="s">
        <v>487</v>
      </c>
    </row>
    <row r="216" spans="1:7">
      <c r="A216" t="str">
        <v>LED-ROJ-OPT-3DI-1</v>
      </c>
      <c r="B216" t="str">
        <f>IF(PRODUCTOS!A216="","",_xlfn.XLOOKUP(PRODUCTOS!A216,INVENTARIO!A216:A557,INVENTARIO!C216:C557))</f>
        <v>LED ROJO OPTICO 3 DIODOS</v>
      </c>
      <c r="C216">
        <f>IF(PRODUCTOS!A216="","",_xlfn.XLOOKUP(PRODUCTOS!A216,INVENTARIO!A216:A557,INVENTARIO!D216:D557))</f>
        <v>0</v>
      </c>
      <c r="D216">
        <f>IF(PRODUCTOS!A216="","",_xlfn.XLOOKUP(PRODUCTOS!A216,INVENTARIO!A216:A557,INVENTARIO!E216:E557))</f>
        <v>0</v>
      </c>
      <c r="G216" t="s">
        <v>487</v>
      </c>
    </row>
    <row r="217" spans="1:7">
      <c r="A217" t="str">
        <v>FUE-POD-30WA-1</v>
      </c>
      <c r="B217" t="str">
        <f>IF(PRODUCTOS!A217="","",_xlfn.XLOOKUP(PRODUCTOS!A217,INVENTARIO!A217:A558,INVENTARIO!C217:C558))</f>
        <v>FUENTE DE PODER 30 WATTS</v>
      </c>
      <c r="C217">
        <f>IF(PRODUCTOS!A217="","",_xlfn.XLOOKUP(PRODUCTOS!A217,INVENTARIO!A217:A558,INVENTARIO!D217:D558))</f>
        <v>0</v>
      </c>
      <c r="D217">
        <f>IF(PRODUCTOS!A217="","",_xlfn.XLOOKUP(PRODUCTOS!A217,INVENTARIO!A217:A558,INVENTARIO!E217:E558))</f>
        <v>0</v>
      </c>
      <c r="G217" t="s">
        <v>487</v>
      </c>
    </row>
    <row r="218" spans="1:7">
      <c r="A218" t="str">
        <v>FUE-POD-60WA-1</v>
      </c>
      <c r="B218" t="str">
        <f>IF(PRODUCTOS!A218="","",_xlfn.XLOOKUP(PRODUCTOS!A218,INVENTARIO!A218:A559,INVENTARIO!C218:C559))</f>
        <v>FUENTE DE PODER 60 WATTS</v>
      </c>
      <c r="C218">
        <f>IF(PRODUCTOS!A218="","",_xlfn.XLOOKUP(PRODUCTOS!A218,INVENTARIO!A218:A559,INVENTARIO!D218:D559))</f>
        <v>0</v>
      </c>
      <c r="D218">
        <f>IF(PRODUCTOS!A218="","",_xlfn.XLOOKUP(PRODUCTOS!A218,INVENTARIO!A218:A559,INVENTARIO!E218:E559))</f>
        <v>0</v>
      </c>
      <c r="G218" t="s">
        <v>487</v>
      </c>
    </row>
    <row r="219" spans="1:7">
      <c r="A219" t="str">
        <v>FUE-POD-100WA-1</v>
      </c>
      <c r="B219" t="str">
        <f>IF(PRODUCTOS!A219="","",_xlfn.XLOOKUP(PRODUCTOS!A219,INVENTARIO!A219:A560,INVENTARIO!C219:C560))</f>
        <v>FUENTE DE PODER 100 WATTS</v>
      </c>
      <c r="C219">
        <f>IF(PRODUCTOS!A219="","",_xlfn.XLOOKUP(PRODUCTOS!A219,INVENTARIO!A219:A560,INVENTARIO!D219:D560))</f>
        <v>0</v>
      </c>
      <c r="D219">
        <f>IF(PRODUCTOS!A219="","",_xlfn.XLOOKUP(PRODUCTOS!A219,INVENTARIO!A219:A560,INVENTARIO!E219:E560))</f>
        <v>0</v>
      </c>
      <c r="G219" t="s">
        <v>487</v>
      </c>
    </row>
    <row r="220" spans="1:7">
      <c r="A220" t="str">
        <v>FUE-POD-150WA-1</v>
      </c>
      <c r="B220" t="str">
        <f>IF(PRODUCTOS!A220="","",_xlfn.XLOOKUP(PRODUCTOS!A220,INVENTARIO!A220:A561,INVENTARIO!C220:C561))</f>
        <v>FUENTE DE PODER 150 WATTS</v>
      </c>
      <c r="C220">
        <f>IF(PRODUCTOS!A220="","",_xlfn.XLOOKUP(PRODUCTOS!A220,INVENTARIO!A220:A561,INVENTARIO!D220:D561))</f>
        <v>0</v>
      </c>
      <c r="D220">
        <f>IF(PRODUCTOS!A220="","",_xlfn.XLOOKUP(PRODUCTOS!A220,INVENTARIO!A220:A561,INVENTARIO!E220:E561))</f>
        <v>0</v>
      </c>
      <c r="G220" t="s">
        <v>487</v>
      </c>
    </row>
    <row r="221" spans="1:7">
      <c r="A221" t="str">
        <v>FUE-POD-200WA-1</v>
      </c>
      <c r="B221" t="str">
        <f>IF(PRODUCTOS!A221="","",_xlfn.XLOOKUP(PRODUCTOS!A221,INVENTARIO!A221:A562,INVENTARIO!C221:C562))</f>
        <v>FUENTE DE PODER 200 WATTS</v>
      </c>
      <c r="C221">
        <f>IF(PRODUCTOS!A221="","",_xlfn.XLOOKUP(PRODUCTOS!A221,INVENTARIO!A221:A562,INVENTARIO!D221:D562))</f>
        <v>0</v>
      </c>
      <c r="D221">
        <f>IF(PRODUCTOS!A221="","",_xlfn.XLOOKUP(PRODUCTOS!A221,INVENTARIO!A221:A562,INVENTARIO!E221:E562))</f>
        <v>0</v>
      </c>
      <c r="G221" t="s">
        <v>487</v>
      </c>
    </row>
    <row r="222" spans="1:7">
      <c r="A222" t="str">
        <v>FUE-POD-220WA-1</v>
      </c>
      <c r="B222" t="str">
        <f>IF(PRODUCTOS!A222="","",_xlfn.XLOOKUP(PRODUCTOS!A222,INVENTARIO!A222:A563,INVENTARIO!C222:C563))</f>
        <v>FUENTE DE PODER 220 WATTS</v>
      </c>
      <c r="C222">
        <f>IF(PRODUCTOS!A222="","",_xlfn.XLOOKUP(PRODUCTOS!A222,INVENTARIO!A222:A563,INVENTARIO!D222:D563))</f>
        <v>0</v>
      </c>
      <c r="D222">
        <f>IF(PRODUCTOS!A222="","",_xlfn.XLOOKUP(PRODUCTOS!A222,INVENTARIO!A222:A563,INVENTARIO!E222:E563))</f>
        <v>0</v>
      </c>
      <c r="G222" t="s">
        <v>487</v>
      </c>
    </row>
    <row r="223" spans="1:7">
      <c r="A223" t="str">
        <v>FUE-POD-360WA-1</v>
      </c>
      <c r="B223" t="str">
        <f>IF(PRODUCTOS!A223="","",_xlfn.XLOOKUP(PRODUCTOS!A223,INVENTARIO!A223:A564,INVENTARIO!C223:C564))</f>
        <v>FUENTE DE PODER 360 WATTS</v>
      </c>
      <c r="C223">
        <f>IF(PRODUCTOS!A223="","",_xlfn.XLOOKUP(PRODUCTOS!A223,INVENTARIO!A223:A564,INVENTARIO!D223:D564))</f>
        <v>0</v>
      </c>
      <c r="D223">
        <f>IF(PRODUCTOS!A223="","",_xlfn.XLOOKUP(PRODUCTOS!A223,INVENTARIO!A223:A564,INVENTARIO!E223:E564))</f>
        <v>0</v>
      </c>
      <c r="G223" t="s">
        <v>487</v>
      </c>
    </row>
    <row r="224" spans="1:7">
      <c r="A224" t="str">
        <v>LAM-T8-1</v>
      </c>
      <c r="B224" t="str">
        <f>IF(PRODUCTOS!A224="","",_xlfn.XLOOKUP(PRODUCTOS!A224,INVENTARIO!A224:A565,INVENTARIO!C224:C565))</f>
        <v>LAMPARAS T8</v>
      </c>
      <c r="C224">
        <f>IF(PRODUCTOS!A224="","",_xlfn.XLOOKUP(PRODUCTOS!A224,INVENTARIO!A224:A565,INVENTARIO!D224:D565))</f>
        <v>0</v>
      </c>
      <c r="D224">
        <f>IF(PRODUCTOS!A224="","",_xlfn.XLOOKUP(PRODUCTOS!A224,INVENTARIO!A224:A565,INVENTARIO!E224:E565))</f>
        <v>0</v>
      </c>
      <c r="G224" t="s">
        <v>487</v>
      </c>
    </row>
    <row r="225" spans="1:7">
      <c r="A225" t="str">
        <v>PLA-1</v>
      </c>
      <c r="B225" t="str">
        <f>IF(PRODUCTOS!A225="","",_xlfn.XLOOKUP(PRODUCTOS!A225,INVENTARIO!A225:A566,INVENTARIO!C225:C566))</f>
        <v>PLAYO</v>
      </c>
      <c r="C225">
        <f>IF(PRODUCTOS!A225="","",_xlfn.XLOOKUP(PRODUCTOS!A225,INVENTARIO!A225:A566,INVENTARIO!D225:D566))</f>
        <v>0</v>
      </c>
      <c r="D225">
        <f>IF(PRODUCTOS!A225="","",_xlfn.XLOOKUP(PRODUCTOS!A225,INVENTARIO!A225:A566,INVENTARIO!E225:E566))</f>
        <v>0</v>
      </c>
      <c r="G225" t="s">
        <v>487</v>
      </c>
    </row>
    <row r="226" spans="1:7">
      <c r="A226" t="str">
        <v>HUL-BUR-1</v>
      </c>
      <c r="B226" t="str">
        <f>IF(PRODUCTOS!A226="","",_xlfn.XLOOKUP(PRODUCTOS!A226,INVENTARIO!A226:A567,INVENTARIO!C226:C567))</f>
        <v>HULE BURBUJA</v>
      </c>
      <c r="C226">
        <f>IF(PRODUCTOS!A226="","",_xlfn.XLOOKUP(PRODUCTOS!A226,INVENTARIO!A226:A567,INVENTARIO!D226:D567))</f>
        <v>0</v>
      </c>
      <c r="D226">
        <f>IF(PRODUCTOS!A226="","",_xlfn.XLOOKUP(PRODUCTOS!A226,INVENTARIO!A226:A567,INVENTARIO!E226:E567))</f>
        <v>0</v>
      </c>
      <c r="G226" t="s">
        <v>487</v>
      </c>
    </row>
    <row r="227" spans="1:7">
      <c r="A227" t="str">
        <v>PAP-KRA-1</v>
      </c>
      <c r="B227" t="str">
        <f>IF(PRODUCTOS!A227="","",_xlfn.XLOOKUP(PRODUCTOS!A227,INVENTARIO!A227:A568,INVENTARIO!C227:C568))</f>
        <v>PAPEL KRAFT</v>
      </c>
      <c r="C227">
        <f>IF(PRODUCTOS!A227="","",_xlfn.XLOOKUP(PRODUCTOS!A227,INVENTARIO!A227:A568,INVENTARIO!D227:D568))</f>
        <v>0</v>
      </c>
      <c r="D227">
        <f>IF(PRODUCTOS!A227="","",_xlfn.XLOOKUP(PRODUCTOS!A227,INVENTARIO!A227:A568,INVENTARIO!E227:E568))</f>
        <v>0</v>
      </c>
      <c r="G227" t="s">
        <v>487</v>
      </c>
    </row>
    <row r="228" spans="1:7">
      <c r="A228" t="str">
        <v>KOL-LOK-KLM-2000-1</v>
      </c>
      <c r="B228" t="str">
        <f>IF(PRODUCTOS!A228="","",_xlfn.XLOOKUP(PRODUCTOS!A228,INVENTARIO!A228:A569,INVENTARIO!C228:C569))</f>
        <v>KOLA LOKA KLM - 2000</v>
      </c>
      <c r="C228">
        <f>IF(PRODUCTOS!A228="","",_xlfn.XLOOKUP(PRODUCTOS!A228,INVENTARIO!A228:A569,INVENTARIO!D228:D569))</f>
        <v>0</v>
      </c>
      <c r="D228">
        <f>IF(PRODUCTOS!A228="","",_xlfn.XLOOKUP(PRODUCTOS!A228,INVENTARIO!A228:A569,INVENTARIO!E228:E569))</f>
        <v>0</v>
      </c>
      <c r="G228" t="s">
        <v>487</v>
      </c>
    </row>
    <row r="229" spans="1:7">
      <c r="A229" t="str">
        <v>KOL-LOK-KL2-1200-1</v>
      </c>
      <c r="B229" t="str">
        <f>IF(PRODUCTOS!A229="","",_xlfn.XLOOKUP(PRODUCTOS!A229,INVENTARIO!A229:A570,INVENTARIO!C229:C570))</f>
        <v>KOLA LOKA KL2 - 1200</v>
      </c>
      <c r="C229">
        <f>IF(PRODUCTOS!A229="","",_xlfn.XLOOKUP(PRODUCTOS!A229,INVENTARIO!A229:A570,INVENTARIO!D229:D570))</f>
        <v>0</v>
      </c>
      <c r="D229">
        <f>IF(PRODUCTOS!A229="","",_xlfn.XLOOKUP(PRODUCTOS!A229,INVENTARIO!A229:A570,INVENTARIO!E229:E570))</f>
        <v>0</v>
      </c>
      <c r="G229" t="s">
        <v>487</v>
      </c>
    </row>
    <row r="230" spans="1:7">
      <c r="A230" t="str">
        <v>LON-18OZ-AZU-1</v>
      </c>
      <c r="B230" t="str">
        <f>IF(PRODUCTOS!A230="","",_xlfn.XLOOKUP(PRODUCTOS!A230,INVENTARIO!A230:A571,INVENTARIO!C230:C571))</f>
        <v>LONA 18 OZ AZUL</v>
      </c>
      <c r="C230" t="str">
        <f>IF(PRODUCTOS!A230="","",_xlfn.XLOOKUP(PRODUCTOS!A230,INVENTARIO!A230:A571,INVENTARIO!D230:D571))</f>
        <v>1,5</v>
      </c>
      <c r="D230">
        <f>IF(PRODUCTOS!A230="","",_xlfn.XLOOKUP(PRODUCTOS!A230,INVENTARIO!A230:A571,INVENTARIO!E230:E571))</f>
        <v>50</v>
      </c>
      <c r="G230" t="s">
        <v>485</v>
      </c>
    </row>
    <row r="231" spans="1:7">
      <c r="A231" t="str">
        <v>LON-18OZ-ROJ-1</v>
      </c>
      <c r="B231" t="str">
        <f>IF(PRODUCTOS!A231="","",_xlfn.XLOOKUP(PRODUCTOS!A231,INVENTARIO!A231:A572,INVENTARIO!C231:C572))</f>
        <v>LONA 18 OZ ROJO</v>
      </c>
      <c r="C231" t="str">
        <f>IF(PRODUCTOS!A231="","",_xlfn.XLOOKUP(PRODUCTOS!A231,INVENTARIO!A231:A572,INVENTARIO!D231:D572))</f>
        <v>1,5</v>
      </c>
      <c r="D231">
        <f>IF(PRODUCTOS!A231="","",_xlfn.XLOOKUP(PRODUCTOS!A231,INVENTARIO!A231:A572,INVENTARIO!E231:E572))</f>
        <v>50</v>
      </c>
      <c r="G231" t="s">
        <v>485</v>
      </c>
    </row>
    <row r="232" spans="1:7">
      <c r="A232" t="str">
        <v>LON-18OZ-NEG-1</v>
      </c>
      <c r="B232" t="str">
        <f>IF(PRODUCTOS!A232="","",_xlfn.XLOOKUP(PRODUCTOS!A232,INVENTARIO!A232:A573,INVENTARIO!C232:C573))</f>
        <v>LONA 18 OZ NEGRO</v>
      </c>
      <c r="C232" t="str">
        <f>IF(PRODUCTOS!A232="","",_xlfn.XLOOKUP(PRODUCTOS!A232,INVENTARIO!A232:A573,INVENTARIO!D232:D573))</f>
        <v>1,5</v>
      </c>
      <c r="D232">
        <f>IF(PRODUCTOS!A232="","",_xlfn.XLOOKUP(PRODUCTOS!A232,INVENTARIO!A232:A573,INVENTARIO!E232:E573))</f>
        <v>50</v>
      </c>
      <c r="G232" t="s">
        <v>485</v>
      </c>
    </row>
    <row r="233" spans="1:7">
      <c r="A233" t="str">
        <v>EST-NEG-CAL40-1</v>
      </c>
      <c r="B233" t="str">
        <f>IF(PRODUCTOS!A233="","",_xlfn.XLOOKUP(PRODUCTOS!A233,INVENTARIO!A233:A574,INVENTARIO!C233:C574))</f>
        <v>ESTIRENO NEGRO CAL. 40</v>
      </c>
      <c r="C233">
        <f>IF(PRODUCTOS!A233="","",_xlfn.XLOOKUP(PRODUCTOS!A233,INVENTARIO!A233:A574,INVENTARIO!D233:D574))</f>
        <v>1.22</v>
      </c>
      <c r="D233">
        <f>IF(PRODUCTOS!A233="","",_xlfn.XLOOKUP(PRODUCTOS!A233,INVENTARIO!A233:A574,INVENTARIO!E233:E574))</f>
        <v>2.44</v>
      </c>
      <c r="G233" t="s">
        <v>486</v>
      </c>
    </row>
    <row r="234" spans="1:7">
      <c r="A234" t="str">
        <v>PET-CAL60-1</v>
      </c>
      <c r="B234" t="str">
        <f>IF(PRODUCTOS!A234="","",_xlfn.XLOOKUP(PRODUCTOS!A234,INVENTARIO!A234:A575,INVENTARIO!C234:C575))</f>
        <v>PETG CAL. 60</v>
      </c>
      <c r="C234">
        <f>IF(PRODUCTOS!A234="","",_xlfn.XLOOKUP(PRODUCTOS!A234,INVENTARIO!A234:A575,INVENTARIO!D234:D575))</f>
        <v>1.22</v>
      </c>
      <c r="D234">
        <f>IF(PRODUCTOS!A234="","",_xlfn.XLOOKUP(PRODUCTOS!A234,INVENTARIO!A234:A575,INVENTARIO!E234:E575))</f>
        <v>2.44</v>
      </c>
      <c r="G234" t="s">
        <v>486</v>
      </c>
    </row>
    <row r="235" spans="1:7">
      <c r="A235" t="str">
        <v>PET-CAL40-1</v>
      </c>
      <c r="B235" t="str">
        <f>IF(PRODUCTOS!A235="","",_xlfn.XLOOKUP(PRODUCTOS!A235,INVENTARIO!A235:A576,INVENTARIO!C235:C576))</f>
        <v>PETG CAL. 40</v>
      </c>
      <c r="C235">
        <f>IF(PRODUCTOS!A235="","",_xlfn.XLOOKUP(PRODUCTOS!A235,INVENTARIO!A235:A576,INVENTARIO!D235:D576))</f>
        <v>1.22</v>
      </c>
      <c r="D235">
        <f>IF(PRODUCTOS!A235="","",_xlfn.XLOOKUP(PRODUCTOS!A235,INVENTARIO!A235:A576,INVENTARIO!E235:E576))</f>
        <v>2.44</v>
      </c>
      <c r="G235" t="s">
        <v>486</v>
      </c>
    </row>
    <row r="236" spans="1:7">
      <c r="A236" t="str">
        <v>PET-CAL30-1</v>
      </c>
      <c r="B236" t="str">
        <f>IF(PRODUCTOS!A236="","",_xlfn.XLOOKUP(PRODUCTOS!A236,INVENTARIO!A236:A577,INVENTARIO!C236:C577))</f>
        <v>PETG CAL. 30</v>
      </c>
      <c r="C236">
        <f>IF(PRODUCTOS!A236="","",_xlfn.XLOOKUP(PRODUCTOS!A236,INVENTARIO!A236:A577,INVENTARIO!D236:D577))</f>
        <v>1.22</v>
      </c>
      <c r="D236">
        <f>IF(PRODUCTOS!A236="","",_xlfn.XLOOKUP(PRODUCTOS!A236,INVENTARIO!A236:A577,INVENTARIO!E236:E577))</f>
        <v>2.44</v>
      </c>
      <c r="G236" t="s">
        <v>486</v>
      </c>
    </row>
    <row r="237" spans="1:7">
      <c r="A237" t="str">
        <v>PET-CAL20-1</v>
      </c>
      <c r="B237" t="str">
        <f>IF(PRODUCTOS!A237="","",_xlfn.XLOOKUP(PRODUCTOS!A237,INVENTARIO!A237:A578,INVENTARIO!C237:C578))</f>
        <v>PETG CAL. 20</v>
      </c>
      <c r="C237">
        <f>IF(PRODUCTOS!A237="","",_xlfn.XLOOKUP(PRODUCTOS!A237,INVENTARIO!A237:A578,INVENTARIO!D237:D578))</f>
        <v>1.22</v>
      </c>
      <c r="D237">
        <f>IF(PRODUCTOS!A237="","",_xlfn.XLOOKUP(PRODUCTOS!A237,INVENTARIO!A237:A578,INVENTARIO!E237:E578))</f>
        <v>2.44</v>
      </c>
      <c r="G237" t="s">
        <v>486</v>
      </c>
    </row>
    <row r="238" spans="1:7">
      <c r="A238" t="str">
        <v>ALU-CEP-PLA-CEP-1</v>
      </c>
      <c r="B238" t="str">
        <f>IF(PRODUCTOS!A238="","",_xlfn.XLOOKUP(PRODUCTOS!A238,INVENTARIO!A238:A579,INVENTARIO!C238:C579))</f>
        <v>ALUMINIO PLATA CEPILLADO</v>
      </c>
      <c r="C238" t="str">
        <f>IF(PRODUCTOS!A238="","",_xlfn.XLOOKUP(PRODUCTOS!A238,INVENTARIO!A238:A579,INVENTARIO!D238:D579))</f>
        <v>1,22</v>
      </c>
      <c r="D238" t="str">
        <f>IF(PRODUCTOS!A238="","",_xlfn.XLOOKUP(PRODUCTOS!A238,INVENTARIO!A238:A579,INVENTARIO!E238:E579))</f>
        <v>2,44</v>
      </c>
      <c r="G238" t="s">
        <v>486</v>
      </c>
    </row>
    <row r="239" spans="1:7">
      <c r="A239" t="str">
        <v>ALU-ESP-PLA-ESP-1</v>
      </c>
      <c r="B239" t="str">
        <f>IF(PRODUCTOS!A239="","",_xlfn.XLOOKUP(PRODUCTOS!A239,INVENTARIO!A239:A580,INVENTARIO!C239:C580))</f>
        <v>ALUMINIO PLATA ESPEJO</v>
      </c>
      <c r="C239" t="str">
        <f>IF(PRODUCTOS!A239="","",_xlfn.XLOOKUP(PRODUCTOS!A239,INVENTARIO!A239:A580,INVENTARIO!D239:D580))</f>
        <v>1,22</v>
      </c>
      <c r="D239" t="str">
        <f>IF(PRODUCTOS!A239="","",_xlfn.XLOOKUP(PRODUCTOS!A239,INVENTARIO!A239:A580,INVENTARIO!E239:E580))</f>
        <v>2,44</v>
      </c>
      <c r="G239" t="s">
        <v>486</v>
      </c>
    </row>
    <row r="240" spans="1:7">
      <c r="A240" t="str">
        <v>ALU-ESP-ORO-ESP-1</v>
      </c>
      <c r="B240" t="str">
        <f>IF(PRODUCTOS!A240="","",_xlfn.XLOOKUP(PRODUCTOS!A240,INVENTARIO!A240:A581,INVENTARIO!C240:C581))</f>
        <v>ALUMINIO ORO ESPEJO</v>
      </c>
      <c r="C240" t="str">
        <f>IF(PRODUCTOS!A240="","",_xlfn.XLOOKUP(PRODUCTOS!A240,INVENTARIO!A240:A581,INVENTARIO!D240:D581))</f>
        <v>1,22</v>
      </c>
      <c r="D240" t="str">
        <f>IF(PRODUCTOS!A240="","",_xlfn.XLOOKUP(PRODUCTOS!A240,INVENTARIO!A240:A581,INVENTARIO!E240:E581))</f>
        <v>2,44</v>
      </c>
      <c r="G240" t="s">
        <v>486</v>
      </c>
    </row>
    <row r="241" spans="1:7">
      <c r="A241" t="str">
        <v>ALU-CEP-ORO-CEP-1</v>
      </c>
      <c r="B241" t="str">
        <f>IF(PRODUCTOS!A241="","",_xlfn.XLOOKUP(PRODUCTOS!A241,INVENTARIO!A241:A582,INVENTARIO!C241:C582))</f>
        <v>ALUMINIO ORO CEPILLADO</v>
      </c>
      <c r="C241" t="str">
        <f>IF(PRODUCTOS!A241="","",_xlfn.XLOOKUP(PRODUCTOS!A241,INVENTARIO!A241:A582,INVENTARIO!D241:D582))</f>
        <v>1,22</v>
      </c>
      <c r="D241" t="str">
        <f>IF(PRODUCTOS!A241="","",_xlfn.XLOOKUP(PRODUCTOS!A241,INVENTARIO!A241:A582,INVENTARIO!E241:E582))</f>
        <v>2,44</v>
      </c>
      <c r="G241" t="s">
        <v>486</v>
      </c>
    </row>
    <row r="242" spans="1:7">
      <c r="A242" t="str">
        <v>ALU-NEG-MAT-1</v>
      </c>
      <c r="B242" t="str">
        <f>IF(PRODUCTOS!A242="","",_xlfn.XLOOKUP(PRODUCTOS!A242,INVENTARIO!A242:A583,INVENTARIO!C242:C583))</f>
        <v>ALUMINIO NEGRO MATE</v>
      </c>
      <c r="C242" t="str">
        <f>IF(PRODUCTOS!A242="","",_xlfn.XLOOKUP(PRODUCTOS!A242,INVENTARIO!A242:A583,INVENTARIO!D242:D583))</f>
        <v>1,22</v>
      </c>
      <c r="D242" t="str">
        <f>IF(PRODUCTOS!A242="","",_xlfn.XLOOKUP(PRODUCTOS!A242,INVENTARIO!A242:A583,INVENTARIO!E242:E583))</f>
        <v>2,44</v>
      </c>
      <c r="G242" t="s">
        <v>486</v>
      </c>
    </row>
    <row r="243" spans="1:7">
      <c r="A243" t="str">
        <v>TRA-PAP-1</v>
      </c>
      <c r="B243" t="str">
        <f>IF(PRODUCTOS!A243="","",_xlfn.XLOOKUP(PRODUCTOS!A243,INVENTARIO!A243:A584,INVENTARIO!C243:C584))</f>
        <v>TRANSFER DE PAPEL</v>
      </c>
      <c r="C243">
        <f>IF(PRODUCTOS!A243="","",_xlfn.XLOOKUP(PRODUCTOS!A243,INVENTARIO!A243:A584,INVENTARIO!D243:D584))</f>
        <v>0.61</v>
      </c>
      <c r="D243">
        <f>IF(PRODUCTOS!A243="","",_xlfn.XLOOKUP(PRODUCTOS!A243,INVENTARIO!A243:A584,INVENTARIO!E243:E584))</f>
        <v>91</v>
      </c>
      <c r="G243" t="s">
        <v>486</v>
      </c>
    </row>
    <row r="244" spans="1:7">
      <c r="A244" t="str">
        <v>TRA-TRA-1</v>
      </c>
      <c r="B244" t="str">
        <f>IF(PRODUCTOS!A244="","",_xlfn.XLOOKUP(PRODUCTOS!A244,INVENTARIO!A244:A585,INVENTARIO!C244:C585))</f>
        <v>TRANSFER TRANSPARENTE</v>
      </c>
      <c r="C244">
        <f>IF(PRODUCTOS!A244="","",_xlfn.XLOOKUP(PRODUCTOS!A244,INVENTARIO!A244:A585,INVENTARIO!D244:D585))</f>
        <v>0.61</v>
      </c>
      <c r="D244">
        <f>IF(PRODUCTOS!A244="","",_xlfn.XLOOKUP(PRODUCTOS!A244,INVENTARIO!A244:A585,INVENTARIO!E244:E585))</f>
        <v>91</v>
      </c>
      <c r="G244" t="s">
        <v>486</v>
      </c>
    </row>
    <row r="245" spans="1:7">
      <c r="A245" t="str">
        <v>MIC-PVC-RIG-TT-243X-1</v>
      </c>
      <c r="B245" t="str">
        <f>IF(PRODUCTOS!A245="","",_xlfn.XLOOKUP(PRODUCTOS!A245,INVENTARIO!A245:A586,INVENTARIO!C245:C586))</f>
        <v>MICA EN PVC RIGIDO TT 243X301MM.</v>
      </c>
      <c r="C245">
        <f>IF(PRODUCTOS!A245="","",_xlfn.XLOOKUP(PRODUCTOS!A245,INVENTARIO!A245:A586,INVENTARIO!D245:D586))</f>
        <v>0</v>
      </c>
      <c r="D245">
        <f>IF(PRODUCTOS!A245="","",_xlfn.XLOOKUP(PRODUCTOS!A245,INVENTARIO!A245:A586,INVENTARIO!E245:E586))</f>
        <v>0</v>
      </c>
      <c r="G245" t="s">
        <v>487</v>
      </c>
    </row>
    <row r="246" spans="1:7">
      <c r="A246" t="str">
        <v>PAT-POR-BAN-35X-1</v>
      </c>
      <c r="B246" t="str">
        <f>IF(PRODUCTOS!A246="","",_xlfn.XLOOKUP(PRODUCTOS!A246,INVENTARIO!A246:A587,INVENTARIO!C246:C587))</f>
        <v>PATILLA PORTA-BANDEROLA 35X155MM</v>
      </c>
      <c r="C246">
        <f>IF(PRODUCTOS!A246="","",_xlfn.XLOOKUP(PRODUCTOS!A246,INVENTARIO!A246:A587,INVENTARIO!D246:D587))</f>
        <v>0</v>
      </c>
      <c r="D246">
        <f>IF(PRODUCTOS!A246="","",_xlfn.XLOOKUP(PRODUCTOS!A246,INVENTARIO!A246:A587,INVENTARIO!E246:E587))</f>
        <v>0</v>
      </c>
      <c r="G246" t="s">
        <v>487</v>
      </c>
    </row>
    <row r="247" spans="1:7">
      <c r="A247" t="str">
        <v>CLI-PAT-POR-BAN-1</v>
      </c>
      <c r="B247" t="str">
        <f>IF(PRODUCTOS!A247="","",_xlfn.XLOOKUP(PRODUCTOS!A247,INVENTARIO!A247:A588,INVENTARIO!C247:C588))</f>
        <v>CLIP P/PATILLA PORTA-BANDEROLA</v>
      </c>
      <c r="C247">
        <f>IF(PRODUCTOS!A247="","",_xlfn.XLOOKUP(PRODUCTOS!A247,INVENTARIO!A247:A588,INVENTARIO!D247:D588))</f>
        <v>0</v>
      </c>
      <c r="D247">
        <f>IF(PRODUCTOS!A247="","",_xlfn.XLOOKUP(PRODUCTOS!A247,INVENTARIO!A247:A588,INVENTARIO!E247:E588))</f>
        <v>0</v>
      </c>
      <c r="G247" t="s">
        <v>487</v>
      </c>
    </row>
    <row r="248" spans="1:7">
      <c r="A248" t="str">
        <v>MAQ-CIE-BOL-MET-AZ-1</v>
      </c>
      <c r="B248" t="str">
        <f>IF(PRODUCTOS!A248="","",_xlfn.XLOOKUP(PRODUCTOS!A248,INVENTARIO!A248:A589,INVENTARIO!C248:C589))</f>
        <v>MAQUINA CIERRA-BOLSAS METALICA AZ</v>
      </c>
      <c r="C248">
        <f>IF(PRODUCTOS!A248="","",_xlfn.XLOOKUP(PRODUCTOS!A248,INVENTARIO!A248:A589,INVENTARIO!D248:D589))</f>
        <v>0</v>
      </c>
      <c r="D248">
        <f>IF(PRODUCTOS!A248="","",_xlfn.XLOOKUP(PRODUCTOS!A248,INVENTARIO!A248:A589,INVENTARIO!E248:E589))</f>
        <v>0</v>
      </c>
      <c r="G248" t="s">
        <v>487</v>
      </c>
    </row>
    <row r="249" spans="1:7">
      <c r="A249" t="str">
        <v>SOP-DEL-ANC-MET-1</v>
      </c>
      <c r="B249" t="str">
        <f>IF(PRODUCTOS!A249="","",_xlfn.XLOOKUP(PRODUCTOS!A249,INVENTARIO!A249:A590,INVENTARIO!C249:C590))</f>
        <v>SOPORTE DELIMITADOR C/ANCLAJE METALIC</v>
      </c>
      <c r="C249">
        <f>IF(PRODUCTOS!A249="","",_xlfn.XLOOKUP(PRODUCTOS!A249,INVENTARIO!A249:A590,INVENTARIO!D249:D590))</f>
        <v>0</v>
      </c>
      <c r="D249">
        <f>IF(PRODUCTOS!A249="","",_xlfn.XLOOKUP(PRODUCTOS!A249,INVENTARIO!A249:A590,INVENTARIO!E249:E590))</f>
        <v>0</v>
      </c>
      <c r="G249" t="s">
        <v>487</v>
      </c>
    </row>
    <row r="250" spans="1:7">
      <c r="A250" t="str">
        <v>POR-CAR-PCA-ADH-1</v>
      </c>
      <c r="B250" t="str">
        <f>IF(PRODUCTOS!A250="","",_xlfn.XLOOKUP(PRODUCTOS!A250,INVENTARIO!A250:A591,INVENTARIO!C250:C591))</f>
        <v>PORTA-CARTULINAS PCA ADH (1220MM-48)</v>
      </c>
      <c r="C250">
        <f>IF(PRODUCTOS!A250="","",_xlfn.XLOOKUP(PRODUCTOS!A250,INVENTARIO!A250:A591,INVENTARIO!D250:D591))</f>
        <v>0</v>
      </c>
      <c r="D250">
        <f>IF(PRODUCTOS!A250="","",_xlfn.XLOOKUP(PRODUCTOS!A250,INVENTARIO!A250:A591,INVENTARIO!E250:E591))</f>
        <v>0</v>
      </c>
      <c r="G250" t="s">
        <v>487</v>
      </c>
    </row>
    <row r="251" spans="1:7">
      <c r="A251" t="str">
        <v>SOP-MEN-SUPADH-3GR</v>
      </c>
      <c r="B251" t="str">
        <f>IF(PRODUCTOS!A251="","",_xlfn.XLOOKUP(PRODUCTOS!A251,INVENTARIO!A251:A592,INVENTARIO!C251:C592))</f>
        <v>SOPORTES MENSAJES SUPER-AGARRE ADH 3 - GRUESO</v>
      </c>
      <c r="C251">
        <f>IF(PRODUCTOS!A251="","",_xlfn.XLOOKUP(PRODUCTOS!A251,INVENTARIO!A251:A592,INVENTARIO!D251:D592))</f>
        <v>0</v>
      </c>
      <c r="D251">
        <f>IF(PRODUCTOS!A251="","",_xlfn.XLOOKUP(PRODUCTOS!A251,INVENTARIO!A251:A592,INVENTARIO!E251:E592))</f>
        <v>0</v>
      </c>
      <c r="G251" t="s">
        <v>487</v>
      </c>
    </row>
    <row r="252" spans="1:7">
      <c r="A252" t="str">
        <v>CAN-J-0060122-ADH-BLA-1</v>
      </c>
      <c r="B252" t="str">
        <f>IF(PRODUCTOS!A252="","",_xlfn.XLOOKUP(PRODUCTOS!A252,INVENTARIO!A252:A593,INVENTARIO!C252:C593))</f>
        <v>CANAL J 0.060 1220MM-48 C/ADHESIVO BLANCO</v>
      </c>
      <c r="C252">
        <f>IF(PRODUCTOS!A252="","",_xlfn.XLOOKUP(PRODUCTOS!A252,INVENTARIO!A252:A593,INVENTARIO!D252:D593))</f>
        <v>0</v>
      </c>
      <c r="D252">
        <f>IF(PRODUCTOS!A252="","",_xlfn.XLOOKUP(PRODUCTOS!A252,INVENTARIO!A252:A593,INVENTARIO!E252:E593))</f>
        <v>0</v>
      </c>
      <c r="G252" t="s">
        <v>487</v>
      </c>
    </row>
    <row r="253" spans="1:7">
      <c r="A253" t="str">
        <v>CAN-H-0060122-ADH-BLA-1</v>
      </c>
      <c r="B253" t="str">
        <f>IF(PRODUCTOS!A253="","",_xlfn.XLOOKUP(PRODUCTOS!A253,INVENTARIO!A253:A594,INVENTARIO!C253:C594))</f>
        <v>CANAL H 0.060 1220MM-48 C/ADHESIVO BLANCO</v>
      </c>
      <c r="C253">
        <f>IF(PRODUCTOS!A253="","",_xlfn.XLOOKUP(PRODUCTOS!A253,INVENTARIO!A253:A594,INVENTARIO!D253:D594))</f>
        <v>0</v>
      </c>
      <c r="D253">
        <f>IF(PRODUCTOS!A253="","",_xlfn.XLOOKUP(PRODUCTOS!A253,INVENTARIO!A253:A594,INVENTARIO!E253:E594))</f>
        <v>0</v>
      </c>
      <c r="G253" t="s">
        <v>487</v>
      </c>
    </row>
    <row r="254" spans="1:7">
      <c r="A254" t="str">
        <v>CAN-J-0060122-ADH-NEG-1</v>
      </c>
      <c r="B254" t="str">
        <f>IF(PRODUCTOS!A254="","",_xlfn.XLOOKUP(PRODUCTOS!A254,INVENTARIO!A254:A595,INVENTARIO!C254:C595))</f>
        <v>CANAL J 0.060 1220MM-48 C/ADHESIVO NEGRO</v>
      </c>
      <c r="C254">
        <f>IF(PRODUCTOS!A254="","",_xlfn.XLOOKUP(PRODUCTOS!A254,INVENTARIO!A254:A595,INVENTARIO!D254:D595))</f>
        <v>0</v>
      </c>
      <c r="D254">
        <f>IF(PRODUCTOS!A254="","",_xlfn.XLOOKUP(PRODUCTOS!A254,INVENTARIO!A254:A595,INVENTARIO!E254:E595))</f>
        <v>0</v>
      </c>
      <c r="G254" t="s">
        <v>487</v>
      </c>
    </row>
    <row r="255" spans="1:7">
      <c r="A255" t="str">
        <v>CAN-H-0060122-ADH-NEG-1</v>
      </c>
      <c r="B255" t="str">
        <f>IF(PRODUCTOS!A255="","",_xlfn.XLOOKUP(PRODUCTOS!A255,INVENTARIO!A255:A596,INVENTARIO!C255:C596))</f>
        <v>CANAL H 0.060 1220MM-48 C/ADHESIVO NEGRO</v>
      </c>
      <c r="C255">
        <f>IF(PRODUCTOS!A255="","",_xlfn.XLOOKUP(PRODUCTOS!A255,INVENTARIO!A255:A596,INVENTARIO!D255:D596))</f>
        <v>0</v>
      </c>
      <c r="D255">
        <f>IF(PRODUCTOS!A255="","",_xlfn.XLOOKUP(PRODUCTOS!A255,INVENTARIO!A255:A596,INVENTARIO!E255:E596))</f>
        <v>0</v>
      </c>
      <c r="G255" t="s">
        <v>487</v>
      </c>
    </row>
    <row r="256" spans="1:7">
      <c r="A256" t="str">
        <v>CAN-J0060122-ADH-TRA-1</v>
      </c>
      <c r="B256" t="str">
        <f>IF(PRODUCTOS!A256="","",_xlfn.XLOOKUP(PRODUCTOS!A256,INVENTARIO!A256:A597,INVENTARIO!C256:C597))</f>
        <v>CANAL J 0.060” 1220MM-48” C/ADHESIVO TRANSPARENTE</v>
      </c>
      <c r="C256">
        <f>IF(PRODUCTOS!A256="","",_xlfn.XLOOKUP(PRODUCTOS!A256,INVENTARIO!A256:A597,INVENTARIO!D256:D597))</f>
        <v>0</v>
      </c>
      <c r="D256">
        <f>IF(PRODUCTOS!A256="","",_xlfn.XLOOKUP(PRODUCTOS!A256,INVENTARIO!A256:A597,INVENTARIO!E256:E597))</f>
        <v>0</v>
      </c>
      <c r="G256" t="s">
        <v>487</v>
      </c>
    </row>
    <row r="257" spans="1:7">
      <c r="A257" t="str">
        <v>CAN-H-0060122-ADH-TRA-1</v>
      </c>
      <c r="B257" t="str">
        <f>IF(PRODUCTOS!A257="","",_xlfn.XLOOKUP(PRODUCTOS!A257,INVENTARIO!A257:A598,INVENTARIO!C257:C598))</f>
        <v>CANAL H 0.060” 1220MM-48” C/ADHESIVO TRANSPARENTE</v>
      </c>
      <c r="C257">
        <f>IF(PRODUCTOS!A257="","",_xlfn.XLOOKUP(PRODUCTOS!A257,INVENTARIO!A257:A598,INVENTARIO!D257:D598))</f>
        <v>0</v>
      </c>
      <c r="D257">
        <f>IF(PRODUCTOS!A257="","",_xlfn.XLOOKUP(PRODUCTOS!A257,INVENTARIO!A257:A598,INVENTARIO!E257:E598))</f>
        <v>0</v>
      </c>
      <c r="G257" t="s">
        <v>487</v>
      </c>
    </row>
    <row r="258" spans="1:7">
      <c r="A258" t="str">
        <v>SOP-MEN-110ADH-TT-DEL-1</v>
      </c>
      <c r="B258" t="str">
        <f>IF(PRODUCTOS!A258="","",_xlfn.XLOOKUP(PRODUCTOS!A258,INVENTARIO!A258:A599,INVENTARIO!C258:C599))</f>
        <v>SOPORTE MENSAJES 110 ADH (76MM-3) TT - DELGADO</v>
      </c>
      <c r="C258">
        <f>IF(PRODUCTOS!A258="","",_xlfn.XLOOKUP(PRODUCTOS!A258,INVENTARIO!A258:A599,INVENTARIO!D258:D599))</f>
        <v>0</v>
      </c>
      <c r="D258">
        <f>IF(PRODUCTOS!A258="","",_xlfn.XLOOKUP(PRODUCTOS!A258,INVENTARIO!A258:A599,INVENTARIO!E258:E599))</f>
        <v>0</v>
      </c>
      <c r="G258" t="s">
        <v>487</v>
      </c>
    </row>
    <row r="259" spans="1:7">
      <c r="A259" t="str">
        <v>SOP-MEN-1ACE-INO-1</v>
      </c>
      <c r="B259" t="str">
        <f>IF(PRODUCTOS!A259="","",_xlfn.XLOOKUP(PRODUCTOS!A259,INVENTARIO!A259:A600,INVENTARIO!C259:C600))</f>
        <v>SOPORTE DE MENSAJE 1 1/2" ACERO INOXIDABLE</v>
      </c>
      <c r="C259">
        <f>IF(PRODUCTOS!A259="","",_xlfn.XLOOKUP(PRODUCTOS!A259,INVENTARIO!A259:A600,INVENTARIO!D259:D600))</f>
        <v>0</v>
      </c>
      <c r="D259">
        <f>IF(PRODUCTOS!A259="","",_xlfn.XLOOKUP(PRODUCTOS!A259,INVENTARIO!A259:A600,INVENTARIO!E259:E600))</f>
        <v>0</v>
      </c>
      <c r="G259" t="s">
        <v>487</v>
      </c>
    </row>
    <row r="260" spans="1:7">
      <c r="A260" t="str">
        <v>BOL-MOR-1</v>
      </c>
      <c r="B260" t="str">
        <f>IF(PRODUCTOS!A260="","",_xlfn.XLOOKUP(PRODUCTOS!A260,INVENTARIO!A260:A601,INVENTARIO!C260:C601))</f>
        <v>BOLSA MORRALLERA</v>
      </c>
      <c r="C260">
        <f>IF(PRODUCTOS!A260="","",_xlfn.XLOOKUP(PRODUCTOS!A260,INVENTARIO!A260:A601,INVENTARIO!D260:D601))</f>
        <v>0</v>
      </c>
      <c r="D260">
        <f>IF(PRODUCTOS!A260="","",_xlfn.XLOOKUP(PRODUCTOS!A260,INVENTARIO!A260:A601,INVENTARIO!E260:E601))</f>
        <v>0</v>
      </c>
      <c r="G260" t="s">
        <v>487</v>
      </c>
    </row>
    <row r="261" spans="1:7">
      <c r="A261" t="str">
        <v>CIN-POR-1</v>
      </c>
      <c r="B261" t="str">
        <f>IF(PRODUCTOS!A261="","",_xlfn.XLOOKUP(PRODUCTOS!A261,INVENTARIO!A261:A602,INVENTARIO!C261:C602))</f>
        <v>CINTA PORTAFRECUENCIA</v>
      </c>
      <c r="C261">
        <f>IF(PRODUCTOS!A261="","",_xlfn.XLOOKUP(PRODUCTOS!A261,INVENTARIO!A261:A602,INVENTARIO!D261:D602))</f>
        <v>0</v>
      </c>
      <c r="D261">
        <f>IF(PRODUCTOS!A261="","",_xlfn.XLOOKUP(PRODUCTOS!A261,INVENTARIO!A261:A602,INVENTARIO!E261:E602))</f>
        <v>0</v>
      </c>
      <c r="G261" t="s">
        <v>487</v>
      </c>
    </row>
    <row r="262" spans="1:7">
      <c r="A262" t="str">
        <v>PVC-ROL-TRA-1</v>
      </c>
      <c r="B262" t="str">
        <f>IF(PRODUCTOS!A262="","",_xlfn.XLOOKUP(PRODUCTOS!A262,INVENTARIO!A262:A603,INVENTARIO!C262:C603))</f>
        <v>PVC EN ROLLO TRANSPARENTE</v>
      </c>
      <c r="C262">
        <f>IF(PRODUCTOS!A262="","",_xlfn.XLOOKUP(PRODUCTOS!A262,INVENTARIO!A262:A603,INVENTARIO!D262:D603))</f>
        <v>0</v>
      </c>
      <c r="D262">
        <f>IF(PRODUCTOS!A262="","",_xlfn.XLOOKUP(PRODUCTOS!A262,INVENTARIO!A262:A603,INVENTARIO!E262:E603))</f>
        <v>0</v>
      </c>
      <c r="G262" t="s">
        <v>487</v>
      </c>
    </row>
    <row r="263" spans="1:7">
      <c r="A263" t="str">
        <v>TOR-PLA-1</v>
      </c>
      <c r="B263" t="str">
        <f>IF(PRODUCTOS!A263="","",_xlfn.XLOOKUP(PRODUCTOS!A263,INVENTARIO!A263:A604,INVENTARIO!C263:C604))</f>
        <v>TORNILLO DE PLASTICO</v>
      </c>
      <c r="C263">
        <f>IF(PRODUCTOS!A263="","",_xlfn.XLOOKUP(PRODUCTOS!A263,INVENTARIO!A263:A604,INVENTARIO!D263:D604))</f>
        <v>0</v>
      </c>
      <c r="D263">
        <f>IF(PRODUCTOS!A263="","",_xlfn.XLOOKUP(PRODUCTOS!A263,INVENTARIO!A263:A604,INVENTARIO!E263:E604))</f>
        <v>0</v>
      </c>
      <c r="G263" t="s">
        <v>487</v>
      </c>
    </row>
    <row r="264" spans="1:7">
      <c r="A264" t="str">
        <v>VEN-MED-1</v>
      </c>
      <c r="B264" t="str">
        <f>IF(PRODUCTOS!A264="","",_xlfn.XLOOKUP(PRODUCTOS!A264,INVENTARIO!A264:A605,INVENTARIO!C264:C605))</f>
        <v>VENTOSA MEDIANA</v>
      </c>
      <c r="C264">
        <f>IF(PRODUCTOS!A264="","",_xlfn.XLOOKUP(PRODUCTOS!A264,INVENTARIO!A264:A605,INVENTARIO!D264:D605))</f>
        <v>0</v>
      </c>
      <c r="D264">
        <f>IF(PRODUCTOS!A264="","",_xlfn.XLOOKUP(PRODUCTOS!A264,INVENTARIO!A264:A605,INVENTARIO!E264:E605))</f>
        <v>0</v>
      </c>
      <c r="G264" t="s">
        <v>487</v>
      </c>
    </row>
    <row r="265" spans="1:7">
      <c r="A265" t="str">
        <v>CAN-50CM-DIA-1</v>
      </c>
      <c r="B265" t="str">
        <f>IF(PRODUCTOS!A265="","",_xlfn.XLOOKUP(PRODUCTOS!A265,INVENTARIO!A265:A606,INVENTARIO!C265:C606))</f>
        <v>CANASTO DE 50 CM DIAMETRO</v>
      </c>
      <c r="C265">
        <f>IF(PRODUCTOS!A265="","",_xlfn.XLOOKUP(PRODUCTOS!A265,INVENTARIO!A265:A606,INVENTARIO!D265:D606))</f>
        <v>0</v>
      </c>
      <c r="D265">
        <f>IF(PRODUCTOS!A265="","",_xlfn.XLOOKUP(PRODUCTOS!A265,INVENTARIO!A265:A606,INVENTARIO!E265:E606))</f>
        <v>0</v>
      </c>
      <c r="G265" t="s">
        <v>487</v>
      </c>
    </row>
    <row r="266" spans="1:7">
      <c r="A266" t="str">
        <v>MAL-VER-1</v>
      </c>
      <c r="B266" t="str">
        <f>IF(PRODUCTOS!A266="","",_xlfn.XLOOKUP(PRODUCTOS!A266,INVENTARIO!A266:A607,INVENTARIO!C266:C607))</f>
        <v>MALLA VERDE</v>
      </c>
      <c r="C266">
        <f>IF(PRODUCTOS!A266="","",_xlfn.XLOOKUP(PRODUCTOS!A266,INVENTARIO!A266:A607,INVENTARIO!D266:D607))</f>
        <v>0</v>
      </c>
      <c r="D266">
        <f>IF(PRODUCTOS!A266="","",_xlfn.XLOOKUP(PRODUCTOS!A266,INVENTARIO!A266:A607,INVENTARIO!E266:E607))</f>
        <v>0</v>
      </c>
      <c r="G266" t="s">
        <v>487</v>
      </c>
    </row>
    <row r="267" spans="1:7">
      <c r="A267" t="str">
        <v>ESC-PLA-1</v>
      </c>
      <c r="B267" t="str">
        <f>IF(PRODUCTOS!A267="","",_xlfn.XLOOKUP(PRODUCTOS!A267,INVENTARIO!A267:A608,INVENTARIO!C267:C608))</f>
        <v>ESCUADRA DE PLÁSTICO</v>
      </c>
      <c r="C267">
        <f>IF(PRODUCTOS!A267="","",_xlfn.XLOOKUP(PRODUCTOS!A267,INVENTARIO!A267:A608,INVENTARIO!D267:D608))</f>
        <v>0</v>
      </c>
      <c r="D267">
        <f>IF(PRODUCTOS!A267="","",_xlfn.XLOOKUP(PRODUCTOS!A267,INVENTARIO!A267:A608,INVENTARIO!E267:E608))</f>
        <v>0</v>
      </c>
      <c r="G267" t="s">
        <v>487</v>
      </c>
    </row>
    <row r="268" spans="1:7">
      <c r="A268" t="str">
        <v>ESC-PLA-SIN-SOP-1</v>
      </c>
      <c r="B268" t="str">
        <f>IF(PRODUCTOS!A268="","",_xlfn.XLOOKUP(PRODUCTOS!A268,INVENTARIO!A268:A609,INVENTARIO!C268:C609))</f>
        <v>ESCUADRA DE PLÁSTICO - SIN SOPORTE</v>
      </c>
      <c r="C268">
        <f>IF(PRODUCTOS!A268="","",_xlfn.XLOOKUP(PRODUCTOS!A268,INVENTARIO!A268:A609,INVENTARIO!D268:D609))</f>
        <v>0</v>
      </c>
      <c r="D268">
        <f>IF(PRODUCTOS!A268="","",_xlfn.XLOOKUP(PRODUCTOS!A268,INVENTARIO!A268:A609,INVENTARIO!E268:E609))</f>
        <v>0</v>
      </c>
      <c r="G268" t="s">
        <v>487</v>
      </c>
    </row>
    <row r="269" spans="1:7">
      <c r="A269" t="str">
        <v>SOP-PLA-3MM-BAS-DEL-MOV-1</v>
      </c>
      <c r="B269" t="str">
        <f>IF(PRODUCTOS!A269="","",_xlfn.XLOOKUP(PRODUCTOS!A269,INVENTARIO!A269:A610,INVENTARIO!C269:C610))</f>
        <v>SOPORTE PLASTICO 3 MM - BASE DELGADA MOVIBLE</v>
      </c>
      <c r="C269">
        <f>IF(PRODUCTOS!A269="","",_xlfn.XLOOKUP(PRODUCTOS!A269,INVENTARIO!A269:A610,INVENTARIO!D269:D610))</f>
        <v>0</v>
      </c>
      <c r="D269">
        <f>IF(PRODUCTOS!A269="","",_xlfn.XLOOKUP(PRODUCTOS!A269,INVENTARIO!A269:A610,INVENTARIO!E269:E610))</f>
        <v>0</v>
      </c>
      <c r="G269" t="s">
        <v>487</v>
      </c>
    </row>
    <row r="270" spans="1:7">
      <c r="A270" t="str">
        <v>TIR-IMP-VEN-SIL-1</v>
      </c>
      <c r="B270" t="str">
        <f>IF(PRODUCTOS!A270="","",_xlfn.XLOOKUP(PRODUCTOS!A270,INVENTARIO!A270:A611,INVENTARIO!C270:C611))</f>
        <v>TIRAS IMPULSO - VENDEDOR SILENCIOSO</v>
      </c>
      <c r="C270">
        <f>IF(PRODUCTOS!A270="","",_xlfn.XLOOKUP(PRODUCTOS!A270,INVENTARIO!A270:A611,INVENTARIO!D270:D611))</f>
        <v>0</v>
      </c>
      <c r="D270">
        <f>IF(PRODUCTOS!A270="","",_xlfn.XLOOKUP(PRODUCTOS!A270,INVENTARIO!A270:A611,INVENTARIO!E270:E611))</f>
        <v>0</v>
      </c>
      <c r="G270" t="s">
        <v>487</v>
      </c>
    </row>
    <row r="271" spans="1:7">
      <c r="A271" t="str">
        <v>LAM-PIN-1</v>
      </c>
      <c r="B271" t="str">
        <f>IF(PRODUCTOS!A271="","",_xlfn.XLOOKUP(PRODUCTOS!A271,INVENTARIO!A271:A612,INVENTARIO!C271:C612))</f>
        <v>LAMINA PINTRO</v>
      </c>
      <c r="C271">
        <f>IF(PRODUCTOS!A271="","",_xlfn.XLOOKUP(PRODUCTOS!A271,INVENTARIO!A271:A612,INVENTARIO!D271:D612))</f>
        <v>0</v>
      </c>
      <c r="D271">
        <f>IF(PRODUCTOS!A271="","",_xlfn.XLOOKUP(PRODUCTOS!A271,INVENTARIO!A271:A612,INVENTARIO!E271:E612))</f>
        <v>0</v>
      </c>
      <c r="G271" t="s">
        <v>487</v>
      </c>
    </row>
    <row r="272" spans="1:7">
      <c r="A272" t="str">
        <v>CAR-12PT-1</v>
      </c>
      <c r="B272" t="str">
        <f>IF(PRODUCTOS!A272="","",_xlfn.XLOOKUP(PRODUCTOS!A272,INVENTARIO!A272:A613,INVENTARIO!C272:C613))</f>
        <v>CARTULINA SULFATADA 12 PTS</v>
      </c>
      <c r="C272">
        <f>IF(PRODUCTOS!A272="","",_xlfn.XLOOKUP(PRODUCTOS!A272,INVENTARIO!A272:A613,INVENTARIO!D272:D613))</f>
        <v>0</v>
      </c>
      <c r="D272">
        <f>IF(PRODUCTOS!A272="","",_xlfn.XLOOKUP(PRODUCTOS!A272,INVENTARIO!A272:A613,INVENTARIO!E272:E613))</f>
        <v>0</v>
      </c>
      <c r="G272" t="s">
        <v>487</v>
      </c>
    </row>
    <row r="273" spans="1:7">
      <c r="A273" t="str">
        <v>CAR-12PT-DOB-CAR-1</v>
      </c>
      <c r="B273" t="str">
        <f>IF(PRODUCTOS!A273="","",_xlfn.XLOOKUP(PRODUCTOS!A273,INVENTARIO!A273:A614,INVENTARIO!C273:C614))</f>
        <v>CARTULINA SULFATADA 12 PTS DOBLE CARA</v>
      </c>
      <c r="C273">
        <f>IF(PRODUCTOS!A273="","",_xlfn.XLOOKUP(PRODUCTOS!A273,INVENTARIO!A273:A614,INVENTARIO!D273:D614))</f>
        <v>0</v>
      </c>
      <c r="D273">
        <f>IF(PRODUCTOS!A273="","",_xlfn.XLOOKUP(PRODUCTOS!A273,INVENTARIO!A273:A614,INVENTARIO!E273:E614))</f>
        <v>0</v>
      </c>
      <c r="G273" t="s">
        <v>487</v>
      </c>
    </row>
    <row r="274" spans="1:7">
      <c r="A274" t="str">
        <v>CAR-14PT-DOB-CAR-1</v>
      </c>
      <c r="B274" t="str">
        <f>IF(PRODUCTOS!A274="","",_xlfn.XLOOKUP(PRODUCTOS!A274,INVENTARIO!A274:A615,INVENTARIO!C274:C615))</f>
        <v>CARTULINA SULFATADA 14 PTS DOBLE CARA</v>
      </c>
      <c r="C274">
        <f>IF(PRODUCTOS!A274="","",_xlfn.XLOOKUP(PRODUCTOS!A274,INVENTARIO!A274:A615,INVENTARIO!D274:D615))</f>
        <v>0</v>
      </c>
      <c r="D274">
        <f>IF(PRODUCTOS!A274="","",_xlfn.XLOOKUP(PRODUCTOS!A274,INVENTARIO!A274:A615,INVENTARIO!E274:E615))</f>
        <v>0</v>
      </c>
      <c r="G274" t="s">
        <v>487</v>
      </c>
    </row>
    <row r="275" spans="1:7">
      <c r="A275" t="str">
        <v>CAR-14PT-1</v>
      </c>
      <c r="B275" t="str">
        <f>IF(PRODUCTOS!A275="","",_xlfn.XLOOKUP(PRODUCTOS!A275,INVENTARIO!A275:A616,INVENTARIO!C275:C616))</f>
        <v>CARTULINA SULFATADA 14 PTS</v>
      </c>
      <c r="C275">
        <f>IF(PRODUCTOS!A275="","",_xlfn.XLOOKUP(PRODUCTOS!A275,INVENTARIO!A275:A616,INVENTARIO!D275:D616))</f>
        <v>0</v>
      </c>
      <c r="D275">
        <f>IF(PRODUCTOS!A275="","",_xlfn.XLOOKUP(PRODUCTOS!A275,INVENTARIO!A275:A616,INVENTARIO!E275:E616))</f>
        <v>0</v>
      </c>
      <c r="G275" t="s">
        <v>487</v>
      </c>
    </row>
    <row r="276" spans="1:7">
      <c r="A276" t="str">
        <v>COU-BRI-130GR-1</v>
      </c>
      <c r="B276" t="str">
        <f>IF(PRODUCTOS!A276="","",_xlfn.XLOOKUP(PRODUCTOS!A276,INVENTARIO!A276:A617,INVENTARIO!C276:C617))</f>
        <v>COUCHE BRILLANTE 130 GRS</v>
      </c>
      <c r="C276">
        <f>IF(PRODUCTOS!A276="","",_xlfn.XLOOKUP(PRODUCTOS!A276,INVENTARIO!A276:A617,INVENTARIO!D276:D617))</f>
        <v>0</v>
      </c>
      <c r="D276">
        <f>IF(PRODUCTOS!A276="","",_xlfn.XLOOKUP(PRODUCTOS!A276,INVENTARIO!A276:A617,INVENTARIO!E276:E617))</f>
        <v>0</v>
      </c>
      <c r="G276" t="s">
        <v>487</v>
      </c>
    </row>
    <row r="277" spans="1:7">
      <c r="A277" t="str">
        <v>COU-BRI-150GR-1</v>
      </c>
      <c r="B277" t="str">
        <f>IF(PRODUCTOS!A277="","",_xlfn.XLOOKUP(PRODUCTOS!A277,INVENTARIO!A277:A618,INVENTARIO!C277:C618))</f>
        <v>COUCHE BRILLANTE 150 GRS</v>
      </c>
      <c r="C277">
        <f>IF(PRODUCTOS!A277="","",_xlfn.XLOOKUP(PRODUCTOS!A277,INVENTARIO!A277:A618,INVENTARIO!D277:D618))</f>
        <v>0</v>
      </c>
      <c r="D277">
        <f>IF(PRODUCTOS!A277="","",_xlfn.XLOOKUP(PRODUCTOS!A277,INVENTARIO!A277:A618,INVENTARIO!E277:E618))</f>
        <v>0</v>
      </c>
      <c r="G277" t="s">
        <v>487</v>
      </c>
    </row>
    <row r="278" spans="1:7">
      <c r="A278" t="str">
        <v>COU-BRI-200GR-1</v>
      </c>
      <c r="B278" t="str">
        <f>IF(PRODUCTOS!A278="","",_xlfn.XLOOKUP(PRODUCTOS!A278,INVENTARIO!A278:A619,INVENTARIO!C278:C619))</f>
        <v>COUCHE BRILLANTE 200 GRS</v>
      </c>
      <c r="C278">
        <f>IF(PRODUCTOS!A278="","",_xlfn.XLOOKUP(PRODUCTOS!A278,INVENTARIO!A278:A619,INVENTARIO!D278:D619))</f>
        <v>0</v>
      </c>
      <c r="D278">
        <f>IF(PRODUCTOS!A278="","",_xlfn.XLOOKUP(PRODUCTOS!A278,INVENTARIO!A278:A619,INVENTARIO!E278:E619))</f>
        <v>0</v>
      </c>
      <c r="G278" t="s">
        <v>487</v>
      </c>
    </row>
    <row r="279" spans="1:7">
      <c r="A279" t="str">
        <v>COU-BRI-250GR-1</v>
      </c>
      <c r="B279" t="str">
        <f>IF(PRODUCTOS!A279="","",_xlfn.XLOOKUP(PRODUCTOS!A279,INVENTARIO!A279:A620,INVENTARIO!C279:C620))</f>
        <v>COUCHE BRILLANTE 250 GRS</v>
      </c>
      <c r="C279">
        <f>IF(PRODUCTOS!A279="","",_xlfn.XLOOKUP(PRODUCTOS!A279,INVENTARIO!A279:A620,INVENTARIO!D279:D620))</f>
        <v>0</v>
      </c>
      <c r="D279">
        <f>IF(PRODUCTOS!A279="","",_xlfn.XLOOKUP(PRODUCTOS!A279,INVENTARIO!A279:A620,INVENTARIO!E279:E620))</f>
        <v>0</v>
      </c>
      <c r="G279" t="s">
        <v>487</v>
      </c>
    </row>
    <row r="280" spans="1:7">
      <c r="A280" t="str">
        <v>COU-BRI-300GR-1</v>
      </c>
      <c r="B280" t="str">
        <f>IF(PRODUCTOS!A280="","",_xlfn.XLOOKUP(PRODUCTOS!A280,INVENTARIO!A280:A621,INVENTARIO!C280:C621))</f>
        <v>COUCHE BRILLANTE 300 GRS</v>
      </c>
      <c r="C280">
        <f>IF(PRODUCTOS!A280="","",_xlfn.XLOOKUP(PRODUCTOS!A280,INVENTARIO!A280:A621,INVENTARIO!D280:D621))</f>
        <v>0</v>
      </c>
      <c r="D280">
        <f>IF(PRODUCTOS!A280="","",_xlfn.XLOOKUP(PRODUCTOS!A280,INVENTARIO!A280:A621,INVENTARIO!E280:E621))</f>
        <v>0</v>
      </c>
      <c r="G280" t="s">
        <v>487</v>
      </c>
    </row>
    <row r="281" spans="1:7">
      <c r="A281" t="str">
        <v>KRO-12PT-1</v>
      </c>
      <c r="B281" t="str">
        <f>IF(PRODUCTOS!A281="","",_xlfn.XLOOKUP(PRODUCTOS!A281,INVENTARIO!A281:A622,INVENTARIO!C281:C622))</f>
        <v>KROMACOTE 12 PTS</v>
      </c>
      <c r="C281">
        <f>IF(PRODUCTOS!A281="","",_xlfn.XLOOKUP(PRODUCTOS!A281,INVENTARIO!A281:A622,INVENTARIO!D281:D622))</f>
        <v>0</v>
      </c>
      <c r="D281">
        <f>IF(PRODUCTOS!A281="","",_xlfn.XLOOKUP(PRODUCTOS!A281,INVENTARIO!A281:A622,INVENTARIO!E281:E622))</f>
        <v>0</v>
      </c>
      <c r="G281" t="s">
        <v>487</v>
      </c>
    </row>
    <row r="282" spans="1:7">
      <c r="A282" t="str">
        <v>KRO-10PT-1</v>
      </c>
      <c r="B282" t="str">
        <f>IF(PRODUCTOS!A282="","",_xlfn.XLOOKUP(PRODUCTOS!A282,INVENTARIO!A282:A623,INVENTARIO!C282:C623))</f>
        <v>KROMACOTE 10 PTS</v>
      </c>
      <c r="C282">
        <f>IF(PRODUCTOS!A282="","",_xlfn.XLOOKUP(PRODUCTOS!A282,INVENTARIO!A282:A623,INVENTARIO!D282:D623))</f>
        <v>0</v>
      </c>
      <c r="D282">
        <f>IF(PRODUCTOS!A282="","",_xlfn.XLOOKUP(PRODUCTOS!A282,INVENTARIO!A282:A623,INVENTARIO!E282:E623))</f>
        <v>0</v>
      </c>
      <c r="G282" t="s">
        <v>487</v>
      </c>
    </row>
    <row r="283" spans="1:7">
      <c r="A283" t="str">
        <v>CAR-OPA-1</v>
      </c>
      <c r="B283" t="str">
        <f>IF(PRODUCTOS!A283="","",_xlfn.XLOOKUP(PRODUCTOS!A283,INVENTARIO!A283:A624,INVENTARIO!C283:C624))</f>
        <v>CARTULINA OPALINA</v>
      </c>
      <c r="C283">
        <f>IF(PRODUCTOS!A283="","",_xlfn.XLOOKUP(PRODUCTOS!A283,INVENTARIO!A283:A624,INVENTARIO!D283:D624))</f>
        <v>0</v>
      </c>
      <c r="D283">
        <f>IF(PRODUCTOS!A283="","",_xlfn.XLOOKUP(PRODUCTOS!A283,INVENTARIO!A283:A624,INVENTARIO!E283:E624))</f>
        <v>0</v>
      </c>
      <c r="G283" t="s">
        <v>487</v>
      </c>
    </row>
    <row r="284" spans="1:7">
      <c r="A284" t="str">
        <v>PAP-OPA-1</v>
      </c>
      <c r="B284" t="str">
        <f>IF(PRODUCTOS!A284="","",_xlfn.XLOOKUP(PRODUCTOS!A284,INVENTARIO!A284:A625,INVENTARIO!C284:C625))</f>
        <v>PAPEL OPALINA</v>
      </c>
      <c r="C284">
        <f>IF(PRODUCTOS!A284="","",_xlfn.XLOOKUP(PRODUCTOS!A284,INVENTARIO!A284:A625,INVENTARIO!D284:D625))</f>
        <v>0</v>
      </c>
      <c r="D284">
        <f>IF(PRODUCTOS!A284="","",_xlfn.XLOOKUP(PRODUCTOS!A284,INVENTARIO!A284:A625,INVENTARIO!E284:E625))</f>
        <v>0</v>
      </c>
      <c r="G284" t="s">
        <v>487</v>
      </c>
    </row>
    <row r="285" spans="1:7">
      <c r="A285" t="str">
        <v>COU-ADH-ALT-BRI-1</v>
      </c>
      <c r="B285" t="str">
        <f>IF(PRODUCTOS!A285="","",_xlfn.XLOOKUP(PRODUCTOS!A285,INVENTARIO!A285:A626,INVENTARIO!C285:C626))</f>
        <v>COUCHE ADHERIBLE ALTO BRILLO</v>
      </c>
      <c r="C285">
        <f>IF(PRODUCTOS!A285="","",_xlfn.XLOOKUP(PRODUCTOS!A285,INVENTARIO!A285:A626,INVENTARIO!D285:D626))</f>
        <v>0</v>
      </c>
      <c r="D285">
        <f>IF(PRODUCTOS!A285="","",_xlfn.XLOOKUP(PRODUCTOS!A285,INVENTARIO!A285:A626,INVENTARIO!E285:E626))</f>
        <v>0</v>
      </c>
      <c r="G285" t="s">
        <v>487</v>
      </c>
    </row>
    <row r="286" spans="1:7">
      <c r="A286" t="str">
        <v>COU-ADH-1</v>
      </c>
      <c r="B286" t="str">
        <f>IF(PRODUCTOS!A286="","",_xlfn.XLOOKUP(PRODUCTOS!A286,INVENTARIO!A286:A627,INVENTARIO!C286:C627))</f>
        <v>COUCHE ADHERIBLE</v>
      </c>
      <c r="C286">
        <f>IF(PRODUCTOS!A286="","",_xlfn.XLOOKUP(PRODUCTOS!A286,INVENTARIO!A286:A627,INVENTARIO!D286:D627))</f>
        <v>0</v>
      </c>
      <c r="D286">
        <f>IF(PRODUCTOS!A286="","",_xlfn.XLOOKUP(PRODUCTOS!A286,INVENTARIO!A286:A627,INVENTARIO!E286:E627))</f>
        <v>0</v>
      </c>
      <c r="G286" t="s">
        <v>487</v>
      </c>
    </row>
    <row r="287" spans="1:7">
      <c r="A287" t="str">
        <v>COU-ADH-DOB-CAR-1</v>
      </c>
      <c r="B287" t="str">
        <f>IF(PRODUCTOS!A287="","",_xlfn.XLOOKUP(PRODUCTOS!A287,INVENTARIO!A287:A628,INVENTARIO!C287:C628))</f>
        <v>COUCHE ADHERIBLE DOBLE CARA</v>
      </c>
      <c r="C287">
        <f>IF(PRODUCTOS!A287="","",_xlfn.XLOOKUP(PRODUCTOS!A287,INVENTARIO!A287:A628,INVENTARIO!D287:D628))</f>
        <v>0</v>
      </c>
      <c r="D287">
        <f>IF(PRODUCTOS!A287="","",_xlfn.XLOOKUP(PRODUCTOS!A287,INVENTARIO!A287:A628,INVENTARIO!E287:E628))</f>
        <v>0</v>
      </c>
      <c r="G287" t="s">
        <v>487</v>
      </c>
    </row>
    <row r="288" spans="1:7">
      <c r="A288" t="str">
        <v>COU-ADH-MAT-1</v>
      </c>
      <c r="B288" t="str">
        <f>IF(PRODUCTOS!A288="","",_xlfn.XLOOKUP(PRODUCTOS!A288,INVENTARIO!A288:A629,INVENTARIO!C288:C629))</f>
        <v>COUCHE ADHERIBLE MATE</v>
      </c>
      <c r="C288">
        <f>IF(PRODUCTOS!A288="","",_xlfn.XLOOKUP(PRODUCTOS!A288,INVENTARIO!A288:A629,INVENTARIO!D288:D629))</f>
        <v>0</v>
      </c>
      <c r="D288">
        <f>IF(PRODUCTOS!A288="","",_xlfn.XLOOKUP(PRODUCTOS!A288,INVENTARIO!A288:A629,INVENTARIO!E288:E629))</f>
        <v>0</v>
      </c>
      <c r="G288" t="s">
        <v>487</v>
      </c>
    </row>
    <row r="289" spans="1:7">
      <c r="A289" t="str">
        <v>ADH-IVO-1</v>
      </c>
      <c r="B289" t="str">
        <f>IF(PRODUCTOS!A289="","",_xlfn.XLOOKUP(PRODUCTOS!A289,INVENTARIO!A289:A630,INVENTARIO!C289:C630))</f>
        <v>ADHERIBLE "VERJURADO"  IVORY</v>
      </c>
      <c r="C289">
        <f>IF(PRODUCTOS!A289="","",_xlfn.XLOOKUP(PRODUCTOS!A289,INVENTARIO!A289:A630,INVENTARIO!D289:D630))</f>
        <v>0</v>
      </c>
      <c r="D289">
        <f>IF(PRODUCTOS!A289="","",_xlfn.XLOOKUP(PRODUCTOS!A289,INVENTARIO!A289:A630,INVENTARIO!E289:E630))</f>
        <v>0</v>
      </c>
      <c r="G289" t="s">
        <v>487</v>
      </c>
    </row>
    <row r="290" spans="1:7">
      <c r="A290" t="str">
        <v>STA-MAR-1</v>
      </c>
      <c r="B290" t="str">
        <f>IF(PRODUCTOS!A290="","",_xlfn.XLOOKUP(PRODUCTOS!A290,INVENTARIO!A290:A631,INVENTARIO!C290:C631))</f>
        <v>STARDREAM MARFIL</v>
      </c>
      <c r="C290">
        <f>IF(PRODUCTOS!A290="","",_xlfn.XLOOKUP(PRODUCTOS!A290,INVENTARIO!A290:A631,INVENTARIO!D290:D631))</f>
        <v>0</v>
      </c>
      <c r="D290">
        <f>IF(PRODUCTOS!A290="","",_xlfn.XLOOKUP(PRODUCTOS!A290,INVENTARIO!A290:A631,INVENTARIO!E290:E631))</f>
        <v>0</v>
      </c>
      <c r="G290" t="s">
        <v>487</v>
      </c>
    </row>
    <row r="291" spans="1:7">
      <c r="A291" t="str">
        <v>STA-BLA-1</v>
      </c>
      <c r="B291" t="str">
        <f>IF(PRODUCTOS!A291="","",_xlfn.XLOOKUP(PRODUCTOS!A291,INVENTARIO!A291:A632,INVENTARIO!C291:C632))</f>
        <v>STARDREAM BLANCO</v>
      </c>
      <c r="C291">
        <f>IF(PRODUCTOS!A291="","",_xlfn.XLOOKUP(PRODUCTOS!A291,INVENTARIO!A291:A632,INVENTARIO!D291:D632))</f>
        <v>0</v>
      </c>
      <c r="D291">
        <f>IF(PRODUCTOS!A291="","",_xlfn.XLOOKUP(PRODUCTOS!A291,INVENTARIO!A291:A632,INVENTARIO!E291:E632))</f>
        <v>0</v>
      </c>
      <c r="G291" t="s">
        <v>487</v>
      </c>
    </row>
    <row r="292" spans="1:7">
      <c r="A292" t="str">
        <v>STA-CEP-PLA-CEP-1</v>
      </c>
      <c r="B292" t="str">
        <f>IF(PRODUCTOS!A292="","",_xlfn.XLOOKUP(PRODUCTOS!A292,INVENTARIO!A292:A633,INVENTARIO!C292:C633))</f>
        <v>STARDREAM PLATA CEPILLADO</v>
      </c>
      <c r="C292">
        <f>IF(PRODUCTOS!A292="","",_xlfn.XLOOKUP(PRODUCTOS!A292,INVENTARIO!A292:A633,INVENTARIO!D292:D633))</f>
        <v>0</v>
      </c>
      <c r="D292">
        <f>IF(PRODUCTOS!A292="","",_xlfn.XLOOKUP(PRODUCTOS!A292,INVENTARIO!A292:A633,INVENTARIO!E292:E633))</f>
        <v>0</v>
      </c>
      <c r="G292" t="s">
        <v>487</v>
      </c>
    </row>
    <row r="293" spans="1:7">
      <c r="A293" t="str">
        <v>STA-PLA-1</v>
      </c>
      <c r="B293" t="str">
        <f>IF(PRODUCTOS!A293="","",_xlfn.XLOOKUP(PRODUCTOS!A293,INVENTARIO!A293:A634,INVENTARIO!C293:C634))</f>
        <v>STARDREAM PLATA</v>
      </c>
      <c r="C293">
        <f>IF(PRODUCTOS!A293="","",_xlfn.XLOOKUP(PRODUCTOS!A293,INVENTARIO!A293:A634,INVENTARIO!D293:D634))</f>
        <v>0</v>
      </c>
      <c r="D293">
        <f>IF(PRODUCTOS!A293="","",_xlfn.XLOOKUP(PRODUCTOS!A293,INVENTARIO!A293:A634,INVENTARIO!E293:E634))</f>
        <v>0</v>
      </c>
      <c r="G293" t="s">
        <v>487</v>
      </c>
    </row>
    <row r="294" spans="1:7">
      <c r="A294" t="str">
        <v>STA-NEG-1</v>
      </c>
      <c r="B294" t="str">
        <f>IF(PRODUCTOS!A294="","",_xlfn.XLOOKUP(PRODUCTOS!A294,INVENTARIO!A294:A635,INVENTARIO!C294:C635))</f>
        <v>STARDREAM NEGRO</v>
      </c>
      <c r="C294">
        <f>IF(PRODUCTOS!A294="","",_xlfn.XLOOKUP(PRODUCTOS!A294,INVENTARIO!A294:A635,INVENTARIO!D294:D635))</f>
        <v>0</v>
      </c>
      <c r="D294">
        <f>IF(PRODUCTOS!A294="","",_xlfn.XLOOKUP(PRODUCTOS!A294,INVENTARIO!A294:A635,INVENTARIO!E294:E635))</f>
        <v>0</v>
      </c>
      <c r="G294" t="s">
        <v>487</v>
      </c>
    </row>
    <row r="295" spans="1:7">
      <c r="A295" t="str">
        <v>STA-ROS-1</v>
      </c>
      <c r="B295" t="str">
        <f>IF(PRODUCTOS!A295="","",_xlfn.XLOOKUP(PRODUCTOS!A295,INVENTARIO!A295:A636,INVENTARIO!C295:C636))</f>
        <v>STARDREAM ROSA</v>
      </c>
      <c r="C295">
        <f>IF(PRODUCTOS!A295="","",_xlfn.XLOOKUP(PRODUCTOS!A295,INVENTARIO!A295:A636,INVENTARIO!D295:D636))</f>
        <v>0</v>
      </c>
      <c r="D295">
        <f>IF(PRODUCTOS!A295="","",_xlfn.XLOOKUP(PRODUCTOS!A295,INVENTARIO!A295:A636,INVENTARIO!E295:E636))</f>
        <v>0</v>
      </c>
      <c r="G295" t="s">
        <v>487</v>
      </c>
    </row>
    <row r="296" spans="1:7">
      <c r="A296" t="str">
        <v>STA-ORO-1</v>
      </c>
      <c r="B296" t="str">
        <f>IF(PRODUCTOS!A296="","",_xlfn.XLOOKUP(PRODUCTOS!A296,INVENTARIO!A296:A637,INVENTARIO!C296:C637))</f>
        <v>STARDREAM ORO</v>
      </c>
      <c r="C296">
        <f>IF(PRODUCTOS!A296="","",_xlfn.XLOOKUP(PRODUCTOS!A296,INVENTARIO!A296:A637,INVENTARIO!D296:D637))</f>
        <v>0</v>
      </c>
      <c r="D296">
        <f>IF(PRODUCTOS!A296="","",_xlfn.XLOOKUP(PRODUCTOS!A296,INVENTARIO!A296:A637,INVENTARIO!E296:E637))</f>
        <v>0</v>
      </c>
      <c r="G296" t="s">
        <v>487</v>
      </c>
    </row>
    <row r="297" spans="1:7">
      <c r="A297" t="str">
        <v>TEX-COR</v>
      </c>
      <c r="B297" t="str">
        <f>IF(PRODUCTOS!A297="","",_xlfn.XLOOKUP(PRODUCTOS!A297,INVENTARIO!A297:A638,INVENTARIO!C297:C638))</f>
        <v>TEXTURIZADO CORAZONES</v>
      </c>
      <c r="C297">
        <f>IF(PRODUCTOS!A297="","",_xlfn.XLOOKUP(PRODUCTOS!A297,INVENTARIO!A297:A638,INVENTARIO!D297:D638))</f>
        <v>0</v>
      </c>
      <c r="D297">
        <f>IF(PRODUCTOS!A297="","",_xlfn.XLOOKUP(PRODUCTOS!A297,INVENTARIO!A297:A638,INVENTARIO!E297:E638))</f>
        <v>0</v>
      </c>
      <c r="G297" t="s">
        <v>487</v>
      </c>
    </row>
    <row r="298" spans="1:7">
      <c r="A298" t="str">
        <v>CAR-LIN-AMA-1</v>
      </c>
      <c r="B298" t="str">
        <f>IF(PRODUCTOS!A298="","",_xlfn.XLOOKUP(PRODUCTOS!A298,INVENTARIO!A298:A639,INVENTARIO!C298:C639))</f>
        <v>CARTULINA LINO AMARILLO</v>
      </c>
      <c r="C298">
        <f>IF(PRODUCTOS!A298="","",_xlfn.XLOOKUP(PRODUCTOS!A298,INVENTARIO!A298:A639,INVENTARIO!D298:D639))</f>
        <v>0</v>
      </c>
      <c r="D298">
        <f>IF(PRODUCTOS!A298="","",_xlfn.XLOOKUP(PRODUCTOS!A298,INVENTARIO!A298:A639,INVENTARIO!E298:E639))</f>
        <v>0</v>
      </c>
      <c r="G298" t="s">
        <v>487</v>
      </c>
    </row>
    <row r="299" spans="1:7">
      <c r="A299" t="str">
        <v>CAR-LIN-MAR-1</v>
      </c>
      <c r="B299" t="str">
        <f>IF(PRODUCTOS!A299="","",_xlfn.XLOOKUP(PRODUCTOS!A299,INVENTARIO!A299:A640,INVENTARIO!C299:C640))</f>
        <v>CARTULINA LINO MARFIL</v>
      </c>
      <c r="C299">
        <f>IF(PRODUCTOS!A299="","",_xlfn.XLOOKUP(PRODUCTOS!A299,INVENTARIO!A299:A640,INVENTARIO!D299:D640))</f>
        <v>0</v>
      </c>
      <c r="D299">
        <f>IF(PRODUCTOS!A299="","",_xlfn.XLOOKUP(PRODUCTOS!A299,INVENTARIO!A299:A640,INVENTARIO!E299:E640))</f>
        <v>0</v>
      </c>
      <c r="G299" t="s">
        <v>487</v>
      </c>
    </row>
    <row r="300" spans="1:7">
      <c r="A300" t="str">
        <v>CAR-LIN-BLA-1</v>
      </c>
      <c r="B300" t="str">
        <f>IF(PRODUCTOS!A300="","",_xlfn.XLOOKUP(PRODUCTOS!A300,INVENTARIO!A300:A641,INVENTARIO!C300:C641))</f>
        <v>CARTULINA LINO BLANCO</v>
      </c>
      <c r="C300">
        <f>IF(PRODUCTOS!A300="","",_xlfn.XLOOKUP(PRODUCTOS!A300,INVENTARIO!A300:A641,INVENTARIO!D300:D641))</f>
        <v>0</v>
      </c>
      <c r="D300">
        <f>IF(PRODUCTOS!A300="","",_xlfn.XLOOKUP(PRODUCTOS!A300,INVENTARIO!A300:A641,INVENTARIO!E300:E641))</f>
        <v>0</v>
      </c>
      <c r="G300" t="s">
        <v>487</v>
      </c>
    </row>
    <row r="301" spans="1:7">
      <c r="A301" t="str">
        <v>PAP-LIN-BLA-1</v>
      </c>
      <c r="B301" t="str">
        <f>IF(PRODUCTOS!A301="","",_xlfn.XLOOKUP(PRODUCTOS!A301,INVENTARIO!A301:A642,INVENTARIO!C301:C642))</f>
        <v>PAPEL LINO BLANCO</v>
      </c>
      <c r="C301">
        <f>IF(PRODUCTOS!A301="","",_xlfn.XLOOKUP(PRODUCTOS!A301,INVENTARIO!A301:A642,INVENTARIO!D301:D642))</f>
        <v>0</v>
      </c>
      <c r="D301">
        <f>IF(PRODUCTOS!A301="","",_xlfn.XLOOKUP(PRODUCTOS!A301,INVENTARIO!A301:A642,INVENTARIO!E301:E642))</f>
        <v>0</v>
      </c>
      <c r="G301" t="s">
        <v>487</v>
      </c>
    </row>
    <row r="302" spans="1:7">
      <c r="A302" t="str">
        <v>PAP-LIN-MAR-1</v>
      </c>
      <c r="B302" t="str">
        <f>IF(PRODUCTOS!A302="","",_xlfn.XLOOKUP(PRODUCTOS!A302,INVENTARIO!A302:A643,INVENTARIO!C302:C643))</f>
        <v>PAPEL LINO MARFIL</v>
      </c>
      <c r="C302">
        <f>IF(PRODUCTOS!A302="","",_xlfn.XLOOKUP(PRODUCTOS!A302,INVENTARIO!A302:A643,INVENTARIO!D302:D643))</f>
        <v>0</v>
      </c>
      <c r="D302">
        <f>IF(PRODUCTOS!A302="","",_xlfn.XLOOKUP(PRODUCTOS!A302,INVENTARIO!A302:A643,INVENTARIO!E302:E643))</f>
        <v>0</v>
      </c>
      <c r="G302" t="s">
        <v>487</v>
      </c>
    </row>
    <row r="303" spans="1:7">
      <c r="A303" t="str">
        <v>PAP-TEX-REC-1</v>
      </c>
      <c r="B303" t="str">
        <f>IF(PRODUCTOS!A303="","",_xlfn.XLOOKUP(PRODUCTOS!A303,INVENTARIO!A303:A644,INVENTARIO!C303:C644))</f>
        <v>PAPEL TEXTURA RECICLADO</v>
      </c>
      <c r="C303">
        <f>IF(PRODUCTOS!A303="","",_xlfn.XLOOKUP(PRODUCTOS!A303,INVENTARIO!A303:A644,INVENTARIO!D303:D644))</f>
        <v>0</v>
      </c>
      <c r="D303">
        <f>IF(PRODUCTOS!A303="","",_xlfn.XLOOKUP(PRODUCTOS!A303,INVENTARIO!A303:A644,INVENTARIO!E303:E644))</f>
        <v>0</v>
      </c>
      <c r="G303" t="s">
        <v>487</v>
      </c>
    </row>
    <row r="304" spans="1:7">
      <c r="A304" t="str">
        <v>OTR-RES-GRI-1</v>
      </c>
      <c r="B304" t="str">
        <f>IF(PRODUCTOS!A304="","",_xlfn.XLOOKUP(PRODUCTOS!A304,INVENTARIO!A304:A645,INVENTARIO!C304:C645))</f>
        <v>CAPLE - RESPALDO GRIS</v>
      </c>
      <c r="C304">
        <f>IF(PRODUCTOS!A304="","",_xlfn.XLOOKUP(PRODUCTOS!A304,INVENTARIO!A304:A645,INVENTARIO!D304:D645))</f>
        <v>0</v>
      </c>
      <c r="D304">
        <f>IF(PRODUCTOS!A304="","",_xlfn.XLOOKUP(PRODUCTOS!A304,INVENTARIO!A304:A645,INVENTARIO!E304:E645))</f>
        <v>0</v>
      </c>
      <c r="G304" t="s">
        <v>487</v>
      </c>
    </row>
    <row r="305" spans="1:7">
      <c r="A305" t="str">
        <v>OTR-RES-CAF-1</v>
      </c>
      <c r="B305" t="str">
        <f>IF(PRODUCTOS!A305="","",_xlfn.XLOOKUP(PRODUCTOS!A305,INVENTARIO!A305:A646,INVENTARIO!C305:C646))</f>
        <v>CAPLE - RESPALDO CAFE</v>
      </c>
      <c r="C305">
        <f>IF(PRODUCTOS!A305="","",_xlfn.XLOOKUP(PRODUCTOS!A305,INVENTARIO!A305:A646,INVENTARIO!D305:D646))</f>
        <v>0</v>
      </c>
      <c r="D305">
        <f>IF(PRODUCTOS!A305="","",_xlfn.XLOOKUP(PRODUCTOS!A305,INVENTARIO!A305:A646,INVENTARIO!E305:E646))</f>
        <v>0</v>
      </c>
      <c r="G305" t="s">
        <v>487</v>
      </c>
    </row>
    <row r="306" spans="1:7">
      <c r="A306" t="str">
        <v>PAP-BON-1</v>
      </c>
      <c r="B306" t="str">
        <f>IF(PRODUCTOS!A306="","",_xlfn.XLOOKUP(PRODUCTOS!A306,INVENTARIO!A306:A647,INVENTARIO!C306:C647))</f>
        <v>PAPEL BOND</v>
      </c>
      <c r="C306">
        <f>IF(PRODUCTOS!A306="","",_xlfn.XLOOKUP(PRODUCTOS!A306,INVENTARIO!A306:A647,INVENTARIO!D306:D647))</f>
        <v>0</v>
      </c>
      <c r="D306">
        <f>IF(PRODUCTOS!A306="","",_xlfn.XLOOKUP(PRODUCTOS!A306,INVENTARIO!A306:A647,INVENTARIO!E306:E647))</f>
        <v>0</v>
      </c>
      <c r="G306" t="s">
        <v>487</v>
      </c>
    </row>
    <row r="307" spans="1:7">
      <c r="A307" t="str">
        <v>COU-MAT-130GR-1</v>
      </c>
      <c r="B307" t="str">
        <f>IF(PRODUCTOS!A307="","",_xlfn.XLOOKUP(PRODUCTOS!A307,INVENTARIO!A307:A648,INVENTARIO!C307:C648))</f>
        <v>COUCHE MATE 130 GRS</v>
      </c>
      <c r="C307">
        <f>IF(PRODUCTOS!A307="","",_xlfn.XLOOKUP(PRODUCTOS!A307,INVENTARIO!A307:A648,INVENTARIO!D307:D648))</f>
        <v>0</v>
      </c>
      <c r="D307">
        <f>IF(PRODUCTOS!A307="","",_xlfn.XLOOKUP(PRODUCTOS!A307,INVENTARIO!A307:A648,INVENTARIO!E307:E648))</f>
        <v>0</v>
      </c>
      <c r="G307" t="s">
        <v>487</v>
      </c>
    </row>
    <row r="308" spans="1:7">
      <c r="A308" t="str">
        <v>COU-MAT-150GR-1</v>
      </c>
      <c r="B308" t="str">
        <f>IF(PRODUCTOS!A308="","",_xlfn.XLOOKUP(PRODUCTOS!A308,INVENTARIO!A308:A649,INVENTARIO!C308:C649))</f>
        <v>COUCHE MATE 150 GRS</v>
      </c>
      <c r="C308">
        <f>IF(PRODUCTOS!A308="","",_xlfn.XLOOKUP(PRODUCTOS!A308,INVENTARIO!A308:A649,INVENTARIO!D308:D649))</f>
        <v>0</v>
      </c>
      <c r="D308">
        <f>IF(PRODUCTOS!A308="","",_xlfn.XLOOKUP(PRODUCTOS!A308,INVENTARIO!A308:A649,INVENTARIO!E308:E649))</f>
        <v>0</v>
      </c>
      <c r="G308" t="s">
        <v>487</v>
      </c>
    </row>
    <row r="309" spans="1:7">
      <c r="A309" t="str">
        <v>COU-MAT-200GR-1</v>
      </c>
      <c r="B309" t="str">
        <f>IF(PRODUCTOS!A309="","",_xlfn.XLOOKUP(PRODUCTOS!A309,INVENTARIO!A309:A650,INVENTARIO!C309:C650))</f>
        <v>COUCHE MATE 200 GRS</v>
      </c>
      <c r="C309">
        <f>IF(PRODUCTOS!A309="","",_xlfn.XLOOKUP(PRODUCTOS!A309,INVENTARIO!A309:A650,INVENTARIO!D309:D650))</f>
        <v>0</v>
      </c>
      <c r="D309">
        <f>IF(PRODUCTOS!A309="","",_xlfn.XLOOKUP(PRODUCTOS!A309,INVENTARIO!A309:A650,INVENTARIO!E309:E650))</f>
        <v>0</v>
      </c>
      <c r="G309" t="s">
        <v>487</v>
      </c>
    </row>
    <row r="310" spans="1:7">
      <c r="A310" t="str">
        <v>COU-MAT-250GR-1</v>
      </c>
      <c r="B310" t="str">
        <f>IF(PRODUCTOS!A310="","",_xlfn.XLOOKUP(PRODUCTOS!A310,INVENTARIO!A310:A651,INVENTARIO!C310:C651))</f>
        <v>COUCHE MATE 250 GRS</v>
      </c>
      <c r="C310">
        <f>IF(PRODUCTOS!A310="","",_xlfn.XLOOKUP(PRODUCTOS!A310,INVENTARIO!A310:A651,INVENTARIO!D310:D651))</f>
        <v>0</v>
      </c>
      <c r="D310">
        <f>IF(PRODUCTOS!A310="","",_xlfn.XLOOKUP(PRODUCTOS!A310,INVENTARIO!A310:A651,INVENTARIO!E310:E651))</f>
        <v>0</v>
      </c>
      <c r="G310" t="s">
        <v>487</v>
      </c>
    </row>
    <row r="311" spans="1:7">
      <c r="A311" t="str">
        <v>COU-MAT-300GR-1</v>
      </c>
      <c r="B311" t="str">
        <f>IF(PRODUCTOS!A311="","",_xlfn.XLOOKUP(PRODUCTOS!A311,INVENTARIO!A311:A652,INVENTARIO!C311:C652))</f>
        <v>COUCHE MATE 300 GRS</v>
      </c>
      <c r="C311">
        <f>IF(PRODUCTOS!A311="","",_xlfn.XLOOKUP(PRODUCTOS!A311,INVENTARIO!A311:A652,INVENTARIO!D311:D652))</f>
        <v>0</v>
      </c>
      <c r="D311">
        <f>IF(PRODUCTOS!A311="","",_xlfn.XLOOKUP(PRODUCTOS!A311,INVENTARIO!A311:A652,INVENTARIO!E311:E652))</f>
        <v>0</v>
      </c>
      <c r="G311" t="s">
        <v>487</v>
      </c>
    </row>
    <row r="312" spans="1:7">
      <c r="A312" t="str">
        <v>COU-MAT-350GR-1</v>
      </c>
      <c r="B312" t="str">
        <f>IF(PRODUCTOS!A312="","",_xlfn.XLOOKUP(PRODUCTOS!A312,INVENTARIO!A312:A653,INVENTARIO!C312:C653))</f>
        <v>COUCHE MATE 350 GRS</v>
      </c>
      <c r="C312">
        <f>IF(PRODUCTOS!A312="","",_xlfn.XLOOKUP(PRODUCTOS!A312,INVENTARIO!A312:A653,INVENTARIO!D312:D653))</f>
        <v>0</v>
      </c>
      <c r="D312">
        <f>IF(PRODUCTOS!A312="","",_xlfn.XLOOKUP(PRODUCTOS!A312,INVENTARIO!A312:A653,INVENTARIO!E312:E653))</f>
        <v>0</v>
      </c>
      <c r="G312" t="s">
        <v>487</v>
      </c>
    </row>
    <row r="313" spans="1:7">
      <c r="A313" t="str">
        <v>RIV-MAR-1</v>
      </c>
      <c r="B313" t="str">
        <f>IF(PRODUCTOS!A313="","",_xlfn.XLOOKUP(PRODUCTOS!A313,INVENTARIO!A313:A654,INVENTARIO!C313:C654))</f>
        <v>RIVES MARFIL</v>
      </c>
      <c r="C313">
        <f>IF(PRODUCTOS!A313="","",_xlfn.XLOOKUP(PRODUCTOS!A313,INVENTARIO!A313:A654,INVENTARIO!D313:D654))</f>
        <v>0</v>
      </c>
      <c r="D313">
        <f>IF(PRODUCTOS!A313="","",_xlfn.XLOOKUP(PRODUCTOS!A313,INVENTARIO!A313:A654,INVENTARIO!E313:E654))</f>
        <v>0</v>
      </c>
      <c r="G313" t="s">
        <v>487</v>
      </c>
    </row>
    <row r="314" spans="1:7">
      <c r="A314" t="str">
        <v>ENV-DES-1</v>
      </c>
      <c r="B314" t="str">
        <f>IF(PRODUCTOS!A314="","",_xlfn.XLOOKUP(PRODUCTOS!A314,INVENTARIO!A314:A655,INVENTARIO!C314:C655))</f>
        <v>ENVIRO DESIERTO</v>
      </c>
      <c r="C314">
        <f>IF(PRODUCTOS!A314="","",_xlfn.XLOOKUP(PRODUCTOS!A314,INVENTARIO!A314:A655,INVENTARIO!D314:D655))</f>
        <v>0</v>
      </c>
      <c r="D314">
        <f>IF(PRODUCTOS!A314="","",_xlfn.XLOOKUP(PRODUCTOS!A314,INVENTARIO!A314:A655,INVENTARIO!E314:E655))</f>
        <v>0</v>
      </c>
      <c r="G314" t="s">
        <v>487</v>
      </c>
    </row>
    <row r="315" spans="1:7">
      <c r="A315" t="str">
        <v>PAP-SUN-BLA-1</v>
      </c>
      <c r="B315" t="str">
        <f>IF(PRODUCTOS!A315="","",_xlfn.XLOOKUP(PRODUCTOS!A315,INVENTARIO!A315:A656,INVENTARIO!C315:C656))</f>
        <v>PAPEL SUNDANCE BLANCO</v>
      </c>
      <c r="C315">
        <f>IF(PRODUCTOS!A315="","",_xlfn.XLOOKUP(PRODUCTOS!A315,INVENTARIO!A315:A656,INVENTARIO!D315:D656))</f>
        <v>0</v>
      </c>
      <c r="D315">
        <f>IF(PRODUCTOS!A315="","",_xlfn.XLOOKUP(PRODUCTOS!A315,INVENTARIO!A315:A656,INVENTARIO!E315:E656))</f>
        <v>0</v>
      </c>
      <c r="G315" t="s">
        <v>487</v>
      </c>
    </row>
    <row r="316" spans="1:7">
      <c r="A316" t="str">
        <v>CAR-SUN-BLA-1</v>
      </c>
      <c r="B316" t="str">
        <f>IF(PRODUCTOS!A316="","",_xlfn.XLOOKUP(PRODUCTOS!A316,INVENTARIO!A316:A657,INVENTARIO!C316:C657))</f>
        <v>CARTULINA SUNDANCE BLANCO</v>
      </c>
      <c r="C316">
        <f>IF(PRODUCTOS!A316="","",_xlfn.XLOOKUP(PRODUCTOS!A316,INVENTARIO!A316:A657,INVENTARIO!D316:D657))</f>
        <v>0</v>
      </c>
      <c r="D316">
        <f>IF(PRODUCTOS!A316="","",_xlfn.XLOOKUP(PRODUCTOS!A316,INVENTARIO!A316:A657,INVENTARIO!E316:E657))</f>
        <v>0</v>
      </c>
      <c r="G316" t="s">
        <v>487</v>
      </c>
    </row>
    <row r="317" spans="1:7">
      <c r="A317" t="str">
        <v>CAR-BRI-1</v>
      </c>
      <c r="B317" t="str">
        <f>IF(PRODUCTOS!A317="","",_xlfn.XLOOKUP(PRODUCTOS!A317,INVENTARIO!A317:A658,INVENTARIO!C317:C658))</f>
        <v>CARTULINA BRISTOL</v>
      </c>
      <c r="C317">
        <f>IF(PRODUCTOS!A317="","",_xlfn.XLOOKUP(PRODUCTOS!A317,INVENTARIO!A317:A658,INVENTARIO!D317:D658))</f>
        <v>0</v>
      </c>
      <c r="D317">
        <f>IF(PRODUCTOS!A317="","",_xlfn.XLOOKUP(PRODUCTOS!A317,INVENTARIO!A317:A658,INVENTARIO!E317:E658))</f>
        <v>0</v>
      </c>
      <c r="G317" t="s">
        <v>487</v>
      </c>
    </row>
    <row r="318" spans="1:7">
      <c r="A318" t="str">
        <v>CAR-FAB-185GR-GRI-ANT-1</v>
      </c>
      <c r="B318" t="str">
        <f>IF(PRODUCTOS!A318="","",_xlfn.XLOOKUP(PRODUCTOS!A318,INVENTARIO!A318:A659,INVENTARIO!C318:C659))</f>
        <v>CARTULINA FABRIANO 185 GRS. GRIS ANTRACITA</v>
      </c>
      <c r="C318">
        <f>IF(PRODUCTOS!A318="","",_xlfn.XLOOKUP(PRODUCTOS!A318,INVENTARIO!A318:A659,INVENTARIO!D318:D659))</f>
        <v>0</v>
      </c>
      <c r="D318">
        <f>IF(PRODUCTOS!A318="","",_xlfn.XLOOKUP(PRODUCTOS!A318,INVENTARIO!A318:A659,INVENTARIO!E318:E659))</f>
        <v>0</v>
      </c>
      <c r="G318" t="s">
        <v>487</v>
      </c>
    </row>
    <row r="319" spans="1:7">
      <c r="A319" t="str">
        <v>PAP-FAB-CLA-130GR-1</v>
      </c>
      <c r="B319" t="str">
        <f>IF(PRODUCTOS!A319="","",_xlfn.XLOOKUP(PRODUCTOS!A319,INVENTARIO!A319:A660,INVENTARIO!C319:C660))</f>
        <v>PAPEL FABRIANO CLASICO 130 GRS.</v>
      </c>
      <c r="C319">
        <f>IF(PRODUCTOS!A319="","",_xlfn.XLOOKUP(PRODUCTOS!A319,INVENTARIO!A319:A660,INVENTARIO!D319:D660))</f>
        <v>0</v>
      </c>
      <c r="D319">
        <f>IF(PRODUCTOS!A319="","",_xlfn.XLOOKUP(PRODUCTOS!A319,INVENTARIO!A319:A660,INVENTARIO!E319:E660))</f>
        <v>0</v>
      </c>
      <c r="G319" t="s">
        <v>487</v>
      </c>
    </row>
    <row r="320" spans="1:7">
      <c r="A320" t="str">
        <v>FAB-350GR-1</v>
      </c>
      <c r="B320" t="str">
        <f>IF(PRODUCTOS!A320="","",_xlfn.XLOOKUP(PRODUCTOS!A320,INVENTARIO!A320:A661,INVENTARIO!C320:C661))</f>
        <v>FABRIANO 350 GRS</v>
      </c>
      <c r="C320">
        <f>IF(PRODUCTOS!A320="","",_xlfn.XLOOKUP(PRODUCTOS!A320,INVENTARIO!A320:A661,INVENTARIO!D320:D661))</f>
        <v>0</v>
      </c>
      <c r="D320">
        <f>IF(PRODUCTOS!A320="","",_xlfn.XLOOKUP(PRODUCTOS!A320,INVENTARIO!A320:A661,INVENTARIO!E320:E661))</f>
        <v>0</v>
      </c>
      <c r="G320" t="s">
        <v>487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4"/>
  <sheetViews>
    <sheetView topLeftCell="C1" zoomScaleNormal="100" workbookViewId="0">
      <selection activeCell="B232" sqref="B232"/>
    </sheetView>
  </sheetViews>
  <sheetFormatPr baseColWidth="10" defaultRowHeight="14.4"/>
  <cols>
    <col min="1" max="1" width="32.33203125" customWidth="1"/>
    <col min="2" max="2" width="19.44140625" customWidth="1"/>
    <col min="3" max="3" width="68.88671875" customWidth="1"/>
  </cols>
  <sheetData>
    <row r="1" spans="1:11" ht="20.25" customHeight="1">
      <c r="A1" s="31" t="s">
        <v>7</v>
      </c>
      <c r="B1" s="31" t="s">
        <v>165</v>
      </c>
      <c r="C1" s="25" t="s">
        <v>6</v>
      </c>
      <c r="D1" s="27" t="s">
        <v>0</v>
      </c>
      <c r="E1" s="29"/>
      <c r="F1" s="27" t="s">
        <v>1</v>
      </c>
      <c r="G1" s="28"/>
      <c r="H1" s="29"/>
    </row>
    <row r="2" spans="1:11" ht="30.6">
      <c r="A2" s="32"/>
      <c r="B2" s="32"/>
      <c r="C2" s="30"/>
      <c r="D2" s="3" t="s">
        <v>2</v>
      </c>
      <c r="E2" s="3" t="s">
        <v>3</v>
      </c>
      <c r="F2" s="3" t="s">
        <v>8</v>
      </c>
      <c r="G2" s="4" t="s">
        <v>4</v>
      </c>
      <c r="H2" s="4" t="s">
        <v>10</v>
      </c>
      <c r="I2" s="2" t="s">
        <v>11</v>
      </c>
      <c r="J2" s="2" t="s">
        <v>12</v>
      </c>
      <c r="K2" s="2" t="s">
        <v>13</v>
      </c>
    </row>
    <row r="3" spans="1:11">
      <c r="A3" s="13" t="str">
        <f>_xlfn.TEXTJOIN("-",TRUE,Hoja2!A3:I3,1)</f>
        <v>LON-BAC-1</v>
      </c>
      <c r="B3" s="13" t="s">
        <v>286</v>
      </c>
      <c r="C3" s="7" t="s">
        <v>153</v>
      </c>
      <c r="D3" s="8" t="s">
        <v>5</v>
      </c>
      <c r="E3" s="8">
        <v>50</v>
      </c>
      <c r="F3" s="1">
        <v>2</v>
      </c>
      <c r="G3" s="1">
        <v>20</v>
      </c>
      <c r="H3" s="1"/>
      <c r="I3" s="5"/>
      <c r="J3" s="5"/>
      <c r="K3" s="5"/>
    </row>
    <row r="4" spans="1:11">
      <c r="A4" s="13" t="str">
        <f>_xlfn.TEXTJOIN("-",TRUE,Hoja2!A4:I4,2)</f>
        <v>LON-BAC-2</v>
      </c>
      <c r="B4" s="13" t="s">
        <v>287</v>
      </c>
      <c r="C4" s="7" t="s">
        <v>153</v>
      </c>
      <c r="D4" s="8" t="s">
        <v>14</v>
      </c>
      <c r="E4" s="8">
        <v>50</v>
      </c>
      <c r="F4" s="5"/>
      <c r="G4" s="5"/>
      <c r="H4" s="5"/>
      <c r="I4" s="5"/>
      <c r="J4" s="5"/>
      <c r="K4" s="5"/>
    </row>
    <row r="5" spans="1:11">
      <c r="A5" s="13" t="str">
        <f>_xlfn.TEXTJOIN("-",TRUE,Hoja2!A5:I5,3)</f>
        <v>LON-BAC-3</v>
      </c>
      <c r="B5" s="13" t="s">
        <v>287</v>
      </c>
      <c r="C5" s="7" t="s">
        <v>153</v>
      </c>
      <c r="D5" s="8" t="s">
        <v>15</v>
      </c>
      <c r="E5" s="8">
        <v>50</v>
      </c>
      <c r="F5" s="5"/>
      <c r="G5" s="5"/>
      <c r="H5" s="5"/>
      <c r="I5" s="5"/>
      <c r="J5" s="5"/>
      <c r="K5" s="5"/>
    </row>
    <row r="6" spans="1:11">
      <c r="A6" s="13" t="str">
        <f>_xlfn.TEXTJOIN("-",TRUE,Hoja2!A6:I6,1)</f>
        <v>LON-FRO-13OZ-1</v>
      </c>
      <c r="B6" s="13" t="s">
        <v>286</v>
      </c>
      <c r="C6" s="7" t="s">
        <v>436</v>
      </c>
      <c r="D6" s="8" t="s">
        <v>5</v>
      </c>
      <c r="E6" s="8">
        <v>50</v>
      </c>
      <c r="F6" s="5"/>
      <c r="G6" s="5"/>
      <c r="H6" s="5"/>
      <c r="I6" s="5"/>
      <c r="J6" s="5"/>
      <c r="K6" s="5"/>
    </row>
    <row r="7" spans="1:11">
      <c r="A7" s="13" t="str">
        <f>_xlfn.TEXTJOIN("-",TRUE,Hoja2!A7:I7,2)</f>
        <v>LON-FRO-13OZ-2</v>
      </c>
      <c r="B7" s="13" t="s">
        <v>287</v>
      </c>
      <c r="C7" s="7" t="s">
        <v>436</v>
      </c>
      <c r="D7" s="8" t="s">
        <v>16</v>
      </c>
      <c r="E7" s="8">
        <v>50</v>
      </c>
      <c r="F7" s="5"/>
      <c r="G7" s="5"/>
      <c r="H7" s="5"/>
      <c r="I7" s="5"/>
      <c r="J7" s="5"/>
      <c r="K7" s="5"/>
    </row>
    <row r="8" spans="1:11">
      <c r="A8" s="13" t="str">
        <f>_xlfn.TEXTJOIN("-",TRUE,Hoja2!A8:I8,3)</f>
        <v>LON-FRO-13OZ-3</v>
      </c>
      <c r="B8" s="13" t="s">
        <v>287</v>
      </c>
      <c r="C8" s="7" t="s">
        <v>436</v>
      </c>
      <c r="D8" s="8" t="s">
        <v>16</v>
      </c>
      <c r="E8" s="8">
        <v>100</v>
      </c>
      <c r="F8" s="5"/>
      <c r="G8" s="5"/>
      <c r="H8" s="5"/>
      <c r="I8" s="5"/>
      <c r="J8" s="5"/>
      <c r="K8" s="5"/>
    </row>
    <row r="9" spans="1:11">
      <c r="A9" s="13" t="str">
        <f>_xlfn.TEXTJOIN("-",TRUE,Hoja2!A9:I9,4)</f>
        <v>LON-FRO-13OZ-4</v>
      </c>
      <c r="B9" s="13" t="s">
        <v>287</v>
      </c>
      <c r="C9" s="7" t="s">
        <v>436</v>
      </c>
      <c r="D9" s="8" t="s">
        <v>14</v>
      </c>
      <c r="E9" s="8">
        <v>50</v>
      </c>
      <c r="F9" s="5"/>
      <c r="G9" s="5"/>
      <c r="H9" s="5"/>
      <c r="I9" s="5"/>
      <c r="J9" s="5"/>
      <c r="K9" s="5"/>
    </row>
    <row r="10" spans="1:11">
      <c r="A10" s="13" t="str">
        <f>_xlfn.TEXTJOIN("-",TRUE,Hoja2!A10:I10,5)</f>
        <v>LON-FRO-13OZ-5</v>
      </c>
      <c r="B10" s="13" t="s">
        <v>287</v>
      </c>
      <c r="C10" s="7" t="s">
        <v>436</v>
      </c>
      <c r="D10" s="8" t="s">
        <v>14</v>
      </c>
      <c r="E10" s="8">
        <v>100</v>
      </c>
      <c r="F10" s="5"/>
      <c r="G10" s="5"/>
      <c r="H10" s="5"/>
      <c r="I10" s="5"/>
      <c r="J10" s="5"/>
      <c r="K10" s="5"/>
    </row>
    <row r="11" spans="1:11">
      <c r="A11" s="13" t="str">
        <f>_xlfn.TEXTJOIN("-",TRUE,Hoja2!A11:I11,6)</f>
        <v>LON-FRO-13OZ-6</v>
      </c>
      <c r="B11" s="13" t="s">
        <v>287</v>
      </c>
      <c r="C11" s="7" t="s">
        <v>436</v>
      </c>
      <c r="D11" s="8" t="s">
        <v>15</v>
      </c>
      <c r="E11" s="8">
        <v>50</v>
      </c>
      <c r="F11" s="5"/>
      <c r="G11" s="5"/>
      <c r="H11" s="5"/>
      <c r="I11" s="5"/>
      <c r="J11" s="5"/>
      <c r="K11" s="5"/>
    </row>
    <row r="12" spans="1:11">
      <c r="A12" s="13" t="str">
        <f>_xlfn.TEXTJOIN("-",TRUE,Hoja2!A12:I12,7)</f>
        <v>LON-FRO-13OZ-7</v>
      </c>
      <c r="B12" s="13" t="s">
        <v>287</v>
      </c>
      <c r="C12" s="7" t="s">
        <v>436</v>
      </c>
      <c r="D12" s="8" t="s">
        <v>15</v>
      </c>
      <c r="E12" s="8">
        <v>100</v>
      </c>
      <c r="F12" s="5"/>
      <c r="G12" s="5"/>
      <c r="H12" s="5"/>
      <c r="I12" s="5"/>
      <c r="J12" s="5"/>
      <c r="K12" s="5"/>
    </row>
    <row r="13" spans="1:11">
      <c r="A13" s="13" t="str">
        <f>_xlfn.TEXTJOIN("-",TRUE,Hoja2!A13:I13,1)</f>
        <v>LON-ALT-RES-1</v>
      </c>
      <c r="B13" s="13" t="s">
        <v>287</v>
      </c>
      <c r="C13" s="7" t="s">
        <v>152</v>
      </c>
      <c r="D13" s="8" t="s">
        <v>14</v>
      </c>
      <c r="E13" s="8">
        <v>50</v>
      </c>
      <c r="F13" s="5"/>
      <c r="G13" s="5"/>
      <c r="H13" s="5"/>
      <c r="I13" s="5"/>
      <c r="J13" s="5"/>
      <c r="K13" s="5"/>
    </row>
    <row r="14" spans="1:11">
      <c r="A14" s="13" t="str">
        <f>_xlfn.TEXTJOIN("-",TRUE,Hoja2!A14:I14,2)</f>
        <v>LON-ALT-RES-2</v>
      </c>
      <c r="B14" s="13" t="s">
        <v>287</v>
      </c>
      <c r="C14" s="7" t="s">
        <v>152</v>
      </c>
      <c r="D14" s="8" t="s">
        <v>15</v>
      </c>
      <c r="E14" s="8">
        <v>50</v>
      </c>
      <c r="F14" s="5"/>
      <c r="G14" s="5"/>
      <c r="H14" s="5"/>
      <c r="I14" s="5"/>
      <c r="J14" s="5"/>
      <c r="K14" s="5"/>
    </row>
    <row r="15" spans="1:11">
      <c r="A15" s="13" t="str">
        <f>_xlfn.TEXTJOIN("-",TRUE,Hoja2!A15:I15,1)</f>
        <v>LON-MAT-13OZ-LAT-1</v>
      </c>
      <c r="B15" s="13" t="s">
        <v>278</v>
      </c>
      <c r="C15" s="7" t="s">
        <v>157</v>
      </c>
      <c r="D15" s="8" t="s">
        <v>18</v>
      </c>
      <c r="E15" s="8">
        <v>50</v>
      </c>
      <c r="F15" s="5"/>
      <c r="G15" s="5"/>
      <c r="H15" s="5"/>
      <c r="I15" s="5"/>
      <c r="J15" s="5"/>
      <c r="K15" s="5"/>
    </row>
    <row r="16" spans="1:11">
      <c r="A16" s="13" t="str">
        <f>_xlfn.TEXTJOIN("-",TRUE,Hoja2!A16:I16,1)</f>
        <v>LON-MAT-13OZ-1</v>
      </c>
      <c r="B16" s="13" t="s">
        <v>287</v>
      </c>
      <c r="C16" s="7" t="s">
        <v>17</v>
      </c>
      <c r="D16" s="8" t="s">
        <v>5</v>
      </c>
      <c r="E16" s="8">
        <v>50</v>
      </c>
      <c r="F16" s="5"/>
      <c r="G16" s="5"/>
      <c r="H16" s="5"/>
      <c r="I16" s="5"/>
      <c r="J16" s="5"/>
      <c r="K16" s="5"/>
    </row>
    <row r="17" spans="1:11">
      <c r="A17" s="13" t="str">
        <f>_xlfn.TEXTJOIN("-",TRUE,Hoja2!A17:I17,2)</f>
        <v>LON-MAT-13OZ-2</v>
      </c>
      <c r="B17" s="13" t="s">
        <v>287</v>
      </c>
      <c r="C17" s="7" t="s">
        <v>17</v>
      </c>
      <c r="D17" s="8" t="s">
        <v>14</v>
      </c>
      <c r="E17" s="8">
        <v>50</v>
      </c>
      <c r="F17" s="5"/>
      <c r="G17" s="5"/>
      <c r="H17" s="5"/>
      <c r="I17" s="5"/>
      <c r="J17" s="5"/>
      <c r="K17" s="5"/>
    </row>
    <row r="18" spans="1:11">
      <c r="A18" s="13" t="str">
        <f>_xlfn.TEXTJOIN("-",TRUE,Hoja2!A18:I18,3)</f>
        <v>LON-MAT-13OZ-3</v>
      </c>
      <c r="B18" s="13" t="s">
        <v>287</v>
      </c>
      <c r="C18" s="7" t="s">
        <v>17</v>
      </c>
      <c r="D18" s="8" t="s">
        <v>15</v>
      </c>
      <c r="E18" s="8">
        <v>50</v>
      </c>
      <c r="F18" s="5"/>
      <c r="G18" s="5"/>
      <c r="H18" s="5"/>
      <c r="I18" s="5"/>
      <c r="J18" s="5"/>
      <c r="K18" s="5"/>
    </row>
    <row r="19" spans="1:11">
      <c r="A19" s="13" t="str">
        <f>_xlfn.TEXTJOIN("-",TRUE,Hoja2!A19:I19,4)</f>
        <v>LON-MAT-13OZ-4</v>
      </c>
      <c r="B19" s="13" t="s">
        <v>287</v>
      </c>
      <c r="C19" s="7" t="s">
        <v>17</v>
      </c>
      <c r="D19" s="8" t="s">
        <v>15</v>
      </c>
      <c r="E19" s="8">
        <v>100</v>
      </c>
      <c r="F19" s="5"/>
      <c r="G19" s="5"/>
      <c r="H19" s="5"/>
      <c r="I19" s="5"/>
      <c r="J19" s="5"/>
      <c r="K19" s="5"/>
    </row>
    <row r="20" spans="1:11">
      <c r="A20" s="13" t="str">
        <f>_xlfn.TEXTJOIN("-",TRUE,Hoja2!A20:I20,1)</f>
        <v>LON-MAT-13OZ-NEG-RES-NEG-1</v>
      </c>
      <c r="B20" s="13" t="s">
        <v>287</v>
      </c>
      <c r="C20" s="7" t="s">
        <v>19</v>
      </c>
      <c r="D20" s="8" t="s">
        <v>14</v>
      </c>
      <c r="E20" s="8">
        <v>50</v>
      </c>
      <c r="F20" s="5"/>
      <c r="G20" s="5"/>
      <c r="H20" s="5"/>
      <c r="I20" s="5"/>
      <c r="J20" s="5"/>
      <c r="K20" s="5"/>
    </row>
    <row r="21" spans="1:11">
      <c r="A21" s="13" t="str">
        <f>_xlfn.TEXTJOIN("-",TRUE,Hoja2!A21:I21,2)</f>
        <v>LON-MAT-13OZ-NEG-RES-NEG-2</v>
      </c>
      <c r="B21" s="13" t="s">
        <v>287</v>
      </c>
      <c r="C21" s="7" t="s">
        <v>19</v>
      </c>
      <c r="D21" s="8" t="s">
        <v>14</v>
      </c>
      <c r="E21" s="8">
        <v>100</v>
      </c>
      <c r="F21" s="5"/>
      <c r="G21" s="5"/>
      <c r="H21" s="5"/>
      <c r="I21" s="5"/>
      <c r="J21" s="5"/>
      <c r="K21" s="5"/>
    </row>
    <row r="22" spans="1:11">
      <c r="A22" s="13" t="str">
        <f>_xlfn.TEXTJOIN("-",TRUE,Hoja2!A22:I22,3)</f>
        <v>LON-MAT-13OZ-NEG-RES-NEG-3</v>
      </c>
      <c r="B22" s="13" t="s">
        <v>287</v>
      </c>
      <c r="C22" s="7" t="s">
        <v>20</v>
      </c>
      <c r="D22" s="8" t="s">
        <v>15</v>
      </c>
      <c r="E22" s="8">
        <v>50</v>
      </c>
      <c r="F22" s="5"/>
      <c r="G22" s="5"/>
      <c r="H22" s="5"/>
      <c r="I22" s="5"/>
      <c r="J22" s="5"/>
      <c r="K22" s="5"/>
    </row>
    <row r="23" spans="1:11">
      <c r="A23" s="13" t="str">
        <f>_xlfn.TEXTJOIN("-",TRUE,Hoja2!A23:I23,4)</f>
        <v>LON-MAT-13OZ-NEG-RES-NEG-4</v>
      </c>
      <c r="B23" s="13" t="s">
        <v>287</v>
      </c>
      <c r="C23" s="7" t="s">
        <v>19</v>
      </c>
      <c r="D23" s="8" t="s">
        <v>15</v>
      </c>
      <c r="E23" s="8">
        <v>100</v>
      </c>
      <c r="F23" s="5"/>
      <c r="G23" s="5"/>
      <c r="H23" s="5"/>
      <c r="I23" s="5"/>
      <c r="J23" s="5"/>
      <c r="K23" s="5"/>
    </row>
    <row r="24" spans="1:11">
      <c r="A24" s="13" t="str">
        <f>_xlfn.TEXTJOIN("-",TRUE,Hoja2!A24:I24,1)</f>
        <v>LON-MES-1</v>
      </c>
      <c r="B24" s="13" t="s">
        <v>287</v>
      </c>
      <c r="C24" s="7" t="s">
        <v>21</v>
      </c>
      <c r="D24" s="9" t="s">
        <v>5</v>
      </c>
      <c r="E24" s="8">
        <v>50</v>
      </c>
      <c r="F24" s="5"/>
      <c r="G24" s="5"/>
      <c r="H24" s="5"/>
      <c r="I24" s="5"/>
      <c r="J24" s="5"/>
      <c r="K24" s="5"/>
    </row>
    <row r="25" spans="1:11">
      <c r="A25" s="13" t="str">
        <f>_xlfn.TEXTJOIN("-",TRUE,Hoja2!A25:I25,2)</f>
        <v>LON-MES-2</v>
      </c>
      <c r="B25" s="13" t="s">
        <v>287</v>
      </c>
      <c r="C25" s="7" t="s">
        <v>21</v>
      </c>
      <c r="D25" s="9">
        <v>2.5</v>
      </c>
      <c r="E25" s="8">
        <v>50</v>
      </c>
      <c r="F25" s="5"/>
      <c r="G25" s="5"/>
      <c r="H25" s="5"/>
      <c r="I25" s="5"/>
      <c r="J25" s="5"/>
      <c r="K25" s="5"/>
    </row>
    <row r="26" spans="1:11">
      <c r="A26" s="13" t="str">
        <f>_xlfn.TEXTJOIN("-",TRUE,Hoja2!A26:I26,3)</f>
        <v>LON-MES-3</v>
      </c>
      <c r="B26" s="13" t="s">
        <v>287</v>
      </c>
      <c r="C26" s="7" t="s">
        <v>21</v>
      </c>
      <c r="D26" s="9" t="s">
        <v>14</v>
      </c>
      <c r="E26" s="8">
        <v>100</v>
      </c>
      <c r="F26" s="5"/>
      <c r="G26" s="5"/>
      <c r="H26" s="5"/>
      <c r="I26" s="5"/>
      <c r="J26" s="5"/>
      <c r="K26" s="5"/>
    </row>
    <row r="27" spans="1:11">
      <c r="A27" s="13" t="str">
        <f>_xlfn.TEXTJOIN("-",TRUE,Hoja2!A27:I27,4)</f>
        <v>LON-MES-4</v>
      </c>
      <c r="B27" s="13" t="s">
        <v>287</v>
      </c>
      <c r="C27" s="7" t="s">
        <v>21</v>
      </c>
      <c r="D27" s="9" t="s">
        <v>15</v>
      </c>
      <c r="E27" s="8">
        <v>50</v>
      </c>
      <c r="F27" s="5"/>
      <c r="G27" s="5"/>
      <c r="H27" s="5"/>
      <c r="I27" s="5"/>
      <c r="J27" s="5"/>
      <c r="K27" s="5"/>
    </row>
    <row r="28" spans="1:11">
      <c r="A28" s="13" t="str">
        <f>_xlfn.TEXTJOIN("-",TRUE,Hoja2!A28:I28,5)</f>
        <v>LON-MES-5</v>
      </c>
      <c r="B28" s="13" t="s">
        <v>287</v>
      </c>
      <c r="C28" s="7" t="s">
        <v>21</v>
      </c>
      <c r="D28" s="8" t="s">
        <v>15</v>
      </c>
      <c r="E28" s="8">
        <v>100</v>
      </c>
      <c r="F28" s="5"/>
      <c r="G28" s="5"/>
      <c r="H28" s="5"/>
      <c r="I28" s="5"/>
      <c r="J28" s="5"/>
      <c r="K28" s="5"/>
    </row>
    <row r="29" spans="1:11">
      <c r="A29" s="13" t="str">
        <f>_xlfn.TEXTJOIN("-",TRUE,Hoja2!A29:I29,"BLU-BAC",1)</f>
        <v>PAP-BLU-BAC-1</v>
      </c>
      <c r="B29" s="13" t="s">
        <v>287</v>
      </c>
      <c r="C29" s="7" t="s">
        <v>22</v>
      </c>
      <c r="D29" s="8" t="s">
        <v>23</v>
      </c>
      <c r="E29" s="8">
        <v>50</v>
      </c>
      <c r="F29" s="5"/>
      <c r="G29" s="5"/>
      <c r="H29" s="5"/>
      <c r="I29" s="5"/>
      <c r="J29" s="5"/>
      <c r="K29" s="5"/>
    </row>
    <row r="30" spans="1:11">
      <c r="A30" s="13" t="str">
        <f>_xlfn.TEXTJOIN("-",TRUE,Hoja2!A30:I30,1)</f>
        <v>PAP-MAT-200GR-FOT-1</v>
      </c>
      <c r="B30" s="13" t="s">
        <v>278</v>
      </c>
      <c r="C30" s="7" t="s">
        <v>24</v>
      </c>
      <c r="D30" s="8" t="s">
        <v>18</v>
      </c>
      <c r="E30" s="8">
        <v>50</v>
      </c>
      <c r="F30" s="5"/>
      <c r="G30" s="5"/>
      <c r="H30" s="5"/>
      <c r="I30" s="5"/>
      <c r="J30" s="5"/>
      <c r="K30" s="5"/>
    </row>
    <row r="31" spans="1:11">
      <c r="A31" s="13" t="str">
        <f>_xlfn.TEXTJOIN("-",TRUE,Hoja2!A31:I31,1)</f>
        <v>PAP-BRI-200GR-FOT-1</v>
      </c>
      <c r="B31" s="13" t="s">
        <v>278</v>
      </c>
      <c r="C31" s="7" t="s">
        <v>25</v>
      </c>
      <c r="D31" s="8" t="s">
        <v>18</v>
      </c>
      <c r="E31" s="8">
        <v>50</v>
      </c>
      <c r="F31" s="5"/>
      <c r="G31" s="5"/>
      <c r="H31" s="5"/>
      <c r="I31" s="5"/>
      <c r="J31" s="5"/>
      <c r="K31" s="5"/>
    </row>
    <row r="32" spans="1:11">
      <c r="A32" s="13" t="str">
        <f>_xlfn.TEXTJOIN("-",TRUE,Hoja2!A32:I32,1)</f>
        <v>PAP-BAC-1</v>
      </c>
      <c r="B32" s="13" t="s">
        <v>287</v>
      </c>
      <c r="C32" s="7" t="s">
        <v>154</v>
      </c>
      <c r="D32" s="8" t="s">
        <v>18</v>
      </c>
      <c r="E32" s="8">
        <v>50</v>
      </c>
      <c r="F32" s="5"/>
      <c r="G32" s="5"/>
      <c r="H32" s="5"/>
      <c r="I32" s="5"/>
      <c r="J32" s="5"/>
      <c r="K32" s="5"/>
    </row>
    <row r="33" spans="1:11">
      <c r="A33" s="13" t="str">
        <f>_xlfn.TEXTJOIN("-",TRUE,Hoja2!A33:I33,2)</f>
        <v>PAP-BAC-2</v>
      </c>
      <c r="B33" s="13" t="s">
        <v>287</v>
      </c>
      <c r="C33" s="7" t="s">
        <v>154</v>
      </c>
      <c r="D33" s="8" t="s">
        <v>18</v>
      </c>
      <c r="E33" s="8">
        <v>30</v>
      </c>
      <c r="F33" s="5"/>
      <c r="G33" s="5"/>
      <c r="H33" s="5"/>
      <c r="I33" s="5"/>
      <c r="J33" s="5"/>
      <c r="K33" s="5"/>
    </row>
    <row r="34" spans="1:11">
      <c r="A34" s="13" t="str">
        <f>_xlfn.TEXTJOIN("-",TRUE,Hoja2!A34:I34,1)</f>
        <v>PAP-BAC-1</v>
      </c>
      <c r="B34" s="13" t="s">
        <v>273</v>
      </c>
      <c r="C34" s="7" t="s">
        <v>154</v>
      </c>
      <c r="D34" s="8" t="s">
        <v>18</v>
      </c>
      <c r="E34" s="8">
        <v>50</v>
      </c>
      <c r="F34" s="5"/>
      <c r="G34" s="5"/>
      <c r="H34" s="5"/>
      <c r="I34" s="5"/>
      <c r="J34" s="5"/>
      <c r="K34" s="5"/>
    </row>
    <row r="35" spans="1:11">
      <c r="A35" s="13" t="str">
        <f>_xlfn.TEXTJOIN("-",TRUE,Hoja2!A35:I35,"SOL-KRO",1)</f>
        <v>PAP-SOL-KRO-1</v>
      </c>
      <c r="B35" s="13" t="s">
        <v>278</v>
      </c>
      <c r="C35" s="7" t="s">
        <v>26</v>
      </c>
      <c r="D35" s="8" t="s">
        <v>18</v>
      </c>
      <c r="E35" s="8">
        <v>50</v>
      </c>
      <c r="F35" s="5"/>
      <c r="G35" s="5"/>
      <c r="H35" s="5"/>
      <c r="I35" s="5"/>
      <c r="J35" s="5"/>
      <c r="K35" s="5"/>
    </row>
    <row r="36" spans="1:11">
      <c r="A36" s="13" t="str">
        <f>_xlfn.TEXTJOIN("-",TRUE,Hoja2!A36:I36,1)</f>
        <v>PAP-CIT-1</v>
      </c>
      <c r="B36" s="13" t="s">
        <v>287</v>
      </c>
      <c r="C36" s="7" t="s">
        <v>155</v>
      </c>
      <c r="D36" s="8" t="s">
        <v>5</v>
      </c>
      <c r="E36" s="8">
        <v>50</v>
      </c>
      <c r="F36" s="5"/>
      <c r="G36" s="5"/>
      <c r="H36" s="5"/>
      <c r="I36" s="5"/>
      <c r="J36" s="5"/>
      <c r="K36" s="5"/>
    </row>
    <row r="37" spans="1:11">
      <c r="A37" s="13" t="str">
        <f>_xlfn.TEXTJOIN("-",TRUE,Hoja2!A37:I37,2)</f>
        <v>PAP-CIT-2</v>
      </c>
      <c r="B37" s="13" t="s">
        <v>287</v>
      </c>
      <c r="C37" s="7" t="s">
        <v>155</v>
      </c>
      <c r="D37" s="8" t="s">
        <v>5</v>
      </c>
      <c r="E37" s="8">
        <v>100</v>
      </c>
      <c r="F37" s="5"/>
      <c r="G37" s="5"/>
      <c r="H37" s="5"/>
      <c r="I37" s="5"/>
      <c r="J37" s="5"/>
      <c r="K37" s="5"/>
    </row>
    <row r="38" spans="1:11">
      <c r="A38" s="13" t="str">
        <f>_xlfn.TEXTJOIN("-",TRUE,Hoja2!A38:I38,1)</f>
        <v>TEL-SIN-DEL-1</v>
      </c>
      <c r="B38" s="11" t="s">
        <v>273</v>
      </c>
      <c r="C38" s="7" t="s">
        <v>28</v>
      </c>
      <c r="D38" s="8" t="s">
        <v>18</v>
      </c>
      <c r="E38" s="8">
        <v>50</v>
      </c>
      <c r="F38" s="5"/>
      <c r="G38" s="5"/>
      <c r="H38" s="5"/>
      <c r="I38" s="5"/>
      <c r="J38" s="5"/>
      <c r="K38" s="5"/>
    </row>
    <row r="39" spans="1:11">
      <c r="A39" s="13" t="str">
        <f>_xlfn.TEXTJOIN("-",TRUE,Hoja2!A39:I39,2)</f>
        <v>TEL-SIN-DEL-2</v>
      </c>
      <c r="B39" s="11" t="s">
        <v>287</v>
      </c>
      <c r="C39" s="7" t="s">
        <v>28</v>
      </c>
      <c r="D39" s="8" t="s">
        <v>14</v>
      </c>
      <c r="E39" s="8">
        <v>50</v>
      </c>
      <c r="F39" s="5"/>
      <c r="G39" s="5"/>
      <c r="H39" s="5"/>
      <c r="I39" s="5"/>
      <c r="J39" s="5"/>
      <c r="K39" s="5"/>
    </row>
    <row r="40" spans="1:11">
      <c r="A40" s="13" t="str">
        <f>_xlfn.TEXTJOIN("-",TRUE,Hoja2!A40:I40,3)</f>
        <v>TEL-SIN-DEL-3</v>
      </c>
      <c r="B40" s="11" t="s">
        <v>287</v>
      </c>
      <c r="C40" s="7" t="s">
        <v>28</v>
      </c>
      <c r="D40" s="8" t="s">
        <v>15</v>
      </c>
      <c r="E40" s="8">
        <v>50</v>
      </c>
      <c r="F40" s="5"/>
      <c r="G40" s="5"/>
      <c r="H40" s="5"/>
      <c r="I40" s="5"/>
      <c r="J40" s="5"/>
      <c r="K40" s="5"/>
    </row>
    <row r="41" spans="1:11">
      <c r="A41" s="13" t="str">
        <f>_xlfn.TEXTJOIN("-",TRUE,Hoja2!A41:I41,"CAN",1)</f>
        <v>TEL-CAN-1</v>
      </c>
      <c r="B41" s="11" t="s">
        <v>273</v>
      </c>
      <c r="C41" s="7" t="s">
        <v>156</v>
      </c>
      <c r="D41" s="8" t="s">
        <v>18</v>
      </c>
      <c r="E41" s="8">
        <v>30</v>
      </c>
      <c r="F41" s="5"/>
      <c r="G41" s="5"/>
      <c r="H41" s="5"/>
      <c r="I41" s="5"/>
      <c r="J41" s="5"/>
      <c r="K41" s="5"/>
    </row>
    <row r="42" spans="1:11">
      <c r="A42" s="13" t="str">
        <f>_xlfn.TEXTJOIN("-",TRUE,Hoja2!A42:I42,"TAC",1)</f>
        <v>VIN-CON-TAC-1</v>
      </c>
      <c r="B42" s="11" t="s">
        <v>199</v>
      </c>
      <c r="C42" s="7" t="s">
        <v>29</v>
      </c>
      <c r="D42" s="8" t="s">
        <v>18</v>
      </c>
      <c r="E42" s="8" t="s">
        <v>30</v>
      </c>
      <c r="F42" s="5"/>
      <c r="G42" s="5"/>
      <c r="H42" s="5"/>
      <c r="I42" s="5"/>
      <c r="J42" s="5"/>
      <c r="K42" s="5"/>
    </row>
    <row r="43" spans="1:11">
      <c r="A43" s="13" t="str">
        <f>_xlfn.TEXTJOIN("-",TRUE,Hoja2!A43:I43,"TAC",2)</f>
        <v>VIN-CON-TAC-2</v>
      </c>
      <c r="B43" s="11" t="s">
        <v>199</v>
      </c>
      <c r="C43" s="7" t="s">
        <v>29</v>
      </c>
      <c r="D43" s="8" t="s">
        <v>18</v>
      </c>
      <c r="E43" s="8" t="s">
        <v>31</v>
      </c>
      <c r="F43" s="5"/>
      <c r="G43" s="5"/>
      <c r="H43" s="5"/>
      <c r="I43" s="5"/>
      <c r="J43" s="5"/>
      <c r="K43" s="5"/>
    </row>
    <row r="44" spans="1:11">
      <c r="A44" s="13" t="str">
        <f>_xlfn.TEXTJOIN("-",TRUE,Hoja2!A44:I44,40,1)</f>
        <v>VIN-CON-40-1</v>
      </c>
      <c r="B44" s="11" t="s">
        <v>199</v>
      </c>
      <c r="C44" s="7" t="s">
        <v>32</v>
      </c>
      <c r="D44" s="8" t="s">
        <v>18</v>
      </c>
      <c r="E44" s="8" t="s">
        <v>30</v>
      </c>
      <c r="F44" s="5"/>
      <c r="G44" s="5"/>
      <c r="H44" s="5"/>
      <c r="I44" s="5"/>
      <c r="J44" s="5"/>
      <c r="K44" s="5"/>
    </row>
    <row r="45" spans="1:11">
      <c r="A45" s="13" t="str">
        <f>_xlfn.TEXTJOIN("-",TRUE,Hoja2!A45:I45,40,2)</f>
        <v>VIN-CON-40-2</v>
      </c>
      <c r="B45" s="11" t="s">
        <v>199</v>
      </c>
      <c r="C45" s="7" t="s">
        <v>32</v>
      </c>
      <c r="D45" s="8" t="s">
        <v>18</v>
      </c>
      <c r="E45" s="8" t="s">
        <v>31</v>
      </c>
      <c r="F45" s="5"/>
      <c r="G45" s="5"/>
      <c r="H45" s="5"/>
      <c r="I45" s="5"/>
      <c r="J45" s="5"/>
      <c r="K45" s="5"/>
    </row>
    <row r="46" spans="1:11">
      <c r="A46" s="13" t="str">
        <f>_xlfn.TEXTJOIN("-",TRUE,Hoja2!A46:I46,1)</f>
        <v>VIN-EST-BLA-LAT-1</v>
      </c>
      <c r="B46" s="11" t="s">
        <v>287</v>
      </c>
      <c r="C46" s="7" t="s">
        <v>33</v>
      </c>
      <c r="D46" s="8" t="s">
        <v>27</v>
      </c>
      <c r="E46" s="8">
        <v>50</v>
      </c>
      <c r="F46" s="5"/>
      <c r="G46" s="5"/>
      <c r="H46" s="5"/>
      <c r="I46" s="5"/>
      <c r="J46" s="5"/>
      <c r="K46" s="5"/>
    </row>
    <row r="47" spans="1:11">
      <c r="A47" s="13" t="str">
        <f>_xlfn.TEXTJOIN("-",TRUE,Hoja2!A47:I47,2)</f>
        <v>VIN-EST-BLA-LAT-2</v>
      </c>
      <c r="B47" s="11" t="s">
        <v>287</v>
      </c>
      <c r="C47" s="7" t="s">
        <v>33</v>
      </c>
      <c r="D47" s="8" t="s">
        <v>18</v>
      </c>
      <c r="E47" s="8">
        <v>50</v>
      </c>
      <c r="F47" s="5"/>
      <c r="G47" s="5"/>
      <c r="H47" s="5"/>
      <c r="I47" s="5"/>
      <c r="J47" s="5"/>
      <c r="K47" s="5"/>
    </row>
    <row r="48" spans="1:11">
      <c r="A48" s="13" t="str">
        <f>_xlfn.TEXTJOIN("-",TRUE,Hoja2!A48:I48,1)</f>
        <v>VIN-EST-BLA-1</v>
      </c>
      <c r="B48" s="11" t="s">
        <v>287</v>
      </c>
      <c r="C48" s="7" t="s">
        <v>34</v>
      </c>
      <c r="D48" s="8" t="s">
        <v>35</v>
      </c>
      <c r="E48" s="8">
        <v>50</v>
      </c>
      <c r="F48" s="5"/>
      <c r="G48" s="5"/>
      <c r="H48" s="5"/>
      <c r="I48" s="5"/>
      <c r="J48" s="5"/>
      <c r="K48" s="5"/>
    </row>
    <row r="49" spans="1:11">
      <c r="A49" s="13" t="str">
        <f>_xlfn.TEXTJOIN("-",TRUE,Hoja2!A49:I49,2)</f>
        <v>VIN-EST-BLA-2</v>
      </c>
      <c r="B49" s="11" t="s">
        <v>287</v>
      </c>
      <c r="C49" s="7" t="s">
        <v>34</v>
      </c>
      <c r="D49" s="8" t="s">
        <v>18</v>
      </c>
      <c r="E49" s="8">
        <v>50</v>
      </c>
      <c r="F49" s="5"/>
      <c r="G49" s="5"/>
      <c r="H49" s="5"/>
      <c r="I49" s="5"/>
      <c r="J49" s="5"/>
      <c r="K49" s="5"/>
    </row>
    <row r="50" spans="1:11">
      <c r="A50" s="13" t="str">
        <f>_xlfn.TEXTJOIN("-",TRUE,Hoja2!A50:I50,3)</f>
        <v>VIN-EST-BLA-3</v>
      </c>
      <c r="B50" s="11" t="s">
        <v>287</v>
      </c>
      <c r="C50" s="7" t="s">
        <v>34</v>
      </c>
      <c r="D50" s="8" t="s">
        <v>27</v>
      </c>
      <c r="E50" s="8" t="s">
        <v>36</v>
      </c>
      <c r="F50" s="5"/>
      <c r="G50" s="5"/>
      <c r="H50" s="5"/>
      <c r="I50" s="5"/>
      <c r="J50" s="5"/>
      <c r="K50" s="5"/>
    </row>
    <row r="51" spans="1:11">
      <c r="A51" s="13" t="str">
        <f>_xlfn.TEXTJOIN("-",TRUE,Hoja2!A51:I51,1)</f>
        <v>VIN-EST-TRA-1</v>
      </c>
      <c r="B51" s="11" t="s">
        <v>287</v>
      </c>
      <c r="C51" s="7" t="s">
        <v>37</v>
      </c>
      <c r="D51" s="8" t="s">
        <v>27</v>
      </c>
      <c r="E51" s="8">
        <v>50</v>
      </c>
      <c r="F51" s="5"/>
      <c r="G51" s="5"/>
      <c r="H51" s="5"/>
      <c r="I51" s="5"/>
      <c r="J51" s="5"/>
      <c r="K51" s="5"/>
    </row>
    <row r="52" spans="1:11">
      <c r="A52" s="13" t="str">
        <f>_xlfn.TEXTJOIN("-",TRUE,Hoja2!A52:I52,2)</f>
        <v>VIN-EST-TRA-2</v>
      </c>
      <c r="B52" s="11" t="s">
        <v>287</v>
      </c>
      <c r="C52" s="7" t="s">
        <v>37</v>
      </c>
      <c r="D52" s="8" t="s">
        <v>18</v>
      </c>
      <c r="E52" s="8">
        <v>50</v>
      </c>
      <c r="F52" s="5"/>
      <c r="G52" s="5"/>
      <c r="H52" s="5"/>
      <c r="I52" s="5"/>
      <c r="J52" s="5"/>
      <c r="K52" s="5"/>
    </row>
    <row r="53" spans="1:11">
      <c r="A53" s="13" t="str">
        <f>_xlfn.TEXTJOIN("-",TRUE,Hoja2!A53:I53,"GRA-TEX",1)</f>
        <v>VIN-FLO-GRA-TEX-1</v>
      </c>
      <c r="B53" s="11" t="s">
        <v>287</v>
      </c>
      <c r="C53" s="7" t="s">
        <v>38</v>
      </c>
      <c r="D53" s="8" t="s">
        <v>18</v>
      </c>
      <c r="E53" s="8">
        <v>50</v>
      </c>
      <c r="F53" s="5"/>
      <c r="G53" s="5"/>
      <c r="H53" s="5"/>
      <c r="I53" s="5"/>
      <c r="J53" s="5"/>
      <c r="K53" s="5"/>
    </row>
    <row r="54" spans="1:11">
      <c r="A54" s="13" t="str">
        <f>_xlfn.TEXTJOIN("-",TRUE,Hoja2!A54:I54,1)</f>
        <v>VIN-REF-GRA-ING-BLA-1</v>
      </c>
      <c r="B54" s="11" t="s">
        <v>199</v>
      </c>
      <c r="C54" s="7" t="s">
        <v>158</v>
      </c>
      <c r="D54" s="8" t="s">
        <v>39</v>
      </c>
      <c r="E54" s="8" t="s">
        <v>30</v>
      </c>
      <c r="F54" s="5"/>
      <c r="G54" s="5"/>
      <c r="H54" s="5"/>
      <c r="I54" s="5"/>
      <c r="J54" s="5"/>
      <c r="K54" s="5"/>
    </row>
    <row r="55" spans="1:11">
      <c r="A55" s="13" t="str">
        <f>_xlfn.TEXTJOIN("-",TRUE,Hoja2!A55:I55,1)</f>
        <v>VIN-REF-GRA-ING-AZU-1</v>
      </c>
      <c r="B55" s="11" t="s">
        <v>199</v>
      </c>
      <c r="C55" s="7" t="s">
        <v>159</v>
      </c>
      <c r="D55" s="8">
        <v>1.22</v>
      </c>
      <c r="E55" s="8">
        <v>1</v>
      </c>
      <c r="F55" s="5"/>
      <c r="G55" s="5"/>
      <c r="H55" s="5"/>
      <c r="I55" s="5"/>
      <c r="J55" s="5"/>
      <c r="K55" s="5"/>
    </row>
    <row r="56" spans="1:11">
      <c r="A56" s="13" t="str">
        <f>_xlfn.TEXTJOIN("-",TRUE,Hoja2!A56:I56,1)</f>
        <v>VIN-REF-GRA-ING-ROJ-1</v>
      </c>
      <c r="B56" s="11" t="s">
        <v>199</v>
      </c>
      <c r="C56" s="7" t="s">
        <v>160</v>
      </c>
      <c r="D56" s="8">
        <v>1.22</v>
      </c>
      <c r="E56" s="8">
        <v>1</v>
      </c>
      <c r="F56" s="5"/>
      <c r="G56" s="5"/>
      <c r="H56" s="5"/>
      <c r="I56" s="5"/>
      <c r="J56" s="5"/>
      <c r="K56" s="5"/>
    </row>
    <row r="57" spans="1:11">
      <c r="A57" s="13" t="str">
        <f>_xlfn.TEXTJOIN("-",TRUE,Hoja2!A57:I57,1)</f>
        <v>VIN-REF-GRA-ING-AMA-1</v>
      </c>
      <c r="B57" s="11" t="s">
        <v>199</v>
      </c>
      <c r="C57" s="7" t="s">
        <v>161</v>
      </c>
      <c r="D57" s="8">
        <v>1.22</v>
      </c>
      <c r="E57" s="8">
        <v>1</v>
      </c>
      <c r="F57" s="5"/>
      <c r="G57" s="5"/>
      <c r="H57" s="5"/>
      <c r="I57" s="5"/>
      <c r="J57" s="5"/>
      <c r="K57" s="5"/>
    </row>
    <row r="58" spans="1:11">
      <c r="A58" s="13" t="str">
        <f>_xlfn.TEXTJOIN("-",TRUE,Hoja2!A58:I58,1)</f>
        <v>VIN-REF-GRA-ING-VER-1</v>
      </c>
      <c r="B58" s="11" t="s">
        <v>199</v>
      </c>
      <c r="C58" s="7" t="s">
        <v>162</v>
      </c>
      <c r="D58" s="8">
        <v>1.22</v>
      </c>
      <c r="E58" s="8">
        <v>1</v>
      </c>
      <c r="F58" s="5"/>
      <c r="G58" s="5"/>
      <c r="H58" s="5"/>
      <c r="I58" s="5"/>
      <c r="J58" s="5"/>
      <c r="K58" s="5"/>
    </row>
    <row r="59" spans="1:11">
      <c r="A59" s="13" t="str">
        <f>_xlfn.TEXTJOIN("-",TRUE,Hoja2!A59:I59,1)</f>
        <v>VIN-REF-GRA-ING-NEG-1</v>
      </c>
      <c r="B59" s="11" t="s">
        <v>199</v>
      </c>
      <c r="C59" s="7" t="s">
        <v>163</v>
      </c>
      <c r="D59" s="8">
        <v>1.22</v>
      </c>
      <c r="E59" s="8">
        <v>1</v>
      </c>
      <c r="F59" s="5"/>
      <c r="G59" s="5"/>
      <c r="H59" s="5"/>
      <c r="I59" s="5"/>
      <c r="J59" s="5"/>
      <c r="K59" s="5"/>
    </row>
    <row r="60" spans="1:11">
      <c r="A60" s="13" t="str">
        <f>_xlfn.TEXTJOIN("-",TRUE,Hoja2!A60:I60,"IMA-C30",1)</f>
        <v>VIN-C30-IMA-C30-1</v>
      </c>
      <c r="B60" s="11" t="s">
        <v>199</v>
      </c>
      <c r="C60" s="7" t="s">
        <v>40</v>
      </c>
      <c r="D60" s="8" t="s">
        <v>41</v>
      </c>
      <c r="E60" s="8">
        <v>30</v>
      </c>
      <c r="F60" s="5"/>
      <c r="G60" s="5"/>
      <c r="H60" s="5"/>
      <c r="I60" s="5"/>
      <c r="J60" s="5"/>
      <c r="K60" s="5"/>
    </row>
    <row r="61" spans="1:11">
      <c r="A61" s="13" t="str">
        <f>_xlfn.TEXTJOIN("-",TRUE,Hoja2!A61:I61,"ALT-TAC",1)</f>
        <v>VIN-BRI-BLA-ALT-TAC-1</v>
      </c>
      <c r="B61" s="11" t="s">
        <v>287</v>
      </c>
      <c r="C61" s="7" t="s">
        <v>164</v>
      </c>
      <c r="D61" s="8" t="s">
        <v>23</v>
      </c>
      <c r="E61" s="8">
        <v>50</v>
      </c>
      <c r="F61" s="5"/>
      <c r="G61" s="5"/>
      <c r="H61" s="5"/>
      <c r="I61" s="5"/>
      <c r="J61" s="5"/>
      <c r="K61" s="5"/>
    </row>
    <row r="62" spans="1:11">
      <c r="A62" s="13" t="str">
        <f>_xlfn.TEXTJOIN("-",TRUE,Hoja2!A62:I62,1)</f>
        <v>VIN-MAT-BLA-RES-GRI-1</v>
      </c>
      <c r="B62" s="11" t="s">
        <v>287</v>
      </c>
      <c r="C62" s="7" t="s">
        <v>166</v>
      </c>
      <c r="D62" s="8" t="s">
        <v>23</v>
      </c>
      <c r="E62" s="8">
        <v>50</v>
      </c>
      <c r="F62" s="5"/>
      <c r="G62" s="5"/>
      <c r="H62" s="5"/>
      <c r="I62" s="5"/>
      <c r="J62" s="5"/>
      <c r="K62" s="5"/>
    </row>
    <row r="63" spans="1:11">
      <c r="A63" s="13" t="str">
        <f>_xlfn.TEXTJOIN("-",TRUE,Hoja2!A63:I63,"GEN.FOR",1)</f>
        <v>VIN-MAT-BLA-RES-GRI-GEN.FOR-1</v>
      </c>
      <c r="B63" s="11" t="s">
        <v>201</v>
      </c>
      <c r="C63" s="7" t="s">
        <v>167</v>
      </c>
      <c r="D63" s="8" t="s">
        <v>27</v>
      </c>
      <c r="E63" s="8">
        <v>50</v>
      </c>
      <c r="F63" s="5"/>
      <c r="G63" s="5"/>
      <c r="H63" s="5"/>
      <c r="I63" s="5"/>
      <c r="J63" s="5"/>
      <c r="K63" s="5"/>
    </row>
    <row r="64" spans="1:11">
      <c r="A64" s="13" t="str">
        <f>_xlfn.TEXTJOIN("-",TRUE,Hoja2!A64:I64,1)</f>
        <v>VIN-MAT-BLA-ARL-RES-GRI-1</v>
      </c>
      <c r="B64" s="11" t="s">
        <v>199</v>
      </c>
      <c r="C64" s="7" t="s">
        <v>168</v>
      </c>
      <c r="D64" s="8" t="s">
        <v>18</v>
      </c>
      <c r="E64" s="8">
        <v>50</v>
      </c>
      <c r="F64" s="5"/>
      <c r="G64" s="5"/>
      <c r="H64" s="5"/>
      <c r="I64" s="5"/>
      <c r="J64" s="5"/>
      <c r="K64" s="5"/>
    </row>
    <row r="65" spans="1:11">
      <c r="A65" s="13" t="str">
        <f>_xlfn.TEXTJOIN("-",TRUE,Hoja2!A65:I65,1)</f>
        <v>VIN-BRI-BLA-RES-GRI-1</v>
      </c>
      <c r="B65" s="11" t="s">
        <v>287</v>
      </c>
      <c r="C65" s="7" t="s">
        <v>169</v>
      </c>
      <c r="D65" s="8" t="s">
        <v>23</v>
      </c>
      <c r="E65" s="8">
        <v>50</v>
      </c>
      <c r="F65" s="5"/>
      <c r="G65" s="5"/>
      <c r="H65" s="5"/>
      <c r="I65" s="5"/>
      <c r="J65" s="5"/>
      <c r="K65" s="5"/>
    </row>
    <row r="66" spans="1:11">
      <c r="A66" s="13" t="str">
        <f>_xlfn.TEXTJOIN("-",TRUE,Hoja2!A66:I66,1)</f>
        <v>VIN-TRA-1</v>
      </c>
      <c r="B66" s="11" t="s">
        <v>287</v>
      </c>
      <c r="C66" s="7" t="s">
        <v>42</v>
      </c>
      <c r="D66" s="8" t="s">
        <v>23</v>
      </c>
      <c r="E66" s="8">
        <v>50</v>
      </c>
      <c r="F66" s="5"/>
      <c r="G66" s="5"/>
      <c r="H66" s="5"/>
      <c r="I66" s="5"/>
      <c r="J66" s="5"/>
      <c r="K66" s="5"/>
    </row>
    <row r="67" spans="1:11">
      <c r="A67" s="13" t="str">
        <f>_xlfn.TEXTJOIN("-",TRUE,Hoja2!A67:I67,1)</f>
        <v>VIN-MIC-1</v>
      </c>
      <c r="B67" s="11" t="s">
        <v>287</v>
      </c>
      <c r="C67" s="7" t="s">
        <v>43</v>
      </c>
      <c r="D67" s="8" t="s">
        <v>18</v>
      </c>
      <c r="E67" s="8">
        <v>100</v>
      </c>
      <c r="F67" s="5"/>
      <c r="G67" s="5"/>
      <c r="H67" s="5"/>
      <c r="I67" s="5"/>
      <c r="J67" s="5"/>
      <c r="K67" s="5"/>
    </row>
    <row r="68" spans="1:11">
      <c r="A68" s="13" t="str">
        <f>_xlfn.TEXTJOIN("-",TRUE,Hoja2!A68:I68,2)</f>
        <v>VIN-MIC-2</v>
      </c>
      <c r="B68" s="11" t="s">
        <v>287</v>
      </c>
      <c r="C68" s="7" t="s">
        <v>43</v>
      </c>
      <c r="D68" s="8" t="s">
        <v>18</v>
      </c>
      <c r="E68" s="8">
        <v>50</v>
      </c>
      <c r="F68" s="5"/>
      <c r="G68" s="5"/>
      <c r="H68" s="5"/>
      <c r="I68" s="5"/>
      <c r="J68" s="5"/>
      <c r="K68" s="5"/>
    </row>
    <row r="69" spans="1:11">
      <c r="A69" s="13" t="str">
        <f>_xlfn.TEXTJOIN("-",TRUE,Hoja2!A69:I69,1)</f>
        <v>VIN-BRI-BLA-1</v>
      </c>
      <c r="B69" s="11" t="s">
        <v>287</v>
      </c>
      <c r="C69" s="7" t="s">
        <v>170</v>
      </c>
      <c r="D69" s="8" t="s">
        <v>23</v>
      </c>
      <c r="E69" s="8">
        <v>50</v>
      </c>
      <c r="F69" s="5"/>
      <c r="G69" s="5"/>
      <c r="H69" s="5"/>
      <c r="I69" s="5"/>
      <c r="J69" s="5"/>
      <c r="K69" s="5"/>
    </row>
    <row r="70" spans="1:11">
      <c r="A70" s="13" t="str">
        <f>_xlfn.TEXTJOIN("-",TRUE,Hoja2!A70:I70,2)</f>
        <v>VIN-BRI-BLA-2</v>
      </c>
      <c r="B70" s="11" t="s">
        <v>287</v>
      </c>
      <c r="C70" s="7" t="s">
        <v>170</v>
      </c>
      <c r="D70" s="8" t="s">
        <v>44</v>
      </c>
      <c r="E70" s="8">
        <v>50</v>
      </c>
      <c r="F70" s="5"/>
      <c r="G70" s="5"/>
      <c r="H70" s="5"/>
      <c r="I70" s="5"/>
      <c r="J70" s="5"/>
      <c r="K70" s="5"/>
    </row>
    <row r="71" spans="1:11">
      <c r="A71" s="13" t="str">
        <f>_xlfn.TEXTJOIN("-",TRUE,Hoja2!A71:I71,3)</f>
        <v>VIN-BRI-BLA-3</v>
      </c>
      <c r="B71" s="11" t="s">
        <v>287</v>
      </c>
      <c r="C71" s="7" t="s">
        <v>170</v>
      </c>
      <c r="D71" s="8" t="s">
        <v>45</v>
      </c>
      <c r="E71" s="8">
        <v>50</v>
      </c>
      <c r="F71" s="5"/>
      <c r="G71" s="5"/>
      <c r="H71" s="5"/>
      <c r="I71" s="5"/>
      <c r="J71" s="5"/>
      <c r="K71" s="5"/>
    </row>
    <row r="72" spans="1:11">
      <c r="A72" s="13" t="str">
        <f>_xlfn.TEXTJOIN("-",TRUE,Hoja2!A72:I72,1)</f>
        <v>VIN-MAT-BLA-1</v>
      </c>
      <c r="B72" s="11" t="s">
        <v>287</v>
      </c>
      <c r="C72" s="7" t="s">
        <v>171</v>
      </c>
      <c r="D72" s="8" t="s">
        <v>23</v>
      </c>
      <c r="E72" s="8">
        <v>50</v>
      </c>
      <c r="F72" s="5"/>
      <c r="G72" s="5"/>
      <c r="H72" s="5"/>
      <c r="I72" s="5"/>
      <c r="J72" s="5"/>
      <c r="K72" s="5"/>
    </row>
    <row r="73" spans="1:11">
      <c r="A73" s="13" t="str">
        <f>_xlfn.TEXTJOIN("-",TRUE,Hoja2!A73:I73,2)</f>
        <v>VIN-MAT-BLA-2</v>
      </c>
      <c r="B73" s="11" t="s">
        <v>287</v>
      </c>
      <c r="C73" s="7" t="s">
        <v>171</v>
      </c>
      <c r="D73" s="8" t="s">
        <v>44</v>
      </c>
      <c r="E73" s="8">
        <v>50</v>
      </c>
      <c r="F73" s="5"/>
      <c r="G73" s="5"/>
      <c r="H73" s="5"/>
      <c r="I73" s="5"/>
      <c r="J73" s="5"/>
      <c r="K73" s="5"/>
    </row>
    <row r="74" spans="1:11">
      <c r="A74" s="13" t="str">
        <f>_xlfn.TEXTJOIN("-",TRUE,Hoja2!A74:I74,3)</f>
        <v>VIN-MAT-BLA-3</v>
      </c>
      <c r="B74" s="11" t="s">
        <v>287</v>
      </c>
      <c r="C74" s="7" t="s">
        <v>171</v>
      </c>
      <c r="D74" s="8" t="s">
        <v>45</v>
      </c>
      <c r="E74" s="8">
        <v>50</v>
      </c>
      <c r="F74" s="5"/>
      <c r="G74" s="5"/>
      <c r="H74" s="5"/>
      <c r="I74" s="5"/>
      <c r="J74" s="5"/>
      <c r="K74" s="5"/>
    </row>
    <row r="75" spans="1:11">
      <c r="A75" s="13" t="str">
        <f>_xlfn.TEXTJOIN("-",TRUE,Hoja2!A75:I75,4)</f>
        <v>VIN-MAT-BLA-4</v>
      </c>
      <c r="B75" s="11" t="s">
        <v>273</v>
      </c>
      <c r="C75" s="7" t="s">
        <v>171</v>
      </c>
      <c r="D75" s="8" t="s">
        <v>18</v>
      </c>
      <c r="E75" s="8">
        <v>50</v>
      </c>
      <c r="F75" s="5"/>
      <c r="G75" s="5"/>
      <c r="H75" s="5"/>
      <c r="I75" s="5"/>
      <c r="J75" s="5"/>
      <c r="K75" s="5"/>
    </row>
    <row r="76" spans="1:11">
      <c r="A76" s="13" t="str">
        <f>_xlfn.TEXTJOIN("-",TRUE,Hoja2!A76:I76,5)</f>
        <v>VIN-MAT-BLA-5</v>
      </c>
      <c r="B76" s="11" t="s">
        <v>273</v>
      </c>
      <c r="C76" s="7" t="s">
        <v>171</v>
      </c>
      <c r="D76" s="8" t="s">
        <v>35</v>
      </c>
      <c r="E76" s="8">
        <v>50</v>
      </c>
      <c r="F76" s="5"/>
      <c r="G76" s="5"/>
      <c r="H76" s="5"/>
      <c r="I76" s="5"/>
      <c r="J76" s="5"/>
      <c r="K76" s="5"/>
    </row>
    <row r="77" spans="1:11">
      <c r="A77" s="13" t="str">
        <f>_xlfn.TEXTJOIN("-",TRUE,Hoja2!A77:I77,"WAL",1)</f>
        <v>VIN-PAR-WAL-1</v>
      </c>
      <c r="B77" s="11" t="s">
        <v>173</v>
      </c>
      <c r="C77" s="7" t="s">
        <v>172</v>
      </c>
      <c r="D77" s="8" t="s">
        <v>27</v>
      </c>
      <c r="E77" s="8" t="s">
        <v>30</v>
      </c>
      <c r="F77" s="5"/>
      <c r="G77" s="5"/>
      <c r="H77" s="5"/>
      <c r="I77" s="5"/>
      <c r="J77" s="5"/>
      <c r="K77" s="5"/>
    </row>
    <row r="78" spans="1:11">
      <c r="A78" s="13" t="str">
        <f>_xlfn.TEXTJOIN("-",TRUE,Hoja2!A78:I78,"PSX-VIN-TEXT-STO",1)</f>
        <v>VIN-PSX-VIN-TEXT-STO-1</v>
      </c>
      <c r="B78" s="11" t="s">
        <v>173</v>
      </c>
      <c r="C78" s="7" t="s">
        <v>46</v>
      </c>
      <c r="D78" s="8" t="s">
        <v>18</v>
      </c>
      <c r="E78" s="8">
        <v>50</v>
      </c>
      <c r="F78" s="5"/>
      <c r="G78" s="5"/>
      <c r="H78" s="5"/>
      <c r="I78" s="5"/>
      <c r="J78" s="5"/>
      <c r="K78" s="5"/>
    </row>
    <row r="79" spans="1:11">
      <c r="A79" s="13" t="str">
        <f>_xlfn.TEXTJOIN("-",TRUE,Hoja2!A79:I79,"WAL-CAN-GF",1)</f>
        <v>VIN-WAL-CAN-GF-1</v>
      </c>
      <c r="B79" s="11" t="s">
        <v>173</v>
      </c>
      <c r="C79" s="7" t="s">
        <v>47</v>
      </c>
      <c r="D79" s="8" t="s">
        <v>27</v>
      </c>
      <c r="E79" s="8">
        <v>50</v>
      </c>
      <c r="F79" s="5"/>
      <c r="G79" s="5"/>
      <c r="H79" s="5"/>
      <c r="I79" s="5"/>
      <c r="J79" s="5"/>
      <c r="K79" s="5"/>
    </row>
    <row r="80" spans="1:11">
      <c r="A80" s="13" t="str">
        <f>_xlfn.TEXTJOIN("-",TRUE,Hoja2!A80:I80,"IMP",1)</f>
        <v>VIN-BLA-TRA-IMP-1</v>
      </c>
      <c r="B80" s="11" t="s">
        <v>199</v>
      </c>
      <c r="C80" s="7" t="s">
        <v>48</v>
      </c>
      <c r="D80" s="8" t="s">
        <v>18</v>
      </c>
      <c r="E80" s="8">
        <v>10</v>
      </c>
      <c r="F80" s="5"/>
      <c r="G80" s="5"/>
      <c r="H80" s="5"/>
      <c r="I80" s="5"/>
      <c r="J80" s="5"/>
      <c r="K80" s="5"/>
    </row>
    <row r="81" spans="1:11">
      <c r="A81" s="13" t="str">
        <f>_xlfn.TEXTJOIN("-",TRUE,Hoja2!A81:I81,"3M",1)</f>
        <v>LAM-3M-1</v>
      </c>
      <c r="B81" s="11" t="s">
        <v>199</v>
      </c>
      <c r="C81" s="7" t="s">
        <v>49</v>
      </c>
      <c r="D81" s="8" t="s">
        <v>18</v>
      </c>
      <c r="E81" s="8">
        <v>40</v>
      </c>
      <c r="F81" s="5"/>
      <c r="G81" s="5"/>
      <c r="H81" s="5"/>
      <c r="I81" s="5"/>
      <c r="J81" s="5"/>
      <c r="K81" s="5"/>
    </row>
    <row r="82" spans="1:11">
      <c r="A82" s="13" t="str">
        <f>_xlfn.TEXTJOIN("-",TRUE,Hoja2!A82:I82,1)</f>
        <v>LAM-TER-BRI-TRA-1</v>
      </c>
      <c r="B82" s="11" t="s">
        <v>288</v>
      </c>
      <c r="C82" s="7" t="s">
        <v>175</v>
      </c>
      <c r="D82" s="8" t="s">
        <v>50</v>
      </c>
      <c r="E82" s="8">
        <v>300</v>
      </c>
      <c r="F82" s="5"/>
      <c r="G82" s="5"/>
      <c r="H82" s="5"/>
      <c r="I82" s="5"/>
      <c r="J82" s="5"/>
      <c r="K82" s="5"/>
    </row>
    <row r="83" spans="1:11">
      <c r="A83" s="13" t="str">
        <f>_xlfn.TEXTJOIN("-",TRUE,Hoja2!A83:I83,1)</f>
        <v>LAM-TER-MAT-TRA-1</v>
      </c>
      <c r="B83" s="11" t="s">
        <v>288</v>
      </c>
      <c r="C83" s="7" t="s">
        <v>174</v>
      </c>
      <c r="D83" s="8"/>
      <c r="E83" s="8"/>
      <c r="F83" s="5"/>
      <c r="G83" s="5"/>
      <c r="H83" s="5"/>
      <c r="I83" s="5"/>
      <c r="J83" s="5"/>
      <c r="K83" s="5"/>
    </row>
    <row r="84" spans="1:11">
      <c r="A84" s="13" t="str">
        <f>_xlfn.TEXTJOIN("-",TRUE,Hoja2!A84:I84,1)</f>
        <v>PVC-BLA-3MM-1</v>
      </c>
      <c r="B84" s="11" t="s">
        <v>201</v>
      </c>
      <c r="C84" s="7" t="s">
        <v>427</v>
      </c>
      <c r="D84" s="8" t="s">
        <v>39</v>
      </c>
      <c r="E84" s="8" t="s">
        <v>51</v>
      </c>
      <c r="F84" s="5"/>
      <c r="G84" s="5"/>
      <c r="H84" s="5"/>
      <c r="I84" s="5"/>
      <c r="J84" s="5"/>
      <c r="K84" s="5"/>
    </row>
    <row r="85" spans="1:11">
      <c r="A85" s="13" t="str">
        <f>_xlfn.TEXTJOIN("-",TRUE,Hoja2!A85:I85,2)</f>
        <v>PVC-BLA-3MM-2</v>
      </c>
      <c r="B85" s="11" t="s">
        <v>245</v>
      </c>
      <c r="C85" s="7" t="s">
        <v>427</v>
      </c>
      <c r="D85" s="8" t="s">
        <v>188</v>
      </c>
      <c r="E85" s="8" t="s">
        <v>290</v>
      </c>
      <c r="F85" s="5"/>
      <c r="G85" s="5"/>
      <c r="H85" s="5"/>
      <c r="I85" s="5"/>
      <c r="J85" s="5"/>
      <c r="K85" s="5"/>
    </row>
    <row r="86" spans="1:11">
      <c r="A86" s="13" t="str">
        <f>_xlfn.TEXTJOIN("-",TRUE,Hoja2!A86:I86,1)</f>
        <v>PVC-BLA-3MM-GAM-BAJ-1</v>
      </c>
      <c r="B86" s="11" t="s">
        <v>199</v>
      </c>
      <c r="C86" s="7" t="s">
        <v>428</v>
      </c>
      <c r="D86" s="8" t="s">
        <v>39</v>
      </c>
      <c r="E86" s="8" t="s">
        <v>51</v>
      </c>
      <c r="F86" s="5"/>
      <c r="G86" s="5"/>
      <c r="H86" s="5"/>
      <c r="I86" s="5"/>
      <c r="J86" s="5"/>
      <c r="K86" s="5"/>
    </row>
    <row r="87" spans="1:11">
      <c r="A87" s="13" t="str">
        <f>_xlfn.TEXTJOIN("-",TRUE,Hoja2!A87:I87,1)</f>
        <v>PVC-BLA-2MM-1</v>
      </c>
      <c r="B87" s="11" t="s">
        <v>289</v>
      </c>
      <c r="C87" s="7" t="s">
        <v>429</v>
      </c>
      <c r="D87" s="8" t="s">
        <v>39</v>
      </c>
      <c r="E87" s="8" t="s">
        <v>51</v>
      </c>
      <c r="F87" s="5"/>
      <c r="G87" s="5"/>
      <c r="H87" s="5"/>
      <c r="I87" s="5"/>
      <c r="J87" s="5"/>
      <c r="K87" s="5"/>
    </row>
    <row r="88" spans="1:11">
      <c r="A88" s="13" t="str">
        <f>_xlfn.TEXTJOIN("-",TRUE,Hoja2!A88:I88,1)</f>
        <v>PVC-BLA-6MM-1</v>
      </c>
      <c r="B88" s="11" t="s">
        <v>201</v>
      </c>
      <c r="C88" s="7" t="s">
        <v>430</v>
      </c>
      <c r="D88" s="8" t="s">
        <v>39</v>
      </c>
      <c r="E88" s="8" t="s">
        <v>51</v>
      </c>
      <c r="F88" s="5"/>
      <c r="G88" s="5"/>
      <c r="H88" s="5"/>
      <c r="I88" s="5"/>
      <c r="J88" s="5"/>
      <c r="K88" s="5"/>
    </row>
    <row r="89" spans="1:11">
      <c r="A89" s="13" t="str">
        <f>_xlfn.TEXTJOIN("-",TRUE,Hoja2!A89:I89,1)</f>
        <v>PVC-BLA-6MM-GAM-BAJ-1</v>
      </c>
      <c r="B89" s="11" t="s">
        <v>287</v>
      </c>
      <c r="C89" s="7" t="s">
        <v>431</v>
      </c>
      <c r="D89" s="8" t="s">
        <v>39</v>
      </c>
      <c r="E89" s="8" t="s">
        <v>51</v>
      </c>
      <c r="F89" s="5"/>
      <c r="G89" s="5"/>
      <c r="H89" s="5"/>
      <c r="I89" s="5"/>
      <c r="J89" s="5"/>
      <c r="K89" s="5"/>
    </row>
    <row r="90" spans="1:11">
      <c r="A90" s="13" t="str">
        <f>_xlfn.TEXTJOIN("-",TRUE,Hoja2!A90:I90,2)</f>
        <v>PVC-BLA-6MM-GAM-BAJ-2</v>
      </c>
      <c r="B90" s="11" t="s">
        <v>199</v>
      </c>
      <c r="C90" s="7" t="s">
        <v>431</v>
      </c>
      <c r="D90" s="8" t="s">
        <v>188</v>
      </c>
      <c r="E90" s="8" t="s">
        <v>290</v>
      </c>
      <c r="F90" s="5"/>
      <c r="G90" s="5"/>
      <c r="H90" s="5"/>
      <c r="I90" s="5"/>
      <c r="J90" s="5"/>
      <c r="K90" s="5"/>
    </row>
    <row r="91" spans="1:11">
      <c r="A91" s="13" t="str">
        <f>_xlfn.TEXTJOIN("-",TRUE,Hoja2!A91:I91,1)</f>
        <v>PVC-BLA-10MM-1</v>
      </c>
      <c r="B91" s="11" t="s">
        <v>200</v>
      </c>
      <c r="C91" s="7" t="s">
        <v>432</v>
      </c>
      <c r="D91" s="8" t="s">
        <v>39</v>
      </c>
      <c r="E91" s="8" t="s">
        <v>51</v>
      </c>
      <c r="F91" s="5"/>
      <c r="G91" s="5"/>
      <c r="H91" s="5"/>
      <c r="I91" s="5"/>
      <c r="J91" s="5"/>
      <c r="K91" s="5"/>
    </row>
    <row r="92" spans="1:11">
      <c r="A92" s="13" t="str">
        <f>_xlfn.TEXTJOIN("-",TRUE,"FOA-1GRA",1)</f>
        <v>FOA-1GRA-1</v>
      </c>
      <c r="B92" s="11" t="s">
        <v>279</v>
      </c>
      <c r="C92" s="7" t="s">
        <v>52</v>
      </c>
      <c r="D92" s="8" t="s">
        <v>39</v>
      </c>
      <c r="E92" s="8" t="s">
        <v>51</v>
      </c>
      <c r="F92" s="5"/>
      <c r="G92" s="5"/>
      <c r="H92" s="5"/>
      <c r="I92" s="5"/>
      <c r="J92" s="5"/>
      <c r="K92" s="5"/>
    </row>
    <row r="93" spans="1:11">
      <c r="A93" s="13" t="str">
        <f>_xlfn.TEXTJOIN("-",TRUE,"COR-4MM",1)</f>
        <v>COR-4MM-1</v>
      </c>
      <c r="B93" s="11" t="s">
        <v>287</v>
      </c>
      <c r="C93" s="7" t="s">
        <v>433</v>
      </c>
      <c r="D93" s="8" t="s">
        <v>39</v>
      </c>
      <c r="E93" s="8" t="s">
        <v>51</v>
      </c>
      <c r="F93" s="5"/>
      <c r="G93" s="5"/>
      <c r="H93" s="5"/>
      <c r="I93" s="5"/>
      <c r="J93" s="5"/>
      <c r="K93" s="5"/>
    </row>
    <row r="94" spans="1:11">
      <c r="A94" s="13" t="str">
        <f>_xlfn.TEXTJOIN("-",TRUE,Hoja2!A94:I94,1)</f>
        <v>FOA-5MM-1</v>
      </c>
      <c r="B94" s="11" t="s">
        <v>287</v>
      </c>
      <c r="C94" s="7" t="s">
        <v>434</v>
      </c>
      <c r="D94" s="8" t="s">
        <v>39</v>
      </c>
      <c r="E94" s="8" t="s">
        <v>51</v>
      </c>
      <c r="F94" s="5"/>
      <c r="G94" s="5"/>
      <c r="H94" s="5"/>
      <c r="I94" s="5"/>
      <c r="J94" s="5"/>
      <c r="K94" s="5"/>
    </row>
    <row r="95" spans="1:11">
      <c r="A95" s="13" t="str">
        <f>_xlfn.TEXTJOIN("-",TRUE,Hoja2!A95:I95,1)</f>
        <v>FOA-10MM-1</v>
      </c>
      <c r="B95" s="11" t="s">
        <v>287</v>
      </c>
      <c r="C95" s="7" t="s">
        <v>435</v>
      </c>
      <c r="D95" s="8" t="s">
        <v>39</v>
      </c>
      <c r="E95" s="8" t="s">
        <v>51</v>
      </c>
      <c r="F95" s="5"/>
      <c r="G95" s="5"/>
      <c r="H95" s="5"/>
      <c r="I95" s="5"/>
      <c r="J95" s="5"/>
      <c r="K95" s="5"/>
    </row>
    <row r="96" spans="1:11">
      <c r="A96" s="13" t="str">
        <f>_xlfn.TEXTJOIN("-",TRUE,Hoja2!A96:I96,1)</f>
        <v>EST-C15-1</v>
      </c>
      <c r="B96" s="11" t="s">
        <v>201</v>
      </c>
      <c r="C96" s="7" t="s">
        <v>53</v>
      </c>
      <c r="D96" s="8" t="s">
        <v>18</v>
      </c>
      <c r="E96" s="8" t="s">
        <v>39</v>
      </c>
      <c r="F96" s="5"/>
      <c r="G96" s="5"/>
      <c r="H96" s="5"/>
      <c r="I96" s="5"/>
      <c r="J96" s="5"/>
      <c r="K96" s="5"/>
    </row>
    <row r="97" spans="1:11">
      <c r="A97" s="13" t="str">
        <f>_xlfn.TEXTJOIN("-",TRUE,Hoja2!A97:I97,1)</f>
        <v>EST-C20-1</v>
      </c>
      <c r="B97" s="11" t="s">
        <v>201</v>
      </c>
      <c r="C97" s="7" t="s">
        <v>54</v>
      </c>
      <c r="D97" s="8" t="s">
        <v>18</v>
      </c>
      <c r="E97" s="8" t="s">
        <v>39</v>
      </c>
      <c r="F97" s="5"/>
      <c r="G97" s="5"/>
      <c r="H97" s="5"/>
      <c r="I97" s="5"/>
      <c r="J97" s="5"/>
      <c r="K97" s="5"/>
    </row>
    <row r="98" spans="1:11">
      <c r="A98" s="13" t="str">
        <f>_xlfn.TEXTJOIN("-",TRUE,Hoja2!A98:I98,1)</f>
        <v>EST-C30-1</v>
      </c>
      <c r="B98" s="11" t="s">
        <v>201</v>
      </c>
      <c r="C98" s="7" t="s">
        <v>55</v>
      </c>
      <c r="D98" s="8" t="s">
        <v>18</v>
      </c>
      <c r="E98" s="8" t="s">
        <v>39</v>
      </c>
      <c r="F98" s="5"/>
      <c r="G98" s="5"/>
      <c r="H98" s="5"/>
      <c r="I98" s="5"/>
      <c r="J98" s="5"/>
      <c r="K98" s="5"/>
    </row>
    <row r="99" spans="1:11">
      <c r="A99" s="13" t="str">
        <f>_xlfn.TEXTJOIN("-",TRUE,Hoja2!A99:I99,1)</f>
        <v>EST-C40-1</v>
      </c>
      <c r="B99" s="11" t="s">
        <v>201</v>
      </c>
      <c r="C99" s="7" t="s">
        <v>56</v>
      </c>
      <c r="D99" s="8" t="s">
        <v>18</v>
      </c>
      <c r="E99" s="8" t="s">
        <v>39</v>
      </c>
      <c r="F99" s="5"/>
      <c r="G99" s="5"/>
      <c r="H99" s="5"/>
      <c r="I99" s="5"/>
      <c r="J99" s="5"/>
      <c r="K99" s="5"/>
    </row>
    <row r="100" spans="1:11">
      <c r="A100" s="13" t="str">
        <f>_xlfn.TEXTJOIN("-",TRUE,Hoja2!A100:I100,1)</f>
        <v>EST-C60-1</v>
      </c>
      <c r="B100" s="11" t="s">
        <v>201</v>
      </c>
      <c r="C100" s="7" t="s">
        <v>57</v>
      </c>
      <c r="D100" s="8" t="s">
        <v>18</v>
      </c>
      <c r="E100" s="8" t="s">
        <v>39</v>
      </c>
      <c r="F100" s="5"/>
      <c r="G100" s="5"/>
      <c r="H100" s="5"/>
      <c r="I100" s="5"/>
      <c r="J100" s="5"/>
      <c r="K100" s="5"/>
    </row>
    <row r="101" spans="1:11">
      <c r="A101" s="13" t="str">
        <f>_xlfn.TEXTJOIN("-",TRUE,Hoja2!A101:I101,1)</f>
        <v>EST-C80-1</v>
      </c>
      <c r="B101" s="11" t="s">
        <v>201</v>
      </c>
      <c r="C101" s="7" t="s">
        <v>58</v>
      </c>
      <c r="D101" s="8" t="s">
        <v>18</v>
      </c>
      <c r="E101" s="8" t="s">
        <v>39</v>
      </c>
      <c r="F101" s="5"/>
      <c r="G101" s="5"/>
      <c r="H101" s="5"/>
      <c r="I101" s="5"/>
      <c r="J101" s="5"/>
      <c r="K101" s="5"/>
    </row>
    <row r="102" spans="1:11">
      <c r="A102" s="13" t="str">
        <f>_xlfn.TEXTJOIN("-",TRUE,Hoja2!A102:I102,1)</f>
        <v>EST-C15-1</v>
      </c>
      <c r="B102" s="11" t="s">
        <v>286</v>
      </c>
      <c r="C102" s="7" t="s">
        <v>53</v>
      </c>
      <c r="D102" s="8" t="s">
        <v>18</v>
      </c>
      <c r="E102" s="8" t="s">
        <v>39</v>
      </c>
      <c r="F102" s="5"/>
      <c r="G102" s="5"/>
      <c r="H102" s="5"/>
      <c r="I102" s="5"/>
      <c r="J102" s="5"/>
      <c r="K102" s="5"/>
    </row>
    <row r="103" spans="1:11">
      <c r="A103" s="13" t="str">
        <f>_xlfn.TEXTJOIN("-",TRUE,Hoja2!A103:I103,1)</f>
        <v>EST-C20-1</v>
      </c>
      <c r="B103" s="11" t="s">
        <v>286</v>
      </c>
      <c r="C103" s="7" t="s">
        <v>54</v>
      </c>
      <c r="D103" s="8" t="s">
        <v>18</v>
      </c>
      <c r="E103" s="8" t="s">
        <v>39</v>
      </c>
      <c r="F103" s="5"/>
      <c r="G103" s="5"/>
      <c r="H103" s="5"/>
      <c r="I103" s="5"/>
      <c r="J103" s="5"/>
      <c r="K103" s="5"/>
    </row>
    <row r="104" spans="1:11">
      <c r="A104" s="13" t="str">
        <f>_xlfn.TEXTJOIN("-",TRUE,Hoja2!A104:I104,1)</f>
        <v>EST-C30-1</v>
      </c>
      <c r="B104" s="11" t="s">
        <v>286</v>
      </c>
      <c r="C104" s="7" t="s">
        <v>55</v>
      </c>
      <c r="D104" s="8" t="s">
        <v>18</v>
      </c>
      <c r="E104" s="8" t="s">
        <v>39</v>
      </c>
      <c r="F104" s="5"/>
      <c r="G104" s="5"/>
      <c r="H104" s="5"/>
      <c r="I104" s="5"/>
      <c r="J104" s="5"/>
      <c r="K104" s="5"/>
    </row>
    <row r="105" spans="1:11">
      <c r="A105" s="13" t="str">
        <f>_xlfn.TEXTJOIN("-",TRUE,Hoja2!A105:I105,1)</f>
        <v>EST-C40-1</v>
      </c>
      <c r="B105" s="11" t="s">
        <v>286</v>
      </c>
      <c r="C105" s="7" t="s">
        <v>56</v>
      </c>
      <c r="D105" s="8" t="s">
        <v>18</v>
      </c>
      <c r="E105" s="8" t="s">
        <v>39</v>
      </c>
      <c r="F105" s="5"/>
      <c r="G105" s="5"/>
      <c r="H105" s="5"/>
      <c r="I105" s="5"/>
      <c r="J105" s="5"/>
      <c r="K105" s="5"/>
    </row>
    <row r="106" spans="1:11">
      <c r="A106" s="13" t="str">
        <f>_xlfn.TEXTJOIN("-",TRUE,Hoja2!A106:I106,1)</f>
        <v>EST-C60-1</v>
      </c>
      <c r="B106" s="11" t="s">
        <v>286</v>
      </c>
      <c r="C106" s="7" t="s">
        <v>57</v>
      </c>
      <c r="D106" s="8" t="s">
        <v>18</v>
      </c>
      <c r="E106" s="8" t="s">
        <v>39</v>
      </c>
      <c r="F106" s="5"/>
      <c r="G106" s="5"/>
      <c r="H106" s="5"/>
      <c r="I106" s="5"/>
      <c r="J106" s="5"/>
      <c r="K106" s="5"/>
    </row>
    <row r="107" spans="1:11">
      <c r="A107" s="13" t="str">
        <f>_xlfn.TEXTJOIN("-",TRUE,Hoja2!A107:I107,1)</f>
        <v>EST-C80-1</v>
      </c>
      <c r="B107" s="11" t="s">
        <v>286</v>
      </c>
      <c r="C107" s="7" t="s">
        <v>58</v>
      </c>
      <c r="D107" s="8" t="s">
        <v>18</v>
      </c>
      <c r="E107" s="8" t="s">
        <v>39</v>
      </c>
      <c r="F107" s="5"/>
      <c r="G107" s="5"/>
      <c r="H107" s="5"/>
      <c r="I107" s="5"/>
      <c r="J107" s="5"/>
      <c r="K107" s="5"/>
    </row>
    <row r="108" spans="1:11">
      <c r="A108" s="13" t="str">
        <f>_xlfn.TEXTJOIN("-",TRUE,Hoja2!A108:I108,"80X",1)</f>
        <v>DIS-80X-1</v>
      </c>
      <c r="B108" s="11" t="s">
        <v>273</v>
      </c>
      <c r="C108" s="7" t="s">
        <v>177</v>
      </c>
      <c r="D108" s="8" t="s">
        <v>59</v>
      </c>
      <c r="E108" s="8" t="s">
        <v>60</v>
      </c>
      <c r="F108" s="5"/>
      <c r="G108" s="5"/>
      <c r="H108" s="5"/>
      <c r="I108" s="5"/>
      <c r="J108" s="5"/>
      <c r="K108" s="5"/>
    </row>
    <row r="109" spans="1:11">
      <c r="A109" s="13" t="str">
        <f>_xlfn.TEXTJOIN("-",TRUE,Hoja2!A109:I109,"80X",1)</f>
        <v>DIS-80X-1</v>
      </c>
      <c r="B109" s="11" t="s">
        <v>286</v>
      </c>
      <c r="C109" s="7" t="s">
        <v>177</v>
      </c>
      <c r="D109" s="8" t="s">
        <v>59</v>
      </c>
      <c r="E109" s="8" t="s">
        <v>60</v>
      </c>
      <c r="F109" s="5"/>
      <c r="G109" s="5"/>
      <c r="H109" s="5"/>
      <c r="I109" s="5"/>
      <c r="J109" s="5"/>
      <c r="K109" s="5"/>
    </row>
    <row r="110" spans="1:11">
      <c r="A110" s="13" t="str">
        <f>_xlfn.TEXTJOIN("-",TRUE,Hoja2!A110:I110,"60X",1)</f>
        <v>DIS-60X-1</v>
      </c>
      <c r="B110" s="11" t="s">
        <v>273</v>
      </c>
      <c r="C110" s="7" t="s">
        <v>176</v>
      </c>
      <c r="D110" s="8" t="s">
        <v>50</v>
      </c>
      <c r="E110" s="8" t="s">
        <v>5</v>
      </c>
      <c r="F110" s="5"/>
      <c r="G110" s="5"/>
      <c r="H110" s="5"/>
      <c r="I110" s="5"/>
      <c r="J110" s="5"/>
      <c r="K110" s="5"/>
    </row>
    <row r="111" spans="1:11">
      <c r="A111" s="13" t="str">
        <f>_xlfn.TEXTJOIN("-",TRUE,Hoja2!A111:I111,"200X",1)</f>
        <v>ROL-UP-200X-1</v>
      </c>
      <c r="B111" s="11" t="s">
        <v>273</v>
      </c>
      <c r="C111" s="7" t="s">
        <v>178</v>
      </c>
      <c r="D111" s="8" t="s">
        <v>61</v>
      </c>
      <c r="E111" s="8">
        <v>2</v>
      </c>
      <c r="F111" s="5"/>
      <c r="G111" s="5"/>
      <c r="H111" s="5"/>
      <c r="I111" s="5"/>
      <c r="J111" s="5"/>
      <c r="K111" s="5"/>
    </row>
    <row r="112" spans="1:11">
      <c r="A112" s="13" t="str">
        <f>_xlfn.TEXTJOIN("-",TRUE,Hoja2!A112:I112,"200X",2)</f>
        <v>ROL-UP-200X-2</v>
      </c>
      <c r="B112" s="11" t="s">
        <v>273</v>
      </c>
      <c r="C112" s="7" t="s">
        <v>179</v>
      </c>
      <c r="D112" s="8">
        <v>0.8</v>
      </c>
      <c r="E112" s="8">
        <v>2</v>
      </c>
      <c r="F112" s="5"/>
      <c r="G112" s="5"/>
      <c r="H112" s="5"/>
      <c r="I112" s="5"/>
      <c r="J112" s="5"/>
      <c r="K112" s="5"/>
    </row>
    <row r="113" spans="1:11">
      <c r="A113" s="13" t="str">
        <f>_xlfn.TEXTJOIN("-",TRUE,"STA-ARA-307X",1)</f>
        <v>STA-ARA-307X-1</v>
      </c>
      <c r="B113" s="11" t="s">
        <v>291</v>
      </c>
      <c r="C113" s="7" t="s">
        <v>180</v>
      </c>
      <c r="D113" s="8" t="s">
        <v>62</v>
      </c>
      <c r="E113" s="8" t="s">
        <v>63</v>
      </c>
      <c r="F113" s="5"/>
      <c r="G113" s="5"/>
      <c r="H113" s="5"/>
      <c r="I113" s="5"/>
      <c r="J113" s="5"/>
      <c r="K113" s="5"/>
    </row>
    <row r="114" spans="1:11">
      <c r="A114" s="13" t="str">
        <f>_xlfn.TEXTJOIN("-",TRUE,Hoja2!A114:I114,1)</f>
        <v>SOL-EQU-GRA-FOR-1</v>
      </c>
      <c r="B114" s="11" t="s">
        <v>293</v>
      </c>
      <c r="C114" s="7" t="s">
        <v>9</v>
      </c>
      <c r="D114" s="11">
        <v>1</v>
      </c>
      <c r="E114" s="11">
        <v>5</v>
      </c>
      <c r="F114" s="5"/>
      <c r="G114" s="5"/>
      <c r="H114" s="5"/>
      <c r="I114" s="5"/>
      <c r="J114" s="5"/>
      <c r="K114" s="5"/>
    </row>
    <row r="115" spans="1:11">
      <c r="A115" s="13" t="str">
        <f>_xlfn.TEXTJOIN("-",TRUE,Hoja2!A115:I115,1)</f>
        <v>SOL-EQU-CAM-PLA-1</v>
      </c>
      <c r="B115" s="11" t="s">
        <v>173</v>
      </c>
      <c r="C115" s="7" t="s">
        <v>181</v>
      </c>
      <c r="D115" s="11">
        <v>1</v>
      </c>
      <c r="E115" s="11">
        <v>1</v>
      </c>
      <c r="F115" s="5"/>
      <c r="G115" s="5"/>
      <c r="H115" s="5"/>
      <c r="I115" s="5"/>
      <c r="J115" s="5"/>
      <c r="K115" s="5"/>
    </row>
    <row r="116" spans="1:11">
      <c r="A116" s="13" t="str">
        <f>_xlfn.TEXTJOIN("-",TRUE,Hoja2!A116:I116,1)</f>
        <v>TIN-LX7-LAT-CYA-1</v>
      </c>
      <c r="B116" s="11" t="s">
        <v>173</v>
      </c>
      <c r="C116" s="7" t="s">
        <v>64</v>
      </c>
      <c r="D116" s="11">
        <v>1</v>
      </c>
      <c r="E116" s="11">
        <v>1</v>
      </c>
      <c r="F116" s="5"/>
      <c r="G116" s="5"/>
      <c r="H116" s="5"/>
      <c r="I116" s="5"/>
      <c r="J116" s="5"/>
      <c r="K116" s="5"/>
    </row>
    <row r="117" spans="1:11">
      <c r="A117" s="13" t="str">
        <f>_xlfn.TEXTJOIN("-",TRUE,Hoja2!A117:I117,1)</f>
        <v>TIN-LX7-LAT-MAG-1</v>
      </c>
      <c r="B117" s="11" t="s">
        <v>173</v>
      </c>
      <c r="C117" s="7" t="s">
        <v>65</v>
      </c>
      <c r="D117" s="11">
        <v>1</v>
      </c>
      <c r="E117" s="11">
        <v>1</v>
      </c>
      <c r="F117" s="5"/>
      <c r="G117" s="5"/>
      <c r="H117" s="5"/>
      <c r="I117" s="5"/>
      <c r="J117" s="5"/>
      <c r="K117" s="5"/>
    </row>
    <row r="118" spans="1:11">
      <c r="A118" s="13" t="str">
        <f>_xlfn.TEXTJOIN("-",TRUE,Hoja2!A118:I118,1)</f>
        <v>TIN-LX7-LAT-YEL-1</v>
      </c>
      <c r="B118" s="11" t="s">
        <v>173</v>
      </c>
      <c r="C118" s="7" t="s">
        <v>66</v>
      </c>
      <c r="D118" s="11">
        <v>1</v>
      </c>
      <c r="E118" s="11">
        <v>1</v>
      </c>
      <c r="F118" s="5"/>
      <c r="G118" s="5"/>
      <c r="H118" s="5"/>
      <c r="I118" s="5"/>
      <c r="J118" s="5"/>
      <c r="K118" s="5"/>
    </row>
    <row r="119" spans="1:11">
      <c r="A119" s="13" t="str">
        <f>_xlfn.TEXTJOIN("-",TRUE,Hoja2!A119:I119,1)</f>
        <v>TIN-LX7-LAT-BLA-1</v>
      </c>
      <c r="B119" s="11" t="s">
        <v>173</v>
      </c>
      <c r="C119" s="7" t="s">
        <v>67</v>
      </c>
      <c r="D119" s="11">
        <v>1</v>
      </c>
      <c r="E119" s="11">
        <v>1</v>
      </c>
      <c r="F119" s="5"/>
      <c r="G119" s="5"/>
      <c r="H119" s="5"/>
      <c r="I119" s="5"/>
      <c r="J119" s="5"/>
      <c r="K119" s="5"/>
    </row>
    <row r="120" spans="1:11">
      <c r="A120" s="13" t="str">
        <f>_xlfn.TEXTJOIN("-",TRUE,Hoja2!A120:I120,1)</f>
        <v>TIN-LX7-LAT-LIG-CYA-1</v>
      </c>
      <c r="B120" s="11" t="s">
        <v>173</v>
      </c>
      <c r="C120" s="7" t="s">
        <v>68</v>
      </c>
      <c r="D120" s="11">
        <v>1</v>
      </c>
      <c r="E120" s="11">
        <v>1</v>
      </c>
      <c r="F120" s="5"/>
      <c r="G120" s="5"/>
      <c r="H120" s="5"/>
      <c r="I120" s="5"/>
      <c r="J120" s="5"/>
      <c r="K120" s="5"/>
    </row>
    <row r="121" spans="1:11">
      <c r="A121" s="13" t="str">
        <f>_xlfn.TEXTJOIN("-",TRUE,Hoja2!A121:I121,1)</f>
        <v>TIN-LX7-LAT-LIG-MAG-1</v>
      </c>
      <c r="B121" s="11" t="s">
        <v>173</v>
      </c>
      <c r="C121" s="7" t="s">
        <v>69</v>
      </c>
      <c r="D121" s="11">
        <v>1</v>
      </c>
      <c r="E121" s="11">
        <v>1</v>
      </c>
      <c r="F121" s="5"/>
      <c r="G121" s="5"/>
      <c r="H121" s="5"/>
      <c r="I121" s="5"/>
      <c r="J121" s="5"/>
      <c r="K121" s="5"/>
    </row>
    <row r="122" spans="1:11">
      <c r="A122" s="13" t="str">
        <f>_xlfn.TEXTJOIN("-",TRUE,Hoja2!A122:I122,1)</f>
        <v>TIN-LX7-LAT-OPT-1</v>
      </c>
      <c r="B122" s="11" t="s">
        <v>173</v>
      </c>
      <c r="C122" s="7" t="s">
        <v>70</v>
      </c>
      <c r="D122" s="11">
        <v>1</v>
      </c>
      <c r="E122" s="11">
        <v>1</v>
      </c>
      <c r="F122" s="5"/>
      <c r="G122" s="5"/>
      <c r="H122" s="5"/>
      <c r="I122" s="5"/>
      <c r="J122" s="5"/>
      <c r="K122" s="5"/>
    </row>
    <row r="123" spans="1:11">
      <c r="A123" s="13" t="str">
        <f>_xlfn.TEXTJOIN("-",TRUE,Hoja2!A123:I123,1)</f>
        <v>TIN-LX7-LAT-OVE-1</v>
      </c>
      <c r="B123" s="11" t="s">
        <v>173</v>
      </c>
      <c r="C123" s="7" t="s">
        <v>71</v>
      </c>
      <c r="D123" s="11">
        <v>1</v>
      </c>
      <c r="E123" s="11">
        <v>1</v>
      </c>
      <c r="F123" s="5"/>
      <c r="G123" s="5"/>
      <c r="H123" s="5"/>
      <c r="I123" s="5"/>
      <c r="J123" s="5"/>
      <c r="K123" s="5"/>
    </row>
    <row r="124" spans="1:11">
      <c r="A124" s="13" t="str">
        <f>_xlfn.TEXTJOIN("-",TRUE,Hoja2!A124:I124,1)</f>
        <v>TIN-GRA-CYA-1</v>
      </c>
      <c r="B124" s="11" t="s">
        <v>173</v>
      </c>
      <c r="C124" s="7" t="s">
        <v>72</v>
      </c>
      <c r="D124" s="11">
        <v>1</v>
      </c>
      <c r="E124" s="11">
        <v>5</v>
      </c>
      <c r="F124" s="5"/>
      <c r="G124" s="5"/>
      <c r="H124" s="5"/>
      <c r="I124" s="5"/>
      <c r="J124" s="5"/>
      <c r="K124" s="5"/>
    </row>
    <row r="125" spans="1:11">
      <c r="A125" s="13" t="str">
        <f>_xlfn.TEXTJOIN("-",TRUE,Hoja2!A125:I125,1)</f>
        <v>TIN-GRA-MAG-1</v>
      </c>
      <c r="B125" s="11" t="s">
        <v>173</v>
      </c>
      <c r="C125" s="7" t="s">
        <v>73</v>
      </c>
      <c r="D125" s="11">
        <v>1</v>
      </c>
      <c r="E125" s="11">
        <v>5</v>
      </c>
      <c r="F125" s="5"/>
      <c r="G125" s="5"/>
      <c r="H125" s="5"/>
      <c r="I125" s="5"/>
      <c r="J125" s="5"/>
      <c r="K125" s="5"/>
    </row>
    <row r="126" spans="1:11">
      <c r="A126" s="13" t="str">
        <f>_xlfn.TEXTJOIN("-",TRUE,Hoja2!A126:I126,1)</f>
        <v>TIN-GRA-YEL-1</v>
      </c>
      <c r="B126" s="11" t="s">
        <v>173</v>
      </c>
      <c r="C126" s="7" t="s">
        <v>74</v>
      </c>
      <c r="D126" s="11">
        <v>1</v>
      </c>
      <c r="E126" s="11">
        <v>5</v>
      </c>
      <c r="F126" s="5"/>
      <c r="G126" s="5"/>
      <c r="H126" s="5"/>
      <c r="I126" s="5"/>
      <c r="J126" s="5"/>
      <c r="K126" s="5"/>
    </row>
    <row r="127" spans="1:11">
      <c r="A127" s="13" t="str">
        <f>_xlfn.TEXTJOIN("-",TRUE,Hoja2!A127:I127,1)</f>
        <v>TIN-GRA-BLA-1</v>
      </c>
      <c r="B127" s="11" t="s">
        <v>173</v>
      </c>
      <c r="C127" s="7" t="s">
        <v>75</v>
      </c>
      <c r="D127" s="11">
        <v>1</v>
      </c>
      <c r="E127" s="11">
        <v>5</v>
      </c>
      <c r="F127" s="5"/>
      <c r="G127" s="5"/>
      <c r="H127" s="5"/>
      <c r="I127" s="5"/>
      <c r="J127" s="5"/>
      <c r="K127" s="5"/>
    </row>
    <row r="128" spans="1:11">
      <c r="A128" s="13" t="str">
        <f>_xlfn.TEXTJOIN("-",TRUE,Hoja2!A128:I128,1)</f>
        <v>TIN-CAM-PLA-SUN-CYA-1</v>
      </c>
      <c r="B128" s="11" t="s">
        <v>173</v>
      </c>
      <c r="C128" s="7" t="s">
        <v>76</v>
      </c>
      <c r="D128" s="11">
        <v>1</v>
      </c>
      <c r="E128" s="11">
        <v>1</v>
      </c>
      <c r="F128" s="5"/>
      <c r="G128" s="5"/>
      <c r="H128" s="5"/>
      <c r="I128" s="5"/>
      <c r="J128" s="5"/>
      <c r="K128" s="5"/>
    </row>
    <row r="129" spans="1:11">
      <c r="A129" s="13" t="str">
        <f>_xlfn.TEXTJOIN("-",TRUE,Hoja2!A129:I129,1)</f>
        <v>TIN-CAM-PLA-SUN-MAG-1</v>
      </c>
      <c r="B129" s="11" t="s">
        <v>173</v>
      </c>
      <c r="C129" s="7" t="s">
        <v>77</v>
      </c>
      <c r="D129" s="11">
        <v>1</v>
      </c>
      <c r="E129" s="11">
        <v>1</v>
      </c>
      <c r="F129" s="5"/>
      <c r="G129" s="5"/>
      <c r="H129" s="5"/>
      <c r="I129" s="5"/>
      <c r="J129" s="5"/>
      <c r="K129" s="5"/>
    </row>
    <row r="130" spans="1:11">
      <c r="A130" s="13" t="str">
        <f>_xlfn.TEXTJOIN("-",TRUE,Hoja2!A130:I130,1)</f>
        <v>TIN-CAM-PLA-SUN-YEL-1</v>
      </c>
      <c r="B130" s="11" t="s">
        <v>173</v>
      </c>
      <c r="C130" s="7" t="s">
        <v>78</v>
      </c>
      <c r="D130" s="11">
        <v>1</v>
      </c>
      <c r="E130" s="11">
        <v>1</v>
      </c>
      <c r="F130" s="5"/>
      <c r="G130" s="5"/>
      <c r="H130" s="5"/>
      <c r="I130" s="5"/>
      <c r="J130" s="5"/>
      <c r="K130" s="5"/>
    </row>
    <row r="131" spans="1:11">
      <c r="A131" s="13" t="str">
        <f>_xlfn.TEXTJOIN("-",TRUE,Hoja2!A131:I131,1)</f>
        <v>TIN-CAM-PLA-SUN-BLA-1</v>
      </c>
      <c r="B131" s="11" t="s">
        <v>173</v>
      </c>
      <c r="C131" s="7" t="s">
        <v>79</v>
      </c>
      <c r="D131" s="11">
        <v>1</v>
      </c>
      <c r="E131" s="11">
        <v>1</v>
      </c>
      <c r="F131" s="5"/>
      <c r="G131" s="5"/>
      <c r="H131" s="5"/>
      <c r="I131" s="5"/>
      <c r="J131" s="5"/>
      <c r="K131" s="5"/>
    </row>
    <row r="132" spans="1:11">
      <c r="A132" s="13" t="str">
        <f>_xlfn.TEXTJOIN("-",TRUE,Hoja2!A132:I132,1)</f>
        <v>TIN-CAM-PLA-SUN-WHI-1</v>
      </c>
      <c r="B132" s="11" t="s">
        <v>173</v>
      </c>
      <c r="C132" s="7" t="s">
        <v>80</v>
      </c>
      <c r="D132" s="11">
        <v>1</v>
      </c>
      <c r="E132" s="11">
        <v>1</v>
      </c>
      <c r="F132" s="5"/>
      <c r="G132" s="5"/>
      <c r="H132" s="5"/>
      <c r="I132" s="5"/>
      <c r="J132" s="5"/>
      <c r="K132" s="5"/>
    </row>
    <row r="133" spans="1:11">
      <c r="A133" s="13" t="str">
        <f>_xlfn.TEXTJOIN("-",TRUE,Hoja2!A133:I133,1)</f>
        <v>TIN-FB7-CAM-PLA-CYA-1</v>
      </c>
      <c r="B133" s="11" t="s">
        <v>173</v>
      </c>
      <c r="C133" s="7" t="s">
        <v>81</v>
      </c>
      <c r="D133" s="11">
        <v>1</v>
      </c>
      <c r="E133" s="11">
        <v>3</v>
      </c>
      <c r="F133" s="5"/>
      <c r="G133" s="5"/>
      <c r="H133" s="5"/>
      <c r="I133" s="5"/>
      <c r="J133" s="5"/>
      <c r="K133" s="5"/>
    </row>
    <row r="134" spans="1:11">
      <c r="A134" s="13" t="str">
        <f>_xlfn.TEXTJOIN("-",TRUE,Hoja2!A134:I134,1)</f>
        <v>TIN-FB7-CAM-PLA-MAG-1</v>
      </c>
      <c r="B134" s="11" t="s">
        <v>173</v>
      </c>
      <c r="C134" s="7" t="s">
        <v>82</v>
      </c>
      <c r="D134" s="11">
        <v>1</v>
      </c>
      <c r="E134" s="11">
        <v>3</v>
      </c>
      <c r="F134" s="5"/>
      <c r="G134" s="5"/>
      <c r="H134" s="5"/>
      <c r="I134" s="5"/>
      <c r="J134" s="5"/>
      <c r="K134" s="5"/>
    </row>
    <row r="135" spans="1:11">
      <c r="A135" s="13" t="str">
        <f>_xlfn.TEXTJOIN("-",TRUE,Hoja2!A135:I135,1)</f>
        <v>TIN-FB7-CAM-PLA-YEL-1</v>
      </c>
      <c r="B135" s="11" t="s">
        <v>173</v>
      </c>
      <c r="C135" s="7" t="s">
        <v>83</v>
      </c>
      <c r="D135" s="11">
        <v>1</v>
      </c>
      <c r="E135" s="11">
        <v>3</v>
      </c>
      <c r="F135" s="5"/>
      <c r="G135" s="5"/>
      <c r="H135" s="5"/>
      <c r="I135" s="5"/>
      <c r="J135" s="5"/>
      <c r="K135" s="5"/>
    </row>
    <row r="136" spans="1:11">
      <c r="A136" s="13" t="str">
        <f>_xlfn.TEXTJOIN("-",TRUE,Hoja2!A136:I136,1)</f>
        <v>TIN-FB7-CAM-PLA-BLA-1</v>
      </c>
      <c r="B136" s="11" t="s">
        <v>173</v>
      </c>
      <c r="C136" s="7" t="s">
        <v>84</v>
      </c>
      <c r="D136" s="11">
        <v>1</v>
      </c>
      <c r="E136" s="11">
        <v>3</v>
      </c>
      <c r="F136" s="5"/>
      <c r="G136" s="5"/>
      <c r="H136" s="5"/>
      <c r="I136" s="5"/>
      <c r="J136" s="5"/>
      <c r="K136" s="5"/>
    </row>
    <row r="137" spans="1:11">
      <c r="A137" s="13" t="str">
        <f>_xlfn.TEXTJOIN("-",TRUE,Hoja2!A137:I137,1)</f>
        <v>TIN-FB7-CAM-PLA-LIG-CYA-1</v>
      </c>
      <c r="B137" s="11" t="s">
        <v>173</v>
      </c>
      <c r="C137" s="7" t="s">
        <v>85</v>
      </c>
      <c r="D137" s="11">
        <v>1</v>
      </c>
      <c r="E137" s="11">
        <v>3</v>
      </c>
      <c r="F137" s="5"/>
      <c r="G137" s="5"/>
      <c r="H137" s="5"/>
      <c r="I137" s="5"/>
      <c r="J137" s="5"/>
      <c r="K137" s="5"/>
    </row>
    <row r="138" spans="1:11">
      <c r="A138" s="13" t="str">
        <f>_xlfn.TEXTJOIN("-",TRUE,Hoja2!A138:I138,1)</f>
        <v>TIN-FB7-CAM-PLA-LIG-MAG-1</v>
      </c>
      <c r="B138" s="11" t="s">
        <v>173</v>
      </c>
      <c r="C138" s="7" t="s">
        <v>86</v>
      </c>
      <c r="D138" s="11">
        <v>1</v>
      </c>
      <c r="E138" s="11">
        <v>3</v>
      </c>
      <c r="F138" s="5"/>
      <c r="G138" s="5"/>
      <c r="H138" s="5"/>
      <c r="I138" s="5"/>
      <c r="J138" s="5"/>
      <c r="K138" s="5"/>
    </row>
    <row r="139" spans="1:11">
      <c r="A139" s="13" t="str">
        <f>_xlfn.TEXTJOIN("-",TRUE,Hoja2!A139:I139,1)</f>
        <v>TIN-LX3-CYA-1</v>
      </c>
      <c r="B139" s="11" t="s">
        <v>173</v>
      </c>
      <c r="C139" s="7" t="s">
        <v>87</v>
      </c>
      <c r="D139" s="11">
        <v>1</v>
      </c>
      <c r="E139" s="11">
        <v>0.78</v>
      </c>
      <c r="F139" s="5"/>
      <c r="G139" s="5"/>
      <c r="H139" s="5"/>
      <c r="I139" s="5"/>
      <c r="J139" s="5"/>
      <c r="K139" s="5"/>
    </row>
    <row r="140" spans="1:11">
      <c r="A140" s="13" t="str">
        <f>_xlfn.TEXTJOIN("-",TRUE,Hoja2!A140:I140,1)</f>
        <v>TIN-LX3-MAG-1</v>
      </c>
      <c r="B140" s="11" t="s">
        <v>173</v>
      </c>
      <c r="C140" s="7" t="s">
        <v>88</v>
      </c>
      <c r="D140" s="11">
        <v>1</v>
      </c>
      <c r="E140" s="11">
        <v>0.78</v>
      </c>
      <c r="F140" s="5"/>
      <c r="G140" s="5"/>
      <c r="H140" s="5"/>
      <c r="I140" s="5"/>
      <c r="J140" s="5"/>
      <c r="K140" s="5"/>
    </row>
    <row r="141" spans="1:11">
      <c r="A141" s="13" t="str">
        <f>_xlfn.TEXTJOIN("-",TRUE,Hoja2!A141:I141,1)</f>
        <v>TIN-LX3-YEL-1</v>
      </c>
      <c r="B141" s="11" t="s">
        <v>173</v>
      </c>
      <c r="C141" s="7" t="s">
        <v>89</v>
      </c>
      <c r="D141" s="11">
        <v>1</v>
      </c>
      <c r="E141" s="11">
        <v>0.78</v>
      </c>
      <c r="F141" s="5"/>
      <c r="G141" s="5"/>
      <c r="H141" s="5"/>
      <c r="I141" s="5"/>
      <c r="J141" s="5"/>
      <c r="K141" s="5"/>
    </row>
    <row r="142" spans="1:11">
      <c r="A142" s="13" t="str">
        <f>_xlfn.TEXTJOIN("-",TRUE,Hoja2!A142:I142,1)</f>
        <v>TIN-LX3-BLA-1</v>
      </c>
      <c r="B142" s="11" t="s">
        <v>173</v>
      </c>
      <c r="C142" s="7" t="s">
        <v>90</v>
      </c>
      <c r="D142" s="11">
        <v>1</v>
      </c>
      <c r="E142" s="11">
        <v>0.78</v>
      </c>
      <c r="F142" s="5"/>
      <c r="G142" s="5"/>
      <c r="H142" s="5"/>
      <c r="I142" s="5"/>
      <c r="J142" s="5"/>
      <c r="K142" s="5"/>
    </row>
    <row r="143" spans="1:11">
      <c r="A143" s="13" t="str">
        <f>_xlfn.TEXTJOIN("-",TRUE,Hoja2!A143:I143,1)</f>
        <v>TIN-LX3-LIG-CYA-1</v>
      </c>
      <c r="B143" s="11" t="s">
        <v>173</v>
      </c>
      <c r="C143" s="7" t="s">
        <v>91</v>
      </c>
      <c r="D143" s="11">
        <v>1</v>
      </c>
      <c r="E143" s="11">
        <v>0.78</v>
      </c>
      <c r="F143" s="5"/>
      <c r="G143" s="5"/>
      <c r="H143" s="5"/>
      <c r="I143" s="5"/>
      <c r="J143" s="5"/>
      <c r="K143" s="5"/>
    </row>
    <row r="144" spans="1:11">
      <c r="A144" s="13" t="str">
        <f>_xlfn.TEXTJOIN("-",TRUE,Hoja2!A144:I144,1)</f>
        <v>TIN-LX3-LIG-MAG-1</v>
      </c>
      <c r="B144" s="11" t="s">
        <v>173</v>
      </c>
      <c r="C144" s="7" t="s">
        <v>92</v>
      </c>
      <c r="D144" s="11">
        <v>1</v>
      </c>
      <c r="E144" s="11">
        <v>0.78</v>
      </c>
      <c r="F144" s="5"/>
      <c r="G144" s="5"/>
      <c r="H144" s="5"/>
      <c r="I144" s="5"/>
      <c r="J144" s="5"/>
      <c r="K144" s="5"/>
    </row>
    <row r="145" spans="1:11">
      <c r="A145" s="13" t="str">
        <f>_xlfn.TEXTJOIN("-",TRUE,Hoja2!A145:I145,1)</f>
        <v>TIN-LX3-OPT-1</v>
      </c>
      <c r="B145" s="11" t="s">
        <v>173</v>
      </c>
      <c r="C145" s="7" t="s">
        <v>93</v>
      </c>
      <c r="D145" s="11">
        <v>1</v>
      </c>
      <c r="E145" s="11">
        <v>0.78</v>
      </c>
      <c r="F145" s="5"/>
      <c r="G145" s="5"/>
      <c r="H145" s="5"/>
      <c r="I145" s="5"/>
      <c r="J145" s="5"/>
      <c r="K145" s="5"/>
    </row>
    <row r="146" spans="1:11">
      <c r="A146" s="13" t="str">
        <f>_xlfn.TEXTJOIN("-",TRUE,Hoja2!A146:I146,1)</f>
        <v>TIN-XER-CYA-1</v>
      </c>
      <c r="B146" s="11" t="s">
        <v>272</v>
      </c>
      <c r="C146" s="7" t="s">
        <v>148</v>
      </c>
      <c r="D146" s="11"/>
      <c r="E146" s="11"/>
      <c r="F146" s="5"/>
      <c r="G146" s="5"/>
      <c r="H146" s="5"/>
      <c r="I146" s="5"/>
      <c r="J146" s="5"/>
      <c r="K146" s="5"/>
    </row>
    <row r="147" spans="1:11">
      <c r="A147" s="13" t="str">
        <f>_xlfn.TEXTJOIN("-",TRUE,Hoja2!A147:I147,1)</f>
        <v>TIN-XER-MAG-1</v>
      </c>
      <c r="B147" s="11" t="s">
        <v>272</v>
      </c>
      <c r="C147" s="7" t="s">
        <v>149</v>
      </c>
      <c r="D147" s="11"/>
      <c r="E147" s="11"/>
      <c r="F147" s="5"/>
      <c r="G147" s="5"/>
      <c r="H147" s="5"/>
      <c r="I147" s="5"/>
      <c r="J147" s="5"/>
      <c r="K147" s="5"/>
    </row>
    <row r="148" spans="1:11">
      <c r="A148" s="13" t="str">
        <f>_xlfn.TEXTJOIN("-",TRUE,Hoja2!A148:I148,1)</f>
        <v>TIN-XER-YEL-1</v>
      </c>
      <c r="B148" s="11" t="s">
        <v>272</v>
      </c>
      <c r="C148" s="7" t="s">
        <v>150</v>
      </c>
      <c r="D148" s="11"/>
      <c r="E148" s="11"/>
      <c r="F148" s="5"/>
      <c r="G148" s="5"/>
      <c r="H148" s="5"/>
      <c r="I148" s="5"/>
      <c r="J148" s="5"/>
      <c r="K148" s="5"/>
    </row>
    <row r="149" spans="1:11">
      <c r="A149" s="13" t="str">
        <f>_xlfn.TEXTJOIN("-",TRUE,Hoja2!A149:I149,1)</f>
        <v>TIN-XER-BLA-1</v>
      </c>
      <c r="B149" s="11" t="s">
        <v>272</v>
      </c>
      <c r="C149" s="7" t="s">
        <v>151</v>
      </c>
      <c r="D149" s="11"/>
      <c r="E149" s="11"/>
      <c r="F149" s="5"/>
      <c r="G149" s="5"/>
      <c r="H149" s="5"/>
      <c r="I149" s="5"/>
      <c r="J149" s="5"/>
      <c r="K149" s="5"/>
    </row>
    <row r="150" spans="1:11">
      <c r="A150" s="13" t="str">
        <f>_xlfn.TEXTJOIN("-",TRUE,Hoja2!A150:I150,"MAN-#3",1)</f>
        <v>OJI-MAN-#3-1</v>
      </c>
      <c r="B150" s="11" t="s">
        <v>286</v>
      </c>
      <c r="C150" s="10" t="s">
        <v>182</v>
      </c>
      <c r="D150" s="11"/>
      <c r="E150" s="11"/>
      <c r="F150" s="5"/>
      <c r="G150" s="5"/>
      <c r="H150" s="5"/>
      <c r="I150" s="5"/>
      <c r="J150" s="5"/>
      <c r="K150" s="5"/>
    </row>
    <row r="151" spans="1:11">
      <c r="A151" s="13" t="str">
        <f>_xlfn.TEXTJOIN("-",TRUE,Hoja2!A151:I151,"AUT-EQ-FUK-#3",1)</f>
        <v>OJI-AUT-EQ-FUK-#3-1</v>
      </c>
      <c r="B151" s="11" t="s">
        <v>280</v>
      </c>
      <c r="C151" s="10" t="s">
        <v>183</v>
      </c>
      <c r="D151" s="11"/>
      <c r="E151" s="11"/>
      <c r="F151" s="5"/>
      <c r="G151" s="5"/>
      <c r="H151" s="5"/>
      <c r="I151" s="5"/>
      <c r="J151" s="5"/>
      <c r="K151" s="5"/>
    </row>
    <row r="152" spans="1:11">
      <c r="A152" s="13" t="str">
        <f>_xlfn.TEXTJOIN("-",TRUE,Hoja2!A152:I152,"SEM",1)</f>
        <v>OJI-SEM-1</v>
      </c>
      <c r="B152" s="11" t="s">
        <v>294</v>
      </c>
      <c r="C152" s="10" t="s">
        <v>184</v>
      </c>
      <c r="D152" s="11"/>
      <c r="E152" s="11"/>
      <c r="F152" s="5"/>
      <c r="G152" s="5"/>
      <c r="H152" s="5"/>
      <c r="I152" s="5"/>
      <c r="J152" s="5"/>
      <c r="K152" s="5"/>
    </row>
    <row r="153" spans="1:11">
      <c r="A153" s="13" t="s">
        <v>361</v>
      </c>
      <c r="B153" s="14" t="s">
        <v>248</v>
      </c>
      <c r="C153" s="11" t="s">
        <v>191</v>
      </c>
      <c r="D153" s="11" t="s">
        <v>39</v>
      </c>
      <c r="E153" s="11">
        <v>50</v>
      </c>
      <c r="F153" s="5"/>
      <c r="G153" s="5"/>
      <c r="H153" s="5"/>
      <c r="I153" s="5"/>
      <c r="J153" s="5"/>
      <c r="K153" s="5"/>
    </row>
    <row r="154" spans="1:11">
      <c r="A154" s="13" t="s">
        <v>362</v>
      </c>
      <c r="B154" s="14" t="s">
        <v>248</v>
      </c>
      <c r="C154" s="11" t="s">
        <v>190</v>
      </c>
      <c r="D154" s="11" t="s">
        <v>39</v>
      </c>
      <c r="E154" s="11">
        <v>50</v>
      </c>
      <c r="F154" s="5"/>
      <c r="G154" s="5"/>
      <c r="H154" s="5"/>
      <c r="I154" s="5"/>
      <c r="J154" s="5"/>
      <c r="K154" s="5"/>
    </row>
    <row r="155" spans="1:11">
      <c r="A155" s="13" t="s">
        <v>363</v>
      </c>
      <c r="B155" s="14" t="s">
        <v>248</v>
      </c>
      <c r="C155" s="11" t="s">
        <v>189</v>
      </c>
      <c r="D155" s="11" t="s">
        <v>39</v>
      </c>
      <c r="E155" s="11">
        <v>50</v>
      </c>
      <c r="F155" s="5"/>
      <c r="G155" s="5"/>
      <c r="H155" s="5"/>
      <c r="I155" s="5"/>
      <c r="J155" s="5"/>
      <c r="K155" s="5"/>
    </row>
    <row r="156" spans="1:11">
      <c r="A156" s="13" t="s">
        <v>364</v>
      </c>
      <c r="B156" s="14" t="s">
        <v>248</v>
      </c>
      <c r="C156" s="11" t="s">
        <v>360</v>
      </c>
      <c r="D156" s="11" t="s">
        <v>39</v>
      </c>
      <c r="E156" s="11">
        <v>50</v>
      </c>
      <c r="F156" s="5"/>
      <c r="G156" s="5"/>
      <c r="H156" s="5"/>
      <c r="I156" s="5"/>
      <c r="J156" s="5"/>
      <c r="K156" s="5"/>
    </row>
    <row r="157" spans="1:11">
      <c r="A157" s="13" t="s">
        <v>365</v>
      </c>
      <c r="B157" s="14" t="s">
        <v>248</v>
      </c>
      <c r="C157" s="11" t="s">
        <v>194</v>
      </c>
      <c r="D157" s="11" t="s">
        <v>39</v>
      </c>
      <c r="E157" s="11">
        <v>50</v>
      </c>
      <c r="F157" s="5"/>
      <c r="G157" s="5"/>
      <c r="H157" s="5"/>
      <c r="I157" s="5"/>
      <c r="J157" s="5"/>
      <c r="K157" s="5"/>
    </row>
    <row r="158" spans="1:11">
      <c r="A158" s="13" t="s">
        <v>366</v>
      </c>
      <c r="B158" s="14" t="s">
        <v>248</v>
      </c>
      <c r="C158" s="11" t="s">
        <v>195</v>
      </c>
      <c r="D158" s="11" t="s">
        <v>39</v>
      </c>
      <c r="E158" s="11">
        <v>50</v>
      </c>
      <c r="F158" s="5"/>
      <c r="G158" s="5"/>
      <c r="H158" s="5"/>
      <c r="I158" s="5"/>
      <c r="J158" s="5"/>
      <c r="K158" s="5"/>
    </row>
    <row r="159" spans="1:11">
      <c r="A159" s="13" t="s">
        <v>358</v>
      </c>
      <c r="B159" s="11" t="s">
        <v>173</v>
      </c>
      <c r="C159" s="11" t="s">
        <v>185</v>
      </c>
      <c r="D159" s="11" t="s">
        <v>39</v>
      </c>
      <c r="E159" s="11" t="s">
        <v>30</v>
      </c>
      <c r="F159" s="5"/>
      <c r="G159" s="5"/>
      <c r="H159" s="5"/>
      <c r="I159" s="5"/>
      <c r="J159" s="5"/>
      <c r="K159" s="5"/>
    </row>
    <row r="160" spans="1:11">
      <c r="A160" s="13" t="s">
        <v>359</v>
      </c>
      <c r="B160" s="11" t="s">
        <v>173</v>
      </c>
      <c r="C160" s="11" t="s">
        <v>96</v>
      </c>
      <c r="D160" s="11" t="s">
        <v>39</v>
      </c>
      <c r="E160" s="11" t="s">
        <v>30</v>
      </c>
      <c r="F160" s="5"/>
      <c r="G160" s="5"/>
      <c r="H160" s="5"/>
      <c r="I160" s="5"/>
      <c r="J160" s="5"/>
      <c r="K160" s="5"/>
    </row>
    <row r="161" spans="1:11">
      <c r="A161" s="13" t="str">
        <f>_xlfn.TEXTJOIN("-",TRUE,Hoja2!A161:I161,"BLU-ORA",1)</f>
        <v>VIN-COR-BLU-ORA-1</v>
      </c>
      <c r="B161" s="11" t="s">
        <v>173</v>
      </c>
      <c r="C161" s="11" t="s">
        <v>110</v>
      </c>
      <c r="D161" s="11" t="s">
        <v>39</v>
      </c>
      <c r="E161" s="11" t="s">
        <v>30</v>
      </c>
      <c r="F161" s="5"/>
      <c r="G161" s="5"/>
      <c r="H161" s="5"/>
      <c r="I161" s="5"/>
      <c r="J161" s="5"/>
      <c r="K161" s="5"/>
    </row>
    <row r="162" spans="1:11">
      <c r="A162" s="13" t="str">
        <f>_xlfn.TEXTJOIN("-",TRUE,Hoja2!A162:I162,"BRI-ORA",1)</f>
        <v>VIN-COR-BRI-ORA-1</v>
      </c>
      <c r="B162" s="11" t="s">
        <v>173</v>
      </c>
      <c r="C162" s="11" t="s">
        <v>111</v>
      </c>
      <c r="D162" s="11" t="s">
        <v>39</v>
      </c>
      <c r="E162" s="11" t="s">
        <v>30</v>
      </c>
      <c r="F162" s="5"/>
      <c r="G162" s="5"/>
      <c r="H162" s="5"/>
      <c r="I162" s="5"/>
      <c r="J162" s="5"/>
      <c r="K162" s="5"/>
    </row>
    <row r="163" spans="1:11">
      <c r="A163" s="13" t="str">
        <f>_xlfn.TEXTJOIN("-",TRUE,Hoja2!A163:I163,"BUR",1)</f>
        <v>VIN-COR-BUR-1</v>
      </c>
      <c r="B163" s="11" t="s">
        <v>173</v>
      </c>
      <c r="C163" s="11" t="s">
        <v>98</v>
      </c>
      <c r="D163" s="11" t="s">
        <v>39</v>
      </c>
      <c r="E163" s="11" t="s">
        <v>30</v>
      </c>
      <c r="F163" s="5"/>
      <c r="G163" s="5"/>
      <c r="H163" s="5"/>
      <c r="I163" s="5"/>
      <c r="J163" s="5"/>
      <c r="K163" s="5"/>
    </row>
    <row r="164" spans="1:11">
      <c r="A164" s="13" t="str">
        <f>_xlfn.TEXTJOIN("-",TRUE,Hoja2!A164:I164,"CAR-RED",1)</f>
        <v>VIN-COR-CAR-RED-1</v>
      </c>
      <c r="B164" s="11" t="s">
        <v>173</v>
      </c>
      <c r="C164" s="11" t="s">
        <v>94</v>
      </c>
      <c r="D164" s="11" t="s">
        <v>39</v>
      </c>
      <c r="E164" s="11" t="s">
        <v>30</v>
      </c>
      <c r="F164" s="5"/>
      <c r="G164" s="5"/>
      <c r="H164" s="5"/>
      <c r="I164" s="5"/>
      <c r="J164" s="5"/>
      <c r="K164" s="5"/>
    </row>
    <row r="165" spans="1:11">
      <c r="A165" s="13" t="str">
        <f>_xlfn.TEXTJOIN("-",TRUE,Hoja2!A165:I165,"DAR-GRA",1)</f>
        <v>VIN-COR-DAR-GRA-1</v>
      </c>
      <c r="B165" s="11" t="s">
        <v>173</v>
      </c>
      <c r="C165" s="11" t="s">
        <v>100</v>
      </c>
      <c r="D165" s="11" t="s">
        <v>39</v>
      </c>
      <c r="E165" s="11" t="s">
        <v>30</v>
      </c>
      <c r="F165" s="5"/>
      <c r="G165" s="5"/>
      <c r="H165" s="5"/>
      <c r="I165" s="5"/>
      <c r="J165" s="5"/>
      <c r="K165" s="5"/>
    </row>
    <row r="166" spans="1:11">
      <c r="A166" s="13" t="s">
        <v>367</v>
      </c>
      <c r="B166" s="11" t="s">
        <v>248</v>
      </c>
      <c r="C166" s="11" t="s">
        <v>192</v>
      </c>
      <c r="D166" s="11" t="s">
        <v>39</v>
      </c>
      <c r="E166" s="11">
        <v>50</v>
      </c>
      <c r="F166" s="5"/>
      <c r="G166" s="5"/>
      <c r="H166" s="5"/>
      <c r="I166" s="5"/>
      <c r="J166" s="5"/>
      <c r="K166" s="5"/>
    </row>
    <row r="167" spans="1:11">
      <c r="A167" s="13" t="str">
        <f>_xlfn.TEXTJOIN("-",TRUE,Hoja2!A167:I167,"ESM",1)</f>
        <v>VIN-COR-ESM-1</v>
      </c>
      <c r="B167" s="11" t="s">
        <v>200</v>
      </c>
      <c r="C167" s="11" t="s">
        <v>99</v>
      </c>
      <c r="D167" s="11" t="s">
        <v>39</v>
      </c>
      <c r="E167" s="11">
        <v>50</v>
      </c>
      <c r="F167" s="5"/>
      <c r="G167" s="5"/>
      <c r="H167" s="5"/>
      <c r="I167" s="5"/>
      <c r="J167" s="5"/>
      <c r="K167" s="5"/>
    </row>
    <row r="168" spans="1:11">
      <c r="A168" s="13" t="str">
        <f>_xlfn.TEXTJOIN("-",TRUE,Hoja2!A168:I168,"FOT",1)</f>
        <v>VIN-COR-FOT-1</v>
      </c>
      <c r="B168" s="11" t="s">
        <v>199</v>
      </c>
      <c r="C168" s="11" t="s">
        <v>186</v>
      </c>
      <c r="D168" s="11" t="s">
        <v>39</v>
      </c>
      <c r="E168" s="11">
        <v>50</v>
      </c>
      <c r="F168" s="5"/>
      <c r="G168" s="5"/>
      <c r="H168" s="5"/>
      <c r="I168" s="5"/>
      <c r="J168" s="5"/>
      <c r="K168" s="5"/>
    </row>
    <row r="169" spans="1:11">
      <c r="A169" s="13" t="str">
        <f>_xlfn.TEXTJOIN("-",TRUE,Hoja2!A169:I169,"GOL",1)</f>
        <v>VIN-COR-GOL-1</v>
      </c>
      <c r="B169" s="11" t="s">
        <v>173</v>
      </c>
      <c r="C169" s="11" t="s">
        <v>95</v>
      </c>
      <c r="D169" s="11" t="s">
        <v>39</v>
      </c>
      <c r="E169" s="11" t="s">
        <v>30</v>
      </c>
      <c r="F169" s="5"/>
      <c r="G169" s="5"/>
      <c r="H169" s="5"/>
      <c r="I169" s="5"/>
      <c r="J169" s="5"/>
      <c r="K169" s="5"/>
    </row>
    <row r="170" spans="1:11">
      <c r="A170" s="13" t="str">
        <f>_xlfn.TEXTJOIN("-",TRUE,Hoja2!A170:I170,"GRE",1)</f>
        <v>VIN-COR-GRE-1</v>
      </c>
      <c r="B170" s="11" t="s">
        <v>173</v>
      </c>
      <c r="C170" s="11" t="s">
        <v>112</v>
      </c>
      <c r="D170" s="11" t="s">
        <v>39</v>
      </c>
      <c r="E170" s="11" t="s">
        <v>30</v>
      </c>
      <c r="F170" s="5"/>
      <c r="G170" s="5"/>
      <c r="H170" s="5"/>
      <c r="I170" s="5"/>
      <c r="J170" s="5"/>
      <c r="K170" s="5"/>
    </row>
    <row r="171" spans="1:11">
      <c r="A171" s="13" t="str">
        <f>_xlfn.TEXTJOIN("-",TRUE,Hoja2!A171:I171,"MAJ-BLU",,1)</f>
        <v>VIN-COR-MAJ-BLU-1</v>
      </c>
      <c r="B171" s="11" t="s">
        <v>173</v>
      </c>
      <c r="C171" s="11" t="s">
        <v>108</v>
      </c>
      <c r="D171" s="11" t="s">
        <v>39</v>
      </c>
      <c r="E171" s="11" t="s">
        <v>30</v>
      </c>
      <c r="F171" s="5"/>
      <c r="G171" s="5"/>
      <c r="H171" s="5"/>
      <c r="I171" s="5"/>
      <c r="J171" s="5"/>
      <c r="K171" s="5"/>
    </row>
    <row r="172" spans="1:11">
      <c r="A172" s="13" t="str">
        <f>_xlfn.TEXTJOIN("-",TRUE,Hoja2!A172:I172,"MED-GRA",1)</f>
        <v>VIN-COR-MED-GRA-1</v>
      </c>
      <c r="B172" s="11" t="s">
        <v>173</v>
      </c>
      <c r="C172" s="11" t="s">
        <v>105</v>
      </c>
      <c r="D172" s="11" t="s">
        <v>39</v>
      </c>
      <c r="E172" s="11" t="s">
        <v>30</v>
      </c>
      <c r="F172" s="5"/>
      <c r="G172" s="5"/>
      <c r="H172" s="5"/>
      <c r="I172" s="5"/>
      <c r="J172" s="5"/>
      <c r="K172" s="5"/>
    </row>
    <row r="173" spans="1:11">
      <c r="A173" s="13" t="s">
        <v>368</v>
      </c>
      <c r="B173" s="11" t="s">
        <v>248</v>
      </c>
      <c r="C173" s="11" t="s">
        <v>193</v>
      </c>
      <c r="D173" s="11" t="s">
        <v>39</v>
      </c>
      <c r="E173" s="11">
        <v>50</v>
      </c>
      <c r="F173" s="5"/>
      <c r="G173" s="5"/>
      <c r="H173" s="5"/>
      <c r="I173" s="5"/>
      <c r="J173" s="5"/>
      <c r="K173" s="5"/>
    </row>
    <row r="174" spans="1:11">
      <c r="A174" s="13" t="s">
        <v>369</v>
      </c>
      <c r="B174" s="11" t="s">
        <v>173</v>
      </c>
      <c r="C174" s="11" t="s">
        <v>102</v>
      </c>
      <c r="D174" s="11" t="s">
        <v>39</v>
      </c>
      <c r="E174" s="11" t="s">
        <v>30</v>
      </c>
      <c r="F174" s="5"/>
      <c r="G174" s="5"/>
      <c r="H174" s="5"/>
      <c r="I174" s="5"/>
      <c r="J174" s="5"/>
      <c r="K174" s="5"/>
    </row>
    <row r="175" spans="1:11">
      <c r="A175" s="13" t="s">
        <v>370</v>
      </c>
      <c r="B175" s="11" t="s">
        <v>173</v>
      </c>
      <c r="C175" s="11" t="s">
        <v>101</v>
      </c>
      <c r="D175" s="11" t="s">
        <v>39</v>
      </c>
      <c r="E175" s="11" t="s">
        <v>30</v>
      </c>
      <c r="F175" s="5"/>
      <c r="G175" s="5"/>
      <c r="H175" s="5"/>
      <c r="I175" s="5"/>
      <c r="J175" s="5"/>
      <c r="K175" s="5"/>
    </row>
    <row r="176" spans="1:11">
      <c r="A176" s="13" t="s">
        <v>371</v>
      </c>
      <c r="B176" s="11" t="s">
        <v>173</v>
      </c>
      <c r="C176" s="11" t="s">
        <v>106</v>
      </c>
      <c r="D176" s="11" t="s">
        <v>39</v>
      </c>
      <c r="E176" s="11" t="s">
        <v>30</v>
      </c>
      <c r="F176" s="5"/>
      <c r="G176" s="5"/>
      <c r="H176" s="5"/>
      <c r="I176" s="5"/>
      <c r="J176" s="5"/>
      <c r="K176" s="5"/>
    </row>
    <row r="177" spans="1:11">
      <c r="A177" s="13" t="str">
        <f>_xlfn.TEXTJOIN("-",TRUE,Hoja2!A177:I177,1)</f>
        <v>VIN-COR-ESP-ORO-ESP-1</v>
      </c>
      <c r="B177" s="11" t="s">
        <v>199</v>
      </c>
      <c r="C177" s="11" t="s">
        <v>104</v>
      </c>
      <c r="D177" s="11" t="s">
        <v>18</v>
      </c>
      <c r="E177" s="11">
        <v>5</v>
      </c>
      <c r="F177" s="5"/>
      <c r="G177" s="5"/>
      <c r="H177" s="5"/>
      <c r="I177" s="5"/>
      <c r="J177" s="5"/>
      <c r="K177" s="5"/>
    </row>
    <row r="178" spans="1:11">
      <c r="A178" s="13" t="s">
        <v>372</v>
      </c>
      <c r="B178" s="11" t="s">
        <v>199</v>
      </c>
      <c r="C178" s="11" t="s">
        <v>109</v>
      </c>
      <c r="D178" s="11" t="s">
        <v>50</v>
      </c>
      <c r="E178" s="11">
        <v>50</v>
      </c>
      <c r="F178" s="5"/>
      <c r="G178" s="5"/>
      <c r="H178" s="5"/>
      <c r="I178" s="5"/>
      <c r="J178" s="5"/>
      <c r="K178" s="5"/>
    </row>
    <row r="179" spans="1:11">
      <c r="A179" s="13" t="str">
        <f>_xlfn.TEXTJOIN("-",TRUE,Hoja2!A179:I179,1)</f>
        <v>VIN-COR-CEP-PLA-CEP-1</v>
      </c>
      <c r="B179" s="11" t="s">
        <v>199</v>
      </c>
      <c r="C179" s="11" t="s">
        <v>103</v>
      </c>
      <c r="D179" s="11" t="s">
        <v>39</v>
      </c>
      <c r="E179" s="11">
        <v>10</v>
      </c>
      <c r="F179" s="5"/>
      <c r="G179" s="5"/>
      <c r="H179" s="5"/>
      <c r="I179" s="5"/>
      <c r="J179" s="5"/>
      <c r="K179" s="5"/>
    </row>
    <row r="180" spans="1:11">
      <c r="A180" s="13" t="str">
        <f>_xlfn.TEXTJOIN("-",TRUE,Hoja2!A180:I180,1)</f>
        <v>VIN-COR-ESP-PLA-ESP-1</v>
      </c>
      <c r="B180" s="11" t="s">
        <v>199</v>
      </c>
      <c r="C180" s="11" t="s">
        <v>187</v>
      </c>
      <c r="D180" s="11">
        <v>1.22</v>
      </c>
      <c r="E180" s="11">
        <v>50</v>
      </c>
      <c r="F180" s="5"/>
      <c r="G180" s="5"/>
      <c r="H180" s="5"/>
      <c r="I180" s="5"/>
      <c r="J180" s="5"/>
      <c r="K180" s="5"/>
    </row>
    <row r="181" spans="1:11">
      <c r="A181" s="13" t="str">
        <f>_xlfn.TEXTJOIN("-",TRUE,Hoja2!A181:I181,"ROY-BLU",1)</f>
        <v>VIN-COR-ROY-BLU-1</v>
      </c>
      <c r="B181" s="11" t="s">
        <v>199</v>
      </c>
      <c r="C181" s="11" t="s">
        <v>97</v>
      </c>
      <c r="D181" s="11" t="s">
        <v>39</v>
      </c>
      <c r="E181" s="11" t="s">
        <v>30</v>
      </c>
      <c r="F181" s="5"/>
      <c r="G181" s="5"/>
      <c r="H181" s="5"/>
      <c r="I181" s="5"/>
      <c r="J181" s="5"/>
      <c r="K181" s="5"/>
    </row>
    <row r="182" spans="1:11">
      <c r="A182" s="13" t="str">
        <f>_xlfn.TEXTJOIN("-",TRUE,Hoja2!A182:I182,"ROY-BLU",2)</f>
        <v>VIN-COR-ROY-BLU-2</v>
      </c>
      <c r="B182" s="11" t="s">
        <v>173</v>
      </c>
      <c r="C182" s="11" t="s">
        <v>97</v>
      </c>
      <c r="D182" s="11" t="s">
        <v>188</v>
      </c>
      <c r="E182" s="11" t="s">
        <v>295</v>
      </c>
      <c r="F182" s="5"/>
      <c r="G182" s="5"/>
      <c r="H182" s="5"/>
      <c r="I182" s="5"/>
      <c r="J182" s="5"/>
      <c r="K182" s="5"/>
    </row>
    <row r="183" spans="1:11">
      <c r="A183" s="13" t="str">
        <f>_xlfn.TEXTJOIN("-",TRUE,Hoja2!A183:I183,"SIL",1)</f>
        <v>VIN-COR-SIL-1</v>
      </c>
      <c r="B183" s="11" t="s">
        <v>199</v>
      </c>
      <c r="C183" s="11" t="s">
        <v>107</v>
      </c>
      <c r="D183" s="11" t="s">
        <v>39</v>
      </c>
      <c r="E183" s="11" t="s">
        <v>30</v>
      </c>
      <c r="F183" s="5"/>
      <c r="G183" s="5"/>
      <c r="H183" s="5"/>
      <c r="I183" s="5"/>
      <c r="J183" s="5"/>
      <c r="K183" s="5"/>
    </row>
    <row r="184" spans="1:11">
      <c r="A184" s="13" t="str">
        <f>_xlfn.TEXTJOIN("-",TRUE,Hoja2!A184:I184,"SIL",2)</f>
        <v>VIN-COR-SIL-2</v>
      </c>
      <c r="B184" s="11" t="s">
        <v>173</v>
      </c>
      <c r="C184" s="11" t="s">
        <v>107</v>
      </c>
      <c r="D184" s="11" t="s">
        <v>188</v>
      </c>
      <c r="E184" s="11" t="s">
        <v>295</v>
      </c>
      <c r="F184" s="5"/>
      <c r="G184" s="5"/>
      <c r="H184" s="5"/>
      <c r="I184" s="5"/>
      <c r="J184" s="5"/>
      <c r="K184" s="5"/>
    </row>
    <row r="185" spans="1:11">
      <c r="A185" s="13" t="str">
        <f>_xlfn.TEXTJOIN("-",TRUE,Hoja2!A185:I185,1)</f>
        <v>ACR-AZU-3MM-1</v>
      </c>
      <c r="B185" s="11" t="s">
        <v>199</v>
      </c>
      <c r="C185" s="7" t="s">
        <v>113</v>
      </c>
      <c r="D185" s="12" t="s">
        <v>39</v>
      </c>
      <c r="E185" s="12" t="s">
        <v>60</v>
      </c>
      <c r="F185" s="5"/>
      <c r="G185" s="5"/>
      <c r="H185" s="5"/>
      <c r="I185" s="5"/>
      <c r="J185" s="5"/>
      <c r="K185" s="5"/>
    </row>
    <row r="186" spans="1:11">
      <c r="A186" s="13" t="str">
        <f>_xlfn.TEXTJOIN("-",TRUE,Hoja2!A186:I186,2)</f>
        <v>ACR-AZU-3MM-2</v>
      </c>
      <c r="B186" s="11" t="s">
        <v>199</v>
      </c>
      <c r="C186" s="7" t="s">
        <v>113</v>
      </c>
      <c r="D186" s="12" t="s">
        <v>39</v>
      </c>
      <c r="E186" s="12" t="s">
        <v>51</v>
      </c>
      <c r="F186" s="5"/>
      <c r="G186" s="5"/>
      <c r="H186" s="5"/>
      <c r="I186" s="5"/>
      <c r="J186" s="5"/>
      <c r="K186" s="5"/>
    </row>
    <row r="187" spans="1:11">
      <c r="A187" s="13" t="str">
        <f>_xlfn.TEXTJOIN("-",TRUE,Hoja2!A187:I187,3)</f>
        <v>ACR-AZU-3MM-3</v>
      </c>
      <c r="B187" s="11" t="s">
        <v>200</v>
      </c>
      <c r="C187" s="7" t="s">
        <v>113</v>
      </c>
      <c r="D187" s="12" t="s">
        <v>188</v>
      </c>
      <c r="E187" s="12" t="s">
        <v>290</v>
      </c>
      <c r="F187" s="5"/>
      <c r="G187" s="5"/>
      <c r="H187" s="5"/>
      <c r="I187" s="5"/>
      <c r="J187" s="5"/>
      <c r="K187" s="5"/>
    </row>
    <row r="188" spans="1:11">
      <c r="A188" s="13" t="str">
        <f>_xlfn.TEXTJOIN("-",TRUE,Hoja2!A188:I188,1)</f>
        <v>ACR-BLA-3MM-1</v>
      </c>
      <c r="B188" s="11" t="s">
        <v>199</v>
      </c>
      <c r="C188" s="7" t="s">
        <v>115</v>
      </c>
      <c r="D188" s="12" t="s">
        <v>39</v>
      </c>
      <c r="E188" s="12" t="s">
        <v>51</v>
      </c>
      <c r="F188" s="5"/>
      <c r="G188" s="5"/>
      <c r="H188" s="5"/>
      <c r="I188" s="5"/>
      <c r="J188" s="5"/>
      <c r="K188" s="5"/>
    </row>
    <row r="189" spans="1:11">
      <c r="A189" s="13" t="str">
        <f>_xlfn.TEXTJOIN("-",TRUE,Hoja2!A189:I189,1)</f>
        <v>ACR-BLA-3MM-1</v>
      </c>
      <c r="B189" s="11" t="s">
        <v>201</v>
      </c>
      <c r="C189" s="7" t="s">
        <v>115</v>
      </c>
      <c r="D189" s="12" t="s">
        <v>39</v>
      </c>
      <c r="E189" s="12" t="s">
        <v>51</v>
      </c>
      <c r="F189" s="5"/>
      <c r="G189" s="5"/>
      <c r="H189" s="5"/>
      <c r="I189" s="5"/>
      <c r="J189" s="5"/>
      <c r="K189" s="5"/>
    </row>
    <row r="190" spans="1:11">
      <c r="A190" s="13" t="str">
        <f>_xlfn.TEXTJOIN("-",TRUE,Hoja2!A190:I190,1)</f>
        <v>ACR-BLA-5MM-1</v>
      </c>
      <c r="B190" s="11" t="s">
        <v>199</v>
      </c>
      <c r="C190" s="7" t="s">
        <v>116</v>
      </c>
      <c r="D190" s="12" t="s">
        <v>39</v>
      </c>
      <c r="E190" s="12" t="s">
        <v>51</v>
      </c>
      <c r="F190" s="5"/>
      <c r="G190" s="5"/>
      <c r="H190" s="5"/>
      <c r="I190" s="5"/>
      <c r="J190" s="5"/>
      <c r="K190" s="5"/>
    </row>
    <row r="191" spans="1:11">
      <c r="A191" s="13" t="str">
        <f>_xlfn.TEXTJOIN("-",TRUE,Hoja2!A191:I191,1)</f>
        <v>ACR-CRI-6MM-1</v>
      </c>
      <c r="B191" s="11" t="s">
        <v>199</v>
      </c>
      <c r="C191" s="7" t="s">
        <v>117</v>
      </c>
      <c r="D191" s="12" t="s">
        <v>39</v>
      </c>
      <c r="E191" s="12" t="s">
        <v>51</v>
      </c>
      <c r="F191" s="5"/>
      <c r="G191" s="5"/>
      <c r="H191" s="5"/>
      <c r="I191" s="5"/>
      <c r="J191" s="5"/>
      <c r="K191" s="5"/>
    </row>
    <row r="192" spans="1:11">
      <c r="A192" s="13" t="str">
        <f>_xlfn.TEXTJOIN("-",TRUE,Hoja2!A192:I192,1)</f>
        <v>ACR-CRI-3MM-1</v>
      </c>
      <c r="B192" s="11" t="s">
        <v>199</v>
      </c>
      <c r="C192" s="7" t="s">
        <v>118</v>
      </c>
      <c r="D192" s="12" t="s">
        <v>39</v>
      </c>
      <c r="E192" s="12" t="s">
        <v>51</v>
      </c>
      <c r="F192" s="5"/>
      <c r="G192" s="5"/>
      <c r="H192" s="5"/>
      <c r="I192" s="5"/>
      <c r="J192" s="5"/>
      <c r="K192" s="5"/>
    </row>
    <row r="193" spans="1:11">
      <c r="A193" s="13" t="str">
        <f>_xlfn.TEXTJOIN("-",TRUE,Hoja2!A193:I193,1)</f>
        <v>ACR-CRI-4MM-1</v>
      </c>
      <c r="B193" s="11" t="s">
        <v>199</v>
      </c>
      <c r="C193" s="7" t="s">
        <v>119</v>
      </c>
      <c r="D193" s="12" t="s">
        <v>39</v>
      </c>
      <c r="E193" s="12" t="s">
        <v>51</v>
      </c>
      <c r="F193" s="5"/>
      <c r="G193" s="5"/>
      <c r="H193" s="5"/>
      <c r="I193" s="5"/>
      <c r="J193" s="5"/>
      <c r="K193" s="5"/>
    </row>
    <row r="194" spans="1:11">
      <c r="A194" s="13" t="str">
        <f>_xlfn.TEXTJOIN("-",TRUE,Hoja2!A194:I194,1)</f>
        <v>ACR-CRI-5MM-1</v>
      </c>
      <c r="B194" s="11" t="s">
        <v>199</v>
      </c>
      <c r="C194" s="7" t="s">
        <v>120</v>
      </c>
      <c r="D194" s="12" t="s">
        <v>39</v>
      </c>
      <c r="E194" s="12" t="s">
        <v>51</v>
      </c>
      <c r="F194" s="5"/>
      <c r="G194" s="5"/>
      <c r="H194" s="5"/>
      <c r="I194" s="5"/>
      <c r="J194" s="5"/>
      <c r="K194" s="5"/>
    </row>
    <row r="195" spans="1:11">
      <c r="A195" s="13" t="str">
        <f>_xlfn.TEXTJOIN("-",TRUE,Hoja2!A195:I195,1)</f>
        <v>ACR-CRI-2MM-1</v>
      </c>
      <c r="B195" s="11" t="s">
        <v>199</v>
      </c>
      <c r="C195" s="7" t="s">
        <v>121</v>
      </c>
      <c r="D195" s="12" t="s">
        <v>39</v>
      </c>
      <c r="E195" s="12" t="s">
        <v>51</v>
      </c>
      <c r="F195" s="5"/>
      <c r="G195" s="5"/>
      <c r="H195" s="5"/>
      <c r="I195" s="5"/>
      <c r="J195" s="5"/>
      <c r="K195" s="5"/>
    </row>
    <row r="196" spans="1:11">
      <c r="A196" s="13" t="str">
        <f>_xlfn.TEXTJOIN("-",TRUE,Hoja2!A196:I196,1)</f>
        <v>ACR-CRI-9MM-1</v>
      </c>
      <c r="B196" s="11" t="s">
        <v>199</v>
      </c>
      <c r="C196" s="7" t="s">
        <v>196</v>
      </c>
      <c r="D196" s="12" t="s">
        <v>39</v>
      </c>
      <c r="E196" s="12" t="s">
        <v>51</v>
      </c>
      <c r="F196" s="5"/>
      <c r="G196" s="5"/>
      <c r="H196" s="5"/>
      <c r="I196" s="5"/>
      <c r="J196" s="5"/>
      <c r="K196" s="5"/>
    </row>
    <row r="197" spans="1:11">
      <c r="A197" s="13" t="str">
        <f>_xlfn.TEXTJOIN("-",TRUE,Hoja2!A197:I197,1)</f>
        <v>ACR-ROJ-3MM-1</v>
      </c>
      <c r="B197" s="11" t="s">
        <v>199</v>
      </c>
      <c r="C197" s="7" t="s">
        <v>122</v>
      </c>
      <c r="D197" s="12" t="s">
        <v>39</v>
      </c>
      <c r="E197" s="12" t="s">
        <v>51</v>
      </c>
      <c r="F197" s="5"/>
      <c r="G197" s="5"/>
      <c r="H197" s="5"/>
      <c r="I197" s="5"/>
      <c r="J197" s="5"/>
      <c r="K197" s="5"/>
    </row>
    <row r="198" spans="1:11">
      <c r="A198" s="13" t="str">
        <f>_xlfn.TEXTJOIN("-",TRUE,Hoja2!A198:I198,2)</f>
        <v>ACR-ROJ-3MM-2</v>
      </c>
      <c r="B198" s="11" t="s">
        <v>200</v>
      </c>
      <c r="C198" s="7" t="s">
        <v>122</v>
      </c>
      <c r="D198" s="12" t="s">
        <v>188</v>
      </c>
      <c r="E198" s="12" t="s">
        <v>290</v>
      </c>
      <c r="F198" s="5"/>
      <c r="G198" s="5"/>
      <c r="H198" s="5"/>
      <c r="I198" s="5"/>
      <c r="J198" s="5"/>
      <c r="K198" s="5"/>
    </row>
    <row r="199" spans="1:11">
      <c r="A199" s="13" t="str">
        <f>_xlfn.TEXTJOIN("-",TRUE,Hoja2!A199:I199,1)</f>
        <v>ACR-NAR-3MM-1</v>
      </c>
      <c r="B199" s="11" t="s">
        <v>199</v>
      </c>
      <c r="C199" s="7" t="s">
        <v>114</v>
      </c>
      <c r="D199" s="12" t="s">
        <v>39</v>
      </c>
      <c r="E199" s="12" t="s">
        <v>51</v>
      </c>
      <c r="F199" s="5"/>
      <c r="G199" s="5"/>
      <c r="H199" s="5"/>
      <c r="I199" s="5"/>
      <c r="J199" s="5"/>
      <c r="K199" s="5"/>
    </row>
    <row r="200" spans="1:11">
      <c r="A200" s="13" t="str">
        <f>_xlfn.TEXTJOIN("-",TRUE,Hoja2!A200:I200,1)</f>
        <v>ACR-ROJ-5MM-1</v>
      </c>
      <c r="B200" s="11" t="s">
        <v>199</v>
      </c>
      <c r="C200" s="7" t="s">
        <v>123</v>
      </c>
      <c r="D200" s="12" t="s">
        <v>60</v>
      </c>
      <c r="E200" s="12" t="s">
        <v>51</v>
      </c>
      <c r="F200" s="5"/>
      <c r="G200" s="5"/>
      <c r="H200" s="5"/>
      <c r="I200" s="5"/>
      <c r="J200" s="5"/>
      <c r="K200" s="5"/>
    </row>
    <row r="201" spans="1:11">
      <c r="A201" s="13" t="str">
        <f>_xlfn.TEXTJOIN("-",TRUE,Hoja2!A201:I201,1)</f>
        <v>ACR-NEG-3MM-1</v>
      </c>
      <c r="B201" s="11" t="s">
        <v>199</v>
      </c>
      <c r="C201" s="7" t="s">
        <v>124</v>
      </c>
      <c r="D201" s="12" t="s">
        <v>39</v>
      </c>
      <c r="E201" s="12" t="s">
        <v>51</v>
      </c>
      <c r="F201" s="5"/>
      <c r="G201" s="5"/>
      <c r="H201" s="5"/>
      <c r="I201" s="5"/>
      <c r="J201" s="5"/>
      <c r="K201" s="5"/>
    </row>
    <row r="202" spans="1:11">
      <c r="A202" s="13" t="str">
        <f>_xlfn.TEXTJOIN("-",TRUE,Hoja2!A202:I202,2)</f>
        <v>ACR-NEG-3MM-2</v>
      </c>
      <c r="B202" s="11" t="s">
        <v>199</v>
      </c>
      <c r="C202" s="7" t="s">
        <v>124</v>
      </c>
      <c r="D202" s="12" t="s">
        <v>60</v>
      </c>
      <c r="E202" s="12" t="s">
        <v>51</v>
      </c>
      <c r="F202" s="5"/>
      <c r="G202" s="5"/>
      <c r="H202" s="5"/>
      <c r="I202" s="5"/>
      <c r="J202" s="5"/>
      <c r="K202" s="5"/>
    </row>
    <row r="203" spans="1:11">
      <c r="A203" s="13" t="str">
        <f>_xlfn.TEXTJOIN("-",TRUE,Hoja2!A203:I203,1)</f>
        <v>ACR-NEG-6MM-1</v>
      </c>
      <c r="B203" s="11" t="s">
        <v>199</v>
      </c>
      <c r="C203" s="7" t="s">
        <v>373</v>
      </c>
      <c r="D203" s="12" t="s">
        <v>39</v>
      </c>
      <c r="E203" s="12" t="s">
        <v>51</v>
      </c>
      <c r="F203" s="5"/>
      <c r="G203" s="5"/>
      <c r="H203" s="5"/>
      <c r="I203" s="5"/>
      <c r="J203" s="5"/>
      <c r="K203" s="5"/>
    </row>
    <row r="204" spans="1:11">
      <c r="A204" s="13" t="str">
        <f>_xlfn.TEXTJOIN("-",TRUE,Hoja2!A204:I204,2)</f>
        <v>ACR-NEG-6MM-2</v>
      </c>
      <c r="B204" s="11" t="s">
        <v>199</v>
      </c>
      <c r="C204" s="7" t="s">
        <v>373</v>
      </c>
      <c r="D204" s="12" t="s">
        <v>60</v>
      </c>
      <c r="E204" s="12" t="s">
        <v>51</v>
      </c>
      <c r="F204" s="5"/>
      <c r="G204" s="5"/>
      <c r="H204" s="5"/>
      <c r="I204" s="5"/>
      <c r="J204" s="5"/>
      <c r="K204" s="5"/>
    </row>
    <row r="205" spans="1:11">
      <c r="A205" s="13" t="str">
        <f>_xlfn.TEXTJOIN("-",TRUE,Hoja2!A205:I205,1)</f>
        <v>ACR-AMA-3MM-1</v>
      </c>
      <c r="B205" s="11" t="s">
        <v>199</v>
      </c>
      <c r="C205" s="7" t="s">
        <v>374</v>
      </c>
      <c r="D205" s="12" t="s">
        <v>51</v>
      </c>
      <c r="E205" s="12" t="s">
        <v>39</v>
      </c>
      <c r="F205" s="5"/>
      <c r="G205" s="5"/>
      <c r="H205" s="5"/>
      <c r="I205" s="5"/>
      <c r="J205" s="5"/>
      <c r="K205" s="5"/>
    </row>
    <row r="206" spans="1:11">
      <c r="A206" s="13" t="str">
        <f>_xlfn.TEXTJOIN("-",TRUE,Hoja2!A206:I206,1)</f>
        <v>ACR-AMA-3MM-TRA-1</v>
      </c>
      <c r="B206" s="11" t="s">
        <v>201</v>
      </c>
      <c r="C206" s="7" t="s">
        <v>375</v>
      </c>
      <c r="D206" s="12" t="s">
        <v>51</v>
      </c>
      <c r="E206" s="12" t="s">
        <v>39</v>
      </c>
      <c r="F206" s="5"/>
      <c r="G206" s="5"/>
      <c r="H206" s="5"/>
      <c r="I206" s="5"/>
      <c r="J206" s="5"/>
      <c r="K206" s="5"/>
    </row>
    <row r="207" spans="1:11">
      <c r="A207" s="13" t="str">
        <f>_xlfn.TEXTJOIN("-",TRUE,Hoja2!A207:I207,1)</f>
        <v>ACR-VER-3MM-1</v>
      </c>
      <c r="B207" s="11" t="s">
        <v>199</v>
      </c>
      <c r="C207" s="7" t="s">
        <v>125</v>
      </c>
      <c r="D207" s="12" t="s">
        <v>39</v>
      </c>
      <c r="E207" s="12" t="s">
        <v>51</v>
      </c>
      <c r="F207" s="5"/>
      <c r="G207" s="5"/>
      <c r="H207" s="5"/>
      <c r="I207" s="5"/>
      <c r="J207" s="5"/>
      <c r="K207" s="5"/>
    </row>
    <row r="208" spans="1:11">
      <c r="A208" s="13" t="s">
        <v>394</v>
      </c>
      <c r="B208" s="11" t="s">
        <v>197</v>
      </c>
      <c r="C208" s="11" t="s">
        <v>376</v>
      </c>
      <c r="D208" s="11">
        <v>1.27</v>
      </c>
      <c r="E208" s="11">
        <v>5</v>
      </c>
      <c r="F208" s="5"/>
      <c r="G208" s="5"/>
      <c r="H208" s="5"/>
      <c r="I208" s="5"/>
      <c r="J208" s="5"/>
      <c r="K208" s="5"/>
    </row>
    <row r="209" spans="1:11">
      <c r="A209" s="13" t="s">
        <v>395</v>
      </c>
      <c r="B209" s="11" t="s">
        <v>198</v>
      </c>
      <c r="C209" s="11" t="s">
        <v>376</v>
      </c>
      <c r="D209" s="11">
        <v>1.22</v>
      </c>
      <c r="E209" s="11">
        <v>5</v>
      </c>
      <c r="F209" s="5"/>
      <c r="G209" s="5"/>
      <c r="H209" s="5"/>
      <c r="I209" s="5"/>
      <c r="J209" s="5"/>
      <c r="K209" s="5"/>
    </row>
    <row r="210" spans="1:11">
      <c r="A210" s="13" t="s">
        <v>396</v>
      </c>
      <c r="B210" s="11" t="s">
        <v>198</v>
      </c>
      <c r="C210" s="11" t="s">
        <v>376</v>
      </c>
      <c r="D210" s="11">
        <v>1.5</v>
      </c>
      <c r="E210" s="11">
        <v>5</v>
      </c>
      <c r="F210" s="5"/>
      <c r="G210" s="5"/>
      <c r="H210" s="5"/>
      <c r="I210" s="5"/>
      <c r="J210" s="5"/>
      <c r="K210" s="5"/>
    </row>
    <row r="211" spans="1:11">
      <c r="A211" s="13" t="s">
        <v>397</v>
      </c>
      <c r="B211" s="11" t="s">
        <v>197</v>
      </c>
      <c r="C211" s="11" t="s">
        <v>377</v>
      </c>
      <c r="D211" s="11">
        <v>1.27</v>
      </c>
      <c r="E211" s="11">
        <v>5</v>
      </c>
      <c r="F211" s="5"/>
      <c r="G211" s="5"/>
      <c r="H211" s="5"/>
      <c r="I211" s="5"/>
      <c r="J211" s="5"/>
      <c r="K211" s="5"/>
    </row>
    <row r="212" spans="1:11">
      <c r="A212" s="13" t="s">
        <v>398</v>
      </c>
      <c r="B212" s="11" t="s">
        <v>198</v>
      </c>
      <c r="C212" s="11" t="s">
        <v>377</v>
      </c>
      <c r="D212" s="11">
        <v>1.22</v>
      </c>
      <c r="E212" s="11">
        <v>5</v>
      </c>
      <c r="F212" s="5"/>
      <c r="G212" s="5"/>
      <c r="H212" s="5"/>
      <c r="I212" s="5"/>
      <c r="J212" s="5"/>
      <c r="K212" s="5"/>
    </row>
    <row r="213" spans="1:11">
      <c r="A213" s="13" t="s">
        <v>399</v>
      </c>
      <c r="B213" s="11" t="s">
        <v>198</v>
      </c>
      <c r="C213" s="11" t="s">
        <v>378</v>
      </c>
      <c r="D213" s="11">
        <v>1.22</v>
      </c>
      <c r="E213" s="11">
        <v>5</v>
      </c>
      <c r="F213" s="5"/>
      <c r="G213" s="5"/>
      <c r="H213" s="5"/>
      <c r="I213" s="5"/>
      <c r="J213" s="5"/>
      <c r="K213" s="5"/>
    </row>
    <row r="214" spans="1:11">
      <c r="A214" s="13" t="s">
        <v>400</v>
      </c>
      <c r="B214" s="11" t="s">
        <v>197</v>
      </c>
      <c r="C214" s="11" t="s">
        <v>378</v>
      </c>
      <c r="D214" s="11">
        <v>1.55</v>
      </c>
      <c r="E214" s="11">
        <v>5</v>
      </c>
      <c r="F214" s="5"/>
      <c r="G214" s="5"/>
      <c r="H214" s="5"/>
      <c r="I214" s="5"/>
      <c r="J214" s="5"/>
      <c r="K214" s="5"/>
    </row>
    <row r="215" spans="1:11">
      <c r="A215" s="13" t="s">
        <v>401</v>
      </c>
      <c r="B215" s="11" t="s">
        <v>198</v>
      </c>
      <c r="C215" s="11" t="s">
        <v>379</v>
      </c>
      <c r="D215" s="11">
        <v>1.22</v>
      </c>
      <c r="E215" s="11">
        <v>5</v>
      </c>
      <c r="F215" s="5"/>
      <c r="G215" s="5"/>
      <c r="H215" s="5"/>
      <c r="I215" s="5"/>
      <c r="J215" s="5"/>
      <c r="K215" s="5"/>
    </row>
    <row r="216" spans="1:11">
      <c r="A216" s="13" t="s">
        <v>402</v>
      </c>
      <c r="B216" s="11" t="s">
        <v>198</v>
      </c>
      <c r="C216" s="11" t="s">
        <v>380</v>
      </c>
      <c r="D216" s="11">
        <v>1.25</v>
      </c>
      <c r="E216" s="11">
        <v>5</v>
      </c>
      <c r="F216" s="5"/>
      <c r="G216" s="5"/>
      <c r="H216" s="5"/>
      <c r="I216" s="5"/>
      <c r="J216" s="5"/>
      <c r="K216" s="5"/>
    </row>
    <row r="217" spans="1:11">
      <c r="A217" s="13" t="s">
        <v>403</v>
      </c>
      <c r="B217" s="11" t="s">
        <v>198</v>
      </c>
      <c r="C217" s="11" t="s">
        <v>381</v>
      </c>
      <c r="D217" s="11">
        <v>1.22</v>
      </c>
      <c r="E217" s="11">
        <v>3.4</v>
      </c>
      <c r="F217" s="5"/>
      <c r="G217" s="5"/>
      <c r="H217" s="5"/>
      <c r="I217" s="5"/>
      <c r="J217" s="5"/>
      <c r="K217" s="5"/>
    </row>
    <row r="218" spans="1:11">
      <c r="A218" s="13" t="s">
        <v>404</v>
      </c>
      <c r="B218" s="11" t="s">
        <v>198</v>
      </c>
      <c r="C218" s="11" t="s">
        <v>381</v>
      </c>
      <c r="D218" s="11">
        <v>1.22</v>
      </c>
      <c r="E218" s="11">
        <v>5</v>
      </c>
      <c r="F218" s="5"/>
      <c r="G218" s="5"/>
      <c r="H218" s="5"/>
      <c r="I218" s="5"/>
      <c r="J218" s="5"/>
      <c r="K218" s="5"/>
    </row>
    <row r="219" spans="1:11">
      <c r="A219" s="13" t="s">
        <v>405</v>
      </c>
      <c r="B219" s="11" t="s">
        <v>198</v>
      </c>
      <c r="C219" s="11" t="s">
        <v>382</v>
      </c>
      <c r="D219" s="11">
        <v>1.5</v>
      </c>
      <c r="E219" s="11">
        <v>5</v>
      </c>
      <c r="F219" s="5"/>
      <c r="G219" s="5"/>
      <c r="H219" s="5"/>
      <c r="I219" s="5"/>
      <c r="J219" s="5"/>
      <c r="K219" s="5"/>
    </row>
    <row r="220" spans="1:11">
      <c r="A220" s="13" t="s">
        <v>406</v>
      </c>
      <c r="B220" s="11" t="s">
        <v>198</v>
      </c>
      <c r="C220" s="11" t="s">
        <v>383</v>
      </c>
      <c r="D220" s="11">
        <v>1.5</v>
      </c>
      <c r="E220" s="11">
        <v>5</v>
      </c>
      <c r="F220" s="5"/>
      <c r="G220" s="5"/>
      <c r="H220" s="5"/>
      <c r="I220" s="5"/>
      <c r="J220" s="5"/>
      <c r="K220" s="5"/>
    </row>
    <row r="221" spans="1:11">
      <c r="A221" s="13" t="s">
        <v>407</v>
      </c>
      <c r="B221" s="11" t="s">
        <v>199</v>
      </c>
      <c r="C221" s="11" t="s">
        <v>384</v>
      </c>
      <c r="D221" s="11">
        <v>1.22</v>
      </c>
      <c r="E221" s="11">
        <v>2.44</v>
      </c>
      <c r="F221" s="5"/>
      <c r="G221" s="5"/>
      <c r="H221" s="5"/>
      <c r="I221" s="5"/>
      <c r="J221" s="5"/>
      <c r="K221" s="5"/>
    </row>
    <row r="222" spans="1:11">
      <c r="A222" s="13" t="s">
        <v>408</v>
      </c>
      <c r="B222" s="11" t="s">
        <v>199</v>
      </c>
      <c r="C222" s="11" t="s">
        <v>385</v>
      </c>
      <c r="D222" s="11">
        <v>1.22</v>
      </c>
      <c r="E222" s="11">
        <v>2.44</v>
      </c>
      <c r="F222" s="5"/>
      <c r="G222" s="5"/>
      <c r="H222" s="5"/>
      <c r="I222" s="5"/>
      <c r="J222" s="5"/>
      <c r="K222" s="5"/>
    </row>
    <row r="223" spans="1:11">
      <c r="A223" s="13" t="s">
        <v>409</v>
      </c>
      <c r="B223" s="11" t="s">
        <v>199</v>
      </c>
      <c r="C223" s="11" t="s">
        <v>386</v>
      </c>
      <c r="D223" s="11">
        <v>1.22</v>
      </c>
      <c r="E223" s="11">
        <v>2.44</v>
      </c>
      <c r="F223" s="5"/>
      <c r="G223" s="5"/>
      <c r="H223" s="5"/>
      <c r="I223" s="5"/>
      <c r="J223" s="5"/>
      <c r="K223" s="5"/>
    </row>
    <row r="224" spans="1:11">
      <c r="A224" s="13" t="s">
        <v>409</v>
      </c>
      <c r="B224" s="11" t="s">
        <v>200</v>
      </c>
      <c r="C224" s="11" t="s">
        <v>386</v>
      </c>
      <c r="D224" s="11">
        <v>1.22</v>
      </c>
      <c r="E224" s="11">
        <v>2.44</v>
      </c>
      <c r="F224" s="5"/>
      <c r="G224" s="5"/>
      <c r="H224" s="5"/>
      <c r="I224" s="5"/>
      <c r="J224" s="5"/>
      <c r="K224" s="5"/>
    </row>
    <row r="225" spans="1:11">
      <c r="A225" s="13" t="s">
        <v>410</v>
      </c>
      <c r="B225" s="11" t="s">
        <v>199</v>
      </c>
      <c r="C225" s="11" t="s">
        <v>387</v>
      </c>
      <c r="D225" s="11">
        <v>1.22</v>
      </c>
      <c r="E225" s="11">
        <v>2.44</v>
      </c>
      <c r="F225" s="5"/>
      <c r="G225" s="5"/>
      <c r="H225" s="5"/>
      <c r="I225" s="5"/>
      <c r="J225" s="5"/>
      <c r="K225" s="5"/>
    </row>
    <row r="226" spans="1:11">
      <c r="A226" s="13" t="s">
        <v>410</v>
      </c>
      <c r="B226" s="11" t="s">
        <v>200</v>
      </c>
      <c r="C226" s="11" t="s">
        <v>387</v>
      </c>
      <c r="D226" s="11">
        <v>1.22</v>
      </c>
      <c r="E226" s="11">
        <v>2.44</v>
      </c>
      <c r="F226" s="5"/>
      <c r="G226" s="5"/>
      <c r="H226" s="5"/>
      <c r="I226" s="5"/>
      <c r="J226" s="5"/>
      <c r="K226" s="5"/>
    </row>
    <row r="227" spans="1:11">
      <c r="A227" s="13" t="s">
        <v>411</v>
      </c>
      <c r="B227" s="11" t="s">
        <v>201</v>
      </c>
      <c r="C227" s="11" t="s">
        <v>388</v>
      </c>
      <c r="D227" s="11">
        <v>1.22</v>
      </c>
      <c r="E227" s="11">
        <v>2.44</v>
      </c>
      <c r="F227" s="5"/>
      <c r="G227" s="5"/>
      <c r="H227" s="5"/>
      <c r="I227" s="5"/>
      <c r="J227" s="5"/>
      <c r="K227" s="5"/>
    </row>
    <row r="228" spans="1:11">
      <c r="A228" s="13" t="s">
        <v>412</v>
      </c>
      <c r="B228" s="11" t="s">
        <v>201</v>
      </c>
      <c r="C228" s="11" t="s">
        <v>389</v>
      </c>
      <c r="D228" s="11">
        <v>1.22</v>
      </c>
      <c r="E228" s="11">
        <v>2.44</v>
      </c>
      <c r="F228" s="5"/>
      <c r="G228" s="5"/>
      <c r="H228" s="5"/>
      <c r="I228" s="5"/>
      <c r="J228" s="5"/>
      <c r="K228" s="5"/>
    </row>
    <row r="229" spans="1:11">
      <c r="A229" s="13" t="s">
        <v>416</v>
      </c>
      <c r="B229" s="11" t="s">
        <v>199</v>
      </c>
      <c r="C229" s="11" t="s">
        <v>390</v>
      </c>
      <c r="D229" s="11">
        <v>1.22</v>
      </c>
      <c r="E229" s="11">
        <v>2.44</v>
      </c>
      <c r="F229" s="5"/>
      <c r="G229" s="5"/>
      <c r="H229" s="5"/>
      <c r="I229" s="5"/>
      <c r="J229" s="5"/>
      <c r="K229" s="5"/>
    </row>
    <row r="230" spans="1:11">
      <c r="A230" s="13" t="s">
        <v>413</v>
      </c>
      <c r="B230" s="11" t="s">
        <v>199</v>
      </c>
      <c r="C230" s="11" t="s">
        <v>391</v>
      </c>
      <c r="D230" s="11">
        <v>1.22</v>
      </c>
      <c r="E230" s="11">
        <v>2.44</v>
      </c>
      <c r="F230" s="5"/>
      <c r="G230" s="5"/>
      <c r="H230" s="5"/>
      <c r="I230" s="5"/>
      <c r="J230" s="5"/>
      <c r="K230" s="5"/>
    </row>
    <row r="231" spans="1:11">
      <c r="A231" s="13" t="s">
        <v>413</v>
      </c>
      <c r="B231" s="11" t="s">
        <v>248</v>
      </c>
      <c r="C231" s="11" t="s">
        <v>391</v>
      </c>
      <c r="D231" s="11">
        <v>1.22</v>
      </c>
      <c r="E231" s="11">
        <v>2.44</v>
      </c>
      <c r="F231" s="5"/>
      <c r="G231" s="5"/>
      <c r="H231" s="5"/>
      <c r="I231" s="5"/>
      <c r="J231" s="5"/>
      <c r="K231" s="5"/>
    </row>
    <row r="232" spans="1:11">
      <c r="A232" s="13" t="s">
        <v>414</v>
      </c>
      <c r="B232" s="11" t="s">
        <v>201</v>
      </c>
      <c r="C232" s="11" t="s">
        <v>392</v>
      </c>
      <c r="D232" s="11">
        <v>1.22</v>
      </c>
      <c r="E232" s="11">
        <v>2.44</v>
      </c>
      <c r="F232" s="5"/>
      <c r="G232" s="5"/>
      <c r="H232" s="5"/>
      <c r="I232" s="5"/>
      <c r="J232" s="5"/>
      <c r="K232" s="5"/>
    </row>
    <row r="233" spans="1:11">
      <c r="A233" s="13" t="s">
        <v>415</v>
      </c>
      <c r="B233" s="11" t="s">
        <v>201</v>
      </c>
      <c r="C233" s="11" t="s">
        <v>393</v>
      </c>
      <c r="D233" s="11">
        <v>1.22</v>
      </c>
      <c r="E233" s="11">
        <v>2.44</v>
      </c>
      <c r="F233" s="5"/>
      <c r="G233" s="5"/>
      <c r="H233" s="5"/>
      <c r="I233" s="5"/>
      <c r="J233" s="5"/>
      <c r="K233" s="5"/>
    </row>
    <row r="234" spans="1:11">
      <c r="A234" s="13" t="str">
        <f>_xlfn.TEXTJOIN("-",TRUE,Hoja2!A234:I234,1)</f>
        <v>LED-BLA-CAL-3DI-1</v>
      </c>
      <c r="B234" s="11" t="s">
        <v>296</v>
      </c>
      <c r="C234" s="11" t="s">
        <v>417</v>
      </c>
      <c r="D234" s="11"/>
      <c r="E234" s="11"/>
      <c r="F234" s="5"/>
      <c r="G234" s="5"/>
      <c r="H234" s="5"/>
      <c r="I234" s="5"/>
      <c r="J234" s="5"/>
      <c r="K234" s="5"/>
    </row>
    <row r="235" spans="1:11">
      <c r="A235" s="13" t="str">
        <f>_xlfn.TEXTJOIN("-",TRUE,Hoja2!A235:I235,1)</f>
        <v>LED-BLA-FRI-3DI-1</v>
      </c>
      <c r="B235" s="11" t="s">
        <v>296</v>
      </c>
      <c r="C235" s="11" t="s">
        <v>418</v>
      </c>
      <c r="D235" s="11"/>
      <c r="E235" s="11"/>
      <c r="F235" s="5"/>
      <c r="G235" s="5"/>
      <c r="H235" s="5"/>
      <c r="I235" s="5"/>
      <c r="J235" s="5"/>
      <c r="K235" s="5"/>
    </row>
    <row r="236" spans="1:11">
      <c r="A236" s="13" t="str">
        <f>_xlfn.TEXTJOIN("-",TRUE,Hoja2!A236:I236,1)</f>
        <v>MIC-MIC-CAL-2DI-1</v>
      </c>
      <c r="B236" s="11" t="s">
        <v>296</v>
      </c>
      <c r="C236" s="11" t="s">
        <v>419</v>
      </c>
      <c r="D236" s="11"/>
      <c r="E236" s="11"/>
      <c r="F236" s="5"/>
      <c r="G236" s="5"/>
      <c r="H236" s="5"/>
      <c r="I236" s="5"/>
      <c r="J236" s="5"/>
      <c r="K236" s="5"/>
    </row>
    <row r="237" spans="1:11">
      <c r="A237" s="13" t="str">
        <f>_xlfn.TEXTJOIN("-",TRUE,Hoja2!A237:I237,1)</f>
        <v>MIC-MIC-FRI-2DI-1</v>
      </c>
      <c r="B237" s="11" t="s">
        <v>296</v>
      </c>
      <c r="C237" s="11" t="s">
        <v>420</v>
      </c>
      <c r="D237" s="11"/>
      <c r="E237" s="11"/>
      <c r="F237" s="5"/>
      <c r="G237" s="5"/>
      <c r="H237" s="5"/>
      <c r="I237" s="5"/>
      <c r="J237" s="5"/>
      <c r="K237" s="5"/>
    </row>
    <row r="238" spans="1:11">
      <c r="A238" s="13" t="str">
        <f>_xlfn.TEXTJOIN("-",TRUE,Hoja2!A238:I238,1)</f>
        <v>LED-BLA-FRI-OPT-3DI-1</v>
      </c>
      <c r="B238" s="11" t="s">
        <v>296</v>
      </c>
      <c r="C238" s="11" t="s">
        <v>421</v>
      </c>
      <c r="D238" s="11"/>
      <c r="E238" s="11"/>
      <c r="F238" s="5"/>
      <c r="G238" s="5"/>
      <c r="H238" s="5"/>
      <c r="I238" s="5"/>
      <c r="J238" s="5"/>
      <c r="K238" s="5"/>
    </row>
    <row r="239" spans="1:11">
      <c r="A239" s="13" t="str">
        <f>_xlfn.TEXTJOIN("-",TRUE,Hoja2!A239:I239,1)</f>
        <v>LED-BLA-CAL-OPT-3DI-1</v>
      </c>
      <c r="B239" s="11" t="s">
        <v>296</v>
      </c>
      <c r="C239" s="11" t="s">
        <v>422</v>
      </c>
      <c r="D239" s="11"/>
      <c r="E239" s="11"/>
      <c r="F239" s="5"/>
      <c r="G239" s="5"/>
      <c r="H239" s="5"/>
      <c r="I239" s="5"/>
      <c r="J239" s="5"/>
      <c r="K239" s="5"/>
    </row>
    <row r="240" spans="1:11">
      <c r="A240" s="13" t="str">
        <f>_xlfn.TEXTJOIN("-",TRUE,Hoja2!A240:I240,1)</f>
        <v>LED-ROJ-OPT-3DI-1</v>
      </c>
      <c r="B240" s="11" t="s">
        <v>296</v>
      </c>
      <c r="C240" s="11" t="s">
        <v>423</v>
      </c>
      <c r="D240" s="11"/>
      <c r="E240" s="11"/>
      <c r="F240" s="5"/>
      <c r="G240" s="5"/>
      <c r="H240" s="5"/>
      <c r="I240" s="5"/>
      <c r="J240" s="5"/>
      <c r="K240" s="5"/>
    </row>
    <row r="241" spans="1:11">
      <c r="A241" s="13" t="str">
        <f>_xlfn.TEXTJOIN("-",TRUE,Hoja2!A241:I241,"30WA",1)</f>
        <v>FUE-POD-30WA-1</v>
      </c>
      <c r="B241" s="11" t="s">
        <v>296</v>
      </c>
      <c r="C241" s="7" t="s">
        <v>202</v>
      </c>
      <c r="D241" s="11"/>
      <c r="E241" s="11"/>
      <c r="F241" s="5"/>
      <c r="G241" s="5"/>
      <c r="H241" s="5"/>
      <c r="I241" s="5"/>
      <c r="J241" s="5"/>
      <c r="K241" s="5"/>
    </row>
    <row r="242" spans="1:11">
      <c r="A242" s="13" t="str">
        <f>_xlfn.TEXTJOIN("-",TRUE,Hoja2!A242:I242,"60WA",1)</f>
        <v>FUE-POD-60WA-1</v>
      </c>
      <c r="B242" s="11" t="s">
        <v>296</v>
      </c>
      <c r="C242" s="7" t="s">
        <v>203</v>
      </c>
      <c r="D242" s="11"/>
      <c r="E242" s="11"/>
      <c r="F242" s="5"/>
      <c r="G242" s="5"/>
      <c r="H242" s="5"/>
      <c r="I242" s="5"/>
      <c r="J242" s="5"/>
      <c r="K242" s="5"/>
    </row>
    <row r="243" spans="1:11">
      <c r="A243" s="13" t="str">
        <f>_xlfn.TEXTJOIN("-",TRUE,Hoja2!A243:I243,"100WA",1)</f>
        <v>FUE-POD-100WA-1</v>
      </c>
      <c r="B243" s="11" t="s">
        <v>296</v>
      </c>
      <c r="C243" s="7" t="s">
        <v>204</v>
      </c>
      <c r="D243" s="11"/>
      <c r="E243" s="11"/>
      <c r="F243" s="5"/>
      <c r="G243" s="5"/>
      <c r="H243" s="5"/>
      <c r="I243" s="5"/>
      <c r="J243" s="5"/>
      <c r="K243" s="5"/>
    </row>
    <row r="244" spans="1:11">
      <c r="A244" s="13" t="str">
        <f>_xlfn.TEXTJOIN("-",TRUE,Hoja2!A244:I244,"150WA",1)</f>
        <v>FUE-POD-150WA-1</v>
      </c>
      <c r="B244" s="11" t="s">
        <v>296</v>
      </c>
      <c r="C244" s="7" t="s">
        <v>205</v>
      </c>
      <c r="D244" s="11"/>
      <c r="E244" s="11"/>
      <c r="F244" s="5"/>
      <c r="G244" s="5"/>
      <c r="H244" s="5"/>
      <c r="I244" s="5"/>
      <c r="J244" s="5"/>
      <c r="K244" s="5"/>
    </row>
    <row r="245" spans="1:11">
      <c r="A245" s="13" t="str">
        <f>_xlfn.TEXTJOIN("-",TRUE,Hoja2!A245:I245,"200WA",1)</f>
        <v>FUE-POD-200WA-1</v>
      </c>
      <c r="B245" s="11" t="s">
        <v>296</v>
      </c>
      <c r="C245" s="7" t="s">
        <v>207</v>
      </c>
      <c r="D245" s="11"/>
      <c r="E245" s="11"/>
      <c r="F245" s="5"/>
      <c r="G245" s="5"/>
      <c r="H245" s="5"/>
      <c r="I245" s="5"/>
      <c r="J245" s="5"/>
      <c r="K245" s="5"/>
    </row>
    <row r="246" spans="1:11">
      <c r="A246" s="13" t="str">
        <f>_xlfn.TEXTJOIN("-",TRUE,Hoja2!A246:I246,"220WA",1)</f>
        <v>FUE-POD-220WA-1</v>
      </c>
      <c r="B246" s="11" t="s">
        <v>296</v>
      </c>
      <c r="C246" s="7" t="s">
        <v>206</v>
      </c>
      <c r="D246" s="11"/>
      <c r="E246" s="11"/>
      <c r="F246" s="5"/>
      <c r="G246" s="5"/>
      <c r="H246" s="5"/>
      <c r="I246" s="5"/>
      <c r="J246" s="5"/>
      <c r="K246" s="5"/>
    </row>
    <row r="247" spans="1:11">
      <c r="A247" s="13" t="str">
        <f>_xlfn.TEXTJOIN("-",TRUE,Hoja2!A247:I247,"360WA",1)</f>
        <v>FUE-POD-360WA-1</v>
      </c>
      <c r="B247" s="11" t="s">
        <v>296</v>
      </c>
      <c r="C247" s="7" t="s">
        <v>208</v>
      </c>
      <c r="D247" s="11"/>
      <c r="E247" s="11"/>
      <c r="F247" s="5"/>
      <c r="G247" s="5"/>
      <c r="H247" s="5"/>
      <c r="I247" s="5"/>
      <c r="J247" s="5"/>
      <c r="K247" s="5"/>
    </row>
    <row r="248" spans="1:11">
      <c r="A248" s="13" t="str">
        <f>_xlfn.TEXTJOIN("-",TRUE,Hoja2!A248:I248,"T8",1)</f>
        <v>LAM-T8-1</v>
      </c>
      <c r="B248" s="11" t="s">
        <v>297</v>
      </c>
      <c r="C248" s="7" t="s">
        <v>424</v>
      </c>
      <c r="D248" s="11"/>
      <c r="E248" s="11"/>
      <c r="F248" s="5"/>
      <c r="G248" s="5"/>
      <c r="H248" s="5"/>
      <c r="I248" s="5"/>
      <c r="J248" s="5"/>
      <c r="K248" s="5"/>
    </row>
    <row r="249" spans="1:11">
      <c r="A249" s="13" t="s">
        <v>425</v>
      </c>
      <c r="B249" s="11" t="s">
        <v>280</v>
      </c>
      <c r="C249" s="7" t="s">
        <v>126</v>
      </c>
      <c r="D249" s="11"/>
      <c r="E249" s="11"/>
      <c r="F249" s="5"/>
      <c r="G249" s="5"/>
      <c r="H249" s="5"/>
      <c r="I249" s="5"/>
      <c r="J249" s="5"/>
      <c r="K249" s="5"/>
    </row>
    <row r="250" spans="1:11">
      <c r="A250" s="13" t="s">
        <v>426</v>
      </c>
      <c r="B250" s="11" t="s">
        <v>298</v>
      </c>
      <c r="C250" s="7" t="s">
        <v>209</v>
      </c>
      <c r="D250" s="11"/>
      <c r="E250" s="11"/>
      <c r="F250" s="5"/>
      <c r="G250" s="5"/>
      <c r="H250" s="5"/>
      <c r="I250" s="5"/>
      <c r="J250" s="5"/>
      <c r="K250" s="5"/>
    </row>
    <row r="251" spans="1:11">
      <c r="A251" s="13" t="str">
        <f>_xlfn.TEXTJOIN("-",TRUE,Hoja2!A251:I251,"KRA",1)</f>
        <v>PAP-KRA-1</v>
      </c>
      <c r="B251" s="11" t="s">
        <v>298</v>
      </c>
      <c r="C251" s="7" t="s">
        <v>127</v>
      </c>
      <c r="D251" s="11"/>
      <c r="E251" s="11"/>
      <c r="F251" s="5"/>
      <c r="G251" s="5"/>
      <c r="H251" s="5"/>
      <c r="I251" s="5"/>
      <c r="J251" s="5"/>
      <c r="K251" s="5"/>
    </row>
    <row r="252" spans="1:11">
      <c r="A252" s="13" t="str">
        <f>_xlfn.TEXTJOIN("-",TRUE,Hoja2!A252:I252,"KLM-2000",1)</f>
        <v>KOL-LOK-KLM-2000-1</v>
      </c>
      <c r="B252" s="11" t="s">
        <v>299</v>
      </c>
      <c r="C252" s="7" t="s">
        <v>132</v>
      </c>
      <c r="D252" s="11"/>
      <c r="E252" s="11"/>
      <c r="F252" s="5"/>
      <c r="G252" s="5"/>
      <c r="H252" s="5"/>
      <c r="I252" s="5"/>
      <c r="J252" s="5"/>
      <c r="K252" s="5"/>
    </row>
    <row r="253" spans="1:11">
      <c r="A253" s="13" t="str">
        <f>_xlfn.TEXTJOIN("-",TRUE,Hoja2!A253:I253,"KL2-1200",1)</f>
        <v>KOL-LOK-KL2-1200-1</v>
      </c>
      <c r="B253" s="11" t="s">
        <v>299</v>
      </c>
      <c r="C253" s="7" t="s">
        <v>133</v>
      </c>
      <c r="D253" s="11"/>
      <c r="E253" s="11"/>
      <c r="F253" s="5"/>
      <c r="G253" s="5"/>
      <c r="H253" s="5"/>
      <c r="I253" s="5"/>
      <c r="J253" s="5"/>
      <c r="K253" s="5"/>
    </row>
    <row r="254" spans="1:11">
      <c r="A254" s="13" t="str">
        <f>_xlfn.TEXTJOIN("-",TRUE,Hoja2!A254:I254,1)</f>
        <v>LON-18OZ-AZU-1</v>
      </c>
      <c r="B254" s="11" t="s">
        <v>286</v>
      </c>
      <c r="C254" s="7" t="s">
        <v>136</v>
      </c>
      <c r="D254" s="11" t="s">
        <v>134</v>
      </c>
      <c r="E254" s="11">
        <v>50</v>
      </c>
      <c r="F254" s="5"/>
      <c r="G254" s="5"/>
      <c r="H254" s="5"/>
      <c r="I254" s="5"/>
      <c r="J254" s="5"/>
      <c r="K254" s="5"/>
    </row>
    <row r="255" spans="1:11">
      <c r="A255" s="13" t="str">
        <f>_xlfn.TEXTJOIN("-",TRUE,Hoja2!A255:I255,1)</f>
        <v>LON-18OZ-ROJ-1</v>
      </c>
      <c r="B255" s="11" t="s">
        <v>286</v>
      </c>
      <c r="C255" s="7" t="s">
        <v>135</v>
      </c>
      <c r="D255" s="11" t="s">
        <v>134</v>
      </c>
      <c r="E255" s="11">
        <v>50</v>
      </c>
      <c r="F255" s="5"/>
      <c r="G255" s="5"/>
      <c r="H255" s="5"/>
      <c r="I255" s="5"/>
      <c r="J255" s="5"/>
      <c r="K255" s="5"/>
    </row>
    <row r="256" spans="1:11">
      <c r="A256" s="13" t="str">
        <f>_xlfn.TEXTJOIN("-",TRUE,Hoja2!A256:I256,1)</f>
        <v>LON-18OZ-NEG-1</v>
      </c>
      <c r="B256" s="11" t="s">
        <v>286</v>
      </c>
      <c r="C256" s="7" t="s">
        <v>137</v>
      </c>
      <c r="D256" s="11" t="s">
        <v>134</v>
      </c>
      <c r="E256" s="11">
        <v>50</v>
      </c>
      <c r="F256" s="5"/>
      <c r="G256" s="5"/>
      <c r="H256" s="5"/>
      <c r="I256" s="5"/>
      <c r="J256" s="5"/>
      <c r="K256" s="5"/>
    </row>
    <row r="257" spans="1:11">
      <c r="A257" s="13" t="str">
        <f>_xlfn.TEXTJOIN("-",TRUE,Hoja2!A257:I257,"CAL40",1)</f>
        <v>EST-NEG-CAL40-1</v>
      </c>
      <c r="B257" s="11" t="s">
        <v>199</v>
      </c>
      <c r="C257" s="7" t="s">
        <v>138</v>
      </c>
      <c r="D257" s="11">
        <v>1.22</v>
      </c>
      <c r="E257" s="11">
        <v>2.44</v>
      </c>
      <c r="F257" s="5"/>
      <c r="G257" s="5"/>
      <c r="H257" s="5"/>
      <c r="I257" s="5"/>
      <c r="J257" s="5"/>
      <c r="K257" s="5"/>
    </row>
    <row r="258" spans="1:11">
      <c r="A258" s="13" t="str">
        <f>_xlfn.TEXTJOIN("-",TRUE,Hoja2!A258:I258,"CAL60",1)</f>
        <v>PET-CAL60-1</v>
      </c>
      <c r="B258" s="11" t="s">
        <v>199</v>
      </c>
      <c r="C258" s="7" t="s">
        <v>139</v>
      </c>
      <c r="D258" s="11">
        <v>1.22</v>
      </c>
      <c r="E258" s="11">
        <v>2.44</v>
      </c>
      <c r="F258" s="5"/>
      <c r="G258" s="5"/>
      <c r="H258" s="5"/>
      <c r="I258" s="5"/>
      <c r="J258" s="5"/>
      <c r="K258" s="5"/>
    </row>
    <row r="259" spans="1:11">
      <c r="A259" s="13" t="str">
        <f>_xlfn.TEXTJOIN("-",TRUE,Hoja2!A259:I259,"CAL40",1)</f>
        <v>PET-CAL40-1</v>
      </c>
      <c r="B259" s="11" t="s">
        <v>199</v>
      </c>
      <c r="C259" s="7" t="s">
        <v>140</v>
      </c>
      <c r="D259" s="11">
        <v>1.22</v>
      </c>
      <c r="E259" s="11">
        <v>2.44</v>
      </c>
      <c r="F259" s="5"/>
      <c r="G259" s="5"/>
      <c r="H259" s="5"/>
      <c r="I259" s="5"/>
      <c r="J259" s="5"/>
      <c r="K259" s="5"/>
    </row>
    <row r="260" spans="1:11">
      <c r="A260" s="13" t="str">
        <f>_xlfn.TEXTJOIN("-",TRUE,Hoja2!A260:I260,"CAL30",1)</f>
        <v>PET-CAL30-1</v>
      </c>
      <c r="B260" s="11" t="s">
        <v>199</v>
      </c>
      <c r="C260" s="7" t="s">
        <v>141</v>
      </c>
      <c r="D260" s="11">
        <v>1.22</v>
      </c>
      <c r="E260" s="11">
        <v>2.44</v>
      </c>
      <c r="F260" s="5"/>
      <c r="G260" s="5"/>
      <c r="H260" s="5"/>
      <c r="I260" s="5"/>
      <c r="J260" s="5"/>
      <c r="K260" s="5"/>
    </row>
    <row r="261" spans="1:11">
      <c r="A261" s="13" t="str">
        <f>_xlfn.TEXTJOIN("-",TRUE,Hoja2!A261:I261,"CAL20",1)</f>
        <v>PET-CAL20-1</v>
      </c>
      <c r="B261" s="11" t="s">
        <v>199</v>
      </c>
      <c r="C261" s="7" t="s">
        <v>142</v>
      </c>
      <c r="D261" s="11">
        <v>1.22</v>
      </c>
      <c r="E261" s="11">
        <v>2.44</v>
      </c>
      <c r="F261" s="5"/>
      <c r="G261" s="5"/>
      <c r="H261" s="5"/>
      <c r="I261" s="5"/>
      <c r="J261" s="5"/>
      <c r="K261" s="5"/>
    </row>
    <row r="262" spans="1:11">
      <c r="A262" s="13" t="str">
        <f>_xlfn.TEXTJOIN("-",TRUE,Hoja2!A262:I262,1)</f>
        <v>ALU-CEP-PLA-CEP-1</v>
      </c>
      <c r="B262" s="11" t="s">
        <v>199</v>
      </c>
      <c r="C262" s="7" t="s">
        <v>128</v>
      </c>
      <c r="D262" s="11" t="s">
        <v>39</v>
      </c>
      <c r="E262" s="11" t="s">
        <v>51</v>
      </c>
      <c r="F262" s="5"/>
      <c r="G262" s="5"/>
      <c r="H262" s="5"/>
      <c r="I262" s="5"/>
      <c r="J262" s="5"/>
      <c r="K262" s="5"/>
    </row>
    <row r="263" spans="1:11">
      <c r="A263" s="13" t="str">
        <f>_xlfn.TEXTJOIN("-",TRUE,Hoja2!A263:I263,1)</f>
        <v>ALU-ESP-PLA-ESP-1</v>
      </c>
      <c r="B263" s="11" t="s">
        <v>199</v>
      </c>
      <c r="C263" s="7" t="s">
        <v>131</v>
      </c>
      <c r="D263" s="11" t="s">
        <v>39</v>
      </c>
      <c r="E263" s="11" t="s">
        <v>51</v>
      </c>
      <c r="F263" s="5"/>
      <c r="G263" s="5"/>
      <c r="H263" s="5"/>
      <c r="I263" s="5"/>
      <c r="J263" s="5"/>
      <c r="K263" s="5"/>
    </row>
    <row r="264" spans="1:11">
      <c r="A264" s="13" t="str">
        <f>_xlfn.TEXTJOIN("-",TRUE,Hoja2!A264:I264,1)</f>
        <v>ALU-ESP-ORO-ESP-1</v>
      </c>
      <c r="B264" s="11" t="s">
        <v>199</v>
      </c>
      <c r="C264" s="7" t="s">
        <v>129</v>
      </c>
      <c r="D264" s="11" t="s">
        <v>39</v>
      </c>
      <c r="E264" s="11" t="s">
        <v>51</v>
      </c>
      <c r="F264" s="5"/>
      <c r="G264" s="5"/>
      <c r="H264" s="5"/>
      <c r="I264" s="5"/>
      <c r="J264" s="5"/>
      <c r="K264" s="5"/>
    </row>
    <row r="265" spans="1:11">
      <c r="A265" s="13" t="str">
        <f>_xlfn.TEXTJOIN("-",TRUE,Hoja2!A265:I265,1)</f>
        <v>ALU-CEP-ORO-CEP-1</v>
      </c>
      <c r="B265" s="11" t="s">
        <v>199</v>
      </c>
      <c r="C265" s="7" t="s">
        <v>130</v>
      </c>
      <c r="D265" s="11" t="s">
        <v>39</v>
      </c>
      <c r="E265" s="11" t="s">
        <v>51</v>
      </c>
      <c r="F265" s="5"/>
      <c r="G265" s="5"/>
      <c r="H265" s="5"/>
      <c r="I265" s="5"/>
      <c r="J265" s="5"/>
      <c r="K265" s="5"/>
    </row>
    <row r="266" spans="1:11">
      <c r="A266" s="13" t="s">
        <v>438</v>
      </c>
      <c r="B266" s="11" t="s">
        <v>300</v>
      </c>
      <c r="C266" s="7" t="s">
        <v>437</v>
      </c>
      <c r="D266" s="11" t="s">
        <v>39</v>
      </c>
      <c r="E266" s="11" t="s">
        <v>51</v>
      </c>
      <c r="F266" s="5"/>
      <c r="G266" s="5"/>
      <c r="H266" s="5"/>
      <c r="I266" s="5"/>
      <c r="J266" s="5"/>
      <c r="K266" s="5"/>
    </row>
    <row r="267" spans="1:11">
      <c r="A267" s="13" t="str">
        <f>_xlfn.TEXTJOIN("-",TRUE,Hoja2!A267:I267,1)</f>
        <v>TRA-PAP-1</v>
      </c>
      <c r="B267" s="11" t="s">
        <v>199</v>
      </c>
      <c r="C267" s="7" t="s">
        <v>210</v>
      </c>
      <c r="D267" s="11">
        <v>0.61</v>
      </c>
      <c r="E267" s="11">
        <v>91</v>
      </c>
      <c r="F267" s="5"/>
      <c r="G267" s="5"/>
      <c r="H267" s="5"/>
      <c r="I267" s="5"/>
      <c r="J267" s="5"/>
      <c r="K267" s="5"/>
    </row>
    <row r="268" spans="1:11">
      <c r="A268" s="13" t="str">
        <f>_xlfn.TEXTJOIN("-",TRUE,Hoja2!A268:I268,1)</f>
        <v>TRA-TRA-1</v>
      </c>
      <c r="B268" s="11" t="s">
        <v>199</v>
      </c>
      <c r="C268" s="7" t="s">
        <v>211</v>
      </c>
      <c r="D268" s="11">
        <v>0.61</v>
      </c>
      <c r="E268" s="11">
        <v>91</v>
      </c>
      <c r="F268" s="5"/>
      <c r="G268" s="5"/>
      <c r="H268" s="5"/>
      <c r="I268" s="5"/>
      <c r="J268" s="5"/>
      <c r="K268" s="5"/>
    </row>
    <row r="269" spans="1:11">
      <c r="A269" s="13" t="s">
        <v>439</v>
      </c>
      <c r="B269" s="16" t="s">
        <v>282</v>
      </c>
      <c r="C269" s="7" t="s">
        <v>218</v>
      </c>
      <c r="D269" s="11"/>
      <c r="E269" s="11"/>
      <c r="F269" s="5"/>
      <c r="G269" s="5"/>
      <c r="H269" s="5"/>
      <c r="I269" s="5"/>
      <c r="J269" s="5"/>
      <c r="K269" s="5"/>
    </row>
    <row r="270" spans="1:11">
      <c r="A270" s="13" t="s">
        <v>440</v>
      </c>
      <c r="B270" s="11" t="s">
        <v>277</v>
      </c>
      <c r="C270" s="7" t="s">
        <v>219</v>
      </c>
      <c r="D270" s="11"/>
      <c r="E270" s="11"/>
      <c r="F270" s="5"/>
      <c r="G270" s="5"/>
      <c r="H270" s="5"/>
      <c r="I270" s="5"/>
      <c r="J270" s="5"/>
      <c r="K270" s="5"/>
    </row>
    <row r="271" spans="1:11">
      <c r="A271" s="13" t="s">
        <v>441</v>
      </c>
      <c r="B271" s="11" t="s">
        <v>277</v>
      </c>
      <c r="C271" s="7" t="s">
        <v>220</v>
      </c>
      <c r="D271" s="11"/>
      <c r="E271" s="11"/>
      <c r="F271" s="5"/>
      <c r="G271" s="5"/>
      <c r="H271" s="5"/>
      <c r="I271" s="5"/>
      <c r="J271" s="5"/>
      <c r="K271" s="5"/>
    </row>
    <row r="272" spans="1:11">
      <c r="A272" s="13" t="s">
        <v>442</v>
      </c>
      <c r="B272" s="11" t="s">
        <v>301</v>
      </c>
      <c r="C272" s="7" t="s">
        <v>221</v>
      </c>
      <c r="D272" s="11"/>
      <c r="E272" s="11"/>
      <c r="F272" s="5"/>
      <c r="G272" s="5"/>
      <c r="H272" s="5"/>
      <c r="I272" s="5"/>
      <c r="J272" s="5"/>
      <c r="K272" s="5"/>
    </row>
    <row r="273" spans="1:11">
      <c r="A273" s="13" t="str">
        <f>_xlfn.TEXTJOIN("-",TRUE,Hoja2!A273:I273,"DEL-ANC-MET",1)</f>
        <v>SOP-DEL-ANC-MET-1</v>
      </c>
      <c r="B273" s="11" t="s">
        <v>277</v>
      </c>
      <c r="C273" s="7" t="s">
        <v>232</v>
      </c>
      <c r="D273" s="11"/>
      <c r="E273" s="11"/>
      <c r="F273" s="5"/>
      <c r="G273" s="5"/>
      <c r="H273" s="5"/>
      <c r="I273" s="5"/>
      <c r="J273" s="5"/>
      <c r="K273" s="5"/>
    </row>
    <row r="274" spans="1:11">
      <c r="A274" s="13" t="s">
        <v>443</v>
      </c>
      <c r="B274" s="11" t="s">
        <v>277</v>
      </c>
      <c r="C274" s="7" t="s">
        <v>222</v>
      </c>
      <c r="D274" s="11"/>
      <c r="E274" s="11"/>
      <c r="F274" s="5"/>
      <c r="G274" s="5"/>
      <c r="H274" s="5"/>
      <c r="I274" s="5"/>
      <c r="J274" s="5"/>
      <c r="K274" s="5"/>
    </row>
    <row r="275" spans="1:11">
      <c r="A275" s="13" t="s">
        <v>444</v>
      </c>
      <c r="B275" s="11" t="s">
        <v>301</v>
      </c>
      <c r="C275" s="7" t="s">
        <v>223</v>
      </c>
      <c r="D275" s="11"/>
      <c r="E275" s="11"/>
      <c r="F275" s="5"/>
      <c r="G275" s="5"/>
      <c r="H275" s="5"/>
      <c r="I275" s="5"/>
      <c r="J275" s="5"/>
      <c r="K275" s="5"/>
    </row>
    <row r="276" spans="1:11">
      <c r="A276" s="13" t="s">
        <v>445</v>
      </c>
      <c r="B276" s="11" t="s">
        <v>277</v>
      </c>
      <c r="C276" s="7" t="s">
        <v>226</v>
      </c>
      <c r="D276" s="11"/>
      <c r="E276" s="11"/>
      <c r="F276" s="5"/>
      <c r="G276" s="5"/>
      <c r="H276" s="5"/>
      <c r="I276" s="5"/>
      <c r="J276" s="5"/>
      <c r="K276" s="5"/>
    </row>
    <row r="277" spans="1:11">
      <c r="A277" s="13" t="s">
        <v>446</v>
      </c>
      <c r="B277" s="11" t="s">
        <v>277</v>
      </c>
      <c r="C277" s="7" t="s">
        <v>227</v>
      </c>
      <c r="D277" s="11"/>
      <c r="E277" s="11"/>
      <c r="F277" s="5"/>
      <c r="G277" s="5"/>
      <c r="H277" s="5"/>
      <c r="I277" s="5"/>
      <c r="J277" s="5"/>
      <c r="K277" s="5"/>
    </row>
    <row r="278" spans="1:11">
      <c r="A278" s="13" t="s">
        <v>448</v>
      </c>
      <c r="B278" s="11" t="s">
        <v>277</v>
      </c>
      <c r="C278" s="7" t="s">
        <v>228</v>
      </c>
      <c r="D278" s="11"/>
      <c r="E278" s="11"/>
      <c r="F278" s="5"/>
      <c r="G278" s="5"/>
      <c r="H278" s="5"/>
      <c r="I278" s="5"/>
      <c r="J278" s="5"/>
      <c r="K278" s="5"/>
    </row>
    <row r="279" spans="1:11">
      <c r="A279" s="13" t="s">
        <v>447</v>
      </c>
      <c r="B279" s="11" t="s">
        <v>277</v>
      </c>
      <c r="C279" s="7" t="s">
        <v>229</v>
      </c>
      <c r="D279" s="11"/>
      <c r="E279" s="11"/>
      <c r="F279" s="5"/>
      <c r="G279" s="5"/>
      <c r="H279" s="5"/>
      <c r="I279" s="5"/>
      <c r="J279" s="5"/>
      <c r="K279" s="5"/>
    </row>
    <row r="280" spans="1:11">
      <c r="A280" s="13" t="s">
        <v>449</v>
      </c>
      <c r="B280" s="11" t="s">
        <v>277</v>
      </c>
      <c r="C280" s="7" t="s">
        <v>230</v>
      </c>
      <c r="D280" s="11"/>
      <c r="E280" s="11"/>
      <c r="F280" s="5"/>
      <c r="G280" s="5"/>
      <c r="H280" s="5"/>
      <c r="I280" s="5"/>
      <c r="J280" s="5"/>
      <c r="K280" s="5"/>
    </row>
    <row r="281" spans="1:11">
      <c r="A281" s="13" t="s">
        <v>450</v>
      </c>
      <c r="B281" s="11" t="s">
        <v>277</v>
      </c>
      <c r="C281" s="7" t="s">
        <v>231</v>
      </c>
      <c r="D281" s="11"/>
      <c r="E281" s="11"/>
      <c r="F281" s="5"/>
      <c r="G281" s="5"/>
      <c r="H281" s="5"/>
      <c r="I281" s="5"/>
      <c r="J281" s="5"/>
      <c r="K281" s="5"/>
    </row>
    <row r="282" spans="1:11">
      <c r="A282" s="13" t="s">
        <v>451</v>
      </c>
      <c r="B282" s="11" t="s">
        <v>277</v>
      </c>
      <c r="C282" s="7" t="s">
        <v>224</v>
      </c>
      <c r="D282" s="11"/>
      <c r="E282" s="11"/>
      <c r="F282" s="5"/>
      <c r="G282" s="5"/>
      <c r="H282" s="5"/>
      <c r="I282" s="5"/>
      <c r="J282" s="5"/>
      <c r="K282" s="5"/>
    </row>
    <row r="283" spans="1:11">
      <c r="A283" s="13" t="s">
        <v>452</v>
      </c>
      <c r="B283" s="11" t="s">
        <v>277</v>
      </c>
      <c r="C283" s="7" t="s">
        <v>225</v>
      </c>
      <c r="D283" s="11"/>
      <c r="E283" s="11"/>
      <c r="F283" s="5"/>
      <c r="G283" s="5"/>
      <c r="H283" s="5"/>
      <c r="I283" s="5"/>
      <c r="J283" s="5"/>
      <c r="K283" s="5"/>
    </row>
    <row r="284" spans="1:11">
      <c r="A284" s="13" t="s">
        <v>453</v>
      </c>
      <c r="B284" s="11" t="s">
        <v>282</v>
      </c>
      <c r="C284" s="7" t="s">
        <v>212</v>
      </c>
      <c r="D284" s="11"/>
      <c r="E284" s="11"/>
      <c r="F284" s="5"/>
      <c r="G284" s="5"/>
      <c r="H284" s="5"/>
      <c r="I284" s="5"/>
      <c r="J284" s="5"/>
      <c r="K284" s="5"/>
    </row>
    <row r="285" spans="1:11">
      <c r="A285" s="13" t="s">
        <v>454</v>
      </c>
      <c r="B285" s="11" t="s">
        <v>282</v>
      </c>
      <c r="C285" s="7" t="s">
        <v>213</v>
      </c>
      <c r="D285" s="11"/>
      <c r="E285" s="11"/>
      <c r="F285" s="5"/>
      <c r="G285" s="5"/>
      <c r="H285" s="5"/>
      <c r="I285" s="5"/>
      <c r="J285" s="5"/>
      <c r="K285" s="5"/>
    </row>
    <row r="286" spans="1:11">
      <c r="A286" s="13" t="s">
        <v>455</v>
      </c>
      <c r="B286" s="11" t="s">
        <v>282</v>
      </c>
      <c r="C286" s="7" t="s">
        <v>214</v>
      </c>
      <c r="D286" s="11"/>
      <c r="E286" s="11"/>
      <c r="F286" s="5"/>
      <c r="G286" s="5"/>
      <c r="H286" s="5"/>
      <c r="I286" s="5"/>
      <c r="J286" s="5"/>
      <c r="K286" s="5"/>
    </row>
    <row r="287" spans="1:11">
      <c r="A287" s="13" t="s">
        <v>456</v>
      </c>
      <c r="B287" s="11" t="s">
        <v>301</v>
      </c>
      <c r="C287" s="7" t="s">
        <v>215</v>
      </c>
      <c r="D287" s="11"/>
      <c r="E287" s="11"/>
      <c r="F287" s="5"/>
      <c r="G287" s="5"/>
      <c r="H287" s="5"/>
      <c r="I287" s="5"/>
      <c r="J287" s="5"/>
      <c r="K287" s="5"/>
    </row>
    <row r="288" spans="1:11">
      <c r="A288" s="13" t="s">
        <v>457</v>
      </c>
      <c r="B288" s="11" t="s">
        <v>301</v>
      </c>
      <c r="C288" s="7" t="s">
        <v>216</v>
      </c>
      <c r="D288" s="11"/>
      <c r="E288" s="11"/>
      <c r="F288" s="5"/>
      <c r="G288" s="5"/>
      <c r="H288" s="5"/>
      <c r="I288" s="5"/>
      <c r="J288" s="5"/>
      <c r="K288" s="5"/>
    </row>
    <row r="289" spans="1:11">
      <c r="A289" s="13" t="s">
        <v>458</v>
      </c>
      <c r="B289" s="11" t="s">
        <v>282</v>
      </c>
      <c r="C289" s="7" t="s">
        <v>217</v>
      </c>
      <c r="D289" s="11"/>
      <c r="E289" s="11"/>
      <c r="F289" s="5"/>
      <c r="G289" s="5"/>
      <c r="H289" s="5"/>
      <c r="I289" s="5"/>
      <c r="J289" s="5"/>
      <c r="K289" s="5"/>
    </row>
    <row r="290" spans="1:11">
      <c r="A290" s="13" t="s">
        <v>459</v>
      </c>
      <c r="B290" s="11" t="s">
        <v>302</v>
      </c>
      <c r="C290" s="7" t="s">
        <v>143</v>
      </c>
      <c r="D290" s="11"/>
      <c r="E290" s="11"/>
      <c r="F290" s="5"/>
      <c r="G290" s="5"/>
      <c r="H290" s="5"/>
      <c r="I290" s="5"/>
      <c r="J290" s="5"/>
      <c r="K290" s="5"/>
    </row>
    <row r="291" spans="1:11">
      <c r="A291" s="13" t="s">
        <v>460</v>
      </c>
      <c r="B291" s="11" t="s">
        <v>277</v>
      </c>
      <c r="C291" s="7" t="s">
        <v>144</v>
      </c>
      <c r="D291" s="11"/>
      <c r="E291" s="11"/>
      <c r="F291" s="5"/>
      <c r="G291" s="5"/>
      <c r="H291" s="5"/>
      <c r="I291" s="5"/>
      <c r="J291" s="5"/>
      <c r="K291" s="5"/>
    </row>
    <row r="292" spans="1:11">
      <c r="A292" s="13" t="s">
        <v>461</v>
      </c>
      <c r="B292" s="11" t="s">
        <v>277</v>
      </c>
      <c r="C292" s="7" t="s">
        <v>145</v>
      </c>
      <c r="D292" s="11"/>
      <c r="E292" s="11"/>
      <c r="F292" s="5"/>
      <c r="G292" s="5"/>
      <c r="H292" s="5"/>
      <c r="I292" s="5"/>
      <c r="J292" s="5"/>
      <c r="K292" s="5"/>
    </row>
    <row r="293" spans="1:11">
      <c r="A293" s="13" t="s">
        <v>462</v>
      </c>
      <c r="B293" s="11" t="s">
        <v>277</v>
      </c>
      <c r="C293" s="13" t="s">
        <v>146</v>
      </c>
      <c r="D293" s="11"/>
      <c r="E293" s="11"/>
      <c r="F293" s="5"/>
      <c r="G293" s="5"/>
      <c r="H293" s="5"/>
      <c r="I293" s="5"/>
      <c r="J293" s="5"/>
      <c r="K293" s="5"/>
    </row>
    <row r="294" spans="1:11">
      <c r="A294" s="13" t="s">
        <v>463</v>
      </c>
      <c r="B294" s="11" t="s">
        <v>301</v>
      </c>
      <c r="C294" s="7" t="s">
        <v>147</v>
      </c>
      <c r="D294" s="11"/>
      <c r="E294" s="11"/>
      <c r="F294" s="5"/>
      <c r="G294" s="5"/>
      <c r="H294" s="5"/>
      <c r="I294" s="5"/>
      <c r="J294" s="5"/>
      <c r="K294" s="5"/>
    </row>
    <row r="295" spans="1:11">
      <c r="A295" s="13" t="s">
        <v>464</v>
      </c>
      <c r="B295" s="11" t="s">
        <v>241</v>
      </c>
      <c r="C295" s="7" t="s">
        <v>233</v>
      </c>
      <c r="D295" s="11"/>
      <c r="E295" s="11"/>
      <c r="F295" s="5"/>
      <c r="G295" s="5"/>
      <c r="H295" s="5"/>
      <c r="I295" s="5"/>
      <c r="J295" s="5"/>
      <c r="K295" s="5"/>
    </row>
    <row r="296" spans="1:11">
      <c r="A296" s="13" t="str">
        <f>_xlfn.TEXTJOIN("-",TRUE,Hoja2!A296:I296,1)</f>
        <v>CAR-12PT-1</v>
      </c>
      <c r="B296" s="17" t="s">
        <v>341</v>
      </c>
      <c r="C296" s="7" t="s">
        <v>306</v>
      </c>
    </row>
    <row r="297" spans="1:11">
      <c r="A297" s="13" t="str">
        <f>_xlfn.TEXTJOIN("-",TRUE,Hoja2!A297:I297,1)</f>
        <v>CAR-12PT-DOB-CAR-1</v>
      </c>
      <c r="B297" s="17" t="s">
        <v>341</v>
      </c>
      <c r="C297" s="7" t="s">
        <v>307</v>
      </c>
    </row>
    <row r="298" spans="1:11">
      <c r="A298" s="13" t="str">
        <f>_xlfn.TEXTJOIN("-",TRUE,Hoja2!A298:I298,1)</f>
        <v>CAR-14PT-DOB-CAR-1</v>
      </c>
      <c r="B298" s="17" t="s">
        <v>341</v>
      </c>
      <c r="C298" s="7" t="s">
        <v>308</v>
      </c>
    </row>
    <row r="299" spans="1:11">
      <c r="A299" s="13" t="str">
        <f>_xlfn.TEXTJOIN("-",TRUE,Hoja2!A299:I299,1)</f>
        <v>CAR-14PT-1</v>
      </c>
      <c r="B299" s="17" t="s">
        <v>341</v>
      </c>
      <c r="C299" s="7" t="s">
        <v>309</v>
      </c>
    </row>
    <row r="300" spans="1:11">
      <c r="A300" s="13" t="str">
        <f>_xlfn.TEXTJOIN("-",TRUE,Hoja2!A300:I300,1)</f>
        <v>COU-BRI-130GR-1</v>
      </c>
      <c r="B300" s="17" t="s">
        <v>341</v>
      </c>
      <c r="C300" s="7" t="s">
        <v>348</v>
      </c>
    </row>
    <row r="301" spans="1:11">
      <c r="A301" s="13" t="str">
        <f>_xlfn.TEXTJOIN("-",TRUE,Hoja2!A301:I301,1)</f>
        <v>COU-BRI-150GR-1</v>
      </c>
      <c r="B301" s="17" t="s">
        <v>341</v>
      </c>
      <c r="C301" s="7" t="s">
        <v>349</v>
      </c>
    </row>
    <row r="302" spans="1:11">
      <c r="A302" s="13" t="str">
        <f>_xlfn.TEXTJOIN("-",TRUE,Hoja2!A302:I302,1)</f>
        <v>COU-BRI-200GR-1</v>
      </c>
      <c r="B302" s="17" t="s">
        <v>341</v>
      </c>
      <c r="C302" s="7" t="s">
        <v>350</v>
      </c>
    </row>
    <row r="303" spans="1:11">
      <c r="A303" s="13" t="str">
        <f>_xlfn.TEXTJOIN("-",TRUE,Hoja2!A303:I303,1)</f>
        <v>COU-BRI-250GR-1</v>
      </c>
      <c r="B303" s="17" t="s">
        <v>341</v>
      </c>
      <c r="C303" s="7" t="s">
        <v>351</v>
      </c>
    </row>
    <row r="304" spans="1:11">
      <c r="A304" s="13" t="str">
        <f>_xlfn.TEXTJOIN("-",TRUE,Hoja2!A304:I304,1)</f>
        <v>COU-BRI-300GR-1</v>
      </c>
      <c r="B304" s="17" t="s">
        <v>341</v>
      </c>
      <c r="C304" s="7" t="s">
        <v>352</v>
      </c>
    </row>
    <row r="305" spans="1:3">
      <c r="A305" s="13" t="str">
        <f>_xlfn.TEXTJOIN("-",TRUE,Hoja2!A305:I305,1)</f>
        <v>KRO-12PT-1</v>
      </c>
      <c r="B305" s="17" t="s">
        <v>341</v>
      </c>
      <c r="C305" s="7" t="s">
        <v>310</v>
      </c>
    </row>
    <row r="306" spans="1:3">
      <c r="A306" s="13" t="str">
        <f>_xlfn.TEXTJOIN("-",TRUE,Hoja2!A306:I306,1)</f>
        <v>KRO-10PT-1</v>
      </c>
      <c r="B306" s="17" t="s">
        <v>341</v>
      </c>
      <c r="C306" s="7" t="s">
        <v>311</v>
      </c>
    </row>
    <row r="307" spans="1:3">
      <c r="A307" s="13" t="str">
        <f>_xlfn.TEXTJOIN("-",TRUE,Hoja2!A307:I307,1)</f>
        <v>CAR-OPA-1</v>
      </c>
      <c r="B307" s="17" t="s">
        <v>341</v>
      </c>
      <c r="C307" s="7" t="s">
        <v>312</v>
      </c>
    </row>
    <row r="308" spans="1:3">
      <c r="A308" s="13" t="str">
        <f>_xlfn.TEXTJOIN("-",TRUE,Hoja2!A308:I308,1)</f>
        <v>PAP-OPA-1</v>
      </c>
      <c r="B308" s="17" t="s">
        <v>341</v>
      </c>
      <c r="C308" s="7" t="s">
        <v>313</v>
      </c>
    </row>
    <row r="309" spans="1:3">
      <c r="A309" s="13" t="str">
        <f>_xlfn.TEXTJOIN("-",TRUE,Hoja2!A309:I309,"ALT-BRI",1)</f>
        <v>COU-ADH-ALT-BRI-1</v>
      </c>
      <c r="B309" s="17" t="s">
        <v>341</v>
      </c>
      <c r="C309" s="7" t="s">
        <v>343</v>
      </c>
    </row>
    <row r="310" spans="1:3">
      <c r="A310" s="13" t="str">
        <f>_xlfn.TEXTJOIN("-",TRUE,Hoja2!A310:I310,1)</f>
        <v>COU-ADH-1</v>
      </c>
      <c r="B310" s="17" t="s">
        <v>341</v>
      </c>
      <c r="C310" s="7" t="s">
        <v>314</v>
      </c>
    </row>
    <row r="311" spans="1:3">
      <c r="A311" s="13" t="str">
        <f>_xlfn.TEXTJOIN("-",TRUE,Hoja2!A311:I311,1)</f>
        <v>COU-ADH-DOB-CAR-1</v>
      </c>
      <c r="B311" s="17" t="s">
        <v>341</v>
      </c>
      <c r="C311" s="7" t="s">
        <v>315</v>
      </c>
    </row>
    <row r="312" spans="1:3">
      <c r="A312" s="13" t="str">
        <f>_xlfn.TEXTJOIN("-",TRUE,Hoja2!A312:I312,1)</f>
        <v>COU-ADH-MAT-1</v>
      </c>
      <c r="B312" s="17" t="s">
        <v>341</v>
      </c>
      <c r="C312" s="7" t="s">
        <v>316</v>
      </c>
    </row>
    <row r="313" spans="1:3">
      <c r="A313" s="13" t="s">
        <v>468</v>
      </c>
      <c r="B313" s="17" t="s">
        <v>341</v>
      </c>
      <c r="C313" s="7" t="s">
        <v>347</v>
      </c>
    </row>
    <row r="314" spans="1:3">
      <c r="A314" s="13" t="str">
        <f>_xlfn.TEXTJOIN("-",TRUE,Hoja2!A314:I314,1)</f>
        <v>STA-MAR-1</v>
      </c>
      <c r="B314" s="17" t="s">
        <v>341</v>
      </c>
      <c r="C314" s="7" t="s">
        <v>317</v>
      </c>
    </row>
    <row r="315" spans="1:3">
      <c r="A315" s="13" t="str">
        <f>_xlfn.TEXTJOIN("-",TRUE,Hoja2!A315:I315,1)</f>
        <v>STA-BLA-1</v>
      </c>
      <c r="B315" s="17" t="s">
        <v>341</v>
      </c>
      <c r="C315" s="7" t="s">
        <v>318</v>
      </c>
    </row>
    <row r="316" spans="1:3">
      <c r="A316" s="13" t="str">
        <f>_xlfn.TEXTJOIN("-",TRUE,Hoja2!A316:I316,1)</f>
        <v>STA-CEP-PLA-CEP-1</v>
      </c>
      <c r="B316" s="17" t="s">
        <v>341</v>
      </c>
      <c r="C316" s="7" t="s">
        <v>319</v>
      </c>
    </row>
    <row r="317" spans="1:3">
      <c r="A317" s="13" t="str">
        <f>_xlfn.TEXTJOIN("-",TRUE,Hoja2!A317:I317,1)</f>
        <v>STA-PLA-1</v>
      </c>
      <c r="B317" s="17" t="s">
        <v>341</v>
      </c>
      <c r="C317" s="7" t="s">
        <v>320</v>
      </c>
    </row>
    <row r="318" spans="1:3">
      <c r="A318" s="13" t="str">
        <f>_xlfn.TEXTJOIN("-",TRUE,Hoja2!A318:I318,1)</f>
        <v>STA-NEG-1</v>
      </c>
      <c r="B318" s="17" t="s">
        <v>341</v>
      </c>
      <c r="C318" s="7" t="s">
        <v>321</v>
      </c>
    </row>
    <row r="319" spans="1:3">
      <c r="A319" s="13" t="str">
        <f>_xlfn.TEXTJOIN("-",TRUE,Hoja2!A319:I319,"ROS",1)</f>
        <v>STA-ROS-1</v>
      </c>
      <c r="B319" s="17" t="s">
        <v>341</v>
      </c>
      <c r="C319" s="7" t="s">
        <v>322</v>
      </c>
    </row>
    <row r="320" spans="1:3">
      <c r="A320" s="13" t="str">
        <f>_xlfn.TEXTJOIN("-",TRUE,Hoja2!A320:I320,1)</f>
        <v>STA-ORO-1</v>
      </c>
      <c r="B320" s="17" t="s">
        <v>341</v>
      </c>
      <c r="C320" s="7" t="s">
        <v>323</v>
      </c>
    </row>
    <row r="321" spans="1:3">
      <c r="A321" s="13" t="s">
        <v>469</v>
      </c>
      <c r="B321" s="17" t="s">
        <v>341</v>
      </c>
      <c r="C321" s="7" t="s">
        <v>324</v>
      </c>
    </row>
    <row r="322" spans="1:3">
      <c r="A322" s="13" t="str">
        <f>_xlfn.TEXTJOIN("-",TRUE,Hoja2!A322:I322,1)</f>
        <v>CAR-LIN-AMA-1</v>
      </c>
      <c r="B322" s="17" t="s">
        <v>341</v>
      </c>
      <c r="C322" s="7" t="s">
        <v>344</v>
      </c>
    </row>
    <row r="323" spans="1:3">
      <c r="A323" s="13" t="str">
        <f>_xlfn.TEXTJOIN("-",TRUE,Hoja2!A323:I323,1)</f>
        <v>CAR-LIN-MAR-1</v>
      </c>
      <c r="B323" s="17" t="s">
        <v>341</v>
      </c>
      <c r="C323" s="7" t="s">
        <v>345</v>
      </c>
    </row>
    <row r="324" spans="1:3">
      <c r="A324" s="13" t="str">
        <f>_xlfn.TEXTJOIN("-",TRUE,Hoja2!A324:I324,1)</f>
        <v>CAR-LIN-BLA-1</v>
      </c>
      <c r="B324" s="17" t="s">
        <v>341</v>
      </c>
      <c r="C324" s="7" t="s">
        <v>346</v>
      </c>
    </row>
    <row r="325" spans="1:3">
      <c r="A325" s="13" t="str">
        <f>_xlfn.TEXTJOIN("-",TRUE,Hoja2!A325:I325,1)</f>
        <v>PAP-LIN-BLA-1</v>
      </c>
      <c r="B325" s="17" t="s">
        <v>341</v>
      </c>
      <c r="C325" s="7" t="s">
        <v>325</v>
      </c>
    </row>
    <row r="326" spans="1:3">
      <c r="A326" s="13" t="str">
        <f>_xlfn.TEXTJOIN("-",TRUE,Hoja2!A326:I326,1)</f>
        <v>PAP-LIN-MAR-1</v>
      </c>
      <c r="B326" s="17" t="s">
        <v>341</v>
      </c>
      <c r="C326" s="7" t="s">
        <v>326</v>
      </c>
    </row>
    <row r="327" spans="1:3">
      <c r="A327" s="13" t="str">
        <f>_xlfn.TEXTJOIN("-",TRUE,Hoja2!A327:I327,"TEX-REC",1)</f>
        <v>PAP-TEX-REC-1</v>
      </c>
      <c r="B327" s="17" t="s">
        <v>341</v>
      </c>
      <c r="C327" s="7" t="s">
        <v>327</v>
      </c>
    </row>
    <row r="328" spans="1:3">
      <c r="A328" s="13" t="str">
        <f>_xlfn.TEXTJOIN("-",TRUE,Hoja2!A328:I328,1)</f>
        <v>OTR-RES-GRI-1</v>
      </c>
      <c r="B328" s="17" t="s">
        <v>341</v>
      </c>
      <c r="C328" s="7" t="s">
        <v>328</v>
      </c>
    </row>
    <row r="329" spans="1:3">
      <c r="A329" s="13" t="str">
        <f>_xlfn.TEXTJOIN("-",TRUE,Hoja2!A329:I329,1)</f>
        <v>OTR-RES-CAF-1</v>
      </c>
      <c r="B329" s="17" t="s">
        <v>341</v>
      </c>
      <c r="C329" s="7" t="s">
        <v>470</v>
      </c>
    </row>
    <row r="330" spans="1:3">
      <c r="A330" s="13" t="str">
        <f>_xlfn.TEXTJOIN("-",TRUE,Hoja2!A330:I330,"BON",1)</f>
        <v>PAP-BON-1</v>
      </c>
      <c r="B330" s="17" t="s">
        <v>341</v>
      </c>
      <c r="C330" s="7" t="s">
        <v>329</v>
      </c>
    </row>
    <row r="331" spans="1:3">
      <c r="A331" s="13" t="str">
        <f>_xlfn.TEXTJOIN("-",TRUE,Hoja2!A331:I331,1)</f>
        <v>COU-MAT-130GR-1</v>
      </c>
      <c r="B331" s="17" t="s">
        <v>341</v>
      </c>
      <c r="C331" s="7" t="s">
        <v>466</v>
      </c>
    </row>
    <row r="332" spans="1:3">
      <c r="A332" s="13" t="str">
        <f>_xlfn.TEXTJOIN("-",TRUE,Hoja2!A332:I332,1)</f>
        <v>COU-MAT-150GR-1</v>
      </c>
      <c r="B332" s="17" t="s">
        <v>341</v>
      </c>
      <c r="C332" s="7" t="s">
        <v>465</v>
      </c>
    </row>
    <row r="333" spans="1:3">
      <c r="A333" s="13" t="str">
        <f>_xlfn.TEXTJOIN("-",TRUE,Hoja2!A333:I333,1)</f>
        <v>COU-MAT-200GR-1</v>
      </c>
      <c r="B333" s="17" t="s">
        <v>341</v>
      </c>
      <c r="C333" s="7" t="s">
        <v>330</v>
      </c>
    </row>
    <row r="334" spans="1:3">
      <c r="A334" s="13" t="str">
        <f>_xlfn.TEXTJOIN("-",TRUE,Hoja2!A334:I334,1)</f>
        <v>COU-MAT-250GR-1</v>
      </c>
      <c r="B334" s="17" t="s">
        <v>341</v>
      </c>
      <c r="C334" s="7" t="s">
        <v>331</v>
      </c>
    </row>
    <row r="335" spans="1:3">
      <c r="A335" s="13" t="str">
        <f>_xlfn.TEXTJOIN("-",TRUE,Hoja2!A335:I335,1)</f>
        <v>COU-MAT-300GR-1</v>
      </c>
      <c r="B335" s="17" t="s">
        <v>341</v>
      </c>
      <c r="C335" s="7" t="s">
        <v>467</v>
      </c>
    </row>
    <row r="336" spans="1:3">
      <c r="A336" s="13" t="str">
        <f>_xlfn.TEXTJOIN("-",TRUE,Hoja2!A336:I336,1)</f>
        <v>COU-MAT-350GR-1</v>
      </c>
      <c r="B336" s="17" t="s">
        <v>341</v>
      </c>
      <c r="C336" s="7" t="s">
        <v>332</v>
      </c>
    </row>
    <row r="337" spans="1:3">
      <c r="A337" s="13" t="s">
        <v>471</v>
      </c>
      <c r="B337" s="17" t="s">
        <v>341</v>
      </c>
      <c r="C337" s="7" t="s">
        <v>333</v>
      </c>
    </row>
    <row r="338" spans="1:3">
      <c r="A338" s="13" t="s">
        <v>472</v>
      </c>
      <c r="B338" s="17" t="s">
        <v>341</v>
      </c>
      <c r="C338" s="7" t="s">
        <v>334</v>
      </c>
    </row>
    <row r="339" spans="1:3">
      <c r="A339" s="13" t="str">
        <f>_xlfn.TEXTJOIN("-",TRUE,Hoja2!A339:I339,1)</f>
        <v>PAP-SUN-BLA-1</v>
      </c>
      <c r="B339" s="17" t="s">
        <v>341</v>
      </c>
      <c r="C339" s="7" t="s">
        <v>335</v>
      </c>
    </row>
    <row r="340" spans="1:3">
      <c r="A340" s="13" t="str">
        <f>_xlfn.TEXTJOIN("-",TRUE,Hoja2!A340:I340,1)</f>
        <v>CAR-SUN-BLA-1</v>
      </c>
      <c r="B340" s="17" t="s">
        <v>341</v>
      </c>
      <c r="C340" s="7" t="s">
        <v>336</v>
      </c>
    </row>
    <row r="341" spans="1:3">
      <c r="A341" s="13" t="str">
        <f>_xlfn.TEXTJOIN("-",TRUE,Hoja2!A341:I341,"BRI",1)</f>
        <v>CAR-BRI-1</v>
      </c>
      <c r="B341" s="17" t="s">
        <v>341</v>
      </c>
      <c r="C341" s="7" t="s">
        <v>337</v>
      </c>
    </row>
    <row r="342" spans="1:3">
      <c r="A342" s="13" t="str">
        <f>_xlfn.TEXTJOIN("-",TRUE,Hoja2!A342:I342,"GRI-ANT",1)</f>
        <v>CAR-FAB-185GR-GRI-ANT-1</v>
      </c>
      <c r="B342" s="17" t="s">
        <v>341</v>
      </c>
      <c r="C342" s="7" t="s">
        <v>338</v>
      </c>
    </row>
    <row r="343" spans="1:3">
      <c r="A343" s="13" t="str">
        <f>_xlfn.TEXTJOIN("-",TRUE,Hoja2!A343:I343,1)</f>
        <v>PAP-FAB-CLA-130GR-1</v>
      </c>
      <c r="B343" s="17" t="s">
        <v>341</v>
      </c>
      <c r="C343" s="7" t="s">
        <v>339</v>
      </c>
    </row>
    <row r="344" spans="1:3">
      <c r="A344" s="13" t="s">
        <v>473</v>
      </c>
      <c r="B344" s="17" t="s">
        <v>341</v>
      </c>
      <c r="C344" s="7" t="s">
        <v>340</v>
      </c>
    </row>
  </sheetData>
  <mergeCells count="5">
    <mergeCell ref="F1:H1"/>
    <mergeCell ref="D1:E1"/>
    <mergeCell ref="C1:C2"/>
    <mergeCell ref="A1:A2"/>
    <mergeCell ref="B1:B2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7"/>
  <sheetViews>
    <sheetView zoomScale="178" workbookViewId="0">
      <selection activeCell="B3" sqref="B3"/>
    </sheetView>
  </sheetViews>
  <sheetFormatPr baseColWidth="10" defaultRowHeight="14.4"/>
  <cols>
    <col min="3" max="3" width="37.44140625" bestFit="1" customWidth="1"/>
  </cols>
  <sheetData>
    <row r="2" spans="2:4">
      <c r="B2" s="16" t="s">
        <v>483</v>
      </c>
      <c r="C2" s="16" t="s">
        <v>481</v>
      </c>
      <c r="D2" t="s">
        <v>482</v>
      </c>
    </row>
    <row r="3" spans="2:4">
      <c r="B3" s="16" t="s">
        <v>234</v>
      </c>
      <c r="C3" s="14" t="s">
        <v>198</v>
      </c>
      <c r="D3" t="s">
        <v>198</v>
      </c>
    </row>
    <row r="4" spans="2:4">
      <c r="B4" s="16" t="s">
        <v>235</v>
      </c>
      <c r="C4" s="14" t="s">
        <v>239</v>
      </c>
      <c r="D4" t="s">
        <v>201</v>
      </c>
    </row>
    <row r="5" spans="2:4">
      <c r="B5" s="16" t="s">
        <v>236</v>
      </c>
      <c r="C5" s="16" t="s">
        <v>281</v>
      </c>
    </row>
    <row r="6" spans="2:4">
      <c r="B6" s="16" t="s">
        <v>237</v>
      </c>
      <c r="C6" s="14" t="s">
        <v>292</v>
      </c>
      <c r="D6" t="s">
        <v>291</v>
      </c>
    </row>
    <row r="7" spans="2:4">
      <c r="B7" s="16" t="s">
        <v>238</v>
      </c>
      <c r="C7" s="14" t="s">
        <v>240</v>
      </c>
    </row>
    <row r="8" spans="2:4">
      <c r="B8" s="16" t="s">
        <v>252</v>
      </c>
      <c r="C8" s="5" t="s">
        <v>302</v>
      </c>
      <c r="D8" t="s">
        <v>302</v>
      </c>
    </row>
    <row r="9" spans="2:4">
      <c r="B9" s="16" t="s">
        <v>253</v>
      </c>
      <c r="C9" s="14" t="s">
        <v>241</v>
      </c>
      <c r="D9" t="s">
        <v>241</v>
      </c>
    </row>
    <row r="10" spans="2:4">
      <c r="B10" s="16" t="s">
        <v>254</v>
      </c>
      <c r="C10" s="14" t="s">
        <v>242</v>
      </c>
      <c r="D10" t="s">
        <v>296</v>
      </c>
    </row>
    <row r="11" spans="2:4">
      <c r="B11" s="16" t="s">
        <v>357</v>
      </c>
      <c r="C11" s="15" t="s">
        <v>274</v>
      </c>
    </row>
    <row r="12" spans="2:4">
      <c r="B12" s="16" t="s">
        <v>256</v>
      </c>
      <c r="C12" s="14" t="s">
        <v>272</v>
      </c>
      <c r="D12" t="s">
        <v>272</v>
      </c>
    </row>
    <row r="13" spans="2:4">
      <c r="B13" s="16" t="s">
        <v>257</v>
      </c>
      <c r="C13" s="15" t="s">
        <v>273</v>
      </c>
      <c r="D13" t="s">
        <v>273</v>
      </c>
    </row>
    <row r="14" spans="2:4">
      <c r="B14" s="16" t="s">
        <v>258</v>
      </c>
      <c r="C14" s="14" t="s">
        <v>355</v>
      </c>
      <c r="D14" t="s">
        <v>301</v>
      </c>
    </row>
    <row r="15" spans="2:4">
      <c r="B15" s="16" t="s">
        <v>259</v>
      </c>
      <c r="C15" s="15" t="s">
        <v>275</v>
      </c>
      <c r="D15" t="s">
        <v>297</v>
      </c>
    </row>
    <row r="16" spans="2:4">
      <c r="B16" s="16" t="s">
        <v>260</v>
      </c>
      <c r="C16" s="14" t="s">
        <v>243</v>
      </c>
      <c r="D16" t="s">
        <v>197</v>
      </c>
    </row>
    <row r="17" spans="2:4">
      <c r="B17" s="16" t="s">
        <v>262</v>
      </c>
      <c r="C17" s="16" t="s">
        <v>277</v>
      </c>
      <c r="D17" t="s">
        <v>277</v>
      </c>
    </row>
    <row r="18" spans="2:4">
      <c r="B18" s="16" t="s">
        <v>263</v>
      </c>
      <c r="C18" s="16" t="s">
        <v>279</v>
      </c>
      <c r="D18" t="s">
        <v>279</v>
      </c>
    </row>
    <row r="19" spans="2:4">
      <c r="B19" s="16" t="s">
        <v>264</v>
      </c>
      <c r="C19" s="14" t="s">
        <v>244</v>
      </c>
      <c r="D19" t="s">
        <v>293</v>
      </c>
    </row>
    <row r="20" spans="2:4">
      <c r="B20" s="16" t="s">
        <v>261</v>
      </c>
      <c r="C20" s="14" t="s">
        <v>245</v>
      </c>
      <c r="D20" t="s">
        <v>245</v>
      </c>
    </row>
    <row r="21" spans="2:4">
      <c r="B21" s="16" t="s">
        <v>265</v>
      </c>
      <c r="C21" s="16" t="s">
        <v>280</v>
      </c>
      <c r="D21" t="s">
        <v>280</v>
      </c>
    </row>
    <row r="22" spans="2:4">
      <c r="B22" s="16" t="s">
        <v>266</v>
      </c>
      <c r="C22" s="16" t="s">
        <v>278</v>
      </c>
      <c r="D22" t="s">
        <v>278</v>
      </c>
    </row>
    <row r="23" spans="2:4">
      <c r="B23" s="16" t="s">
        <v>255</v>
      </c>
      <c r="C23" s="15" t="s">
        <v>356</v>
      </c>
    </row>
    <row r="24" spans="2:4">
      <c r="B24" s="16" t="s">
        <v>267</v>
      </c>
      <c r="C24" s="14" t="s">
        <v>246</v>
      </c>
      <c r="D24" t="s">
        <v>287</v>
      </c>
    </row>
    <row r="25" spans="2:4">
      <c r="B25" s="16" t="s">
        <v>268</v>
      </c>
      <c r="C25" s="14" t="s">
        <v>247</v>
      </c>
      <c r="D25" t="s">
        <v>173</v>
      </c>
    </row>
    <row r="26" spans="2:4">
      <c r="B26" s="16" t="s">
        <v>269</v>
      </c>
      <c r="C26" s="14" t="s">
        <v>248</v>
      </c>
      <c r="D26" t="s">
        <v>248</v>
      </c>
    </row>
    <row r="27" spans="2:4">
      <c r="B27" s="16" t="s">
        <v>270</v>
      </c>
      <c r="C27" s="14" t="s">
        <v>353</v>
      </c>
      <c r="D27" t="s">
        <v>286</v>
      </c>
    </row>
    <row r="28" spans="2:4">
      <c r="B28" s="16" t="s">
        <v>271</v>
      </c>
      <c r="C28" s="16" t="s">
        <v>354</v>
      </c>
      <c r="D28" t="s">
        <v>282</v>
      </c>
    </row>
    <row r="29" spans="2:4">
      <c r="B29" s="16" t="s">
        <v>283</v>
      </c>
      <c r="C29" s="15" t="s">
        <v>276</v>
      </c>
      <c r="D29" t="s">
        <v>294</v>
      </c>
    </row>
    <row r="30" spans="2:4">
      <c r="B30" s="16" t="s">
        <v>284</v>
      </c>
      <c r="C30" s="14" t="s">
        <v>298</v>
      </c>
      <c r="D30" t="s">
        <v>298</v>
      </c>
    </row>
    <row r="31" spans="2:4">
      <c r="B31" s="16" t="s">
        <v>285</v>
      </c>
      <c r="C31" s="14" t="s">
        <v>342</v>
      </c>
      <c r="D31" t="s">
        <v>341</v>
      </c>
    </row>
    <row r="32" spans="2:4">
      <c r="B32" s="16" t="s">
        <v>303</v>
      </c>
      <c r="C32" s="14" t="s">
        <v>249</v>
      </c>
      <c r="D32" t="s">
        <v>300</v>
      </c>
    </row>
    <row r="33" spans="2:4">
      <c r="B33" s="16" t="s">
        <v>304</v>
      </c>
      <c r="C33" s="14" t="s">
        <v>250</v>
      </c>
      <c r="D33" t="s">
        <v>199</v>
      </c>
    </row>
    <row r="34" spans="2:4">
      <c r="B34" s="16" t="s">
        <v>305</v>
      </c>
      <c r="C34" s="14" t="s">
        <v>251</v>
      </c>
      <c r="D34" t="s">
        <v>200</v>
      </c>
    </row>
    <row r="35" spans="2:4">
      <c r="D35" t="s">
        <v>288</v>
      </c>
    </row>
    <row r="36" spans="2:4">
      <c r="D36" t="s">
        <v>289</v>
      </c>
    </row>
    <row r="37" spans="2:4">
      <c r="D37" t="s">
        <v>299</v>
      </c>
    </row>
  </sheetData>
  <sortState xmlns:xlrd2="http://schemas.microsoft.com/office/spreadsheetml/2017/richdata2" ref="C3:C34">
    <sortCondition ref="C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345"/>
  <sheetViews>
    <sheetView tabSelected="1" workbookViewId="0">
      <selection activeCell="C3" sqref="C3:C344"/>
    </sheetView>
  </sheetViews>
  <sheetFormatPr baseColWidth="10" defaultRowHeight="14.4"/>
  <cols>
    <col min="1" max="1" width="11.88671875" bestFit="1" customWidth="1"/>
    <col min="2" max="2" width="11.88671875" customWidth="1"/>
    <col min="7" max="8" width="11.88671875" bestFit="1" customWidth="1"/>
  </cols>
  <sheetData>
    <row r="3" spans="1:9">
      <c r="A3" t="str">
        <f>IF(ISNUMBER(SEARCH("LONA",INVENTARIO!C3)),"LON",
IF(ISNUMBER(SEARCH("VINIL",INVENTARIO!C3)),"VIN",
IF(ISNUMBER(SEARCH("KROMACOTE",INVENTARIO!C3)),"KRO",
IF(ISNUMBER(SEARCH("STARDREAM",INVENTARIO!C3)),"STA",
IF(ISNUMBER(SEARCH("DISPLAY",INVENTARIO!C3)),"DIS",
IF(ISNUMBER(SEARCH("ROLL UP",INVENTARIO!C3)),"ROL-UP",
IF(ISNUMBER(SEARCH("TRANSFER DE PAPEL",INVENTARIO!C3)),"TRA-PAP",
IF(ISNUMBER(SEARCH("TRANSFER",INVENTARIO!C3)),"TRA",IF(ISNUMBER(SEARCH("KOLA LOKA",INVENTARIO!C3)),"KOL-LOK",
IF(ISNUMBER(SEARCH("PETG",INVENTARIO!C3)),"PET",
IF(ISNUMBER(SEARCH("OJILLO",INVENTARIO!C3)),"OJI",
IF(ISNUMBER(SEARCH("COUCHE",INVENTARIO!C3)),"COU",
IF(ISNUMBER(SEARCH("PANEL DE ALUMINIO",INVENTARIO!C3)),"PAN-ALU",
IF(ISNUMBER(SEARCH("PVC",INVENTARIO!C3)),"PVC",
IF(ISNUMBER(SEARCH("PAPEL",INVENTARIO!C3)),"PAP",
IF(ISNUMBER(SEARCH("TELA",INVENTARIO!C3)),"TEL",
IF(ISNUMBER(SEARCH("CARTULINA",INVENTARIO!C3)),"CAR",
IF(OR(ISNUMBER(SEARCH("LAMINA",INVENTARIO!C3)),ISNUMBER(SEARCH("LÁMINA",INVENTARIO!C3)),ISNUMBER(SEARCH("LAMPARAS",INVENTARIO!C3))),"LAM",
IF(ISNUMBER(SEARCH("ESTIRENO",INVENTARIO!C3)),"EST",
IF(ISNUMBER(SEARCH("FOAMBOARD",INVENTARIO!C3)),"FOA",
IF(ISNUMBER(SEARCH("SOLVENTE",INVENTARIO!C3)),"SOL",
IF(ISNUMBER(SEARCH("TINTA",INVENTARIO!C3)),"TIN",
IF(ISNUMBER(SEARCH("ACRILICO",INVENTARIO!C3)),"ACR",
IF(ISNUMBER(SEARCH("MICROLED",INVENTARIO!C3)),"MIC",
IF(ISNUMBER(SEARCH("LED",INVENTARIO!C3)),"LED",
IF(ISNUMBER(SEARCH("FUENTE DE PODER",INVENTARIO!C3)),"FUE-POD",
IF(ISNUMBER(SEARCH("PETG",INVENTARIO!C3)),"PET",
IF(ISNUMBER(SEARCH("ALUMINIO",INVENTARIO!C3)),"ALU",
IF(ISNUMBER(SEARCH("CANAL",INVENTARIO!C3)),"CAN",
IF(ISNUMBER(SEARCH("ESCUADRA",INVENTARIO!C3)),"ESC",
IF(ISNUMBER(SEARCH("SOPORTE",INVENTARIO!C3)),"SOP","OTR")
))))))))))))))))))))))))))))))</f>
        <v>LON</v>
      </c>
      <c r="B3" t="str">
        <f>IF(ISNUMBER(SEARCH("CORTE",INVENTARIO!C3)),"COR",
IF(ISNUMBER(SEARCH("CITYLIGHT",INVENTARIO!C3)),"CIT",
IF(ISNUMBER(SEARCH("LINO",INVENTARIO!C3)),"LIN",
IF(ISNUMBER(SEARCH("FABRIANO",INVENTARIO!C3)),"FAB",
IF(ISNUMBER(SEARCH("SUNDANCE",INVENTARIO!C3)),"SUN",
IF(ISNUMBER(SEARCH("SINTETICA",INVENTARIO!C3)),"SIN",
IF(ISNUMBER(SEARCH("CONTROL",INVENTARIO!C3)),"CON",
IF(ISNUMBER(SEARCH("TERMICO",INVENTARIO!C3)),"TER",
IF(ISNUMBER(SEARCH("C-15",INVENTARIO!C3)),"C15",
IF(ISNUMBER(SEARCH("C-20",INVENTARIO!C3)),"C20",
IF(ISNUMBER(SEARCH("C-30",INVENTARIO!C3)),"C30",
IF(ISNUMBER(SEARCH("C-40",INVENTARIO!C3)),"C40",
IF(ISNUMBER(SEARCH("C-60",INVENTARIO!C3)),"C60",
IF(ISNUMBER(SEARCH("C-80",INVENTARIO!C3)),"C80",
IF(ISNUMBER(SEARCH("EQUIPO",INVENTARIO!C3)),"EQU",
IF(ISNUMBER(SEARCH("FLOOR",INVENTARIO!C3)),"FLO",
IF(ISNUMBER(SEARCH("CRISTAL",INVENTARIO!C3)),"CRI",
IF(ISNUMBER(SEARCH(" SULFATADA",INVENTARIO!C14)),"SUL",
IF(ISNUMBER(SEARCH("OPALINA",INVENTARIO!C3)),"OPA",
IF(ISNUMBER(SEARCH("ADHERIBLE",INVENTARIO!C3)),"ADH",
IF(ISNUMBER(SEARCH("MICRO",INVENTARIO!C3)),"MIC","")))))))))))))))))))))</f>
        <v/>
      </c>
      <c r="C3" t="str">
        <f>IF(ISNUMBER(SEARCH("PARED",INVENTARIO!C3)),"PAR",
IF(ISNUMBER(SEARCH("FRONT",INVENTARIO!C3)),"FRO",
IF(ISNUMBER(SEARCH("ALTA RESISTENCIA",INVENTARIO!C3)),
"ALT-RES",IF(ISNUMBER(SEARCH("BACKLITE",INVENTARIO!C3)),"BAC",
IF(ISNUMBER(SEARCH("MATE",INVENTARIO!C3)),"MAT",
IF(ISNUMBER(SEARCH("MESH",INVENTARIO!C3)),"MES",
IF(ISNUMBER(SEARCH("BRILLANTE",INVENTARIO!C3)),"BRI",
IF(ISNUMBER(SEARCH("DELGADA",INVENTARIO!C3)),"DEL",
IF(ISNUMBER(SEARCH("GRUESA",INVENTARIO!C3)),"GRU",
IF(ISNUMBER(SEARCH("ESTATICO",INVENTARIO!C3)),"EST",
IF(ISNUMBER(SEARCH("REFLECTIVO",INVENTARIO!C3)),"REF",
IF(ISNUMBER(SEARCH("LX700",INVENTARIO!C3)),"LX7",
IF(ISNUMBER(SEARCH("GRANDO",INVENTARIO!C3)),"GRA",
IF(ISNUMBER(SEARCH("FB700",INVENTARIO!C3)),"FB7",
IF(ISNUMBER(SEARCH("LX360",INVENTARIO!C3)),"LX3",
IF(ISNUMBER(SEARCH("XEROX",INVENTARIO!C3)),"XER",
IF(ISNUMBER(SEARCH("CEPILLADO",INVENTARIO!C3)),"CEP",
IF(ISNUMBER(SEARCH("ESPEJO",INVENTARIO!C3)),"ESP",
IF(ISNUMBER(SEARCH("10 PTS",INVENTARIO!C3)),"10PT",
IF(ISNUMBER(SEARCH("12 PTS",INVENTARIO!C3)),"12PT",
IF(ISNUMBER(SEARCH("14 PTS",INVENTARIO!C3)),"14PT",
IF(ISNUMBER(SEARCH("CLASICO",INVENTARIO!C3)),"CLA",
""))))))))))))))))))))))</f>
        <v>BAC</v>
      </c>
      <c r="D3" t="str">
        <f>IF(ISNUMBER(SEARCH("GRAN FORMATO",INVENTARIO!C3)),"GRA-FOR",
IF(ISNUMBER(SEARCH("CAMA PLANA",INVENTARIO!C3)),"CAM-PLA",
IF(ISNUMBER(SEARCH("GRADO INGENIERIA",INVENTARIO!C3)),"GRA-ING",
IF(ISNUMBER(SEARCH("130 GRS",INVENTARIO!C3)),"130GR",
IF(ISNUMBER(SEARCH("150 GRS",INVENTARIO!C3)),"150GR",
IF(ISNUMBER(SEARCH("185 GRS",INVENTARIO!C3)),"185GR",
IF(ISNUMBER(SEARCH("200 GRS",INVENTARIO!C3)),"200GR",
IF(ISNUMBER(SEARCH("250 GRS",INVENTARIO!C3)),"250GR",
IF(ISNUMBER(SEARCH("300 GRS",INVENTARIO!C3)),"300GR",
IF(ISNUMBER(SEARCH("350 GRS",INVENTARIO!C3)),"350GR",
IF(ISNUMBER(SEARCH("18 OZ",INVENTARIO!C3)),"18OZ",
IF(ISNUMBER(SEARCH("15 OZ",INVENTARIO!C3)),"15OZ",
IF(OR(ISNUMBER(SEARCH("13 OZ",INVENTARIO!C3)),ISNUMBER(SEARCH("13 ONZAS",INVENTARIO!C3))),"13OZ",
IF(OR(ISNUMBER(SEARCH("9 OZ",INVENTARIO!C3)),ISNUMBER(SEARCH("9 ONZAS",INVENTARIO!C3))),"09OZ",
IF(ISNUMBER(SEARCH("DOBLE CARA",INVENTARIO!C3)),"DOB-CAR",
"")))))))))))))))</f>
        <v/>
      </c>
      <c r="E3" t="str">
        <f>IF(OR(ISNUMBER(SEARCH("TRANSPARENTE",INVENTARIO!C3)),ISNUMBER(SEARCH("TRANSPARENTES",INVENTARIO!C3))),"TRA",
IF(OR(ISNUMBER(SEARCH("BLANCO",INVENTARIO!C3)),ISNUMBER(SEARCH("BCO",INVENTARIO!C3))),"BLA",
IF(ISNUMBER(SEARCH("FOTOGRAFICO",INVENTARIO!C3)),"FOT",
IF(ISNUMBER(SEARCH("MARFIL",INVENTARIO!C3)),"MAR",
IF(ISNUMBER(SEARCH("VERDE",INVENTARIO!C3)),"VER",
IF(ISNUMBER(SEARCH("MORADO",INVENTARIO!C3)),"MOR",
IF(ISNUMBER(SEARCH("PLATA",INVENTARIO!C3)),"PLA",
IF(ISNUMBER(SEARCH("ORO",INVENTARIO!C3)),"ORO",
IF(ISNUMBER(SEARCH("AMARILLO",INVENTARIO!C3)),"AMA",
IF(ISNUMBER(SEARCH("NARANJA",INVENTARIO!C3)),"NAR",
IF(ISNUMBER(SEARCH("NEGRO",INVENTARIO!C3)),"NEG",
IF(ISNUMBER(SEARCH("ROJO",INVENTARIO!C3)),"ROJ",
IF(ISNUMBER(SEARCH("AZUL",INVENTARIO!C3)),"AZU","")))))))))))))</f>
        <v/>
      </c>
      <c r="F3" t="str">
        <f>IF(ISNUMBER(SEARCH("ARLON",INVENTARIO!C3)),"ARL",
IF(ISNUMBER(SEARCH("SUNTHINKS",INVENTARIO!C3)),"SUN",
IF(ISNUMBER(SEARCH("FRIO",INVENTARIO!C3)),"FRI",
IF(ISNUMBER(SEARCH("CALIDO",INVENTARIO!C3)),"CAL",
IF(ISNUMBER(SEARCH("CEPILLADO",INVENTARIO!C3)),"CEP",
IF(ISNUMBER(SEARCH("ESPEJO",INVENTARIO!C3)),"ESP",
""))))))</f>
        <v/>
      </c>
      <c r="G3" t="str">
        <f>IF(ISNUMBER(SEARCH("LATEX",INVENTARIO!C3)),"LAT",
IF(ISNUMBER(SEARCH("RESP. NEGRO",INVENTARIO!C3)),"RES-NEG",
IF(ISNUMBER(SEARCH("RESPALDO CAFE",INVENTARIO!C3)),"RES-CAF",
IF(ISNUMBER(SEARCH("RESPALDO GRIS",INVENTARIO!C3)),"RES-GRI",
IF(ISNUMBER(SEARCH("OPTICO",INVENTARIO!C3)),"OPT",
IF(ISNUMBER(SEARCH("1,2 MM",INVENTARIO!C3)),"1MM2",
IF(ISNUMBER(SEARCH("2 MM",INVENTARIO!C3)),"2MM",
IF(ISNUMBER(SEARCH("3 MM",INVENTARIO!C3)),"3MM",
IF(ISNUMBER(SEARCH("4 MM",INVENTARIO!C3)),"4MM",
IF(ISNUMBER(SEARCH("5 MM",INVENTARIO!C3)),"5MM",
IF(ISNUMBER(SEARCH("6 MM",INVENTARIO!C3)),"6MM",
IF(ISNUMBER(SEARCH("9 MM",INVENTARIO!C3)),"9MM",
IF(ISNUMBER(SEARCH("10 MM",INVENTARIO!C3)),"10MM","")))))))))))))</f>
        <v/>
      </c>
      <c r="H3" t="str">
        <f>IF(ISNUMBER(SEARCH("GAMA BAJA",INVENTARIO!C3)),"GAM-BAJ",
IF(ISNUMBER(SEARCH("OPTIMIZADOR",INVENTARIO!C3)),"OPT",
IF(ISNUMBER(SEARCH("OVERCOAT",INVENTARIO!C3)),"OVE",
IF(ISNUMBER(SEARCH("WHITE",INVENTARIO!C3)),"WHI",
IF(ISNUMBER(SEARCH("LIGHT CYAN",INVENTARIO!C3)),"LIG-CYA",
IF(ISNUMBER(SEARCH("CYAN",INVENTARIO!C3)),"CYA",
IF(ISNUMBER(SEARCH("LIGHT MAGENTA",INVENTARIO!C3)),"LIG-MAG",
IF(ISNUMBER(SEARCH("MAGENTA",INVENTARIO!C3)),"MAG",
IF(ISNUMBER(SEARCH("BLACK",INVENTARIO!C3)),"BLA",
IF(ISNUMBER(SEARCH("YELLOW",INVENTARIO!C3)),"YEL",
IF(ISNUMBER(SEARCH("2 DIODOS",INVENTARIO!C3)),"2DI",
IF(ISNUMBER(SEARCH("3 DIODOS",INVENTARIO!C3)),"3DI",
IF(OR(ISNUMBER(SEARCH("TRASLUCIDO",INVENTARIO!C3)),ISNUMBER(SEARCH("TRANSLUCIDO",INVENTARIO!C3))),"TRA",
"")))))))))))))</f>
        <v/>
      </c>
      <c r="I3" t="str">
        <f>IF(ISNUMBER(SEARCH("SILED",INVENTARIO!C3)),"SI",
IF(ISNUMBER(SEARCH("SYDEMEX",INVENTARIO!C3)),"SY",
IF(ISNUMBER(SEARCH("ROHS",INVENTARIO!C3)),"RO",
IF(ISNUMBER(SEARCH("RISHANG",INVENTARIO!C3)),"RS",
IF(ISNUMBER(SEARCH("VYG",INVENTARIO!C3)),"VYG",
IF(ISNUMBER(SEARCH("COLED",INVENTARIO!C3)),"CO",""))))))</f>
        <v/>
      </c>
    </row>
    <row r="4" spans="1:9">
      <c r="A4" t="str">
        <f>IF(ISNUMBER(SEARCH("LONA",INVENTARIO!C4)),"LON",
IF(ISNUMBER(SEARCH("VINIL",INVENTARIO!C4)),"VIN",
IF(ISNUMBER(SEARCH("KROMACOTE",INVENTARIO!C4)),"KRO",
IF(ISNUMBER(SEARCH("STARDREAM",INVENTARIO!C4)),"STA",
IF(ISNUMBER(SEARCH("DISPLAY",INVENTARIO!C4)),"DIS",
IF(ISNUMBER(SEARCH("ROLL UP",INVENTARIO!C4)),"ROL-UP",
IF(ISNUMBER(SEARCH("TRANSFER DE PAPEL",INVENTARIO!C4)),"TRA-PAP",
IF(ISNUMBER(SEARCH("TRANSFER",INVENTARIO!C4)),"TRA",IF(ISNUMBER(SEARCH("KOLA LOKA",INVENTARIO!C4)),"KOL-LOK",
IF(ISNUMBER(SEARCH("PETG",INVENTARIO!C4)),"PET",
IF(ISNUMBER(SEARCH("OJILLO",INVENTARIO!C4)),"OJI",
IF(ISNUMBER(SEARCH("COUCHE",INVENTARIO!C4)),"COU",
IF(ISNUMBER(SEARCH("PANEL DE ALUMINIO",INVENTARIO!C4)),"PAN-ALU",
IF(ISNUMBER(SEARCH("PVC",INVENTARIO!C4)),"PVC",
IF(ISNUMBER(SEARCH("PAPEL",INVENTARIO!C4)),"PAP",
IF(ISNUMBER(SEARCH("TELA",INVENTARIO!C4)),"TEL",
IF(ISNUMBER(SEARCH("CARTULINA",INVENTARIO!C4)),"CAR",
IF(OR(ISNUMBER(SEARCH("LAMINA",INVENTARIO!C4)),ISNUMBER(SEARCH("LÁMINA",INVENTARIO!C4)),ISNUMBER(SEARCH("LAMPARAS",INVENTARIO!C4))),"LAM",
IF(ISNUMBER(SEARCH("ESTIRENO",INVENTARIO!C4)),"EST",
IF(ISNUMBER(SEARCH("FOAMBOARD",INVENTARIO!C4)),"FOA",
IF(ISNUMBER(SEARCH("SOLVENTE",INVENTARIO!C4)),"SOL",
IF(ISNUMBER(SEARCH("TINTA",INVENTARIO!C4)),"TIN",
IF(ISNUMBER(SEARCH("ACRILICO",INVENTARIO!C4)),"ACR",
IF(ISNUMBER(SEARCH("MICROLED",INVENTARIO!C4)),"MIC",
IF(ISNUMBER(SEARCH("LED",INVENTARIO!C4)),"LED",
IF(ISNUMBER(SEARCH("FUENTE DE PODER",INVENTARIO!C4)),"FUE-POD",
IF(ISNUMBER(SEARCH("PETG",INVENTARIO!C4)),"PET",
IF(ISNUMBER(SEARCH("ALUMINIO",INVENTARIO!C4)),"ALU",
IF(ISNUMBER(SEARCH("CANAL",INVENTARIO!C4)),"CAN",
IF(ISNUMBER(SEARCH("ESCUADRA",INVENTARIO!C4)),"ESC",
IF(ISNUMBER(SEARCH("SOPORTE",INVENTARIO!C4)),"SOP","OTR")
))))))))))))))))))))))))))))))</f>
        <v>LON</v>
      </c>
      <c r="B4" t="str">
        <f>IF(ISNUMBER(SEARCH("CORTE",INVENTARIO!C4)),"COR",
IF(ISNUMBER(SEARCH("CITYLIGHT",INVENTARIO!C4)),"CIT",
IF(ISNUMBER(SEARCH("LINO",INVENTARIO!C4)),"LIN",
IF(ISNUMBER(SEARCH("FABRIANO",INVENTARIO!C4)),"FAB",
IF(ISNUMBER(SEARCH("SUNDANCE",INVENTARIO!C4)),"SUN",
IF(ISNUMBER(SEARCH("SINTETICA",INVENTARIO!C4)),"SIN",
IF(ISNUMBER(SEARCH("CONTROL",INVENTARIO!C4)),"CON",
IF(ISNUMBER(SEARCH("TERMICO",INVENTARIO!C4)),"TER",
IF(ISNUMBER(SEARCH("C-15",INVENTARIO!C4)),"C15",
IF(ISNUMBER(SEARCH("C-20",INVENTARIO!C4)),"C20",
IF(ISNUMBER(SEARCH("C-30",INVENTARIO!C4)),"C30",
IF(ISNUMBER(SEARCH("C-40",INVENTARIO!C4)),"C40",
IF(ISNUMBER(SEARCH("C-60",INVENTARIO!C4)),"C60",
IF(ISNUMBER(SEARCH("C-80",INVENTARIO!C4)),"C80",
IF(ISNUMBER(SEARCH("EQUIPO",INVENTARIO!C4)),"EQU",
IF(ISNUMBER(SEARCH("FLOOR",INVENTARIO!C4)),"FLO",
IF(ISNUMBER(SEARCH("CRISTAL",INVENTARIO!C4)),"CRI",
IF(ISNUMBER(SEARCH(" SULFATADA",INVENTARIO!C15)),"SUL",
IF(ISNUMBER(SEARCH("OPALINA",INVENTARIO!C4)),"OPA",
IF(ISNUMBER(SEARCH("ADHERIBLE",INVENTARIO!C4)),"ADH",
IF(ISNUMBER(SEARCH("MICRO",INVENTARIO!C4)),"MIC","")))))))))))))))))))))</f>
        <v/>
      </c>
      <c r="C4" t="str">
        <f>IF(ISNUMBER(SEARCH("PARED",INVENTARIO!C4)),"PAR",
IF(ISNUMBER(SEARCH("FRONT",INVENTARIO!C4)),"FRO",
IF(ISNUMBER(SEARCH("ALTA RESISTENCIA",INVENTARIO!C4)),
"ALT-RES",IF(ISNUMBER(SEARCH("BACKLITE",INVENTARIO!C4)),"BAC",
IF(ISNUMBER(SEARCH("MATE",INVENTARIO!C4)),"MAT",
IF(ISNUMBER(SEARCH("MESH",INVENTARIO!C4)),"MES",
IF(ISNUMBER(SEARCH("BRILLANTE",INVENTARIO!C4)),"BRI",
IF(ISNUMBER(SEARCH("DELGADA",INVENTARIO!C4)),"DEL",
IF(ISNUMBER(SEARCH("GRUESA",INVENTARIO!C4)),"GRU",
IF(ISNUMBER(SEARCH("ESTATICO",INVENTARIO!C4)),"EST",
IF(ISNUMBER(SEARCH("REFLECTIVO",INVENTARIO!C4)),"REF",
IF(ISNUMBER(SEARCH("LX700",INVENTARIO!C4)),"LX7",
IF(ISNUMBER(SEARCH("GRANDO",INVENTARIO!C4)),"GRA",
IF(ISNUMBER(SEARCH("FB700",INVENTARIO!C4)),"FB7",
IF(ISNUMBER(SEARCH("LX360",INVENTARIO!C4)),"LX3",
IF(ISNUMBER(SEARCH("XEROX",INVENTARIO!C4)),"XER",
IF(ISNUMBER(SEARCH("CEPILLADO",INVENTARIO!C4)),"CEP",
IF(ISNUMBER(SEARCH("ESPEJO",INVENTARIO!C4)),"ESP",
IF(ISNUMBER(SEARCH("10 PTS",INVENTARIO!C4)),"10PT",
IF(ISNUMBER(SEARCH("12 PTS",INVENTARIO!C4)),"12PT",
IF(ISNUMBER(SEARCH("14 PTS",INVENTARIO!C4)),"14PT",
IF(ISNUMBER(SEARCH("CLASICO",INVENTARIO!C4)),"CLA",
""))))))))))))))))))))))</f>
        <v>BAC</v>
      </c>
      <c r="D4" t="str">
        <f>IF(ISNUMBER(SEARCH("GRAN FORMATO",INVENTARIO!C4)),"GRA-FOR",
IF(ISNUMBER(SEARCH("CAMA PLANA",INVENTARIO!C4)),"CAM-PLA",
IF(ISNUMBER(SEARCH("GRADO INGENIERIA",INVENTARIO!C4)),"GRA-ING",
IF(ISNUMBER(SEARCH("130 GRS",INVENTARIO!C4)),"130GR",
IF(ISNUMBER(SEARCH("150 GRS",INVENTARIO!C4)),"150GR",
IF(ISNUMBER(SEARCH("185 GRS",INVENTARIO!C4)),"185GR",
IF(ISNUMBER(SEARCH("200 GRS",INVENTARIO!C4)),"200GR",
IF(ISNUMBER(SEARCH("250 GRS",INVENTARIO!C4)),"250GR",
IF(ISNUMBER(SEARCH("300 GRS",INVENTARIO!C4)),"300GR",
IF(ISNUMBER(SEARCH("350 GRS",INVENTARIO!C4)),"350GR",
IF(ISNUMBER(SEARCH("18 OZ",INVENTARIO!C4)),"18OZ",
IF(ISNUMBER(SEARCH("15 OZ",INVENTARIO!C4)),"15OZ",
IF(OR(ISNUMBER(SEARCH("13 OZ",INVENTARIO!C4)),ISNUMBER(SEARCH("13 ONZAS",INVENTARIO!C4))),"13OZ",
IF(OR(ISNUMBER(SEARCH("9 OZ",INVENTARIO!C4)),ISNUMBER(SEARCH("9 ONZAS",INVENTARIO!C4))),"09OZ",
IF(ISNUMBER(SEARCH("DOBLE CARA",INVENTARIO!C4)),"DOB-CAR",
"")))))))))))))))</f>
        <v/>
      </c>
      <c r="E4" t="str">
        <f>IF(OR(ISNUMBER(SEARCH("TRANSPARENTE",INVENTARIO!C4)),ISNUMBER(SEARCH("TRANSPARENTES",INVENTARIO!C4))),"TRA",
IF(OR(ISNUMBER(SEARCH("BLANCO",INVENTARIO!C4)),ISNUMBER(SEARCH("BCO",INVENTARIO!C4))),"BLA",
IF(ISNUMBER(SEARCH("FOTOGRAFICO",INVENTARIO!C4)),"FOT",
IF(ISNUMBER(SEARCH("MARFIL",INVENTARIO!C4)),"MAR",
IF(ISNUMBER(SEARCH("VERDE",INVENTARIO!C4)),"VER",
IF(ISNUMBER(SEARCH("MORADO",INVENTARIO!C4)),"MOR",
IF(ISNUMBER(SEARCH("PLATA",INVENTARIO!C4)),"PLA",
IF(ISNUMBER(SEARCH("ORO",INVENTARIO!C4)),"ORO",
IF(ISNUMBER(SEARCH("AMARILLO",INVENTARIO!C4)),"AMA",
IF(ISNUMBER(SEARCH("NARANJA",INVENTARIO!C4)),"NAR",
IF(ISNUMBER(SEARCH("NEGRO",INVENTARIO!C4)),"NEG",
IF(ISNUMBER(SEARCH("ROJO",INVENTARIO!C4)),"ROJ",
IF(ISNUMBER(SEARCH("AZUL",INVENTARIO!C4)),"AZU","")))))))))))))</f>
        <v/>
      </c>
      <c r="F4" t="str">
        <f>IF(ISNUMBER(SEARCH("ARLON",INVENTARIO!C4)),"ARL",
IF(ISNUMBER(SEARCH("SUNTHINKS",INVENTARIO!C4)),"SUN",
IF(ISNUMBER(SEARCH("FRIO",INVENTARIO!C4)),"FRI",
IF(ISNUMBER(SEARCH("CALIDO",INVENTARIO!C4)),"CAL",
IF(ISNUMBER(SEARCH("CEPILLADO",INVENTARIO!C4)),"CEP",
IF(ISNUMBER(SEARCH("ESPEJO",INVENTARIO!C4)),"ESP",
""))))))</f>
        <v/>
      </c>
      <c r="G4" t="str">
        <f>IF(ISNUMBER(SEARCH("LATEX",INVENTARIO!C4)),"LAT",
IF(ISNUMBER(SEARCH("RESP. NEGRO",INVENTARIO!C4)),"RES-NEG",
IF(ISNUMBER(SEARCH("RESPALDO CAFE",INVENTARIO!C4)),"RES-CAF",
IF(ISNUMBER(SEARCH("RESPALDO GRIS",INVENTARIO!C4)),"RES-GRI",
IF(ISNUMBER(SEARCH("OPTICO",INVENTARIO!C4)),"OPT",
IF(ISNUMBER(SEARCH("1,2 MM",INVENTARIO!C4)),"1MM2",
IF(ISNUMBER(SEARCH("2 MM",INVENTARIO!C4)),"2MM",
IF(ISNUMBER(SEARCH("3 MM",INVENTARIO!C4)),"3MM",
IF(ISNUMBER(SEARCH("4 MM",INVENTARIO!C4)),"4MM",
IF(ISNUMBER(SEARCH("5 MM",INVENTARIO!C4)),"5MM",
IF(ISNUMBER(SEARCH("6 MM",INVENTARIO!C4)),"6MM",
IF(ISNUMBER(SEARCH("9 MM",INVENTARIO!C4)),"9MM",
IF(ISNUMBER(SEARCH("10 MM",INVENTARIO!C4)),"10MM","")))))))))))))</f>
        <v/>
      </c>
      <c r="H4" t="str">
        <f>IF(ISNUMBER(SEARCH("GAMA BAJA",INVENTARIO!C4)),"GAM-BAJ",
IF(ISNUMBER(SEARCH("OPTIMIZADOR",INVENTARIO!C4)),"OPT",
IF(ISNUMBER(SEARCH("OVERCOAT",INVENTARIO!C4)),"OVE",
IF(ISNUMBER(SEARCH("WHITE",INVENTARIO!C4)),"WHI",
IF(ISNUMBER(SEARCH("LIGHT CYAN",INVENTARIO!C4)),"LIG-CYA",
IF(ISNUMBER(SEARCH("CYAN",INVENTARIO!C4)),"CYA",
IF(ISNUMBER(SEARCH("LIGHT MAGENTA",INVENTARIO!C4)),"LIG-MAG",
IF(ISNUMBER(SEARCH("MAGENTA",INVENTARIO!C4)),"MAG",
IF(ISNUMBER(SEARCH("BLACK",INVENTARIO!C4)),"BLA",
IF(ISNUMBER(SEARCH("YELLOW",INVENTARIO!C4)),"YEL",
IF(ISNUMBER(SEARCH("2 DIODOS",INVENTARIO!C4)),"2DI",
IF(ISNUMBER(SEARCH("3 DIODOS",INVENTARIO!C4)),"3DI",
IF(OR(ISNUMBER(SEARCH("TRASLUCIDO",INVENTARIO!C4)),ISNUMBER(SEARCH("TRANSLUCIDO",INVENTARIO!C4))),"TRA",
"")))))))))))))</f>
        <v/>
      </c>
      <c r="I4" t="str">
        <f>IF(ISNUMBER(SEARCH("SILED",INVENTARIO!C4)),"SI",
IF(ISNUMBER(SEARCH("SYDEMEX",INVENTARIO!C4)),"SY",
IF(ISNUMBER(SEARCH("ROHS",INVENTARIO!C4)),"RO",
IF(ISNUMBER(SEARCH("RISHANG",INVENTARIO!C4)),"RS",
IF(ISNUMBER(SEARCH("VYG",INVENTARIO!C4)),"VYG",
IF(ISNUMBER(SEARCH("COLED",INVENTARIO!C4)),"CO",""))))))</f>
        <v/>
      </c>
    </row>
    <row r="5" spans="1:9">
      <c r="A5" t="str">
        <f>IF(ISNUMBER(SEARCH("LONA",INVENTARIO!C5)),"LON",
IF(ISNUMBER(SEARCH("VINIL",INVENTARIO!C5)),"VIN",
IF(ISNUMBER(SEARCH("KROMACOTE",INVENTARIO!C5)),"KRO",
IF(ISNUMBER(SEARCH("STARDREAM",INVENTARIO!C5)),"STA",
IF(ISNUMBER(SEARCH("DISPLAY",INVENTARIO!C5)),"DIS",
IF(ISNUMBER(SEARCH("ROLL UP",INVENTARIO!C5)),"ROL-UP",
IF(ISNUMBER(SEARCH("TRANSFER DE PAPEL",INVENTARIO!C5)),"TRA-PAP",
IF(ISNUMBER(SEARCH("TRANSFER",INVENTARIO!C5)),"TRA",IF(ISNUMBER(SEARCH("KOLA LOKA",INVENTARIO!C5)),"KOL-LOK",
IF(ISNUMBER(SEARCH("PETG",INVENTARIO!C5)),"PET",
IF(ISNUMBER(SEARCH("OJILLO",INVENTARIO!C5)),"OJI",
IF(ISNUMBER(SEARCH("COUCHE",INVENTARIO!C5)),"COU",
IF(ISNUMBER(SEARCH("PANEL DE ALUMINIO",INVENTARIO!C5)),"PAN-ALU",
IF(ISNUMBER(SEARCH("PVC",INVENTARIO!C5)),"PVC",
IF(ISNUMBER(SEARCH("PAPEL",INVENTARIO!C5)),"PAP",
IF(ISNUMBER(SEARCH("TELA",INVENTARIO!C5)),"TEL",
IF(ISNUMBER(SEARCH("CARTULINA",INVENTARIO!C5)),"CAR",
IF(OR(ISNUMBER(SEARCH("LAMINA",INVENTARIO!C5)),ISNUMBER(SEARCH("LÁMINA",INVENTARIO!C5)),ISNUMBER(SEARCH("LAMPARAS",INVENTARIO!C5))),"LAM",
IF(ISNUMBER(SEARCH("ESTIRENO",INVENTARIO!C5)),"EST",
IF(ISNUMBER(SEARCH("FOAMBOARD",INVENTARIO!C5)),"FOA",
IF(ISNUMBER(SEARCH("SOLVENTE",INVENTARIO!C5)),"SOL",
IF(ISNUMBER(SEARCH("TINTA",INVENTARIO!C5)),"TIN",
IF(ISNUMBER(SEARCH("ACRILICO",INVENTARIO!C5)),"ACR",
IF(ISNUMBER(SEARCH("MICROLED",INVENTARIO!C5)),"MIC",
IF(ISNUMBER(SEARCH("LED",INVENTARIO!C5)),"LED",
IF(ISNUMBER(SEARCH("FUENTE DE PODER",INVENTARIO!C5)),"FUE-POD",
IF(ISNUMBER(SEARCH("PETG",INVENTARIO!C5)),"PET",
IF(ISNUMBER(SEARCH("ALUMINIO",INVENTARIO!C5)),"ALU",
IF(ISNUMBER(SEARCH("CANAL",INVENTARIO!C5)),"CAN",
IF(ISNUMBER(SEARCH("ESCUADRA",INVENTARIO!C5)),"ESC",
IF(ISNUMBER(SEARCH("SOPORTE",INVENTARIO!C5)),"SOP","OTR")
))))))))))))))))))))))))))))))</f>
        <v>LON</v>
      </c>
      <c r="B5" t="str">
        <f>IF(ISNUMBER(SEARCH("CORTE",INVENTARIO!C5)),"COR",
IF(ISNUMBER(SEARCH("CITYLIGHT",INVENTARIO!C5)),"CIT",
IF(ISNUMBER(SEARCH("LINO",INVENTARIO!C5)),"LIN",
IF(ISNUMBER(SEARCH("FABRIANO",INVENTARIO!C5)),"FAB",
IF(ISNUMBER(SEARCH("SUNDANCE",INVENTARIO!C5)),"SUN",
IF(ISNUMBER(SEARCH("SINTETICA",INVENTARIO!C5)),"SIN",
IF(ISNUMBER(SEARCH("CONTROL",INVENTARIO!C5)),"CON",
IF(ISNUMBER(SEARCH("TERMICO",INVENTARIO!C5)),"TER",
IF(ISNUMBER(SEARCH("C-15",INVENTARIO!C5)),"C15",
IF(ISNUMBER(SEARCH("C-20",INVENTARIO!C5)),"C20",
IF(ISNUMBER(SEARCH("C-30",INVENTARIO!C5)),"C30",
IF(ISNUMBER(SEARCH("C-40",INVENTARIO!C5)),"C40",
IF(ISNUMBER(SEARCH("C-60",INVENTARIO!C5)),"C60",
IF(ISNUMBER(SEARCH("C-80",INVENTARIO!C5)),"C80",
IF(ISNUMBER(SEARCH("EQUIPO",INVENTARIO!C5)),"EQU",
IF(ISNUMBER(SEARCH("FLOOR",INVENTARIO!C5)),"FLO",
IF(ISNUMBER(SEARCH("CRISTAL",INVENTARIO!C5)),"CRI",
IF(ISNUMBER(SEARCH(" SULFATADA",INVENTARIO!C16)),"SUL",
IF(ISNUMBER(SEARCH("OPALINA",INVENTARIO!C5)),"OPA",
IF(ISNUMBER(SEARCH("ADHERIBLE",INVENTARIO!C5)),"ADH",
IF(ISNUMBER(SEARCH("MICRO",INVENTARIO!C5)),"MIC","")))))))))))))))))))))</f>
        <v/>
      </c>
      <c r="C5" t="str">
        <f>IF(ISNUMBER(SEARCH("PARED",INVENTARIO!C5)),"PAR",
IF(ISNUMBER(SEARCH("FRONT",INVENTARIO!C5)),"FRO",
IF(ISNUMBER(SEARCH("ALTA RESISTENCIA",INVENTARIO!C5)),
"ALT-RES",IF(ISNUMBER(SEARCH("BACKLITE",INVENTARIO!C5)),"BAC",
IF(ISNUMBER(SEARCH("MATE",INVENTARIO!C5)),"MAT",
IF(ISNUMBER(SEARCH("MESH",INVENTARIO!C5)),"MES",
IF(ISNUMBER(SEARCH("BRILLANTE",INVENTARIO!C5)),"BRI",
IF(ISNUMBER(SEARCH("DELGADA",INVENTARIO!C5)),"DEL",
IF(ISNUMBER(SEARCH("GRUESA",INVENTARIO!C5)),"GRU",
IF(ISNUMBER(SEARCH("ESTATICO",INVENTARIO!C5)),"EST",
IF(ISNUMBER(SEARCH("REFLECTIVO",INVENTARIO!C5)),"REF",
IF(ISNUMBER(SEARCH("LX700",INVENTARIO!C5)),"LX7",
IF(ISNUMBER(SEARCH("GRANDO",INVENTARIO!C5)),"GRA",
IF(ISNUMBER(SEARCH("FB700",INVENTARIO!C5)),"FB7",
IF(ISNUMBER(SEARCH("LX360",INVENTARIO!C5)),"LX3",
IF(ISNUMBER(SEARCH("XEROX",INVENTARIO!C5)),"XER",
IF(ISNUMBER(SEARCH("CEPILLADO",INVENTARIO!C5)),"CEP",
IF(ISNUMBER(SEARCH("ESPEJO",INVENTARIO!C5)),"ESP",
IF(ISNUMBER(SEARCH("10 PTS",INVENTARIO!C5)),"10PT",
IF(ISNUMBER(SEARCH("12 PTS",INVENTARIO!C5)),"12PT",
IF(ISNUMBER(SEARCH("14 PTS",INVENTARIO!C5)),"14PT",
IF(ISNUMBER(SEARCH("CLASICO",INVENTARIO!C5)),"CLA",
""))))))))))))))))))))))</f>
        <v>BAC</v>
      </c>
      <c r="D5" t="str">
        <f>IF(ISNUMBER(SEARCH("GRAN FORMATO",INVENTARIO!C5)),"GRA-FOR",
IF(ISNUMBER(SEARCH("CAMA PLANA",INVENTARIO!C5)),"CAM-PLA",
IF(ISNUMBER(SEARCH("GRADO INGENIERIA",INVENTARIO!C5)),"GRA-ING",
IF(ISNUMBER(SEARCH("130 GRS",INVENTARIO!C5)),"130GR",
IF(ISNUMBER(SEARCH("150 GRS",INVENTARIO!C5)),"150GR",
IF(ISNUMBER(SEARCH("185 GRS",INVENTARIO!C5)),"185GR",
IF(ISNUMBER(SEARCH("200 GRS",INVENTARIO!C5)),"200GR",
IF(ISNUMBER(SEARCH("250 GRS",INVENTARIO!C5)),"250GR",
IF(ISNUMBER(SEARCH("300 GRS",INVENTARIO!C5)),"300GR",
IF(ISNUMBER(SEARCH("350 GRS",INVENTARIO!C5)),"350GR",
IF(ISNUMBER(SEARCH("18 OZ",INVENTARIO!C5)),"18OZ",
IF(ISNUMBER(SEARCH("15 OZ",INVENTARIO!C5)),"15OZ",
IF(OR(ISNUMBER(SEARCH("13 OZ",INVENTARIO!C5)),ISNUMBER(SEARCH("13 ONZAS",INVENTARIO!C5))),"13OZ",
IF(OR(ISNUMBER(SEARCH("9 OZ",INVENTARIO!C5)),ISNUMBER(SEARCH("9 ONZAS",INVENTARIO!C5))),"09OZ",
IF(ISNUMBER(SEARCH("DOBLE CARA",INVENTARIO!C5)),"DOB-CAR",
"")))))))))))))))</f>
        <v/>
      </c>
      <c r="E5" t="str">
        <f>IF(OR(ISNUMBER(SEARCH("TRANSPARENTE",INVENTARIO!C5)),ISNUMBER(SEARCH("TRANSPARENTES",INVENTARIO!C5))),"TRA",
IF(OR(ISNUMBER(SEARCH("BLANCO",INVENTARIO!C5)),ISNUMBER(SEARCH("BCO",INVENTARIO!C5))),"BLA",
IF(ISNUMBER(SEARCH("FOTOGRAFICO",INVENTARIO!C5)),"FOT",
IF(ISNUMBER(SEARCH("MARFIL",INVENTARIO!C5)),"MAR",
IF(ISNUMBER(SEARCH("VERDE",INVENTARIO!C5)),"VER",
IF(ISNUMBER(SEARCH("MORADO",INVENTARIO!C5)),"MOR",
IF(ISNUMBER(SEARCH("PLATA",INVENTARIO!C5)),"PLA",
IF(ISNUMBER(SEARCH("ORO",INVENTARIO!C5)),"ORO",
IF(ISNUMBER(SEARCH("AMARILLO",INVENTARIO!C5)),"AMA",
IF(ISNUMBER(SEARCH("NARANJA",INVENTARIO!C5)),"NAR",
IF(ISNUMBER(SEARCH("NEGRO",INVENTARIO!C5)),"NEG",
IF(ISNUMBER(SEARCH("ROJO",INVENTARIO!C5)),"ROJ",
IF(ISNUMBER(SEARCH("AZUL",INVENTARIO!C5)),"AZU","")))))))))))))</f>
        <v/>
      </c>
      <c r="F5" t="str">
        <f>IF(ISNUMBER(SEARCH("ARLON",INVENTARIO!C5)),"ARL",
IF(ISNUMBER(SEARCH("SUNTHINKS",INVENTARIO!C5)),"SUN",
IF(ISNUMBER(SEARCH("FRIO",INVENTARIO!C5)),"FRI",
IF(ISNUMBER(SEARCH("CALIDO",INVENTARIO!C5)),"CAL",
IF(ISNUMBER(SEARCH("CEPILLADO",INVENTARIO!C5)),"CEP",
IF(ISNUMBER(SEARCH("ESPEJO",INVENTARIO!C5)),"ESP",
""))))))</f>
        <v/>
      </c>
      <c r="G5" t="str">
        <f>IF(ISNUMBER(SEARCH("LATEX",INVENTARIO!C5)),"LAT",
IF(ISNUMBER(SEARCH("RESP. NEGRO",INVENTARIO!C5)),"RES-NEG",
IF(ISNUMBER(SEARCH("RESPALDO CAFE",INVENTARIO!C5)),"RES-CAF",
IF(ISNUMBER(SEARCH("RESPALDO GRIS",INVENTARIO!C5)),"RES-GRI",
IF(ISNUMBER(SEARCH("OPTICO",INVENTARIO!C5)),"OPT",
IF(ISNUMBER(SEARCH("1,2 MM",INVENTARIO!C5)),"1MM2",
IF(ISNUMBER(SEARCH("2 MM",INVENTARIO!C5)),"2MM",
IF(ISNUMBER(SEARCH("3 MM",INVENTARIO!C5)),"3MM",
IF(ISNUMBER(SEARCH("4 MM",INVENTARIO!C5)),"4MM",
IF(ISNUMBER(SEARCH("5 MM",INVENTARIO!C5)),"5MM",
IF(ISNUMBER(SEARCH("6 MM",INVENTARIO!C5)),"6MM",
IF(ISNUMBER(SEARCH("9 MM",INVENTARIO!C5)),"9MM",
IF(ISNUMBER(SEARCH("10 MM",INVENTARIO!C5)),"10MM","")))))))))))))</f>
        <v/>
      </c>
      <c r="H5" t="str">
        <f>IF(ISNUMBER(SEARCH("GAMA BAJA",INVENTARIO!C5)),"GAM-BAJ",
IF(ISNUMBER(SEARCH("OPTIMIZADOR",INVENTARIO!C5)),"OPT",
IF(ISNUMBER(SEARCH("OVERCOAT",INVENTARIO!C5)),"OVE",
IF(ISNUMBER(SEARCH("WHITE",INVENTARIO!C5)),"WHI",
IF(ISNUMBER(SEARCH("LIGHT CYAN",INVENTARIO!C5)),"LIG-CYA",
IF(ISNUMBER(SEARCH("CYAN",INVENTARIO!C5)),"CYA",
IF(ISNUMBER(SEARCH("LIGHT MAGENTA",INVENTARIO!C5)),"LIG-MAG",
IF(ISNUMBER(SEARCH("MAGENTA",INVENTARIO!C5)),"MAG",
IF(ISNUMBER(SEARCH("BLACK",INVENTARIO!C5)),"BLA",
IF(ISNUMBER(SEARCH("YELLOW",INVENTARIO!C5)),"YEL",
IF(ISNUMBER(SEARCH("2 DIODOS",INVENTARIO!C5)),"2DI",
IF(ISNUMBER(SEARCH("3 DIODOS",INVENTARIO!C5)),"3DI",
IF(OR(ISNUMBER(SEARCH("TRASLUCIDO",INVENTARIO!C5)),ISNUMBER(SEARCH("TRANSLUCIDO",INVENTARIO!C5))),"TRA",
"")))))))))))))</f>
        <v/>
      </c>
      <c r="I5" t="str">
        <f>IF(ISNUMBER(SEARCH("SILED",INVENTARIO!C5)),"SI",
IF(ISNUMBER(SEARCH("SYDEMEX",INVENTARIO!C5)),"SY",
IF(ISNUMBER(SEARCH("ROHS",INVENTARIO!C5)),"RO",
IF(ISNUMBER(SEARCH("RISHANG",INVENTARIO!C5)),"RS",
IF(ISNUMBER(SEARCH("VYG",INVENTARIO!C5)),"VYG",
IF(ISNUMBER(SEARCH("COLED",INVENTARIO!C5)),"CO",""))))))</f>
        <v/>
      </c>
    </row>
    <row r="6" spans="1:9">
      <c r="A6" t="str">
        <f>IF(ISNUMBER(SEARCH("LONA",INVENTARIO!C6)),"LON",
IF(ISNUMBER(SEARCH("VINIL",INVENTARIO!C6)),"VIN",
IF(ISNUMBER(SEARCH("KROMACOTE",INVENTARIO!C6)),"KRO",
IF(ISNUMBER(SEARCH("STARDREAM",INVENTARIO!C6)),"STA",
IF(ISNUMBER(SEARCH("DISPLAY",INVENTARIO!C6)),"DIS",
IF(ISNUMBER(SEARCH("ROLL UP",INVENTARIO!C6)),"ROL-UP",
IF(ISNUMBER(SEARCH("TRANSFER DE PAPEL",INVENTARIO!C6)),"TRA-PAP",
IF(ISNUMBER(SEARCH("TRANSFER",INVENTARIO!C6)),"TRA",IF(ISNUMBER(SEARCH("KOLA LOKA",INVENTARIO!C6)),"KOL-LOK",
IF(ISNUMBER(SEARCH("PETG",INVENTARIO!C6)),"PET",
IF(ISNUMBER(SEARCH("OJILLO",INVENTARIO!C6)),"OJI",
IF(ISNUMBER(SEARCH("COUCHE",INVENTARIO!C6)),"COU",
IF(ISNUMBER(SEARCH("PANEL DE ALUMINIO",INVENTARIO!C6)),"PAN-ALU",
IF(ISNUMBER(SEARCH("PVC",INVENTARIO!C6)),"PVC",
IF(ISNUMBER(SEARCH("PAPEL",INVENTARIO!C6)),"PAP",
IF(ISNUMBER(SEARCH("TELA",INVENTARIO!C6)),"TEL",
IF(ISNUMBER(SEARCH("CARTULINA",INVENTARIO!C6)),"CAR",
IF(OR(ISNUMBER(SEARCH("LAMINA",INVENTARIO!C6)),ISNUMBER(SEARCH("LÁMINA",INVENTARIO!C6)),ISNUMBER(SEARCH("LAMPARAS",INVENTARIO!C6))),"LAM",
IF(ISNUMBER(SEARCH("ESTIRENO",INVENTARIO!C6)),"EST",
IF(ISNUMBER(SEARCH("FOAMBOARD",INVENTARIO!C6)),"FOA",
IF(ISNUMBER(SEARCH("SOLVENTE",INVENTARIO!C6)),"SOL",
IF(ISNUMBER(SEARCH("TINTA",INVENTARIO!C6)),"TIN",
IF(ISNUMBER(SEARCH("ACRILICO",INVENTARIO!C6)),"ACR",
IF(ISNUMBER(SEARCH("MICROLED",INVENTARIO!C6)),"MIC",
IF(ISNUMBER(SEARCH("LED",INVENTARIO!C6)),"LED",
IF(ISNUMBER(SEARCH("FUENTE DE PODER",INVENTARIO!C6)),"FUE-POD",
IF(ISNUMBER(SEARCH("PETG",INVENTARIO!C6)),"PET",
IF(ISNUMBER(SEARCH("ALUMINIO",INVENTARIO!C6)),"ALU",
IF(ISNUMBER(SEARCH("CANAL",INVENTARIO!C6)),"CAN",
IF(ISNUMBER(SEARCH("ESCUADRA",INVENTARIO!C6)),"ESC",
IF(ISNUMBER(SEARCH("SOPORTE",INVENTARIO!C6)),"SOP","OTR")
))))))))))))))))))))))))))))))</f>
        <v>LON</v>
      </c>
      <c r="B6" t="str">
        <f>IF(ISNUMBER(SEARCH("CORTE",INVENTARIO!C6)),"COR",
IF(ISNUMBER(SEARCH("CITYLIGHT",INVENTARIO!C6)),"CIT",
IF(ISNUMBER(SEARCH("LINO",INVENTARIO!C6)),"LIN",
IF(ISNUMBER(SEARCH("FABRIANO",INVENTARIO!C6)),"FAB",
IF(ISNUMBER(SEARCH("SUNDANCE",INVENTARIO!C6)),"SUN",
IF(ISNUMBER(SEARCH("SINTETICA",INVENTARIO!C6)),"SIN",
IF(ISNUMBER(SEARCH("CONTROL",INVENTARIO!C6)),"CON",
IF(ISNUMBER(SEARCH("TERMICO",INVENTARIO!C6)),"TER",
IF(ISNUMBER(SEARCH("C-15",INVENTARIO!C6)),"C15",
IF(ISNUMBER(SEARCH("C-20",INVENTARIO!C6)),"C20",
IF(ISNUMBER(SEARCH("C-30",INVENTARIO!C6)),"C30",
IF(ISNUMBER(SEARCH("C-40",INVENTARIO!C6)),"C40",
IF(ISNUMBER(SEARCH("C-60",INVENTARIO!C6)),"C60",
IF(ISNUMBER(SEARCH("C-80",INVENTARIO!C6)),"C80",
IF(ISNUMBER(SEARCH("EQUIPO",INVENTARIO!C6)),"EQU",
IF(ISNUMBER(SEARCH("FLOOR",INVENTARIO!C6)),"FLO",
IF(ISNUMBER(SEARCH("CRISTAL",INVENTARIO!C6)),"CRI",
IF(ISNUMBER(SEARCH(" SULFATADA",INVENTARIO!C17)),"SUL",
IF(ISNUMBER(SEARCH("OPALINA",INVENTARIO!C6)),"OPA",
IF(ISNUMBER(SEARCH("ADHERIBLE",INVENTARIO!C6)),"ADH",
IF(ISNUMBER(SEARCH("MICRO",INVENTARIO!C6)),"MIC","")))))))))))))))))))))</f>
        <v/>
      </c>
      <c r="C6" t="str">
        <f>IF(ISNUMBER(SEARCH("PARED",INVENTARIO!C6)),"PAR",
IF(ISNUMBER(SEARCH("FRONT",INVENTARIO!C6)),"FRO",
IF(ISNUMBER(SEARCH("ALTA RESISTENCIA",INVENTARIO!C6)),
"ALT-RES",IF(ISNUMBER(SEARCH("BACKLITE",INVENTARIO!C6)),"BAC",
IF(ISNUMBER(SEARCH("MATE",INVENTARIO!C6)),"MAT",
IF(ISNUMBER(SEARCH("MESH",INVENTARIO!C6)),"MES",
IF(ISNUMBER(SEARCH("BRILLANTE",INVENTARIO!C6)),"BRI",
IF(ISNUMBER(SEARCH("DELGADA",INVENTARIO!C6)),"DEL",
IF(ISNUMBER(SEARCH("GRUESA",INVENTARIO!C6)),"GRU",
IF(ISNUMBER(SEARCH("ESTATICO",INVENTARIO!C6)),"EST",
IF(ISNUMBER(SEARCH("REFLECTIVO",INVENTARIO!C6)),"REF",
IF(ISNUMBER(SEARCH("LX700",INVENTARIO!C6)),"LX7",
IF(ISNUMBER(SEARCH("GRANDO",INVENTARIO!C6)),"GRA",
IF(ISNUMBER(SEARCH("FB700",INVENTARIO!C6)),"FB7",
IF(ISNUMBER(SEARCH("LX360",INVENTARIO!C6)),"LX3",
IF(ISNUMBER(SEARCH("XEROX",INVENTARIO!C6)),"XER",
IF(ISNUMBER(SEARCH("CEPILLADO",INVENTARIO!C6)),"CEP",
IF(ISNUMBER(SEARCH("ESPEJO",INVENTARIO!C6)),"ESP",
IF(ISNUMBER(SEARCH("10 PTS",INVENTARIO!C6)),"10PT",
IF(ISNUMBER(SEARCH("12 PTS",INVENTARIO!C6)),"12PT",
IF(ISNUMBER(SEARCH("14 PTS",INVENTARIO!C6)),"14PT",
IF(ISNUMBER(SEARCH("CLASICO",INVENTARIO!C6)),"CLA",
""))))))))))))))))))))))</f>
        <v>FRO</v>
      </c>
      <c r="D6" t="str">
        <f>IF(ISNUMBER(SEARCH("GRAN FORMATO",INVENTARIO!C6)),"GRA-FOR",
IF(ISNUMBER(SEARCH("CAMA PLANA",INVENTARIO!C6)),"CAM-PLA",
IF(ISNUMBER(SEARCH("GRADO INGENIERIA",INVENTARIO!C6)),"GRA-ING",
IF(ISNUMBER(SEARCH("130 GRS",INVENTARIO!C6)),"130GR",
IF(ISNUMBER(SEARCH("150 GRS",INVENTARIO!C6)),"150GR",
IF(ISNUMBER(SEARCH("185 GRS",INVENTARIO!C6)),"185GR",
IF(ISNUMBER(SEARCH("200 GRS",INVENTARIO!C6)),"200GR",
IF(ISNUMBER(SEARCH("250 GRS",INVENTARIO!C6)),"250GR",
IF(ISNUMBER(SEARCH("300 GRS",INVENTARIO!C6)),"300GR",
IF(ISNUMBER(SEARCH("350 GRS",INVENTARIO!C6)),"350GR",
IF(ISNUMBER(SEARCH("18 OZ",INVENTARIO!C6)),"18OZ",
IF(ISNUMBER(SEARCH("15 OZ",INVENTARIO!C6)),"15OZ",
IF(OR(ISNUMBER(SEARCH("13 OZ",INVENTARIO!C6)),ISNUMBER(SEARCH("13 ONZAS",INVENTARIO!C6))),"13OZ",
IF(OR(ISNUMBER(SEARCH("9 OZ",INVENTARIO!C6)),ISNUMBER(SEARCH("9 ONZAS",INVENTARIO!C6))),"09OZ",
IF(ISNUMBER(SEARCH("DOBLE CARA",INVENTARIO!C6)),"DOB-CAR",
"")))))))))))))))</f>
        <v>13OZ</v>
      </c>
      <c r="E6" t="str">
        <f>IF(OR(ISNUMBER(SEARCH("TRANSPARENTE",INVENTARIO!C6)),ISNUMBER(SEARCH("TRANSPARENTES",INVENTARIO!C6))),"TRA",
IF(OR(ISNUMBER(SEARCH("BLANCO",INVENTARIO!C6)),ISNUMBER(SEARCH("BCO",INVENTARIO!C6))),"BLA",
IF(ISNUMBER(SEARCH("FOTOGRAFICO",INVENTARIO!C6)),"FOT",
IF(ISNUMBER(SEARCH("MARFIL",INVENTARIO!C6)),"MAR",
IF(ISNUMBER(SEARCH("VERDE",INVENTARIO!C6)),"VER",
IF(ISNUMBER(SEARCH("MORADO",INVENTARIO!C6)),"MOR",
IF(ISNUMBER(SEARCH("PLATA",INVENTARIO!C6)),"PLA",
IF(ISNUMBER(SEARCH("ORO",INVENTARIO!C6)),"ORO",
IF(ISNUMBER(SEARCH("AMARILLO",INVENTARIO!C6)),"AMA",
IF(ISNUMBER(SEARCH("NARANJA",INVENTARIO!C6)),"NAR",
IF(ISNUMBER(SEARCH("NEGRO",INVENTARIO!C6)),"NEG",
IF(ISNUMBER(SEARCH("ROJO",INVENTARIO!C6)),"ROJ",
IF(ISNUMBER(SEARCH("AZUL",INVENTARIO!C6)),"AZU","")))))))))))))</f>
        <v/>
      </c>
      <c r="F6" t="str">
        <f>IF(ISNUMBER(SEARCH("ARLON",INVENTARIO!C6)),"ARL",
IF(ISNUMBER(SEARCH("SUNTHINKS",INVENTARIO!C6)),"SUN",
IF(ISNUMBER(SEARCH("FRIO",INVENTARIO!C6)),"FRI",
IF(ISNUMBER(SEARCH("CALIDO",INVENTARIO!C6)),"CAL",
IF(ISNUMBER(SEARCH("CEPILLADO",INVENTARIO!C6)),"CEP",
IF(ISNUMBER(SEARCH("ESPEJO",INVENTARIO!C6)),"ESP",
""))))))</f>
        <v/>
      </c>
      <c r="G6" t="str">
        <f>IF(ISNUMBER(SEARCH("LATEX",INVENTARIO!C6)),"LAT",
IF(ISNUMBER(SEARCH("RESP. NEGRO",INVENTARIO!C6)),"RES-NEG",
IF(ISNUMBER(SEARCH("RESPALDO CAFE",INVENTARIO!C6)),"RES-CAF",
IF(ISNUMBER(SEARCH("RESPALDO GRIS",INVENTARIO!C6)),"RES-GRI",
IF(ISNUMBER(SEARCH("OPTICO",INVENTARIO!C6)),"OPT",
IF(ISNUMBER(SEARCH("1,2 MM",INVENTARIO!C6)),"1MM2",
IF(ISNUMBER(SEARCH("2 MM",INVENTARIO!C6)),"2MM",
IF(ISNUMBER(SEARCH("3 MM",INVENTARIO!C6)),"3MM",
IF(ISNUMBER(SEARCH("4 MM",INVENTARIO!C6)),"4MM",
IF(ISNUMBER(SEARCH("5 MM",INVENTARIO!C6)),"5MM",
IF(ISNUMBER(SEARCH("6 MM",INVENTARIO!C6)),"6MM",
IF(ISNUMBER(SEARCH("9 MM",INVENTARIO!C6)),"9MM",
IF(ISNUMBER(SEARCH("10 MM",INVENTARIO!C6)),"10MM","")))))))))))))</f>
        <v/>
      </c>
      <c r="H6" t="str">
        <f>IF(ISNUMBER(SEARCH("GAMA BAJA",INVENTARIO!C6)),"GAM-BAJ",
IF(ISNUMBER(SEARCH("OPTIMIZADOR",INVENTARIO!C6)),"OPT",
IF(ISNUMBER(SEARCH("OVERCOAT",INVENTARIO!C6)),"OVE",
IF(ISNUMBER(SEARCH("WHITE",INVENTARIO!C6)),"WHI",
IF(ISNUMBER(SEARCH("LIGHT CYAN",INVENTARIO!C6)),"LIG-CYA",
IF(ISNUMBER(SEARCH("CYAN",INVENTARIO!C6)),"CYA",
IF(ISNUMBER(SEARCH("LIGHT MAGENTA",INVENTARIO!C6)),"LIG-MAG",
IF(ISNUMBER(SEARCH("MAGENTA",INVENTARIO!C6)),"MAG",
IF(ISNUMBER(SEARCH("BLACK",INVENTARIO!C6)),"BLA",
IF(ISNUMBER(SEARCH("YELLOW",INVENTARIO!C6)),"YEL",
IF(ISNUMBER(SEARCH("2 DIODOS",INVENTARIO!C6)),"2DI",
IF(ISNUMBER(SEARCH("3 DIODOS",INVENTARIO!C6)),"3DI",
IF(OR(ISNUMBER(SEARCH("TRASLUCIDO",INVENTARIO!C6)),ISNUMBER(SEARCH("TRANSLUCIDO",INVENTARIO!C6))),"TRA",
"")))))))))))))</f>
        <v/>
      </c>
      <c r="I6" t="str">
        <f>IF(ISNUMBER(SEARCH("SILED",INVENTARIO!C6)),"SI",
IF(ISNUMBER(SEARCH("SYDEMEX",INVENTARIO!C6)),"SY",
IF(ISNUMBER(SEARCH("ROHS",INVENTARIO!C6)),"RO",
IF(ISNUMBER(SEARCH("RISHANG",INVENTARIO!C6)),"RS",
IF(ISNUMBER(SEARCH("VYG",INVENTARIO!C6)),"VYG",
IF(ISNUMBER(SEARCH("COLED",INVENTARIO!C6)),"CO",""))))))</f>
        <v/>
      </c>
    </row>
    <row r="7" spans="1:9">
      <c r="A7" t="str">
        <f>IF(ISNUMBER(SEARCH("LONA",INVENTARIO!C7)),"LON",
IF(ISNUMBER(SEARCH("VINIL",INVENTARIO!C7)),"VIN",
IF(ISNUMBER(SEARCH("KROMACOTE",INVENTARIO!C7)),"KRO",
IF(ISNUMBER(SEARCH("STARDREAM",INVENTARIO!C7)),"STA",
IF(ISNUMBER(SEARCH("DISPLAY",INVENTARIO!C7)),"DIS",
IF(ISNUMBER(SEARCH("ROLL UP",INVENTARIO!C7)),"ROL-UP",
IF(ISNUMBER(SEARCH("TRANSFER DE PAPEL",INVENTARIO!C7)),"TRA-PAP",
IF(ISNUMBER(SEARCH("TRANSFER",INVENTARIO!C7)),"TRA",IF(ISNUMBER(SEARCH("KOLA LOKA",INVENTARIO!C7)),"KOL-LOK",
IF(ISNUMBER(SEARCH("PETG",INVENTARIO!C7)),"PET",
IF(ISNUMBER(SEARCH("OJILLO",INVENTARIO!C7)),"OJI",
IF(ISNUMBER(SEARCH("COUCHE",INVENTARIO!C7)),"COU",
IF(ISNUMBER(SEARCH("PANEL DE ALUMINIO",INVENTARIO!C7)),"PAN-ALU",
IF(ISNUMBER(SEARCH("PVC",INVENTARIO!C7)),"PVC",
IF(ISNUMBER(SEARCH("PAPEL",INVENTARIO!C7)),"PAP",
IF(ISNUMBER(SEARCH("TELA",INVENTARIO!C7)),"TEL",
IF(ISNUMBER(SEARCH("CARTULINA",INVENTARIO!C7)),"CAR",
IF(OR(ISNUMBER(SEARCH("LAMINA",INVENTARIO!C7)),ISNUMBER(SEARCH("LÁMINA",INVENTARIO!C7)),ISNUMBER(SEARCH("LAMPARAS",INVENTARIO!C7))),"LAM",
IF(ISNUMBER(SEARCH("ESTIRENO",INVENTARIO!C7)),"EST",
IF(ISNUMBER(SEARCH("FOAMBOARD",INVENTARIO!C7)),"FOA",
IF(ISNUMBER(SEARCH("SOLVENTE",INVENTARIO!C7)),"SOL",
IF(ISNUMBER(SEARCH("TINTA",INVENTARIO!C7)),"TIN",
IF(ISNUMBER(SEARCH("ACRILICO",INVENTARIO!C7)),"ACR",
IF(ISNUMBER(SEARCH("MICROLED",INVENTARIO!C7)),"MIC",
IF(ISNUMBER(SEARCH("LED",INVENTARIO!C7)),"LED",
IF(ISNUMBER(SEARCH("FUENTE DE PODER",INVENTARIO!C7)),"FUE-POD",
IF(ISNUMBER(SEARCH("PETG",INVENTARIO!C7)),"PET",
IF(ISNUMBER(SEARCH("ALUMINIO",INVENTARIO!C7)),"ALU",
IF(ISNUMBER(SEARCH("CANAL",INVENTARIO!C7)),"CAN",
IF(ISNUMBER(SEARCH("ESCUADRA",INVENTARIO!C7)),"ESC",
IF(ISNUMBER(SEARCH("SOPORTE",INVENTARIO!C7)),"SOP","OTR")
))))))))))))))))))))))))))))))</f>
        <v>LON</v>
      </c>
      <c r="B7" t="str">
        <f>IF(ISNUMBER(SEARCH("CORTE",INVENTARIO!C7)),"COR",
IF(ISNUMBER(SEARCH("CITYLIGHT",INVENTARIO!C7)),"CIT",
IF(ISNUMBER(SEARCH("LINO",INVENTARIO!C7)),"LIN",
IF(ISNUMBER(SEARCH("FABRIANO",INVENTARIO!C7)),"FAB",
IF(ISNUMBER(SEARCH("SUNDANCE",INVENTARIO!C7)),"SUN",
IF(ISNUMBER(SEARCH("SINTETICA",INVENTARIO!C7)),"SIN",
IF(ISNUMBER(SEARCH("CONTROL",INVENTARIO!C7)),"CON",
IF(ISNUMBER(SEARCH("TERMICO",INVENTARIO!C7)),"TER",
IF(ISNUMBER(SEARCH("C-15",INVENTARIO!C7)),"C15",
IF(ISNUMBER(SEARCH("C-20",INVENTARIO!C7)),"C20",
IF(ISNUMBER(SEARCH("C-30",INVENTARIO!C7)),"C30",
IF(ISNUMBER(SEARCH("C-40",INVENTARIO!C7)),"C40",
IF(ISNUMBER(SEARCH("C-60",INVENTARIO!C7)),"C60",
IF(ISNUMBER(SEARCH("C-80",INVENTARIO!C7)),"C80",
IF(ISNUMBER(SEARCH("EQUIPO",INVENTARIO!C7)),"EQU",
IF(ISNUMBER(SEARCH("FLOOR",INVENTARIO!C7)),"FLO",
IF(ISNUMBER(SEARCH("CRISTAL",INVENTARIO!C7)),"CRI",
IF(ISNUMBER(SEARCH(" SULFATADA",INVENTARIO!C18)),"SUL",
IF(ISNUMBER(SEARCH("OPALINA",INVENTARIO!C7)),"OPA",
IF(ISNUMBER(SEARCH("ADHERIBLE",INVENTARIO!C7)),"ADH",
IF(ISNUMBER(SEARCH("MICRO",INVENTARIO!C7)),"MIC","")))))))))))))))))))))</f>
        <v/>
      </c>
      <c r="C7" t="str">
        <f>IF(ISNUMBER(SEARCH("PARED",INVENTARIO!C7)),"PAR",
IF(ISNUMBER(SEARCH("FRONT",INVENTARIO!C7)),"FRO",
IF(ISNUMBER(SEARCH("ALTA RESISTENCIA",INVENTARIO!C7)),
"ALT-RES",IF(ISNUMBER(SEARCH("BACKLITE",INVENTARIO!C7)),"BAC",
IF(ISNUMBER(SEARCH("MATE",INVENTARIO!C7)),"MAT",
IF(ISNUMBER(SEARCH("MESH",INVENTARIO!C7)),"MES",
IF(ISNUMBER(SEARCH("BRILLANTE",INVENTARIO!C7)),"BRI",
IF(ISNUMBER(SEARCH("DELGADA",INVENTARIO!C7)),"DEL",
IF(ISNUMBER(SEARCH("GRUESA",INVENTARIO!C7)),"GRU",
IF(ISNUMBER(SEARCH("ESTATICO",INVENTARIO!C7)),"EST",
IF(ISNUMBER(SEARCH("REFLECTIVO",INVENTARIO!C7)),"REF",
IF(ISNUMBER(SEARCH("LX700",INVENTARIO!C7)),"LX7",
IF(ISNUMBER(SEARCH("GRANDO",INVENTARIO!C7)),"GRA",
IF(ISNUMBER(SEARCH("FB700",INVENTARIO!C7)),"FB7",
IF(ISNUMBER(SEARCH("LX360",INVENTARIO!C7)),"LX3",
IF(ISNUMBER(SEARCH("XEROX",INVENTARIO!C7)),"XER",
IF(ISNUMBER(SEARCH("CEPILLADO",INVENTARIO!C7)),"CEP",
IF(ISNUMBER(SEARCH("ESPEJO",INVENTARIO!C7)),"ESP",
IF(ISNUMBER(SEARCH("10 PTS",INVENTARIO!C7)),"10PT",
IF(ISNUMBER(SEARCH("12 PTS",INVENTARIO!C7)),"12PT",
IF(ISNUMBER(SEARCH("14 PTS",INVENTARIO!C7)),"14PT",
IF(ISNUMBER(SEARCH("CLASICO",INVENTARIO!C7)),"CLA",
""))))))))))))))))))))))</f>
        <v>FRO</v>
      </c>
      <c r="D7" t="str">
        <f>IF(ISNUMBER(SEARCH("GRAN FORMATO",INVENTARIO!C7)),"GRA-FOR",
IF(ISNUMBER(SEARCH("CAMA PLANA",INVENTARIO!C7)),"CAM-PLA",
IF(ISNUMBER(SEARCH("GRADO INGENIERIA",INVENTARIO!C7)),"GRA-ING",
IF(ISNUMBER(SEARCH("130 GRS",INVENTARIO!C7)),"130GR",
IF(ISNUMBER(SEARCH("150 GRS",INVENTARIO!C7)),"150GR",
IF(ISNUMBER(SEARCH("185 GRS",INVENTARIO!C7)),"185GR",
IF(ISNUMBER(SEARCH("200 GRS",INVENTARIO!C7)),"200GR",
IF(ISNUMBER(SEARCH("250 GRS",INVENTARIO!C7)),"250GR",
IF(ISNUMBER(SEARCH("300 GRS",INVENTARIO!C7)),"300GR",
IF(ISNUMBER(SEARCH("350 GRS",INVENTARIO!C7)),"350GR",
IF(ISNUMBER(SEARCH("18 OZ",INVENTARIO!C7)),"18OZ",
IF(ISNUMBER(SEARCH("15 OZ",INVENTARIO!C7)),"15OZ",
IF(OR(ISNUMBER(SEARCH("13 OZ",INVENTARIO!C7)),ISNUMBER(SEARCH("13 ONZAS",INVENTARIO!C7))),"13OZ",
IF(OR(ISNUMBER(SEARCH("9 OZ",INVENTARIO!C7)),ISNUMBER(SEARCH("9 ONZAS",INVENTARIO!C7))),"09OZ",
IF(ISNUMBER(SEARCH("DOBLE CARA",INVENTARIO!C7)),"DOB-CAR",
"")))))))))))))))</f>
        <v>13OZ</v>
      </c>
      <c r="E7" t="str">
        <f>IF(OR(ISNUMBER(SEARCH("TRANSPARENTE",INVENTARIO!C7)),ISNUMBER(SEARCH("TRANSPARENTES",INVENTARIO!C7))),"TRA",
IF(OR(ISNUMBER(SEARCH("BLANCO",INVENTARIO!C7)),ISNUMBER(SEARCH("BCO",INVENTARIO!C7))),"BLA",
IF(ISNUMBER(SEARCH("FOTOGRAFICO",INVENTARIO!C7)),"FOT",
IF(ISNUMBER(SEARCH("MARFIL",INVENTARIO!C7)),"MAR",
IF(ISNUMBER(SEARCH("VERDE",INVENTARIO!C7)),"VER",
IF(ISNUMBER(SEARCH("MORADO",INVENTARIO!C7)),"MOR",
IF(ISNUMBER(SEARCH("PLATA",INVENTARIO!C7)),"PLA",
IF(ISNUMBER(SEARCH("ORO",INVENTARIO!C7)),"ORO",
IF(ISNUMBER(SEARCH("AMARILLO",INVENTARIO!C7)),"AMA",
IF(ISNUMBER(SEARCH("NARANJA",INVENTARIO!C7)),"NAR",
IF(ISNUMBER(SEARCH("NEGRO",INVENTARIO!C7)),"NEG",
IF(ISNUMBER(SEARCH("ROJO",INVENTARIO!C7)),"ROJ",
IF(ISNUMBER(SEARCH("AZUL",INVENTARIO!C7)),"AZU","")))))))))))))</f>
        <v/>
      </c>
      <c r="F7" t="str">
        <f>IF(ISNUMBER(SEARCH("ARLON",INVENTARIO!C7)),"ARL",
IF(ISNUMBER(SEARCH("SUNTHINKS",INVENTARIO!C7)),"SUN",
IF(ISNUMBER(SEARCH("FRIO",INVENTARIO!C7)),"FRI",
IF(ISNUMBER(SEARCH("CALIDO",INVENTARIO!C7)),"CAL",
IF(ISNUMBER(SEARCH("CEPILLADO",INVENTARIO!C7)),"CEP",
IF(ISNUMBER(SEARCH("ESPEJO",INVENTARIO!C7)),"ESP",
""))))))</f>
        <v/>
      </c>
      <c r="G7" t="str">
        <f>IF(ISNUMBER(SEARCH("LATEX",INVENTARIO!C7)),"LAT",
IF(ISNUMBER(SEARCH("RESP. NEGRO",INVENTARIO!C7)),"RES-NEG",
IF(ISNUMBER(SEARCH("RESPALDO CAFE",INVENTARIO!C7)),"RES-CAF",
IF(ISNUMBER(SEARCH("RESPALDO GRIS",INVENTARIO!C7)),"RES-GRI",
IF(ISNUMBER(SEARCH("OPTICO",INVENTARIO!C7)),"OPT",
IF(ISNUMBER(SEARCH("1,2 MM",INVENTARIO!C7)),"1MM2",
IF(ISNUMBER(SEARCH("2 MM",INVENTARIO!C7)),"2MM",
IF(ISNUMBER(SEARCH("3 MM",INVENTARIO!C7)),"3MM",
IF(ISNUMBER(SEARCH("4 MM",INVENTARIO!C7)),"4MM",
IF(ISNUMBER(SEARCH("5 MM",INVENTARIO!C7)),"5MM",
IF(ISNUMBER(SEARCH("6 MM",INVENTARIO!C7)),"6MM",
IF(ISNUMBER(SEARCH("9 MM",INVENTARIO!C7)),"9MM",
IF(ISNUMBER(SEARCH("10 MM",INVENTARIO!C7)),"10MM","")))))))))))))</f>
        <v/>
      </c>
      <c r="H7" t="str">
        <f>IF(ISNUMBER(SEARCH("GAMA BAJA",INVENTARIO!C7)),"GAM-BAJ",
IF(ISNUMBER(SEARCH("OPTIMIZADOR",INVENTARIO!C7)),"OPT",
IF(ISNUMBER(SEARCH("OVERCOAT",INVENTARIO!C7)),"OVE",
IF(ISNUMBER(SEARCH("WHITE",INVENTARIO!C7)),"WHI",
IF(ISNUMBER(SEARCH("LIGHT CYAN",INVENTARIO!C7)),"LIG-CYA",
IF(ISNUMBER(SEARCH("CYAN",INVENTARIO!C7)),"CYA",
IF(ISNUMBER(SEARCH("LIGHT MAGENTA",INVENTARIO!C7)),"LIG-MAG",
IF(ISNUMBER(SEARCH("MAGENTA",INVENTARIO!C7)),"MAG",
IF(ISNUMBER(SEARCH("BLACK",INVENTARIO!C7)),"BLA",
IF(ISNUMBER(SEARCH("YELLOW",INVENTARIO!C7)),"YEL",
IF(ISNUMBER(SEARCH("2 DIODOS",INVENTARIO!C7)),"2DI",
IF(ISNUMBER(SEARCH("3 DIODOS",INVENTARIO!C7)),"3DI",
IF(OR(ISNUMBER(SEARCH("TRASLUCIDO",INVENTARIO!C7)),ISNUMBER(SEARCH("TRANSLUCIDO",INVENTARIO!C7))),"TRA",
"")))))))))))))</f>
        <v/>
      </c>
      <c r="I7" t="str">
        <f>IF(ISNUMBER(SEARCH("SILED",INVENTARIO!C7)),"SI",
IF(ISNUMBER(SEARCH("SYDEMEX",INVENTARIO!C7)),"SY",
IF(ISNUMBER(SEARCH("ROHS",INVENTARIO!C7)),"RO",
IF(ISNUMBER(SEARCH("RISHANG",INVENTARIO!C7)),"RS",
IF(ISNUMBER(SEARCH("VYG",INVENTARIO!C7)),"VYG",
IF(ISNUMBER(SEARCH("COLED",INVENTARIO!C7)),"CO",""))))))</f>
        <v/>
      </c>
    </row>
    <row r="8" spans="1:9">
      <c r="A8" t="str">
        <f>IF(ISNUMBER(SEARCH("LONA",INVENTARIO!C8)),"LON",
IF(ISNUMBER(SEARCH("VINIL",INVENTARIO!C8)),"VIN",
IF(ISNUMBER(SEARCH("KROMACOTE",INVENTARIO!C8)),"KRO",
IF(ISNUMBER(SEARCH("STARDREAM",INVENTARIO!C8)),"STA",
IF(ISNUMBER(SEARCH("DISPLAY",INVENTARIO!C8)),"DIS",
IF(ISNUMBER(SEARCH("ROLL UP",INVENTARIO!C8)),"ROL-UP",
IF(ISNUMBER(SEARCH("TRANSFER DE PAPEL",INVENTARIO!C8)),"TRA-PAP",
IF(ISNUMBER(SEARCH("TRANSFER",INVENTARIO!C8)),"TRA",IF(ISNUMBER(SEARCH("KOLA LOKA",INVENTARIO!C8)),"KOL-LOK",
IF(ISNUMBER(SEARCH("PETG",INVENTARIO!C8)),"PET",
IF(ISNUMBER(SEARCH("OJILLO",INVENTARIO!C8)),"OJI",
IF(ISNUMBER(SEARCH("COUCHE",INVENTARIO!C8)),"COU",
IF(ISNUMBER(SEARCH("PANEL DE ALUMINIO",INVENTARIO!C8)),"PAN-ALU",
IF(ISNUMBER(SEARCH("PVC",INVENTARIO!C8)),"PVC",
IF(ISNUMBER(SEARCH("PAPEL",INVENTARIO!C8)),"PAP",
IF(ISNUMBER(SEARCH("TELA",INVENTARIO!C8)),"TEL",
IF(ISNUMBER(SEARCH("CARTULINA",INVENTARIO!C8)),"CAR",
IF(OR(ISNUMBER(SEARCH("LAMINA",INVENTARIO!C8)),ISNUMBER(SEARCH("LÁMINA",INVENTARIO!C8)),ISNUMBER(SEARCH("LAMPARAS",INVENTARIO!C8))),"LAM",
IF(ISNUMBER(SEARCH("ESTIRENO",INVENTARIO!C8)),"EST",
IF(ISNUMBER(SEARCH("FOAMBOARD",INVENTARIO!C8)),"FOA",
IF(ISNUMBER(SEARCH("SOLVENTE",INVENTARIO!C8)),"SOL",
IF(ISNUMBER(SEARCH("TINTA",INVENTARIO!C8)),"TIN",
IF(ISNUMBER(SEARCH("ACRILICO",INVENTARIO!C8)),"ACR",
IF(ISNUMBER(SEARCH("MICROLED",INVENTARIO!C8)),"MIC",
IF(ISNUMBER(SEARCH("LED",INVENTARIO!C8)),"LED",
IF(ISNUMBER(SEARCH("FUENTE DE PODER",INVENTARIO!C8)),"FUE-POD",
IF(ISNUMBER(SEARCH("PETG",INVENTARIO!C8)),"PET",
IF(ISNUMBER(SEARCH("ALUMINIO",INVENTARIO!C8)),"ALU",
IF(ISNUMBER(SEARCH("CANAL",INVENTARIO!C8)),"CAN",
IF(ISNUMBER(SEARCH("ESCUADRA",INVENTARIO!C8)),"ESC",
IF(ISNUMBER(SEARCH("SOPORTE",INVENTARIO!C8)),"SOP","OTR")
))))))))))))))))))))))))))))))</f>
        <v>LON</v>
      </c>
      <c r="B8" t="str">
        <f>IF(ISNUMBER(SEARCH("CORTE",INVENTARIO!C8)),"COR",
IF(ISNUMBER(SEARCH("CITYLIGHT",INVENTARIO!C8)),"CIT",
IF(ISNUMBER(SEARCH("LINO",INVENTARIO!C8)),"LIN",
IF(ISNUMBER(SEARCH("FABRIANO",INVENTARIO!C8)),"FAB",
IF(ISNUMBER(SEARCH("SUNDANCE",INVENTARIO!C8)),"SUN",
IF(ISNUMBER(SEARCH("SINTETICA",INVENTARIO!C8)),"SIN",
IF(ISNUMBER(SEARCH("CONTROL",INVENTARIO!C8)),"CON",
IF(ISNUMBER(SEARCH("TERMICO",INVENTARIO!C8)),"TER",
IF(ISNUMBER(SEARCH("C-15",INVENTARIO!C8)),"C15",
IF(ISNUMBER(SEARCH("C-20",INVENTARIO!C8)),"C20",
IF(ISNUMBER(SEARCH("C-30",INVENTARIO!C8)),"C30",
IF(ISNUMBER(SEARCH("C-40",INVENTARIO!C8)),"C40",
IF(ISNUMBER(SEARCH("C-60",INVENTARIO!C8)),"C60",
IF(ISNUMBER(SEARCH("C-80",INVENTARIO!C8)),"C80",
IF(ISNUMBER(SEARCH("EQUIPO",INVENTARIO!C8)),"EQU",
IF(ISNUMBER(SEARCH("FLOOR",INVENTARIO!C8)),"FLO",
IF(ISNUMBER(SEARCH("CRISTAL",INVENTARIO!C8)),"CRI",
IF(ISNUMBER(SEARCH(" SULFATADA",INVENTARIO!C19)),"SUL",
IF(ISNUMBER(SEARCH("OPALINA",INVENTARIO!C8)),"OPA",
IF(ISNUMBER(SEARCH("ADHERIBLE",INVENTARIO!C8)),"ADH",
IF(ISNUMBER(SEARCH("MICRO",INVENTARIO!C8)),"MIC","")))))))))))))))))))))</f>
        <v/>
      </c>
      <c r="C8" t="str">
        <f>IF(ISNUMBER(SEARCH("PARED",INVENTARIO!C8)),"PAR",
IF(ISNUMBER(SEARCH("FRONT",INVENTARIO!C8)),"FRO",
IF(ISNUMBER(SEARCH("ALTA RESISTENCIA",INVENTARIO!C8)),
"ALT-RES",IF(ISNUMBER(SEARCH("BACKLITE",INVENTARIO!C8)),"BAC",
IF(ISNUMBER(SEARCH("MATE",INVENTARIO!C8)),"MAT",
IF(ISNUMBER(SEARCH("MESH",INVENTARIO!C8)),"MES",
IF(ISNUMBER(SEARCH("BRILLANTE",INVENTARIO!C8)),"BRI",
IF(ISNUMBER(SEARCH("DELGADA",INVENTARIO!C8)),"DEL",
IF(ISNUMBER(SEARCH("GRUESA",INVENTARIO!C8)),"GRU",
IF(ISNUMBER(SEARCH("ESTATICO",INVENTARIO!C8)),"EST",
IF(ISNUMBER(SEARCH("REFLECTIVO",INVENTARIO!C8)),"REF",
IF(ISNUMBER(SEARCH("LX700",INVENTARIO!C8)),"LX7",
IF(ISNUMBER(SEARCH("GRANDO",INVENTARIO!C8)),"GRA",
IF(ISNUMBER(SEARCH("FB700",INVENTARIO!C8)),"FB7",
IF(ISNUMBER(SEARCH("LX360",INVENTARIO!C8)),"LX3",
IF(ISNUMBER(SEARCH("XEROX",INVENTARIO!C8)),"XER",
IF(ISNUMBER(SEARCH("CEPILLADO",INVENTARIO!C8)),"CEP",
IF(ISNUMBER(SEARCH("ESPEJO",INVENTARIO!C8)),"ESP",
IF(ISNUMBER(SEARCH("10 PTS",INVENTARIO!C8)),"10PT",
IF(ISNUMBER(SEARCH("12 PTS",INVENTARIO!C8)),"12PT",
IF(ISNUMBER(SEARCH("14 PTS",INVENTARIO!C8)),"14PT",
IF(ISNUMBER(SEARCH("CLASICO",INVENTARIO!C8)),"CLA",
""))))))))))))))))))))))</f>
        <v>FRO</v>
      </c>
      <c r="D8" t="str">
        <f>IF(ISNUMBER(SEARCH("GRAN FORMATO",INVENTARIO!C8)),"GRA-FOR",
IF(ISNUMBER(SEARCH("CAMA PLANA",INVENTARIO!C8)),"CAM-PLA",
IF(ISNUMBER(SEARCH("GRADO INGENIERIA",INVENTARIO!C8)),"GRA-ING",
IF(ISNUMBER(SEARCH("130 GRS",INVENTARIO!C8)),"130GR",
IF(ISNUMBER(SEARCH("150 GRS",INVENTARIO!C8)),"150GR",
IF(ISNUMBER(SEARCH("185 GRS",INVENTARIO!C8)),"185GR",
IF(ISNUMBER(SEARCH("200 GRS",INVENTARIO!C8)),"200GR",
IF(ISNUMBER(SEARCH("250 GRS",INVENTARIO!C8)),"250GR",
IF(ISNUMBER(SEARCH("300 GRS",INVENTARIO!C8)),"300GR",
IF(ISNUMBER(SEARCH("350 GRS",INVENTARIO!C8)),"350GR",
IF(ISNUMBER(SEARCH("18 OZ",INVENTARIO!C8)),"18OZ",
IF(ISNUMBER(SEARCH("15 OZ",INVENTARIO!C8)),"15OZ",
IF(OR(ISNUMBER(SEARCH("13 OZ",INVENTARIO!C8)),ISNUMBER(SEARCH("13 ONZAS",INVENTARIO!C8))),"13OZ",
IF(OR(ISNUMBER(SEARCH("9 OZ",INVENTARIO!C8)),ISNUMBER(SEARCH("9 ONZAS",INVENTARIO!C8))),"09OZ",
IF(ISNUMBER(SEARCH("DOBLE CARA",INVENTARIO!C8)),"DOB-CAR",
"")))))))))))))))</f>
        <v>13OZ</v>
      </c>
      <c r="E8" t="str">
        <f>IF(OR(ISNUMBER(SEARCH("TRANSPARENTE",INVENTARIO!C8)),ISNUMBER(SEARCH("TRANSPARENTES",INVENTARIO!C8))),"TRA",
IF(OR(ISNUMBER(SEARCH("BLANCO",INVENTARIO!C8)),ISNUMBER(SEARCH("BCO",INVENTARIO!C8))),"BLA",
IF(ISNUMBER(SEARCH("FOTOGRAFICO",INVENTARIO!C8)),"FOT",
IF(ISNUMBER(SEARCH("MARFIL",INVENTARIO!C8)),"MAR",
IF(ISNUMBER(SEARCH("VERDE",INVENTARIO!C8)),"VER",
IF(ISNUMBER(SEARCH("MORADO",INVENTARIO!C8)),"MOR",
IF(ISNUMBER(SEARCH("PLATA",INVENTARIO!C8)),"PLA",
IF(ISNUMBER(SEARCH("ORO",INVENTARIO!C8)),"ORO",
IF(ISNUMBER(SEARCH("AMARILLO",INVENTARIO!C8)),"AMA",
IF(ISNUMBER(SEARCH("NARANJA",INVENTARIO!C8)),"NAR",
IF(ISNUMBER(SEARCH("NEGRO",INVENTARIO!C8)),"NEG",
IF(ISNUMBER(SEARCH("ROJO",INVENTARIO!C8)),"ROJ",
IF(ISNUMBER(SEARCH("AZUL",INVENTARIO!C8)),"AZU","")))))))))))))</f>
        <v/>
      </c>
      <c r="F8" t="str">
        <f>IF(ISNUMBER(SEARCH("ARLON",INVENTARIO!C8)),"ARL",
IF(ISNUMBER(SEARCH("SUNTHINKS",INVENTARIO!C8)),"SUN",
IF(ISNUMBER(SEARCH("FRIO",INVENTARIO!C8)),"FRI",
IF(ISNUMBER(SEARCH("CALIDO",INVENTARIO!C8)),"CAL",
IF(ISNUMBER(SEARCH("CEPILLADO",INVENTARIO!C8)),"CEP",
IF(ISNUMBER(SEARCH("ESPEJO",INVENTARIO!C8)),"ESP",
""))))))</f>
        <v/>
      </c>
      <c r="G8" t="str">
        <f>IF(ISNUMBER(SEARCH("LATEX",INVENTARIO!C8)),"LAT",
IF(ISNUMBER(SEARCH("RESP. NEGRO",INVENTARIO!C8)),"RES-NEG",
IF(ISNUMBER(SEARCH("RESPALDO CAFE",INVENTARIO!C8)),"RES-CAF",
IF(ISNUMBER(SEARCH("RESPALDO GRIS",INVENTARIO!C8)),"RES-GRI",
IF(ISNUMBER(SEARCH("OPTICO",INVENTARIO!C8)),"OPT",
IF(ISNUMBER(SEARCH("1,2 MM",INVENTARIO!C8)),"1MM2",
IF(ISNUMBER(SEARCH("2 MM",INVENTARIO!C8)),"2MM",
IF(ISNUMBER(SEARCH("3 MM",INVENTARIO!C8)),"3MM",
IF(ISNUMBER(SEARCH("4 MM",INVENTARIO!C8)),"4MM",
IF(ISNUMBER(SEARCH("5 MM",INVENTARIO!C8)),"5MM",
IF(ISNUMBER(SEARCH("6 MM",INVENTARIO!C8)),"6MM",
IF(ISNUMBER(SEARCH("9 MM",INVENTARIO!C8)),"9MM",
IF(ISNUMBER(SEARCH("10 MM",INVENTARIO!C8)),"10MM","")))))))))))))</f>
        <v/>
      </c>
      <c r="H8" t="str">
        <f>IF(ISNUMBER(SEARCH("GAMA BAJA",INVENTARIO!C8)),"GAM-BAJ",
IF(ISNUMBER(SEARCH("OPTIMIZADOR",INVENTARIO!C8)),"OPT",
IF(ISNUMBER(SEARCH("OVERCOAT",INVENTARIO!C8)),"OVE",
IF(ISNUMBER(SEARCH("WHITE",INVENTARIO!C8)),"WHI",
IF(ISNUMBER(SEARCH("LIGHT CYAN",INVENTARIO!C8)),"LIG-CYA",
IF(ISNUMBER(SEARCH("CYAN",INVENTARIO!C8)),"CYA",
IF(ISNUMBER(SEARCH("LIGHT MAGENTA",INVENTARIO!C8)),"LIG-MAG",
IF(ISNUMBER(SEARCH("MAGENTA",INVENTARIO!C8)),"MAG",
IF(ISNUMBER(SEARCH("BLACK",INVENTARIO!C8)),"BLA",
IF(ISNUMBER(SEARCH("YELLOW",INVENTARIO!C8)),"YEL",
IF(ISNUMBER(SEARCH("2 DIODOS",INVENTARIO!C8)),"2DI",
IF(ISNUMBER(SEARCH("3 DIODOS",INVENTARIO!C8)),"3DI",
IF(OR(ISNUMBER(SEARCH("TRASLUCIDO",INVENTARIO!C8)),ISNUMBER(SEARCH("TRANSLUCIDO",INVENTARIO!C8))),"TRA",
"")))))))))))))</f>
        <v/>
      </c>
      <c r="I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9" spans="1:9">
      <c r="A9" t="str">
        <f>IF(ISNUMBER(SEARCH("LONA",INVENTARIO!C9)),"LON",
IF(ISNUMBER(SEARCH("VINIL",INVENTARIO!C9)),"VIN",
IF(ISNUMBER(SEARCH("KROMACOTE",INVENTARIO!C9)),"KRO",
IF(ISNUMBER(SEARCH("STARDREAM",INVENTARIO!C9)),"STA",
IF(ISNUMBER(SEARCH("DISPLAY",INVENTARIO!C9)),"DIS",
IF(ISNUMBER(SEARCH("ROLL UP",INVENTARIO!C9)),"ROL-UP",
IF(ISNUMBER(SEARCH("TRANSFER DE PAPEL",INVENTARIO!C9)),"TRA-PAP",
IF(ISNUMBER(SEARCH("TRANSFER",INVENTARIO!C9)),"TRA",IF(ISNUMBER(SEARCH("KOLA LOKA",INVENTARIO!C9)),"KOL-LOK",
IF(ISNUMBER(SEARCH("PETG",INVENTARIO!C9)),"PET",
IF(ISNUMBER(SEARCH("OJILLO",INVENTARIO!C9)),"OJI",
IF(ISNUMBER(SEARCH("COUCHE",INVENTARIO!C9)),"COU",
IF(ISNUMBER(SEARCH("PANEL DE ALUMINIO",INVENTARIO!C9)),"PAN-ALU",
IF(ISNUMBER(SEARCH("PVC",INVENTARIO!C9)),"PVC",
IF(ISNUMBER(SEARCH("PAPEL",INVENTARIO!C9)),"PAP",
IF(ISNUMBER(SEARCH("TELA",INVENTARIO!C9)),"TEL",
IF(ISNUMBER(SEARCH("CARTULINA",INVENTARIO!C9)),"CAR",
IF(OR(ISNUMBER(SEARCH("LAMINA",INVENTARIO!C9)),ISNUMBER(SEARCH("LÁMINA",INVENTARIO!C9)),ISNUMBER(SEARCH("LAMPARAS",INVENTARIO!C9))),"LAM",
IF(ISNUMBER(SEARCH("ESTIRENO",INVENTARIO!C9)),"EST",
IF(ISNUMBER(SEARCH("FOAMBOARD",INVENTARIO!C9)),"FOA",
IF(ISNUMBER(SEARCH("SOLVENTE",INVENTARIO!C9)),"SOL",
IF(ISNUMBER(SEARCH("TINTA",INVENTARIO!C9)),"TIN",
IF(ISNUMBER(SEARCH("ACRILICO",INVENTARIO!C9)),"ACR",
IF(ISNUMBER(SEARCH("MICROLED",INVENTARIO!C9)),"MIC",
IF(ISNUMBER(SEARCH("LED",INVENTARIO!C9)),"LED",
IF(ISNUMBER(SEARCH("FUENTE DE PODER",INVENTARIO!C9)),"FUE-POD",
IF(ISNUMBER(SEARCH("PETG",INVENTARIO!C9)),"PET",
IF(ISNUMBER(SEARCH("ALUMINIO",INVENTARIO!C9)),"ALU",
IF(ISNUMBER(SEARCH("CANAL",INVENTARIO!C9)),"CAN",
IF(ISNUMBER(SEARCH("ESCUADRA",INVENTARIO!C9)),"ESC",
IF(ISNUMBER(SEARCH("SOPORTE",INVENTARIO!C9)),"SOP","OTR")
))))))))))))))))))))))))))))))</f>
        <v>LON</v>
      </c>
      <c r="B9" t="str">
        <f>IF(ISNUMBER(SEARCH("CORTE",INVENTARIO!C9)),"COR",
IF(ISNUMBER(SEARCH("CITYLIGHT",INVENTARIO!C9)),"CIT",
IF(ISNUMBER(SEARCH("LINO",INVENTARIO!C9)),"LIN",
IF(ISNUMBER(SEARCH("FABRIANO",INVENTARIO!C9)),"FAB",
IF(ISNUMBER(SEARCH("SUNDANCE",INVENTARIO!C9)),"SUN",
IF(ISNUMBER(SEARCH("SINTETICA",INVENTARIO!C9)),"SIN",
IF(ISNUMBER(SEARCH("CONTROL",INVENTARIO!C9)),"CON",
IF(ISNUMBER(SEARCH("TERMICO",INVENTARIO!C9)),"TER",
IF(ISNUMBER(SEARCH("C-15",INVENTARIO!C9)),"C15",
IF(ISNUMBER(SEARCH("C-20",INVENTARIO!C9)),"C20",
IF(ISNUMBER(SEARCH("C-30",INVENTARIO!C9)),"C30",
IF(ISNUMBER(SEARCH("C-40",INVENTARIO!C9)),"C40",
IF(ISNUMBER(SEARCH("C-60",INVENTARIO!C9)),"C60",
IF(ISNUMBER(SEARCH("C-80",INVENTARIO!C9)),"C80",
IF(ISNUMBER(SEARCH("EQUIPO",INVENTARIO!C9)),"EQU",
IF(ISNUMBER(SEARCH("FLOOR",INVENTARIO!C9)),"FLO",
IF(ISNUMBER(SEARCH("CRISTAL",INVENTARIO!C9)),"CRI",
IF(ISNUMBER(SEARCH(" SULFATADA",INVENTARIO!C20)),"SUL",
IF(ISNUMBER(SEARCH("OPALINA",INVENTARIO!C9)),"OPA",
IF(ISNUMBER(SEARCH("ADHERIBLE",INVENTARIO!C9)),"ADH",
IF(ISNUMBER(SEARCH("MICRO",INVENTARIO!C9)),"MIC","")))))))))))))))))))))</f>
        <v/>
      </c>
      <c r="C9" t="str">
        <f>IF(ISNUMBER(SEARCH("PARED",INVENTARIO!C9)),"PAR",
IF(ISNUMBER(SEARCH("FRONT",INVENTARIO!C9)),"FRO",
IF(ISNUMBER(SEARCH("ALTA RESISTENCIA",INVENTARIO!C9)),
"ALT-RES",IF(ISNUMBER(SEARCH("BACKLITE",INVENTARIO!C9)),"BAC",
IF(ISNUMBER(SEARCH("MATE",INVENTARIO!C9)),"MAT",
IF(ISNUMBER(SEARCH("MESH",INVENTARIO!C9)),"MES",
IF(ISNUMBER(SEARCH("BRILLANTE",INVENTARIO!C9)),"BRI",
IF(ISNUMBER(SEARCH("DELGADA",INVENTARIO!C9)),"DEL",
IF(ISNUMBER(SEARCH("GRUESA",INVENTARIO!C9)),"GRU",
IF(ISNUMBER(SEARCH("ESTATICO",INVENTARIO!C9)),"EST",
IF(ISNUMBER(SEARCH("REFLECTIVO",INVENTARIO!C9)),"REF",
IF(ISNUMBER(SEARCH("LX700",INVENTARIO!C9)),"LX7",
IF(ISNUMBER(SEARCH("GRANDO",INVENTARIO!C9)),"GRA",
IF(ISNUMBER(SEARCH("FB700",INVENTARIO!C9)),"FB7",
IF(ISNUMBER(SEARCH("LX360",INVENTARIO!C9)),"LX3",
IF(ISNUMBER(SEARCH("XEROX",INVENTARIO!C9)),"XER",
IF(ISNUMBER(SEARCH("CEPILLADO",INVENTARIO!C9)),"CEP",
IF(ISNUMBER(SEARCH("ESPEJO",INVENTARIO!C9)),"ESP",
IF(ISNUMBER(SEARCH("10 PTS",INVENTARIO!C9)),"10PT",
IF(ISNUMBER(SEARCH("12 PTS",INVENTARIO!C9)),"12PT",
IF(ISNUMBER(SEARCH("14 PTS",INVENTARIO!C9)),"14PT",
IF(ISNUMBER(SEARCH("CLASICO",INVENTARIO!C9)),"CLA",
""))))))))))))))))))))))</f>
        <v>FRO</v>
      </c>
      <c r="D9" t="str">
        <f>IF(ISNUMBER(SEARCH("GRAN FORMATO",INVENTARIO!C9)),"GRA-FOR",
IF(ISNUMBER(SEARCH("CAMA PLANA",INVENTARIO!C9)),"CAM-PLA",
IF(ISNUMBER(SEARCH("GRADO INGENIERIA",INVENTARIO!C9)),"GRA-ING",
IF(ISNUMBER(SEARCH("130 GRS",INVENTARIO!C9)),"130GR",
IF(ISNUMBER(SEARCH("150 GRS",INVENTARIO!C9)),"150GR",
IF(ISNUMBER(SEARCH("185 GRS",INVENTARIO!C9)),"185GR",
IF(ISNUMBER(SEARCH("200 GRS",INVENTARIO!C9)),"200GR",
IF(ISNUMBER(SEARCH("250 GRS",INVENTARIO!C9)),"250GR",
IF(ISNUMBER(SEARCH("300 GRS",INVENTARIO!C9)),"300GR",
IF(ISNUMBER(SEARCH("350 GRS",INVENTARIO!C9)),"350GR",
IF(ISNUMBER(SEARCH("18 OZ",INVENTARIO!C9)),"18OZ",
IF(ISNUMBER(SEARCH("15 OZ",INVENTARIO!C9)),"15OZ",
IF(OR(ISNUMBER(SEARCH("13 OZ",INVENTARIO!C9)),ISNUMBER(SEARCH("13 ONZAS",INVENTARIO!C9))),"13OZ",
IF(OR(ISNUMBER(SEARCH("9 OZ",INVENTARIO!C9)),ISNUMBER(SEARCH("9 ONZAS",INVENTARIO!C9))),"09OZ",
IF(ISNUMBER(SEARCH("DOBLE CARA",INVENTARIO!C9)),"DOB-CAR",
"")))))))))))))))</f>
        <v>13OZ</v>
      </c>
      <c r="E9" t="str">
        <f>IF(OR(ISNUMBER(SEARCH("TRANSPARENTE",INVENTARIO!C9)),ISNUMBER(SEARCH("TRANSPARENTES",INVENTARIO!C9))),"TRA",
IF(OR(ISNUMBER(SEARCH("BLANCO",INVENTARIO!C9)),ISNUMBER(SEARCH("BCO",INVENTARIO!C9))),"BLA",
IF(ISNUMBER(SEARCH("FOTOGRAFICO",INVENTARIO!C9)),"FOT",
IF(ISNUMBER(SEARCH("MARFIL",INVENTARIO!C9)),"MAR",
IF(ISNUMBER(SEARCH("VERDE",INVENTARIO!C9)),"VER",
IF(ISNUMBER(SEARCH("MORADO",INVENTARIO!C9)),"MOR",
IF(ISNUMBER(SEARCH("PLATA",INVENTARIO!C9)),"PLA",
IF(ISNUMBER(SEARCH("ORO",INVENTARIO!C9)),"ORO",
IF(ISNUMBER(SEARCH("AMARILLO",INVENTARIO!C9)),"AMA",
IF(ISNUMBER(SEARCH("NARANJA",INVENTARIO!C9)),"NAR",
IF(ISNUMBER(SEARCH("NEGRO",INVENTARIO!C9)),"NEG",
IF(ISNUMBER(SEARCH("ROJO",INVENTARIO!C9)),"ROJ",
IF(ISNUMBER(SEARCH("AZUL",INVENTARIO!C9)),"AZU","")))))))))))))</f>
        <v/>
      </c>
      <c r="F9" t="str">
        <f>IF(ISNUMBER(SEARCH("ARLON",INVENTARIO!C9)),"ARL",
IF(ISNUMBER(SEARCH("SUNTHINKS",INVENTARIO!C9)),"SUN",
IF(ISNUMBER(SEARCH("FRIO",INVENTARIO!C9)),"FRI",
IF(ISNUMBER(SEARCH("CALIDO",INVENTARIO!C9)),"CAL",
IF(ISNUMBER(SEARCH("CEPILLADO",INVENTARIO!C9)),"CEP",
IF(ISNUMBER(SEARCH("ESPEJO",INVENTARIO!C9)),"ESP",
""))))))</f>
        <v/>
      </c>
      <c r="G9" t="str">
        <f>IF(ISNUMBER(SEARCH("LATEX",INVENTARIO!C9)),"LAT",
IF(ISNUMBER(SEARCH("RESP. NEGRO",INVENTARIO!C9)),"RES-NEG",
IF(ISNUMBER(SEARCH("RESPALDO CAFE",INVENTARIO!C9)),"RES-CAF",
IF(ISNUMBER(SEARCH("RESPALDO GRIS",INVENTARIO!C9)),"RES-GRI",
IF(ISNUMBER(SEARCH("OPTICO",INVENTARIO!C9)),"OPT",
IF(ISNUMBER(SEARCH("1,2 MM",INVENTARIO!C9)),"1MM2",
IF(ISNUMBER(SEARCH("2 MM",INVENTARIO!C9)),"2MM",
IF(ISNUMBER(SEARCH("3 MM",INVENTARIO!C9)),"3MM",
IF(ISNUMBER(SEARCH("4 MM",INVENTARIO!C9)),"4MM",
IF(ISNUMBER(SEARCH("5 MM",INVENTARIO!C9)),"5MM",
IF(ISNUMBER(SEARCH("6 MM",INVENTARIO!C9)),"6MM",
IF(ISNUMBER(SEARCH("9 MM",INVENTARIO!C9)),"9MM",
IF(ISNUMBER(SEARCH("10 MM",INVENTARIO!C9)),"10MM","")))))))))))))</f>
        <v/>
      </c>
      <c r="H9" t="str">
        <f>IF(ISNUMBER(SEARCH("GAMA BAJA",INVENTARIO!C9)),"GAM-BAJ",
IF(ISNUMBER(SEARCH("OPTIMIZADOR",INVENTARIO!C9)),"OPT",
IF(ISNUMBER(SEARCH("OVERCOAT",INVENTARIO!C9)),"OVE",
IF(ISNUMBER(SEARCH("WHITE",INVENTARIO!C9)),"WHI",
IF(ISNUMBER(SEARCH("LIGHT CYAN",INVENTARIO!C9)),"LIG-CYA",
IF(ISNUMBER(SEARCH("CYAN",INVENTARIO!C9)),"CYA",
IF(ISNUMBER(SEARCH("LIGHT MAGENTA",INVENTARIO!C9)),"LIG-MAG",
IF(ISNUMBER(SEARCH("MAGENTA",INVENTARIO!C9)),"MAG",
IF(ISNUMBER(SEARCH("BLACK",INVENTARIO!C9)),"BLA",
IF(ISNUMBER(SEARCH("YELLOW",INVENTARIO!C9)),"YEL",
IF(ISNUMBER(SEARCH("2 DIODOS",INVENTARIO!C9)),"2DI",
IF(ISNUMBER(SEARCH("3 DIODOS",INVENTARIO!C9)),"3DI",
IF(OR(ISNUMBER(SEARCH("TRASLUCIDO",INVENTARIO!C9)),ISNUMBER(SEARCH("TRANSLUCIDO",INVENTARIO!C9))),"TRA",
"")))))))))))))</f>
        <v/>
      </c>
      <c r="I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0" spans="1:9">
      <c r="A10" t="str">
        <f>IF(ISNUMBER(SEARCH("LONA",INVENTARIO!C10)),"LON",
IF(ISNUMBER(SEARCH("VINIL",INVENTARIO!C10)),"VIN",
IF(ISNUMBER(SEARCH("KROMACOTE",INVENTARIO!C10)),"KRO",
IF(ISNUMBER(SEARCH("STARDREAM",INVENTARIO!C10)),"STA",
IF(ISNUMBER(SEARCH("DISPLAY",INVENTARIO!C10)),"DIS",
IF(ISNUMBER(SEARCH("ROLL UP",INVENTARIO!C10)),"ROL-UP",
IF(ISNUMBER(SEARCH("TRANSFER DE PAPEL",INVENTARIO!C10)),"TRA-PAP",
IF(ISNUMBER(SEARCH("TRANSFER",INVENTARIO!C10)),"TRA",IF(ISNUMBER(SEARCH("KOLA LOKA",INVENTARIO!C10)),"KOL-LOK",
IF(ISNUMBER(SEARCH("PETG",INVENTARIO!C10)),"PET",
IF(ISNUMBER(SEARCH("OJILLO",INVENTARIO!C10)),"OJI",
IF(ISNUMBER(SEARCH("COUCHE",INVENTARIO!C10)),"COU",
IF(ISNUMBER(SEARCH("PANEL DE ALUMINIO",INVENTARIO!C10)),"PAN-ALU",
IF(ISNUMBER(SEARCH("PVC",INVENTARIO!C10)),"PVC",
IF(ISNUMBER(SEARCH("PAPEL",INVENTARIO!C10)),"PAP",
IF(ISNUMBER(SEARCH("TELA",INVENTARIO!C10)),"TEL",
IF(ISNUMBER(SEARCH("CARTULINA",INVENTARIO!C10)),"CAR",
IF(OR(ISNUMBER(SEARCH("LAMINA",INVENTARIO!C10)),ISNUMBER(SEARCH("LÁMINA",INVENTARIO!C10)),ISNUMBER(SEARCH("LAMPARAS",INVENTARIO!C10))),"LAM",
IF(ISNUMBER(SEARCH("ESTIRENO",INVENTARIO!C10)),"EST",
IF(ISNUMBER(SEARCH("FOAMBOARD",INVENTARIO!C10)),"FOA",
IF(ISNUMBER(SEARCH("SOLVENTE",INVENTARIO!C10)),"SOL",
IF(ISNUMBER(SEARCH("TINTA",INVENTARIO!C10)),"TIN",
IF(ISNUMBER(SEARCH("ACRILICO",INVENTARIO!C10)),"ACR",
IF(ISNUMBER(SEARCH("MICROLED",INVENTARIO!C10)),"MIC",
IF(ISNUMBER(SEARCH("LED",INVENTARIO!C10)),"LED",
IF(ISNUMBER(SEARCH("FUENTE DE PODER",INVENTARIO!C10)),"FUE-POD",
IF(ISNUMBER(SEARCH("PETG",INVENTARIO!C10)),"PET",
IF(ISNUMBER(SEARCH("ALUMINIO",INVENTARIO!C10)),"ALU",
IF(ISNUMBER(SEARCH("CANAL",INVENTARIO!C10)),"CAN",
IF(ISNUMBER(SEARCH("ESCUADRA",INVENTARIO!C10)),"ESC",
IF(ISNUMBER(SEARCH("SOPORTE",INVENTARIO!C10)),"SOP","OTR")
))))))))))))))))))))))))))))))</f>
        <v>LON</v>
      </c>
      <c r="B10" t="str">
        <f>IF(ISNUMBER(SEARCH("CORTE",INVENTARIO!C10)),"COR",
IF(ISNUMBER(SEARCH("CITYLIGHT",INVENTARIO!C10)),"CIT",
IF(ISNUMBER(SEARCH("LINO",INVENTARIO!C10)),"LIN",
IF(ISNUMBER(SEARCH("FABRIANO",INVENTARIO!C10)),"FAB",
IF(ISNUMBER(SEARCH("SUNDANCE",INVENTARIO!C10)),"SUN",
IF(ISNUMBER(SEARCH("SINTETICA",INVENTARIO!C10)),"SIN",
IF(ISNUMBER(SEARCH("CONTROL",INVENTARIO!C10)),"CON",
IF(ISNUMBER(SEARCH("TERMICO",INVENTARIO!C10)),"TER",
IF(ISNUMBER(SEARCH("C-15",INVENTARIO!C10)),"C15",
IF(ISNUMBER(SEARCH("C-20",INVENTARIO!C10)),"C20",
IF(ISNUMBER(SEARCH("C-30",INVENTARIO!C10)),"C30",
IF(ISNUMBER(SEARCH("C-40",INVENTARIO!C10)),"C40",
IF(ISNUMBER(SEARCH("C-60",INVENTARIO!C10)),"C60",
IF(ISNUMBER(SEARCH("C-80",INVENTARIO!C10)),"C80",
IF(ISNUMBER(SEARCH("EQUIPO",INVENTARIO!C10)),"EQU",
IF(ISNUMBER(SEARCH("FLOOR",INVENTARIO!C10)),"FLO",
IF(ISNUMBER(SEARCH("CRISTAL",INVENTARIO!C10)),"CRI",
IF(ISNUMBER(SEARCH(" SULFATADA",INVENTARIO!C21)),"SUL",
IF(ISNUMBER(SEARCH("OPALINA",INVENTARIO!C10)),"OPA",
IF(ISNUMBER(SEARCH("ADHERIBLE",INVENTARIO!C10)),"ADH",
IF(ISNUMBER(SEARCH("MICRO",INVENTARIO!C10)),"MIC","")))))))))))))))))))))</f>
        <v/>
      </c>
      <c r="C10" t="str">
        <f>IF(ISNUMBER(SEARCH("PARED",INVENTARIO!C10)),"PAR",
IF(ISNUMBER(SEARCH("FRONT",INVENTARIO!C10)),"FRO",
IF(ISNUMBER(SEARCH("ALTA RESISTENCIA",INVENTARIO!C10)),
"ALT-RES",IF(ISNUMBER(SEARCH("BACKLITE",INVENTARIO!C10)),"BAC",
IF(ISNUMBER(SEARCH("MATE",INVENTARIO!C10)),"MAT",
IF(ISNUMBER(SEARCH("MESH",INVENTARIO!C10)),"MES",
IF(ISNUMBER(SEARCH("BRILLANTE",INVENTARIO!C10)),"BRI",
IF(ISNUMBER(SEARCH("DELGADA",INVENTARIO!C10)),"DEL",
IF(ISNUMBER(SEARCH("GRUESA",INVENTARIO!C10)),"GRU",
IF(ISNUMBER(SEARCH("ESTATICO",INVENTARIO!C10)),"EST",
IF(ISNUMBER(SEARCH("REFLECTIVO",INVENTARIO!C10)),"REF",
IF(ISNUMBER(SEARCH("LX700",INVENTARIO!C10)),"LX7",
IF(ISNUMBER(SEARCH("GRANDO",INVENTARIO!C10)),"GRA",
IF(ISNUMBER(SEARCH("FB700",INVENTARIO!C10)),"FB7",
IF(ISNUMBER(SEARCH("LX360",INVENTARIO!C10)),"LX3",
IF(ISNUMBER(SEARCH("XEROX",INVENTARIO!C10)),"XER",
IF(ISNUMBER(SEARCH("CEPILLADO",INVENTARIO!C10)),"CEP",
IF(ISNUMBER(SEARCH("ESPEJO",INVENTARIO!C10)),"ESP",
IF(ISNUMBER(SEARCH("10 PTS",INVENTARIO!C10)),"10PT",
IF(ISNUMBER(SEARCH("12 PTS",INVENTARIO!C10)),"12PT",
IF(ISNUMBER(SEARCH("14 PTS",INVENTARIO!C10)),"14PT",
IF(ISNUMBER(SEARCH("CLASICO",INVENTARIO!C10)),"CLA",
""))))))))))))))))))))))</f>
        <v>FRO</v>
      </c>
      <c r="D10" t="str">
        <f>IF(ISNUMBER(SEARCH("GRAN FORMATO",INVENTARIO!C10)),"GRA-FOR",
IF(ISNUMBER(SEARCH("CAMA PLANA",INVENTARIO!C10)),"CAM-PLA",
IF(ISNUMBER(SEARCH("GRADO INGENIERIA",INVENTARIO!C10)),"GRA-ING",
IF(ISNUMBER(SEARCH("130 GRS",INVENTARIO!C10)),"130GR",
IF(ISNUMBER(SEARCH("150 GRS",INVENTARIO!C10)),"150GR",
IF(ISNUMBER(SEARCH("185 GRS",INVENTARIO!C10)),"185GR",
IF(ISNUMBER(SEARCH("200 GRS",INVENTARIO!C10)),"200GR",
IF(ISNUMBER(SEARCH("250 GRS",INVENTARIO!C10)),"250GR",
IF(ISNUMBER(SEARCH("300 GRS",INVENTARIO!C10)),"300GR",
IF(ISNUMBER(SEARCH("350 GRS",INVENTARIO!C10)),"350GR",
IF(ISNUMBER(SEARCH("18 OZ",INVENTARIO!C10)),"18OZ",
IF(ISNUMBER(SEARCH("15 OZ",INVENTARIO!C10)),"15OZ",
IF(OR(ISNUMBER(SEARCH("13 OZ",INVENTARIO!C10)),ISNUMBER(SEARCH("13 ONZAS",INVENTARIO!C10))),"13OZ",
IF(OR(ISNUMBER(SEARCH("9 OZ",INVENTARIO!C10)),ISNUMBER(SEARCH("9 ONZAS",INVENTARIO!C10))),"09OZ",
IF(ISNUMBER(SEARCH("DOBLE CARA",INVENTARIO!C10)),"DOB-CAR",
"")))))))))))))))</f>
        <v>13OZ</v>
      </c>
      <c r="E10" t="str">
        <f>IF(OR(ISNUMBER(SEARCH("TRANSPARENTE",INVENTARIO!C10)),ISNUMBER(SEARCH("TRANSPARENTES",INVENTARIO!C10))),"TRA",
IF(OR(ISNUMBER(SEARCH("BLANCO",INVENTARIO!C10)),ISNUMBER(SEARCH("BCO",INVENTARIO!C10))),"BLA",
IF(ISNUMBER(SEARCH("FOTOGRAFICO",INVENTARIO!C10)),"FOT",
IF(ISNUMBER(SEARCH("MARFIL",INVENTARIO!C10)),"MAR",
IF(ISNUMBER(SEARCH("VERDE",INVENTARIO!C10)),"VER",
IF(ISNUMBER(SEARCH("MORADO",INVENTARIO!C10)),"MOR",
IF(ISNUMBER(SEARCH("PLATA",INVENTARIO!C10)),"PLA",
IF(ISNUMBER(SEARCH("ORO",INVENTARIO!C10)),"ORO",
IF(ISNUMBER(SEARCH("AMARILLO",INVENTARIO!C10)),"AMA",
IF(ISNUMBER(SEARCH("NARANJA",INVENTARIO!C10)),"NAR",
IF(ISNUMBER(SEARCH("NEGRO",INVENTARIO!C10)),"NEG",
IF(ISNUMBER(SEARCH("ROJO",INVENTARIO!C10)),"ROJ",
IF(ISNUMBER(SEARCH("AZUL",INVENTARIO!C10)),"AZU","")))))))))))))</f>
        <v/>
      </c>
      <c r="F10" t="str">
        <f>IF(ISNUMBER(SEARCH("ARLON",INVENTARIO!C10)),"ARL",
IF(ISNUMBER(SEARCH("SUNTHINKS",INVENTARIO!C10)),"SUN",
IF(ISNUMBER(SEARCH("FRIO",INVENTARIO!C10)),"FRI",
IF(ISNUMBER(SEARCH("CALIDO",INVENTARIO!C10)),"CAL",
IF(ISNUMBER(SEARCH("CEPILLADO",INVENTARIO!C10)),"CEP",
IF(ISNUMBER(SEARCH("ESPEJO",INVENTARIO!C10)),"ESP",
""))))))</f>
        <v/>
      </c>
      <c r="G10" t="str">
        <f>IF(ISNUMBER(SEARCH("LATEX",INVENTARIO!C10)),"LAT",
IF(ISNUMBER(SEARCH("RESP. NEGRO",INVENTARIO!C10)),"RES-NEG",
IF(ISNUMBER(SEARCH("RESPALDO CAFE",INVENTARIO!C10)),"RES-CAF",
IF(ISNUMBER(SEARCH("RESPALDO GRIS",INVENTARIO!C10)),"RES-GRI",
IF(ISNUMBER(SEARCH("OPTICO",INVENTARIO!C10)),"OPT",
IF(ISNUMBER(SEARCH("1,2 MM",INVENTARIO!C10)),"1MM2",
IF(ISNUMBER(SEARCH("2 MM",INVENTARIO!C10)),"2MM",
IF(ISNUMBER(SEARCH("3 MM",INVENTARIO!C10)),"3MM",
IF(ISNUMBER(SEARCH("4 MM",INVENTARIO!C10)),"4MM",
IF(ISNUMBER(SEARCH("5 MM",INVENTARIO!C10)),"5MM",
IF(ISNUMBER(SEARCH("6 MM",INVENTARIO!C10)),"6MM",
IF(ISNUMBER(SEARCH("9 MM",INVENTARIO!C10)),"9MM",
IF(ISNUMBER(SEARCH("10 MM",INVENTARIO!C10)),"10MM","")))))))))))))</f>
        <v/>
      </c>
      <c r="H10" t="str">
        <f>IF(ISNUMBER(SEARCH("GAMA BAJA",INVENTARIO!C10)),"GAM-BAJ",
IF(ISNUMBER(SEARCH("OPTIMIZADOR",INVENTARIO!C10)),"OPT",
IF(ISNUMBER(SEARCH("OVERCOAT",INVENTARIO!C10)),"OVE",
IF(ISNUMBER(SEARCH("WHITE",INVENTARIO!C10)),"WHI",
IF(ISNUMBER(SEARCH("LIGHT CYAN",INVENTARIO!C10)),"LIG-CYA",
IF(ISNUMBER(SEARCH("CYAN",INVENTARIO!C10)),"CYA",
IF(ISNUMBER(SEARCH("LIGHT MAGENTA",INVENTARIO!C10)),"LIG-MAG",
IF(ISNUMBER(SEARCH("MAGENTA",INVENTARIO!C10)),"MAG",
IF(ISNUMBER(SEARCH("BLACK",INVENTARIO!C10)),"BLA",
IF(ISNUMBER(SEARCH("YELLOW",INVENTARIO!C10)),"YEL",
IF(ISNUMBER(SEARCH("2 DIODOS",INVENTARIO!C10)),"2DI",
IF(ISNUMBER(SEARCH("3 DIODOS",INVENTARIO!C10)),"3DI",
IF(OR(ISNUMBER(SEARCH("TRASLUCIDO",INVENTARIO!C10)),ISNUMBER(SEARCH("TRANSLUCIDO",INVENTARIO!C10))),"TRA",
"")))))))))))))</f>
        <v/>
      </c>
      <c r="I1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1" spans="1:9">
      <c r="A11" t="str">
        <f>IF(ISNUMBER(SEARCH("LONA",INVENTARIO!C11)),"LON",
IF(ISNUMBER(SEARCH("VINIL",INVENTARIO!C11)),"VIN",
IF(ISNUMBER(SEARCH("KROMACOTE",INVENTARIO!C11)),"KRO",
IF(ISNUMBER(SEARCH("STARDREAM",INVENTARIO!C11)),"STA",
IF(ISNUMBER(SEARCH("DISPLAY",INVENTARIO!C11)),"DIS",
IF(ISNUMBER(SEARCH("ROLL UP",INVENTARIO!C11)),"ROL-UP",
IF(ISNUMBER(SEARCH("TRANSFER DE PAPEL",INVENTARIO!C11)),"TRA-PAP",
IF(ISNUMBER(SEARCH("TRANSFER",INVENTARIO!C11)),"TRA",IF(ISNUMBER(SEARCH("KOLA LOKA",INVENTARIO!C11)),"KOL-LOK",
IF(ISNUMBER(SEARCH("PETG",INVENTARIO!C11)),"PET",
IF(ISNUMBER(SEARCH("OJILLO",INVENTARIO!C11)),"OJI",
IF(ISNUMBER(SEARCH("COUCHE",INVENTARIO!C11)),"COU",
IF(ISNUMBER(SEARCH("PANEL DE ALUMINIO",INVENTARIO!C11)),"PAN-ALU",
IF(ISNUMBER(SEARCH("PVC",INVENTARIO!C11)),"PVC",
IF(ISNUMBER(SEARCH("PAPEL",INVENTARIO!C11)),"PAP",
IF(ISNUMBER(SEARCH("TELA",INVENTARIO!C11)),"TEL",
IF(ISNUMBER(SEARCH("CARTULINA",INVENTARIO!C11)),"CAR",
IF(OR(ISNUMBER(SEARCH("LAMINA",INVENTARIO!C11)),ISNUMBER(SEARCH("LÁMINA",INVENTARIO!C11)),ISNUMBER(SEARCH("LAMPARAS",INVENTARIO!C11))),"LAM",
IF(ISNUMBER(SEARCH("ESTIRENO",INVENTARIO!C11)),"EST",
IF(ISNUMBER(SEARCH("FOAMBOARD",INVENTARIO!C11)),"FOA",
IF(ISNUMBER(SEARCH("SOLVENTE",INVENTARIO!C11)),"SOL",
IF(ISNUMBER(SEARCH("TINTA",INVENTARIO!C11)),"TIN",
IF(ISNUMBER(SEARCH("ACRILICO",INVENTARIO!C11)),"ACR",
IF(ISNUMBER(SEARCH("MICROLED",INVENTARIO!C11)),"MIC",
IF(ISNUMBER(SEARCH("LED",INVENTARIO!C11)),"LED",
IF(ISNUMBER(SEARCH("FUENTE DE PODER",INVENTARIO!C11)),"FUE-POD",
IF(ISNUMBER(SEARCH("PETG",INVENTARIO!C11)),"PET",
IF(ISNUMBER(SEARCH("ALUMINIO",INVENTARIO!C11)),"ALU",
IF(ISNUMBER(SEARCH("CANAL",INVENTARIO!C11)),"CAN",
IF(ISNUMBER(SEARCH("ESCUADRA",INVENTARIO!C11)),"ESC",
IF(ISNUMBER(SEARCH("SOPORTE",INVENTARIO!C11)),"SOP","OTR")
))))))))))))))))))))))))))))))</f>
        <v>LON</v>
      </c>
      <c r="B11" t="str">
        <f>IF(ISNUMBER(SEARCH("CORTE",INVENTARIO!C11)),"COR",
IF(ISNUMBER(SEARCH("CITYLIGHT",INVENTARIO!C11)),"CIT",
IF(ISNUMBER(SEARCH("LINO",INVENTARIO!C11)),"LIN",
IF(ISNUMBER(SEARCH("FABRIANO",INVENTARIO!C11)),"FAB",
IF(ISNUMBER(SEARCH("SUNDANCE",INVENTARIO!C11)),"SUN",
IF(ISNUMBER(SEARCH("SINTETICA",INVENTARIO!C11)),"SIN",
IF(ISNUMBER(SEARCH("CONTROL",INVENTARIO!C11)),"CON",
IF(ISNUMBER(SEARCH("TERMICO",INVENTARIO!C11)),"TER",
IF(ISNUMBER(SEARCH("C-15",INVENTARIO!C11)),"C15",
IF(ISNUMBER(SEARCH("C-20",INVENTARIO!C11)),"C20",
IF(ISNUMBER(SEARCH("C-30",INVENTARIO!C11)),"C30",
IF(ISNUMBER(SEARCH("C-40",INVENTARIO!C11)),"C40",
IF(ISNUMBER(SEARCH("C-60",INVENTARIO!C11)),"C60",
IF(ISNUMBER(SEARCH("C-80",INVENTARIO!C11)),"C80",
IF(ISNUMBER(SEARCH("EQUIPO",INVENTARIO!C11)),"EQU",
IF(ISNUMBER(SEARCH("FLOOR",INVENTARIO!C11)),"FLO",
IF(ISNUMBER(SEARCH("CRISTAL",INVENTARIO!C11)),"CRI",
IF(ISNUMBER(SEARCH(" SULFATADA",INVENTARIO!C22)),"SUL",
IF(ISNUMBER(SEARCH("OPALINA",INVENTARIO!C11)),"OPA",
IF(ISNUMBER(SEARCH("ADHERIBLE",INVENTARIO!C11)),"ADH",
IF(ISNUMBER(SEARCH("MICRO",INVENTARIO!C11)),"MIC","")))))))))))))))))))))</f>
        <v/>
      </c>
      <c r="C11" t="str">
        <f>IF(ISNUMBER(SEARCH("PARED",INVENTARIO!C11)),"PAR",
IF(ISNUMBER(SEARCH("FRONT",INVENTARIO!C11)),"FRO",
IF(ISNUMBER(SEARCH("ALTA RESISTENCIA",INVENTARIO!C11)),
"ALT-RES",IF(ISNUMBER(SEARCH("BACKLITE",INVENTARIO!C11)),"BAC",
IF(ISNUMBER(SEARCH("MATE",INVENTARIO!C11)),"MAT",
IF(ISNUMBER(SEARCH("MESH",INVENTARIO!C11)),"MES",
IF(ISNUMBER(SEARCH("BRILLANTE",INVENTARIO!C11)),"BRI",
IF(ISNUMBER(SEARCH("DELGADA",INVENTARIO!C11)),"DEL",
IF(ISNUMBER(SEARCH("GRUESA",INVENTARIO!C11)),"GRU",
IF(ISNUMBER(SEARCH("ESTATICO",INVENTARIO!C11)),"EST",
IF(ISNUMBER(SEARCH("REFLECTIVO",INVENTARIO!C11)),"REF",
IF(ISNUMBER(SEARCH("LX700",INVENTARIO!C11)),"LX7",
IF(ISNUMBER(SEARCH("GRANDO",INVENTARIO!C11)),"GRA",
IF(ISNUMBER(SEARCH("FB700",INVENTARIO!C11)),"FB7",
IF(ISNUMBER(SEARCH("LX360",INVENTARIO!C11)),"LX3",
IF(ISNUMBER(SEARCH("XEROX",INVENTARIO!C11)),"XER",
IF(ISNUMBER(SEARCH("CEPILLADO",INVENTARIO!C11)),"CEP",
IF(ISNUMBER(SEARCH("ESPEJO",INVENTARIO!C11)),"ESP",
IF(ISNUMBER(SEARCH("10 PTS",INVENTARIO!C11)),"10PT",
IF(ISNUMBER(SEARCH("12 PTS",INVENTARIO!C11)),"12PT",
IF(ISNUMBER(SEARCH("14 PTS",INVENTARIO!C11)),"14PT",
IF(ISNUMBER(SEARCH("CLASICO",INVENTARIO!C11)),"CLA",
""))))))))))))))))))))))</f>
        <v>FRO</v>
      </c>
      <c r="D11" t="str">
        <f>IF(ISNUMBER(SEARCH("GRAN FORMATO",INVENTARIO!C11)),"GRA-FOR",
IF(ISNUMBER(SEARCH("CAMA PLANA",INVENTARIO!C11)),"CAM-PLA",
IF(ISNUMBER(SEARCH("GRADO INGENIERIA",INVENTARIO!C11)),"GRA-ING",
IF(ISNUMBER(SEARCH("130 GRS",INVENTARIO!C11)),"130GR",
IF(ISNUMBER(SEARCH("150 GRS",INVENTARIO!C11)),"150GR",
IF(ISNUMBER(SEARCH("185 GRS",INVENTARIO!C11)),"185GR",
IF(ISNUMBER(SEARCH("200 GRS",INVENTARIO!C11)),"200GR",
IF(ISNUMBER(SEARCH("250 GRS",INVENTARIO!C11)),"250GR",
IF(ISNUMBER(SEARCH("300 GRS",INVENTARIO!C11)),"300GR",
IF(ISNUMBER(SEARCH("350 GRS",INVENTARIO!C11)),"350GR",
IF(ISNUMBER(SEARCH("18 OZ",INVENTARIO!C11)),"18OZ",
IF(ISNUMBER(SEARCH("15 OZ",INVENTARIO!C11)),"15OZ",
IF(OR(ISNUMBER(SEARCH("13 OZ",INVENTARIO!C11)),ISNUMBER(SEARCH("13 ONZAS",INVENTARIO!C11))),"13OZ",
IF(OR(ISNUMBER(SEARCH("9 OZ",INVENTARIO!C11)),ISNUMBER(SEARCH("9 ONZAS",INVENTARIO!C11))),"09OZ",
IF(ISNUMBER(SEARCH("DOBLE CARA",INVENTARIO!C11)),"DOB-CAR",
"")))))))))))))))</f>
        <v>13OZ</v>
      </c>
      <c r="E11" t="str">
        <f>IF(OR(ISNUMBER(SEARCH("TRANSPARENTE",INVENTARIO!C11)),ISNUMBER(SEARCH("TRANSPARENTES",INVENTARIO!C11))),"TRA",
IF(OR(ISNUMBER(SEARCH("BLANCO",INVENTARIO!C11)),ISNUMBER(SEARCH("BCO",INVENTARIO!C11))),"BLA",
IF(ISNUMBER(SEARCH("FOTOGRAFICO",INVENTARIO!C11)),"FOT",
IF(ISNUMBER(SEARCH("MARFIL",INVENTARIO!C11)),"MAR",
IF(ISNUMBER(SEARCH("VERDE",INVENTARIO!C11)),"VER",
IF(ISNUMBER(SEARCH("MORADO",INVENTARIO!C11)),"MOR",
IF(ISNUMBER(SEARCH("PLATA",INVENTARIO!C11)),"PLA",
IF(ISNUMBER(SEARCH("ORO",INVENTARIO!C11)),"ORO",
IF(ISNUMBER(SEARCH("AMARILLO",INVENTARIO!C11)),"AMA",
IF(ISNUMBER(SEARCH("NARANJA",INVENTARIO!C11)),"NAR",
IF(ISNUMBER(SEARCH("NEGRO",INVENTARIO!C11)),"NEG",
IF(ISNUMBER(SEARCH("ROJO",INVENTARIO!C11)),"ROJ",
IF(ISNUMBER(SEARCH("AZUL",INVENTARIO!C11)),"AZU","")))))))))))))</f>
        <v/>
      </c>
      <c r="F11" t="str">
        <f>IF(ISNUMBER(SEARCH("ARLON",INVENTARIO!C11)),"ARL",
IF(ISNUMBER(SEARCH("SUNTHINKS",INVENTARIO!C11)),"SUN",
IF(ISNUMBER(SEARCH("FRIO",INVENTARIO!C11)),"FRI",
IF(ISNUMBER(SEARCH("CALIDO",INVENTARIO!C11)),"CAL",
IF(ISNUMBER(SEARCH("CEPILLADO",INVENTARIO!C11)),"CEP",
IF(ISNUMBER(SEARCH("ESPEJO",INVENTARIO!C11)),"ESP",
""))))))</f>
        <v/>
      </c>
      <c r="G11" t="str">
        <f>IF(ISNUMBER(SEARCH("LATEX",INVENTARIO!C11)),"LAT",
IF(ISNUMBER(SEARCH("RESP. NEGRO",INVENTARIO!C11)),"RES-NEG",
IF(ISNUMBER(SEARCH("RESPALDO CAFE",INVENTARIO!C11)),"RES-CAF",
IF(ISNUMBER(SEARCH("RESPALDO GRIS",INVENTARIO!C11)),"RES-GRI",
IF(ISNUMBER(SEARCH("OPTICO",INVENTARIO!C11)),"OPT",
IF(ISNUMBER(SEARCH("1,2 MM",INVENTARIO!C11)),"1MM2",
IF(ISNUMBER(SEARCH("2 MM",INVENTARIO!C11)),"2MM",
IF(ISNUMBER(SEARCH("3 MM",INVENTARIO!C11)),"3MM",
IF(ISNUMBER(SEARCH("4 MM",INVENTARIO!C11)),"4MM",
IF(ISNUMBER(SEARCH("5 MM",INVENTARIO!C11)),"5MM",
IF(ISNUMBER(SEARCH("6 MM",INVENTARIO!C11)),"6MM",
IF(ISNUMBER(SEARCH("9 MM",INVENTARIO!C11)),"9MM",
IF(ISNUMBER(SEARCH("10 MM",INVENTARIO!C11)),"10MM","")))))))))))))</f>
        <v/>
      </c>
      <c r="H11" t="str">
        <f>IF(ISNUMBER(SEARCH("GAMA BAJA",INVENTARIO!C11)),"GAM-BAJ",
IF(ISNUMBER(SEARCH("OPTIMIZADOR",INVENTARIO!C11)),"OPT",
IF(ISNUMBER(SEARCH("OVERCOAT",INVENTARIO!C11)),"OVE",
IF(ISNUMBER(SEARCH("WHITE",INVENTARIO!C11)),"WHI",
IF(ISNUMBER(SEARCH("LIGHT CYAN",INVENTARIO!C11)),"LIG-CYA",
IF(ISNUMBER(SEARCH("CYAN",INVENTARIO!C11)),"CYA",
IF(ISNUMBER(SEARCH("LIGHT MAGENTA",INVENTARIO!C11)),"LIG-MAG",
IF(ISNUMBER(SEARCH("MAGENTA",INVENTARIO!C11)),"MAG",
IF(ISNUMBER(SEARCH("BLACK",INVENTARIO!C11)),"BLA",
IF(ISNUMBER(SEARCH("YELLOW",INVENTARIO!C11)),"YEL",
IF(ISNUMBER(SEARCH("2 DIODOS",INVENTARIO!C11)),"2DI",
IF(ISNUMBER(SEARCH("3 DIODOS",INVENTARIO!C11)),"3DI",
IF(OR(ISNUMBER(SEARCH("TRASLUCIDO",INVENTARIO!C11)),ISNUMBER(SEARCH("TRANSLUCIDO",INVENTARIO!C11))),"TRA",
"")))))))))))))</f>
        <v/>
      </c>
      <c r="I11" t="str">
        <f>IF(ISNUMBER(SEARCH("SILED",INVENTARIO!C8)),"SI",
IF(ISNUMBER(SEARCH("SYDEMEX",INVENTARIO!C8)),"SY",
IF(ISNUMBER(SEARCH("ROHS",INVENTARIO!C8)),"RO",
IF(ISNUMBER(SEARCH("RISHANG",INVENTARIO!C8)),"RS",
IF(ISNUMBER(SEARCH("VYG",INVENTARIO!C8)),"VYG",
IF(ISNUMBER(SEARCH("COLED",INVENTARIO!C8)),"CO",""))))))</f>
        <v/>
      </c>
    </row>
    <row r="12" spans="1:9">
      <c r="A12" t="str">
        <f>IF(ISNUMBER(SEARCH("LONA",INVENTARIO!C12)),"LON",
IF(ISNUMBER(SEARCH("VINIL",INVENTARIO!C12)),"VIN",
IF(ISNUMBER(SEARCH("KROMACOTE",INVENTARIO!C12)),"KRO",
IF(ISNUMBER(SEARCH("STARDREAM",INVENTARIO!C12)),"STA",
IF(ISNUMBER(SEARCH("DISPLAY",INVENTARIO!C12)),"DIS",
IF(ISNUMBER(SEARCH("ROLL UP",INVENTARIO!C12)),"ROL-UP",
IF(ISNUMBER(SEARCH("TRANSFER DE PAPEL",INVENTARIO!C12)),"TRA-PAP",
IF(ISNUMBER(SEARCH("TRANSFER",INVENTARIO!C12)),"TRA",IF(ISNUMBER(SEARCH("KOLA LOKA",INVENTARIO!C12)),"KOL-LOK",
IF(ISNUMBER(SEARCH("PETG",INVENTARIO!C12)),"PET",
IF(ISNUMBER(SEARCH("OJILLO",INVENTARIO!C12)),"OJI",
IF(ISNUMBER(SEARCH("COUCHE",INVENTARIO!C12)),"COU",
IF(ISNUMBER(SEARCH("PANEL DE ALUMINIO",INVENTARIO!C12)),"PAN-ALU",
IF(ISNUMBER(SEARCH("PVC",INVENTARIO!C12)),"PVC",
IF(ISNUMBER(SEARCH("PAPEL",INVENTARIO!C12)),"PAP",
IF(ISNUMBER(SEARCH("TELA",INVENTARIO!C12)),"TEL",
IF(ISNUMBER(SEARCH("CARTULINA",INVENTARIO!C12)),"CAR",
IF(OR(ISNUMBER(SEARCH("LAMINA",INVENTARIO!C12)),ISNUMBER(SEARCH("LÁMINA",INVENTARIO!C12)),ISNUMBER(SEARCH("LAMPARAS",INVENTARIO!C12))),"LAM",
IF(ISNUMBER(SEARCH("ESTIRENO",INVENTARIO!C12)),"EST",
IF(ISNUMBER(SEARCH("FOAMBOARD",INVENTARIO!C12)),"FOA",
IF(ISNUMBER(SEARCH("SOLVENTE",INVENTARIO!C12)),"SOL",
IF(ISNUMBER(SEARCH("TINTA",INVENTARIO!C12)),"TIN",
IF(ISNUMBER(SEARCH("ACRILICO",INVENTARIO!C12)),"ACR",
IF(ISNUMBER(SEARCH("MICROLED",INVENTARIO!C12)),"MIC",
IF(ISNUMBER(SEARCH("LED",INVENTARIO!C12)),"LED",
IF(ISNUMBER(SEARCH("FUENTE DE PODER",INVENTARIO!C12)),"FUE-POD",
IF(ISNUMBER(SEARCH("PETG",INVENTARIO!C12)),"PET",
IF(ISNUMBER(SEARCH("ALUMINIO",INVENTARIO!C12)),"ALU",
IF(ISNUMBER(SEARCH("CANAL",INVENTARIO!C12)),"CAN",
IF(ISNUMBER(SEARCH("ESCUADRA",INVENTARIO!C12)),"ESC",
IF(ISNUMBER(SEARCH("SOPORTE",INVENTARIO!C12)),"SOP","OTR")
))))))))))))))))))))))))))))))</f>
        <v>LON</v>
      </c>
      <c r="B12" t="str">
        <f>IF(ISNUMBER(SEARCH("CORTE",INVENTARIO!C12)),"COR",
IF(ISNUMBER(SEARCH("CITYLIGHT",INVENTARIO!C12)),"CIT",
IF(ISNUMBER(SEARCH("LINO",INVENTARIO!C12)),"LIN",
IF(ISNUMBER(SEARCH("FABRIANO",INVENTARIO!C12)),"FAB",
IF(ISNUMBER(SEARCH("SUNDANCE",INVENTARIO!C12)),"SUN",
IF(ISNUMBER(SEARCH("SINTETICA",INVENTARIO!C12)),"SIN",
IF(ISNUMBER(SEARCH("CONTROL",INVENTARIO!C12)),"CON",
IF(ISNUMBER(SEARCH("TERMICO",INVENTARIO!C12)),"TER",
IF(ISNUMBER(SEARCH("C-15",INVENTARIO!C12)),"C15",
IF(ISNUMBER(SEARCH("C-20",INVENTARIO!C12)),"C20",
IF(ISNUMBER(SEARCH("C-30",INVENTARIO!C12)),"C30",
IF(ISNUMBER(SEARCH("C-40",INVENTARIO!C12)),"C40",
IF(ISNUMBER(SEARCH("C-60",INVENTARIO!C12)),"C60",
IF(ISNUMBER(SEARCH("C-80",INVENTARIO!C12)),"C80",
IF(ISNUMBER(SEARCH("EQUIPO",INVENTARIO!C12)),"EQU",
IF(ISNUMBER(SEARCH("FLOOR",INVENTARIO!C12)),"FLO",
IF(ISNUMBER(SEARCH("CRISTAL",INVENTARIO!C12)),"CRI",
IF(ISNUMBER(SEARCH(" SULFATADA",INVENTARIO!C23)),"SUL",
IF(ISNUMBER(SEARCH("OPALINA",INVENTARIO!C12)),"OPA",
IF(ISNUMBER(SEARCH("ADHERIBLE",INVENTARIO!C12)),"ADH",
IF(ISNUMBER(SEARCH("MICRO",INVENTARIO!C12)),"MIC","")))))))))))))))))))))</f>
        <v/>
      </c>
      <c r="C12" t="str">
        <f>IF(ISNUMBER(SEARCH("PARED",INVENTARIO!C12)),"PAR",
IF(ISNUMBER(SEARCH("FRONT",INVENTARIO!C12)),"FRO",
IF(ISNUMBER(SEARCH("ALTA RESISTENCIA",INVENTARIO!C12)),
"ALT-RES",IF(ISNUMBER(SEARCH("BACKLITE",INVENTARIO!C12)),"BAC",
IF(ISNUMBER(SEARCH("MATE",INVENTARIO!C12)),"MAT",
IF(ISNUMBER(SEARCH("MESH",INVENTARIO!C12)),"MES",
IF(ISNUMBER(SEARCH("BRILLANTE",INVENTARIO!C12)),"BRI",
IF(ISNUMBER(SEARCH("DELGADA",INVENTARIO!C12)),"DEL",
IF(ISNUMBER(SEARCH("GRUESA",INVENTARIO!C12)),"GRU",
IF(ISNUMBER(SEARCH("ESTATICO",INVENTARIO!C12)),"EST",
IF(ISNUMBER(SEARCH("REFLECTIVO",INVENTARIO!C12)),"REF",
IF(ISNUMBER(SEARCH("LX700",INVENTARIO!C12)),"LX7",
IF(ISNUMBER(SEARCH("GRANDO",INVENTARIO!C12)),"GRA",
IF(ISNUMBER(SEARCH("FB700",INVENTARIO!C12)),"FB7",
IF(ISNUMBER(SEARCH("LX360",INVENTARIO!C12)),"LX3",
IF(ISNUMBER(SEARCH("XEROX",INVENTARIO!C12)),"XER",
IF(ISNUMBER(SEARCH("CEPILLADO",INVENTARIO!C12)),"CEP",
IF(ISNUMBER(SEARCH("ESPEJO",INVENTARIO!C12)),"ESP",
IF(ISNUMBER(SEARCH("10 PTS",INVENTARIO!C12)),"10PT",
IF(ISNUMBER(SEARCH("12 PTS",INVENTARIO!C12)),"12PT",
IF(ISNUMBER(SEARCH("14 PTS",INVENTARIO!C12)),"14PT",
IF(ISNUMBER(SEARCH("CLASICO",INVENTARIO!C12)),"CLA",
""))))))))))))))))))))))</f>
        <v>FRO</v>
      </c>
      <c r="D12" t="str">
        <f>IF(ISNUMBER(SEARCH("GRAN FORMATO",INVENTARIO!C12)),"GRA-FOR",
IF(ISNUMBER(SEARCH("CAMA PLANA",INVENTARIO!C12)),"CAM-PLA",
IF(ISNUMBER(SEARCH("GRADO INGENIERIA",INVENTARIO!C12)),"GRA-ING",
IF(ISNUMBER(SEARCH("130 GRS",INVENTARIO!C12)),"130GR",
IF(ISNUMBER(SEARCH("150 GRS",INVENTARIO!C12)),"150GR",
IF(ISNUMBER(SEARCH("185 GRS",INVENTARIO!C12)),"185GR",
IF(ISNUMBER(SEARCH("200 GRS",INVENTARIO!C12)),"200GR",
IF(ISNUMBER(SEARCH("250 GRS",INVENTARIO!C12)),"250GR",
IF(ISNUMBER(SEARCH("300 GRS",INVENTARIO!C12)),"300GR",
IF(ISNUMBER(SEARCH("350 GRS",INVENTARIO!C12)),"350GR",
IF(ISNUMBER(SEARCH("18 OZ",INVENTARIO!C12)),"18OZ",
IF(ISNUMBER(SEARCH("15 OZ",INVENTARIO!C12)),"15OZ",
IF(OR(ISNUMBER(SEARCH("13 OZ",INVENTARIO!C12)),ISNUMBER(SEARCH("13 ONZAS",INVENTARIO!C12))),"13OZ",
IF(OR(ISNUMBER(SEARCH("9 OZ",INVENTARIO!C12)),ISNUMBER(SEARCH("9 ONZAS",INVENTARIO!C12))),"09OZ",
IF(ISNUMBER(SEARCH("DOBLE CARA",INVENTARIO!C12)),"DOB-CAR",
"")))))))))))))))</f>
        <v>13OZ</v>
      </c>
      <c r="E12" t="str">
        <f>IF(OR(ISNUMBER(SEARCH("TRANSPARENTE",INVENTARIO!C12)),ISNUMBER(SEARCH("TRANSPARENTES",INVENTARIO!C12))),"TRA",
IF(OR(ISNUMBER(SEARCH("BLANCO",INVENTARIO!C12)),ISNUMBER(SEARCH("BCO",INVENTARIO!C12))),"BLA",
IF(ISNUMBER(SEARCH("FOTOGRAFICO",INVENTARIO!C12)),"FOT",
IF(ISNUMBER(SEARCH("MARFIL",INVENTARIO!C12)),"MAR",
IF(ISNUMBER(SEARCH("VERDE",INVENTARIO!C12)),"VER",
IF(ISNUMBER(SEARCH("MORADO",INVENTARIO!C12)),"MOR",
IF(ISNUMBER(SEARCH("PLATA",INVENTARIO!C12)),"PLA",
IF(ISNUMBER(SEARCH("ORO",INVENTARIO!C12)),"ORO",
IF(ISNUMBER(SEARCH("AMARILLO",INVENTARIO!C12)),"AMA",
IF(ISNUMBER(SEARCH("NARANJA",INVENTARIO!C12)),"NAR",
IF(ISNUMBER(SEARCH("NEGRO",INVENTARIO!C12)),"NEG",
IF(ISNUMBER(SEARCH("ROJO",INVENTARIO!C12)),"ROJ",
IF(ISNUMBER(SEARCH("AZUL",INVENTARIO!C12)),"AZU","")))))))))))))</f>
        <v/>
      </c>
      <c r="F12" t="str">
        <f>IF(ISNUMBER(SEARCH("ARLON",INVENTARIO!C12)),"ARL",
IF(ISNUMBER(SEARCH("SUNTHINKS",INVENTARIO!C12)),"SUN",
IF(ISNUMBER(SEARCH("FRIO",INVENTARIO!C12)),"FRI",
IF(ISNUMBER(SEARCH("CALIDO",INVENTARIO!C12)),"CAL",
IF(ISNUMBER(SEARCH("CEPILLADO",INVENTARIO!C12)),"CEP",
IF(ISNUMBER(SEARCH("ESPEJO",INVENTARIO!C12)),"ESP",
""))))))</f>
        <v/>
      </c>
      <c r="G12" t="str">
        <f>IF(ISNUMBER(SEARCH("LATEX",INVENTARIO!C12)),"LAT",
IF(ISNUMBER(SEARCH("RESP. NEGRO",INVENTARIO!C12)),"RES-NEG",
IF(ISNUMBER(SEARCH("RESPALDO CAFE",INVENTARIO!C12)),"RES-CAF",
IF(ISNUMBER(SEARCH("RESPALDO GRIS",INVENTARIO!C12)),"RES-GRI",
IF(ISNUMBER(SEARCH("OPTICO",INVENTARIO!C12)),"OPT",
IF(ISNUMBER(SEARCH("1,2 MM",INVENTARIO!C12)),"1MM2",
IF(ISNUMBER(SEARCH("2 MM",INVENTARIO!C12)),"2MM",
IF(ISNUMBER(SEARCH("3 MM",INVENTARIO!C12)),"3MM",
IF(ISNUMBER(SEARCH("4 MM",INVENTARIO!C12)),"4MM",
IF(ISNUMBER(SEARCH("5 MM",INVENTARIO!C12)),"5MM",
IF(ISNUMBER(SEARCH("6 MM",INVENTARIO!C12)),"6MM",
IF(ISNUMBER(SEARCH("9 MM",INVENTARIO!C12)),"9MM",
IF(ISNUMBER(SEARCH("10 MM",INVENTARIO!C12)),"10MM","")))))))))))))</f>
        <v/>
      </c>
      <c r="H12" t="str">
        <f>IF(ISNUMBER(SEARCH("GAMA BAJA",INVENTARIO!C12)),"GAM-BAJ",
IF(ISNUMBER(SEARCH("OPTIMIZADOR",INVENTARIO!C12)),"OPT",
IF(ISNUMBER(SEARCH("OVERCOAT",INVENTARIO!C12)),"OVE",
IF(ISNUMBER(SEARCH("WHITE",INVENTARIO!C12)),"WHI",
IF(ISNUMBER(SEARCH("LIGHT CYAN",INVENTARIO!C12)),"LIG-CYA",
IF(ISNUMBER(SEARCH("CYAN",INVENTARIO!C12)),"CYA",
IF(ISNUMBER(SEARCH("LIGHT MAGENTA",INVENTARIO!C12)),"LIG-MAG",
IF(ISNUMBER(SEARCH("MAGENTA",INVENTARIO!C12)),"MAG",
IF(ISNUMBER(SEARCH("BLACK",INVENTARIO!C12)),"BLA",
IF(ISNUMBER(SEARCH("YELLOW",INVENTARIO!C12)),"YEL",
IF(ISNUMBER(SEARCH("2 DIODOS",INVENTARIO!C12)),"2DI",
IF(ISNUMBER(SEARCH("3 DIODOS",INVENTARIO!C12)),"3DI",
IF(OR(ISNUMBER(SEARCH("TRASLUCIDO",INVENTARIO!C12)),ISNUMBER(SEARCH("TRANSLUCIDO",INVENTARIO!C12))),"TRA",
"")))))))))))))</f>
        <v/>
      </c>
      <c r="I1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3" spans="1:9">
      <c r="A13" t="str">
        <f>IF(ISNUMBER(SEARCH("LONA",INVENTARIO!C13)),"LON",
IF(ISNUMBER(SEARCH("VINIL",INVENTARIO!C13)),"VIN",
IF(ISNUMBER(SEARCH("KROMACOTE",INVENTARIO!C13)),"KRO",
IF(ISNUMBER(SEARCH("STARDREAM",INVENTARIO!C13)),"STA",
IF(ISNUMBER(SEARCH("DISPLAY",INVENTARIO!C13)),"DIS",
IF(ISNUMBER(SEARCH("ROLL UP",INVENTARIO!C13)),"ROL-UP",
IF(ISNUMBER(SEARCH("TRANSFER DE PAPEL",INVENTARIO!C13)),"TRA-PAP",
IF(ISNUMBER(SEARCH("TRANSFER",INVENTARIO!C13)),"TRA",IF(ISNUMBER(SEARCH("KOLA LOKA",INVENTARIO!C13)),"KOL-LOK",
IF(ISNUMBER(SEARCH("PETG",INVENTARIO!C13)),"PET",
IF(ISNUMBER(SEARCH("OJILLO",INVENTARIO!C13)),"OJI",
IF(ISNUMBER(SEARCH("COUCHE",INVENTARIO!C13)),"COU",
IF(ISNUMBER(SEARCH("PANEL DE ALUMINIO",INVENTARIO!C13)),"PAN-ALU",
IF(ISNUMBER(SEARCH("PVC",INVENTARIO!C13)),"PVC",
IF(ISNUMBER(SEARCH("PAPEL",INVENTARIO!C13)),"PAP",
IF(ISNUMBER(SEARCH("TELA",INVENTARIO!C13)),"TEL",
IF(ISNUMBER(SEARCH("CARTULINA",INVENTARIO!C13)),"CAR",
IF(OR(ISNUMBER(SEARCH("LAMINA",INVENTARIO!C13)),ISNUMBER(SEARCH("LÁMINA",INVENTARIO!C13)),ISNUMBER(SEARCH("LAMPARAS",INVENTARIO!C13))),"LAM",
IF(ISNUMBER(SEARCH("ESTIRENO",INVENTARIO!C13)),"EST",
IF(ISNUMBER(SEARCH("FOAMBOARD",INVENTARIO!C13)),"FOA",
IF(ISNUMBER(SEARCH("SOLVENTE",INVENTARIO!C13)),"SOL",
IF(ISNUMBER(SEARCH("TINTA",INVENTARIO!C13)),"TIN",
IF(ISNUMBER(SEARCH("ACRILICO",INVENTARIO!C13)),"ACR",
IF(ISNUMBER(SEARCH("MICROLED",INVENTARIO!C13)),"MIC",
IF(ISNUMBER(SEARCH("LED",INVENTARIO!C13)),"LED",
IF(ISNUMBER(SEARCH("FUENTE DE PODER",INVENTARIO!C13)),"FUE-POD",
IF(ISNUMBER(SEARCH("PETG",INVENTARIO!C13)),"PET",
IF(ISNUMBER(SEARCH("ALUMINIO",INVENTARIO!C13)),"ALU",
IF(ISNUMBER(SEARCH("CANAL",INVENTARIO!C13)),"CAN",
IF(ISNUMBER(SEARCH("ESCUADRA",INVENTARIO!C13)),"ESC",
IF(ISNUMBER(SEARCH("SOPORTE",INVENTARIO!C13)),"SOP","OTR")
))))))))))))))))))))))))))))))</f>
        <v>LON</v>
      </c>
      <c r="B13" t="str">
        <f>IF(ISNUMBER(SEARCH("CORTE",INVENTARIO!C13)),"COR",
IF(ISNUMBER(SEARCH("CITYLIGHT",INVENTARIO!C13)),"CIT",
IF(ISNUMBER(SEARCH("LINO",INVENTARIO!C13)),"LIN",
IF(ISNUMBER(SEARCH("FABRIANO",INVENTARIO!C13)),"FAB",
IF(ISNUMBER(SEARCH("SUNDANCE",INVENTARIO!C13)),"SUN",
IF(ISNUMBER(SEARCH("SINTETICA",INVENTARIO!C13)),"SIN",
IF(ISNUMBER(SEARCH("CONTROL",INVENTARIO!C13)),"CON",
IF(ISNUMBER(SEARCH("TERMICO",INVENTARIO!C13)),"TER",
IF(ISNUMBER(SEARCH("C-15",INVENTARIO!C13)),"C15",
IF(ISNUMBER(SEARCH("C-20",INVENTARIO!C13)),"C20",
IF(ISNUMBER(SEARCH("C-30",INVENTARIO!C13)),"C30",
IF(ISNUMBER(SEARCH("C-40",INVENTARIO!C13)),"C40",
IF(ISNUMBER(SEARCH("C-60",INVENTARIO!C13)),"C60",
IF(ISNUMBER(SEARCH("C-80",INVENTARIO!C13)),"C80",
IF(ISNUMBER(SEARCH("EQUIPO",INVENTARIO!C13)),"EQU",
IF(ISNUMBER(SEARCH("FLOOR",INVENTARIO!C13)),"FLO",
IF(ISNUMBER(SEARCH("CRISTAL",INVENTARIO!C13)),"CRI",
IF(ISNUMBER(SEARCH(" SULFATADA",INVENTARIO!C24)),"SUL",
IF(ISNUMBER(SEARCH("OPALINA",INVENTARIO!C13)),"OPA",
IF(ISNUMBER(SEARCH("ADHERIBLE",INVENTARIO!C13)),"ADH",
IF(ISNUMBER(SEARCH("MICRO",INVENTARIO!C13)),"MIC","")))))))))))))))))))))</f>
        <v/>
      </c>
      <c r="C13" t="str">
        <f>IF(ISNUMBER(SEARCH("PARED",INVENTARIO!C13)),"PAR",
IF(ISNUMBER(SEARCH("FRONT",INVENTARIO!C13)),"FRO",
IF(ISNUMBER(SEARCH("ALTA RESISTENCIA",INVENTARIO!C13)),
"ALT-RES",IF(ISNUMBER(SEARCH("BACKLITE",INVENTARIO!C13)),"BAC",
IF(ISNUMBER(SEARCH("MATE",INVENTARIO!C13)),"MAT",
IF(ISNUMBER(SEARCH("MESH",INVENTARIO!C13)),"MES",
IF(ISNUMBER(SEARCH("BRILLANTE",INVENTARIO!C13)),"BRI",
IF(ISNUMBER(SEARCH("DELGADA",INVENTARIO!C13)),"DEL",
IF(ISNUMBER(SEARCH("GRUESA",INVENTARIO!C13)),"GRU",
IF(ISNUMBER(SEARCH("ESTATICO",INVENTARIO!C13)),"EST",
IF(ISNUMBER(SEARCH("REFLECTIVO",INVENTARIO!C13)),"REF",
IF(ISNUMBER(SEARCH("LX700",INVENTARIO!C13)),"LX7",
IF(ISNUMBER(SEARCH("GRANDO",INVENTARIO!C13)),"GRA",
IF(ISNUMBER(SEARCH("FB700",INVENTARIO!C13)),"FB7",
IF(ISNUMBER(SEARCH("LX360",INVENTARIO!C13)),"LX3",
IF(ISNUMBER(SEARCH("XEROX",INVENTARIO!C13)),"XER",
IF(ISNUMBER(SEARCH("CEPILLADO",INVENTARIO!C13)),"CEP",
IF(ISNUMBER(SEARCH("ESPEJO",INVENTARIO!C13)),"ESP",
IF(ISNUMBER(SEARCH("10 PTS",INVENTARIO!C13)),"10PT",
IF(ISNUMBER(SEARCH("12 PTS",INVENTARIO!C13)),"12PT",
IF(ISNUMBER(SEARCH("14 PTS",INVENTARIO!C13)),"14PT",
IF(ISNUMBER(SEARCH("CLASICO",INVENTARIO!C13)),"CLA",
""))))))))))))))))))))))</f>
        <v>ALT-RES</v>
      </c>
      <c r="D13" t="str">
        <f>IF(ISNUMBER(SEARCH("GRAN FORMATO",INVENTARIO!C13)),"GRA-FOR",
IF(ISNUMBER(SEARCH("CAMA PLANA",INVENTARIO!C13)),"CAM-PLA",
IF(ISNUMBER(SEARCH("GRADO INGENIERIA",INVENTARIO!C13)),"GRA-ING",
IF(ISNUMBER(SEARCH("130 GRS",INVENTARIO!C13)),"130GR",
IF(ISNUMBER(SEARCH("150 GRS",INVENTARIO!C13)),"150GR",
IF(ISNUMBER(SEARCH("185 GRS",INVENTARIO!C13)),"185GR",
IF(ISNUMBER(SEARCH("200 GRS",INVENTARIO!C13)),"200GR",
IF(ISNUMBER(SEARCH("250 GRS",INVENTARIO!C13)),"250GR",
IF(ISNUMBER(SEARCH("300 GRS",INVENTARIO!C13)),"300GR",
IF(ISNUMBER(SEARCH("350 GRS",INVENTARIO!C13)),"350GR",
IF(ISNUMBER(SEARCH("18 OZ",INVENTARIO!C13)),"18OZ",
IF(ISNUMBER(SEARCH("15 OZ",INVENTARIO!C13)),"15OZ",
IF(OR(ISNUMBER(SEARCH("13 OZ",INVENTARIO!C13)),ISNUMBER(SEARCH("13 ONZAS",INVENTARIO!C13))),"13OZ",
IF(OR(ISNUMBER(SEARCH("9 OZ",INVENTARIO!C13)),ISNUMBER(SEARCH("9 ONZAS",INVENTARIO!C13))),"09OZ",
IF(ISNUMBER(SEARCH("DOBLE CARA",INVENTARIO!C13)),"DOB-CAR",
"")))))))))))))))</f>
        <v/>
      </c>
      <c r="E13" t="str">
        <f>IF(OR(ISNUMBER(SEARCH("TRANSPARENTE",INVENTARIO!C13)),ISNUMBER(SEARCH("TRANSPARENTES",INVENTARIO!C13))),"TRA",
IF(OR(ISNUMBER(SEARCH("BLANCO",INVENTARIO!C13)),ISNUMBER(SEARCH("BCO",INVENTARIO!C13))),"BLA",
IF(ISNUMBER(SEARCH("FOTOGRAFICO",INVENTARIO!C13)),"FOT",
IF(ISNUMBER(SEARCH("MARFIL",INVENTARIO!C13)),"MAR",
IF(ISNUMBER(SEARCH("VERDE",INVENTARIO!C13)),"VER",
IF(ISNUMBER(SEARCH("MORADO",INVENTARIO!C13)),"MOR",
IF(ISNUMBER(SEARCH("PLATA",INVENTARIO!C13)),"PLA",
IF(ISNUMBER(SEARCH("ORO",INVENTARIO!C13)),"ORO",
IF(ISNUMBER(SEARCH("AMARILLO",INVENTARIO!C13)),"AMA",
IF(ISNUMBER(SEARCH("NARANJA",INVENTARIO!C13)),"NAR",
IF(ISNUMBER(SEARCH("NEGRO",INVENTARIO!C13)),"NEG",
IF(ISNUMBER(SEARCH("ROJO",INVENTARIO!C13)),"ROJ",
IF(ISNUMBER(SEARCH("AZUL",INVENTARIO!C13)),"AZU","")))))))))))))</f>
        <v/>
      </c>
      <c r="F13" t="str">
        <f>IF(ISNUMBER(SEARCH("ARLON",INVENTARIO!C13)),"ARL",
IF(ISNUMBER(SEARCH("SUNTHINKS",INVENTARIO!C13)),"SUN",
IF(ISNUMBER(SEARCH("FRIO",INVENTARIO!C13)),"FRI",
IF(ISNUMBER(SEARCH("CALIDO",INVENTARIO!C13)),"CAL",
IF(ISNUMBER(SEARCH("CEPILLADO",INVENTARIO!C13)),"CEP",
IF(ISNUMBER(SEARCH("ESPEJO",INVENTARIO!C13)),"ESP",
""))))))</f>
        <v/>
      </c>
      <c r="G13" t="str">
        <f>IF(ISNUMBER(SEARCH("LATEX",INVENTARIO!C13)),"LAT",
IF(ISNUMBER(SEARCH("RESP. NEGRO",INVENTARIO!C13)),"RES-NEG",
IF(ISNUMBER(SEARCH("RESPALDO CAFE",INVENTARIO!C13)),"RES-CAF",
IF(ISNUMBER(SEARCH("RESPALDO GRIS",INVENTARIO!C13)),"RES-GRI",
IF(ISNUMBER(SEARCH("OPTICO",INVENTARIO!C13)),"OPT",
IF(ISNUMBER(SEARCH("1,2 MM",INVENTARIO!C13)),"1MM2",
IF(ISNUMBER(SEARCH("2 MM",INVENTARIO!C13)),"2MM",
IF(ISNUMBER(SEARCH("3 MM",INVENTARIO!C13)),"3MM",
IF(ISNUMBER(SEARCH("4 MM",INVENTARIO!C13)),"4MM",
IF(ISNUMBER(SEARCH("5 MM",INVENTARIO!C13)),"5MM",
IF(ISNUMBER(SEARCH("6 MM",INVENTARIO!C13)),"6MM",
IF(ISNUMBER(SEARCH("9 MM",INVENTARIO!C13)),"9MM",
IF(ISNUMBER(SEARCH("10 MM",INVENTARIO!C13)),"10MM","")))))))))))))</f>
        <v/>
      </c>
      <c r="H13" t="str">
        <f>IF(ISNUMBER(SEARCH("GAMA BAJA",INVENTARIO!C13)),"GAM-BAJ",
IF(ISNUMBER(SEARCH("OPTIMIZADOR",INVENTARIO!C13)),"OPT",
IF(ISNUMBER(SEARCH("OVERCOAT",INVENTARIO!C13)),"OVE",
IF(ISNUMBER(SEARCH("WHITE",INVENTARIO!C13)),"WHI",
IF(ISNUMBER(SEARCH("LIGHT CYAN",INVENTARIO!C13)),"LIG-CYA",
IF(ISNUMBER(SEARCH("CYAN",INVENTARIO!C13)),"CYA",
IF(ISNUMBER(SEARCH("LIGHT MAGENTA",INVENTARIO!C13)),"LIG-MAG",
IF(ISNUMBER(SEARCH("MAGENTA",INVENTARIO!C13)),"MAG",
IF(ISNUMBER(SEARCH("BLACK",INVENTARIO!C13)),"BLA",
IF(ISNUMBER(SEARCH("YELLOW",INVENTARIO!C13)),"YEL",
IF(ISNUMBER(SEARCH("2 DIODOS",INVENTARIO!C13)),"2DI",
IF(ISNUMBER(SEARCH("3 DIODOS",INVENTARIO!C13)),"3DI",
IF(OR(ISNUMBER(SEARCH("TRASLUCIDO",INVENTARIO!C13)),ISNUMBER(SEARCH("TRANSLUCIDO",INVENTARIO!C13))),"TRA",
"")))))))))))))</f>
        <v/>
      </c>
      <c r="I13" t="str">
        <f>IF(ISNUMBER(SEARCH("SILED",INVENTARIO!C9)),"SI",
IF(ISNUMBER(SEARCH("SYDEMEX",INVENTARIO!C9)),"SY",
IF(ISNUMBER(SEARCH("ROHS",INVENTARIO!C9)),"RO",
IF(ISNUMBER(SEARCH("RISHANG",INVENTARIO!C9)),"RS",
IF(ISNUMBER(SEARCH("VYG",INVENTARIO!C9)),"VYG",
IF(ISNUMBER(SEARCH("COLED",INVENTARIO!C9)),"CO",""))))))</f>
        <v/>
      </c>
    </row>
    <row r="14" spans="1:9">
      <c r="A14" t="str">
        <f>IF(ISNUMBER(SEARCH("LONA",INVENTARIO!C14)),"LON",
IF(ISNUMBER(SEARCH("VINIL",INVENTARIO!C14)),"VIN",
IF(ISNUMBER(SEARCH("KROMACOTE",INVENTARIO!C14)),"KRO",
IF(ISNUMBER(SEARCH("STARDREAM",INVENTARIO!C14)),"STA",
IF(ISNUMBER(SEARCH("DISPLAY",INVENTARIO!C14)),"DIS",
IF(ISNUMBER(SEARCH("ROLL UP",INVENTARIO!C14)),"ROL-UP",
IF(ISNUMBER(SEARCH("TRANSFER DE PAPEL",INVENTARIO!C14)),"TRA-PAP",
IF(ISNUMBER(SEARCH("TRANSFER",INVENTARIO!C14)),"TRA",IF(ISNUMBER(SEARCH("KOLA LOKA",INVENTARIO!C14)),"KOL-LOK",
IF(ISNUMBER(SEARCH("PETG",INVENTARIO!C14)),"PET",
IF(ISNUMBER(SEARCH("OJILLO",INVENTARIO!C14)),"OJI",
IF(ISNUMBER(SEARCH("COUCHE",INVENTARIO!C14)),"COU",
IF(ISNUMBER(SEARCH("PANEL DE ALUMINIO",INVENTARIO!C14)),"PAN-ALU",
IF(ISNUMBER(SEARCH("PVC",INVENTARIO!C14)),"PVC",
IF(ISNUMBER(SEARCH("PAPEL",INVENTARIO!C14)),"PAP",
IF(ISNUMBER(SEARCH("TELA",INVENTARIO!C14)),"TEL",
IF(ISNUMBER(SEARCH("CARTULINA",INVENTARIO!C14)),"CAR",
IF(OR(ISNUMBER(SEARCH("LAMINA",INVENTARIO!C14)),ISNUMBER(SEARCH("LÁMINA",INVENTARIO!C14)),ISNUMBER(SEARCH("LAMPARAS",INVENTARIO!C14))),"LAM",
IF(ISNUMBER(SEARCH("ESTIRENO",INVENTARIO!C14)),"EST",
IF(ISNUMBER(SEARCH("FOAMBOARD",INVENTARIO!C14)),"FOA",
IF(ISNUMBER(SEARCH("SOLVENTE",INVENTARIO!C14)),"SOL",
IF(ISNUMBER(SEARCH("TINTA",INVENTARIO!C14)),"TIN",
IF(ISNUMBER(SEARCH("ACRILICO",INVENTARIO!C14)),"ACR",
IF(ISNUMBER(SEARCH("MICROLED",INVENTARIO!C14)),"MIC",
IF(ISNUMBER(SEARCH("LED",INVENTARIO!C14)),"LED",
IF(ISNUMBER(SEARCH("FUENTE DE PODER",INVENTARIO!C14)),"FUE-POD",
IF(ISNUMBER(SEARCH("PETG",INVENTARIO!C14)),"PET",
IF(ISNUMBER(SEARCH("ALUMINIO",INVENTARIO!C14)),"ALU",
IF(ISNUMBER(SEARCH("CANAL",INVENTARIO!C14)),"CAN",
IF(ISNUMBER(SEARCH("ESCUADRA",INVENTARIO!C14)),"ESC",
IF(ISNUMBER(SEARCH("SOPORTE",INVENTARIO!C14)),"SOP","OTR")
))))))))))))))))))))))))))))))</f>
        <v>LON</v>
      </c>
      <c r="B14" t="str">
        <f>IF(ISNUMBER(SEARCH("CORTE",INVENTARIO!C14)),"COR",
IF(ISNUMBER(SEARCH("CITYLIGHT",INVENTARIO!C14)),"CIT",
IF(ISNUMBER(SEARCH("LINO",INVENTARIO!C14)),"LIN",
IF(ISNUMBER(SEARCH("FABRIANO",INVENTARIO!C14)),"FAB",
IF(ISNUMBER(SEARCH("SUNDANCE",INVENTARIO!C14)),"SUN",
IF(ISNUMBER(SEARCH("SINTETICA",INVENTARIO!C14)),"SIN",
IF(ISNUMBER(SEARCH("CONTROL",INVENTARIO!C14)),"CON",
IF(ISNUMBER(SEARCH("TERMICO",INVENTARIO!C14)),"TER",
IF(ISNUMBER(SEARCH("C-15",INVENTARIO!C14)),"C15",
IF(ISNUMBER(SEARCH("C-20",INVENTARIO!C14)),"C20",
IF(ISNUMBER(SEARCH("C-30",INVENTARIO!C14)),"C30",
IF(ISNUMBER(SEARCH("C-40",INVENTARIO!C14)),"C40",
IF(ISNUMBER(SEARCH("C-60",INVENTARIO!C14)),"C60",
IF(ISNUMBER(SEARCH("C-80",INVENTARIO!C14)),"C80",
IF(ISNUMBER(SEARCH("EQUIPO",INVENTARIO!C14)),"EQU",
IF(ISNUMBER(SEARCH("FLOOR",INVENTARIO!C14)),"FLO",
IF(ISNUMBER(SEARCH("CRISTAL",INVENTARIO!C14)),"CRI",
IF(ISNUMBER(SEARCH(" SULFATADA",INVENTARIO!C25)),"SUL",
IF(ISNUMBER(SEARCH("OPALINA",INVENTARIO!C14)),"OPA",
IF(ISNUMBER(SEARCH("ADHERIBLE",INVENTARIO!C14)),"ADH",
IF(ISNUMBER(SEARCH("MICRO",INVENTARIO!C14)),"MIC","")))))))))))))))))))))</f>
        <v/>
      </c>
      <c r="C14" t="str">
        <f>IF(ISNUMBER(SEARCH("PARED",INVENTARIO!C14)),"PAR",
IF(ISNUMBER(SEARCH("FRONT",INVENTARIO!C14)),"FRO",
IF(ISNUMBER(SEARCH("ALTA RESISTENCIA",INVENTARIO!C14)),
"ALT-RES",IF(ISNUMBER(SEARCH("BACKLITE",INVENTARIO!C14)),"BAC",
IF(ISNUMBER(SEARCH("MATE",INVENTARIO!C14)),"MAT",
IF(ISNUMBER(SEARCH("MESH",INVENTARIO!C14)),"MES",
IF(ISNUMBER(SEARCH("BRILLANTE",INVENTARIO!C14)),"BRI",
IF(ISNUMBER(SEARCH("DELGADA",INVENTARIO!C14)),"DEL",
IF(ISNUMBER(SEARCH("GRUESA",INVENTARIO!C14)),"GRU",
IF(ISNUMBER(SEARCH("ESTATICO",INVENTARIO!C14)),"EST",
IF(ISNUMBER(SEARCH("REFLECTIVO",INVENTARIO!C14)),"REF",
IF(ISNUMBER(SEARCH("LX700",INVENTARIO!C14)),"LX7",
IF(ISNUMBER(SEARCH("GRANDO",INVENTARIO!C14)),"GRA",
IF(ISNUMBER(SEARCH("FB700",INVENTARIO!C14)),"FB7",
IF(ISNUMBER(SEARCH("LX360",INVENTARIO!C14)),"LX3",
IF(ISNUMBER(SEARCH("XEROX",INVENTARIO!C14)),"XER",
IF(ISNUMBER(SEARCH("CEPILLADO",INVENTARIO!C14)),"CEP",
IF(ISNUMBER(SEARCH("ESPEJO",INVENTARIO!C14)),"ESP",
IF(ISNUMBER(SEARCH("10 PTS",INVENTARIO!C14)),"10PT",
IF(ISNUMBER(SEARCH("12 PTS",INVENTARIO!C14)),"12PT",
IF(ISNUMBER(SEARCH("14 PTS",INVENTARIO!C14)),"14PT",
IF(ISNUMBER(SEARCH("CLASICO",INVENTARIO!C14)),"CLA",
""))))))))))))))))))))))</f>
        <v>ALT-RES</v>
      </c>
      <c r="D14" t="str">
        <f>IF(ISNUMBER(SEARCH("GRAN FORMATO",INVENTARIO!C14)),"GRA-FOR",
IF(ISNUMBER(SEARCH("CAMA PLANA",INVENTARIO!C14)),"CAM-PLA",
IF(ISNUMBER(SEARCH("GRADO INGENIERIA",INVENTARIO!C14)),"GRA-ING",
IF(ISNUMBER(SEARCH("130 GRS",INVENTARIO!C14)),"130GR",
IF(ISNUMBER(SEARCH("150 GRS",INVENTARIO!C14)),"150GR",
IF(ISNUMBER(SEARCH("185 GRS",INVENTARIO!C14)),"185GR",
IF(ISNUMBER(SEARCH("200 GRS",INVENTARIO!C14)),"200GR",
IF(ISNUMBER(SEARCH("250 GRS",INVENTARIO!C14)),"250GR",
IF(ISNUMBER(SEARCH("300 GRS",INVENTARIO!C14)),"300GR",
IF(ISNUMBER(SEARCH("350 GRS",INVENTARIO!C14)),"350GR",
IF(ISNUMBER(SEARCH("18 OZ",INVENTARIO!C14)),"18OZ",
IF(ISNUMBER(SEARCH("15 OZ",INVENTARIO!C14)),"15OZ",
IF(OR(ISNUMBER(SEARCH("13 OZ",INVENTARIO!C14)),ISNUMBER(SEARCH("13 ONZAS",INVENTARIO!C14))),"13OZ",
IF(OR(ISNUMBER(SEARCH("9 OZ",INVENTARIO!C14)),ISNUMBER(SEARCH("9 ONZAS",INVENTARIO!C14))),"09OZ",
IF(ISNUMBER(SEARCH("DOBLE CARA",INVENTARIO!C14)),"DOB-CAR",
"")))))))))))))))</f>
        <v/>
      </c>
      <c r="E14" t="str">
        <f>IF(OR(ISNUMBER(SEARCH("TRANSPARENTE",INVENTARIO!C14)),ISNUMBER(SEARCH("TRANSPARENTES",INVENTARIO!C14))),"TRA",
IF(OR(ISNUMBER(SEARCH("BLANCO",INVENTARIO!C14)),ISNUMBER(SEARCH("BCO",INVENTARIO!C14))),"BLA",
IF(ISNUMBER(SEARCH("FOTOGRAFICO",INVENTARIO!C14)),"FOT",
IF(ISNUMBER(SEARCH("MARFIL",INVENTARIO!C14)),"MAR",
IF(ISNUMBER(SEARCH("VERDE",INVENTARIO!C14)),"VER",
IF(ISNUMBER(SEARCH("MORADO",INVENTARIO!C14)),"MOR",
IF(ISNUMBER(SEARCH("PLATA",INVENTARIO!C14)),"PLA",
IF(ISNUMBER(SEARCH("ORO",INVENTARIO!C14)),"ORO",
IF(ISNUMBER(SEARCH("AMARILLO",INVENTARIO!C14)),"AMA",
IF(ISNUMBER(SEARCH("NARANJA",INVENTARIO!C14)),"NAR",
IF(ISNUMBER(SEARCH("NEGRO",INVENTARIO!C14)),"NEG",
IF(ISNUMBER(SEARCH("ROJO",INVENTARIO!C14)),"ROJ",
IF(ISNUMBER(SEARCH("AZUL",INVENTARIO!C14)),"AZU","")))))))))))))</f>
        <v/>
      </c>
      <c r="F14" t="str">
        <f>IF(ISNUMBER(SEARCH("ARLON",INVENTARIO!C14)),"ARL",
IF(ISNUMBER(SEARCH("SUNTHINKS",INVENTARIO!C14)),"SUN",
IF(ISNUMBER(SEARCH("FRIO",INVENTARIO!C14)),"FRI",
IF(ISNUMBER(SEARCH("CALIDO",INVENTARIO!C14)),"CAL",
IF(ISNUMBER(SEARCH("CEPILLADO",INVENTARIO!C14)),"CEP",
IF(ISNUMBER(SEARCH("ESPEJO",INVENTARIO!C14)),"ESP",
""))))))</f>
        <v/>
      </c>
      <c r="G14" t="str">
        <f>IF(ISNUMBER(SEARCH("LATEX",INVENTARIO!C14)),"LAT",
IF(ISNUMBER(SEARCH("RESP. NEGRO",INVENTARIO!C14)),"RES-NEG",
IF(ISNUMBER(SEARCH("RESPALDO CAFE",INVENTARIO!C14)),"RES-CAF",
IF(ISNUMBER(SEARCH("RESPALDO GRIS",INVENTARIO!C14)),"RES-GRI",
IF(ISNUMBER(SEARCH("OPTICO",INVENTARIO!C14)),"OPT",
IF(ISNUMBER(SEARCH("1,2 MM",INVENTARIO!C14)),"1MM2",
IF(ISNUMBER(SEARCH("2 MM",INVENTARIO!C14)),"2MM",
IF(ISNUMBER(SEARCH("3 MM",INVENTARIO!C14)),"3MM",
IF(ISNUMBER(SEARCH("4 MM",INVENTARIO!C14)),"4MM",
IF(ISNUMBER(SEARCH("5 MM",INVENTARIO!C14)),"5MM",
IF(ISNUMBER(SEARCH("6 MM",INVENTARIO!C14)),"6MM",
IF(ISNUMBER(SEARCH("9 MM",INVENTARIO!C14)),"9MM",
IF(ISNUMBER(SEARCH("10 MM",INVENTARIO!C14)),"10MM","")))))))))))))</f>
        <v/>
      </c>
      <c r="H14" t="str">
        <f>IF(ISNUMBER(SEARCH("GAMA BAJA",INVENTARIO!C14)),"GAM-BAJ",
IF(ISNUMBER(SEARCH("OPTIMIZADOR",INVENTARIO!C14)),"OPT",
IF(ISNUMBER(SEARCH("OVERCOAT",INVENTARIO!C14)),"OVE",
IF(ISNUMBER(SEARCH("WHITE",INVENTARIO!C14)),"WHI",
IF(ISNUMBER(SEARCH("LIGHT CYAN",INVENTARIO!C14)),"LIG-CYA",
IF(ISNUMBER(SEARCH("CYAN",INVENTARIO!C14)),"CYA",
IF(ISNUMBER(SEARCH("LIGHT MAGENTA",INVENTARIO!C14)),"LIG-MAG",
IF(ISNUMBER(SEARCH("MAGENTA",INVENTARIO!C14)),"MAG",
IF(ISNUMBER(SEARCH("BLACK",INVENTARIO!C14)),"BLA",
IF(ISNUMBER(SEARCH("YELLOW",INVENTARIO!C14)),"YEL",
IF(ISNUMBER(SEARCH("2 DIODOS",INVENTARIO!C14)),"2DI",
IF(ISNUMBER(SEARCH("3 DIODOS",INVENTARIO!C14)),"3DI",
IF(OR(ISNUMBER(SEARCH("TRASLUCIDO",INVENTARIO!C14)),ISNUMBER(SEARCH("TRANSLUCIDO",INVENTARIO!C14))),"TRA",
"")))))))))))))</f>
        <v/>
      </c>
      <c r="I14" t="str">
        <f>IF(ISNUMBER(SEARCH("SILED",INVENTARIO!C10)),"SI",
IF(ISNUMBER(SEARCH("SYDEMEX",INVENTARIO!C10)),"SY",
IF(ISNUMBER(SEARCH("ROHS",INVENTARIO!C10)),"RO",
IF(ISNUMBER(SEARCH("RISHANG",INVENTARIO!C10)),"RS",
IF(ISNUMBER(SEARCH("VYG",INVENTARIO!C10)),"VYG",
IF(ISNUMBER(SEARCH("COLED",INVENTARIO!C10)),"CO",""))))))</f>
        <v/>
      </c>
    </row>
    <row r="15" spans="1:9">
      <c r="A15" t="str">
        <f>IF(ISNUMBER(SEARCH("LONA",INVENTARIO!C15)),"LON",
IF(ISNUMBER(SEARCH("VINIL",INVENTARIO!C15)),"VIN",
IF(ISNUMBER(SEARCH("KROMACOTE",INVENTARIO!C15)),"KRO",
IF(ISNUMBER(SEARCH("STARDREAM",INVENTARIO!C15)),"STA",
IF(ISNUMBER(SEARCH("DISPLAY",INVENTARIO!C15)),"DIS",
IF(ISNUMBER(SEARCH("ROLL UP",INVENTARIO!C15)),"ROL-UP",
IF(ISNUMBER(SEARCH("TRANSFER DE PAPEL",INVENTARIO!C15)),"TRA-PAP",
IF(ISNUMBER(SEARCH("TRANSFER",INVENTARIO!C15)),"TRA",IF(ISNUMBER(SEARCH("KOLA LOKA",INVENTARIO!C15)),"KOL-LOK",
IF(ISNUMBER(SEARCH("PETG",INVENTARIO!C15)),"PET",
IF(ISNUMBER(SEARCH("OJILLO",INVENTARIO!C15)),"OJI",
IF(ISNUMBER(SEARCH("COUCHE",INVENTARIO!C15)),"COU",
IF(ISNUMBER(SEARCH("PANEL DE ALUMINIO",INVENTARIO!C15)),"PAN-ALU",
IF(ISNUMBER(SEARCH("PVC",INVENTARIO!C15)),"PVC",
IF(ISNUMBER(SEARCH("PAPEL",INVENTARIO!C15)),"PAP",
IF(ISNUMBER(SEARCH("TELA",INVENTARIO!C15)),"TEL",
IF(ISNUMBER(SEARCH("CARTULINA",INVENTARIO!C15)),"CAR",
IF(OR(ISNUMBER(SEARCH("LAMINA",INVENTARIO!C15)),ISNUMBER(SEARCH("LÁMINA",INVENTARIO!C15)),ISNUMBER(SEARCH("LAMPARAS",INVENTARIO!C15))),"LAM",
IF(ISNUMBER(SEARCH("ESTIRENO",INVENTARIO!C15)),"EST",
IF(ISNUMBER(SEARCH("FOAMBOARD",INVENTARIO!C15)),"FOA",
IF(ISNUMBER(SEARCH("SOLVENTE",INVENTARIO!C15)),"SOL",
IF(ISNUMBER(SEARCH("TINTA",INVENTARIO!C15)),"TIN",
IF(ISNUMBER(SEARCH("ACRILICO",INVENTARIO!C15)),"ACR",
IF(ISNUMBER(SEARCH("MICROLED",INVENTARIO!C15)),"MIC",
IF(ISNUMBER(SEARCH("LED",INVENTARIO!C15)),"LED",
IF(ISNUMBER(SEARCH("FUENTE DE PODER",INVENTARIO!C15)),"FUE-POD",
IF(ISNUMBER(SEARCH("PETG",INVENTARIO!C15)),"PET",
IF(ISNUMBER(SEARCH("ALUMINIO",INVENTARIO!C15)),"ALU",
IF(ISNUMBER(SEARCH("CANAL",INVENTARIO!C15)),"CAN",
IF(ISNUMBER(SEARCH("ESCUADRA",INVENTARIO!C15)),"ESC",
IF(ISNUMBER(SEARCH("SOPORTE",INVENTARIO!C15)),"SOP","OTR")
))))))))))))))))))))))))))))))</f>
        <v>LON</v>
      </c>
      <c r="B15" t="str">
        <f>IF(ISNUMBER(SEARCH("CORTE",INVENTARIO!C15)),"COR",
IF(ISNUMBER(SEARCH("CITYLIGHT",INVENTARIO!C15)),"CIT",
IF(ISNUMBER(SEARCH("LINO",INVENTARIO!C15)),"LIN",
IF(ISNUMBER(SEARCH("FABRIANO",INVENTARIO!C15)),"FAB",
IF(ISNUMBER(SEARCH("SUNDANCE",INVENTARIO!C15)),"SUN",
IF(ISNUMBER(SEARCH("SINTETICA",INVENTARIO!C15)),"SIN",
IF(ISNUMBER(SEARCH("CONTROL",INVENTARIO!C15)),"CON",
IF(ISNUMBER(SEARCH("TERMICO",INVENTARIO!C15)),"TER",
IF(ISNUMBER(SEARCH("C-15",INVENTARIO!C15)),"C15",
IF(ISNUMBER(SEARCH("C-20",INVENTARIO!C15)),"C20",
IF(ISNUMBER(SEARCH("C-30",INVENTARIO!C15)),"C30",
IF(ISNUMBER(SEARCH("C-40",INVENTARIO!C15)),"C40",
IF(ISNUMBER(SEARCH("C-60",INVENTARIO!C15)),"C60",
IF(ISNUMBER(SEARCH("C-80",INVENTARIO!C15)),"C80",
IF(ISNUMBER(SEARCH("EQUIPO",INVENTARIO!C15)),"EQU",
IF(ISNUMBER(SEARCH("FLOOR",INVENTARIO!C15)),"FLO",
IF(ISNUMBER(SEARCH("CRISTAL",INVENTARIO!C15)),"CRI",
IF(ISNUMBER(SEARCH(" SULFATADA",INVENTARIO!C26)),"SUL",
IF(ISNUMBER(SEARCH("OPALINA",INVENTARIO!C15)),"OPA",
IF(ISNUMBER(SEARCH("ADHERIBLE",INVENTARIO!C15)),"ADH",
IF(ISNUMBER(SEARCH("MICRO",INVENTARIO!C15)),"MIC","")))))))))))))))))))))</f>
        <v/>
      </c>
      <c r="C15" t="str">
        <f>IF(ISNUMBER(SEARCH("PARED",INVENTARIO!C15)),"PAR",
IF(ISNUMBER(SEARCH("FRONT",INVENTARIO!C15)),"FRO",
IF(ISNUMBER(SEARCH("ALTA RESISTENCIA",INVENTARIO!C15)),
"ALT-RES",IF(ISNUMBER(SEARCH("BACKLITE",INVENTARIO!C15)),"BAC",
IF(ISNUMBER(SEARCH("MATE",INVENTARIO!C15)),"MAT",
IF(ISNUMBER(SEARCH("MESH",INVENTARIO!C15)),"MES",
IF(ISNUMBER(SEARCH("BRILLANTE",INVENTARIO!C15)),"BRI",
IF(ISNUMBER(SEARCH("DELGADA",INVENTARIO!C15)),"DEL",
IF(ISNUMBER(SEARCH("GRUESA",INVENTARIO!C15)),"GRU",
IF(ISNUMBER(SEARCH("ESTATICO",INVENTARIO!C15)),"EST",
IF(ISNUMBER(SEARCH("REFLECTIVO",INVENTARIO!C15)),"REF",
IF(ISNUMBER(SEARCH("LX700",INVENTARIO!C15)),"LX7",
IF(ISNUMBER(SEARCH("GRANDO",INVENTARIO!C15)),"GRA",
IF(ISNUMBER(SEARCH("FB700",INVENTARIO!C15)),"FB7",
IF(ISNUMBER(SEARCH("LX360",INVENTARIO!C15)),"LX3",
IF(ISNUMBER(SEARCH("XEROX",INVENTARIO!C15)),"XER",
IF(ISNUMBER(SEARCH("CEPILLADO",INVENTARIO!C15)),"CEP",
IF(ISNUMBER(SEARCH("ESPEJO",INVENTARIO!C15)),"ESP",
IF(ISNUMBER(SEARCH("10 PTS",INVENTARIO!C15)),"10PT",
IF(ISNUMBER(SEARCH("12 PTS",INVENTARIO!C15)),"12PT",
IF(ISNUMBER(SEARCH("14 PTS",INVENTARIO!C15)),"14PT",
IF(ISNUMBER(SEARCH("CLASICO",INVENTARIO!C15)),"CLA",
""))))))))))))))))))))))</f>
        <v>MAT</v>
      </c>
      <c r="D15" t="str">
        <f>IF(ISNUMBER(SEARCH("GRAN FORMATO",INVENTARIO!C15)),"GRA-FOR",
IF(ISNUMBER(SEARCH("CAMA PLANA",INVENTARIO!C15)),"CAM-PLA",
IF(ISNUMBER(SEARCH("GRADO INGENIERIA",INVENTARIO!C15)),"GRA-ING",
IF(ISNUMBER(SEARCH("130 GRS",INVENTARIO!C15)),"130GR",
IF(ISNUMBER(SEARCH("150 GRS",INVENTARIO!C15)),"150GR",
IF(ISNUMBER(SEARCH("185 GRS",INVENTARIO!C15)),"185GR",
IF(ISNUMBER(SEARCH("200 GRS",INVENTARIO!C15)),"200GR",
IF(ISNUMBER(SEARCH("250 GRS",INVENTARIO!C15)),"250GR",
IF(ISNUMBER(SEARCH("300 GRS",INVENTARIO!C15)),"300GR",
IF(ISNUMBER(SEARCH("350 GRS",INVENTARIO!C15)),"350GR",
IF(ISNUMBER(SEARCH("18 OZ",INVENTARIO!C15)),"18OZ",
IF(ISNUMBER(SEARCH("15 OZ",INVENTARIO!C15)),"15OZ",
IF(OR(ISNUMBER(SEARCH("13 OZ",INVENTARIO!C15)),ISNUMBER(SEARCH("13 ONZAS",INVENTARIO!C15))),"13OZ",
IF(OR(ISNUMBER(SEARCH("9 OZ",INVENTARIO!C15)),ISNUMBER(SEARCH("9 ONZAS",INVENTARIO!C15))),"09OZ",
IF(ISNUMBER(SEARCH("DOBLE CARA",INVENTARIO!C15)),"DOB-CAR",
"")))))))))))))))</f>
        <v>13OZ</v>
      </c>
      <c r="E15" t="str">
        <f>IF(OR(ISNUMBER(SEARCH("TRANSPARENTE",INVENTARIO!C15)),ISNUMBER(SEARCH("TRANSPARENTES",INVENTARIO!C15))),"TRA",
IF(OR(ISNUMBER(SEARCH("BLANCO",INVENTARIO!C15)),ISNUMBER(SEARCH("BCO",INVENTARIO!C15))),"BLA",
IF(ISNUMBER(SEARCH("FOTOGRAFICO",INVENTARIO!C15)),"FOT",
IF(ISNUMBER(SEARCH("MARFIL",INVENTARIO!C15)),"MAR",
IF(ISNUMBER(SEARCH("VERDE",INVENTARIO!C15)),"VER",
IF(ISNUMBER(SEARCH("MORADO",INVENTARIO!C15)),"MOR",
IF(ISNUMBER(SEARCH("PLATA",INVENTARIO!C15)),"PLA",
IF(ISNUMBER(SEARCH("ORO",INVENTARIO!C15)),"ORO",
IF(ISNUMBER(SEARCH("AMARILLO",INVENTARIO!C15)),"AMA",
IF(ISNUMBER(SEARCH("NARANJA",INVENTARIO!C15)),"NAR",
IF(ISNUMBER(SEARCH("NEGRO",INVENTARIO!C15)),"NEG",
IF(ISNUMBER(SEARCH("ROJO",INVENTARIO!C15)),"ROJ",
IF(ISNUMBER(SEARCH("AZUL",INVENTARIO!C15)),"AZU","")))))))))))))</f>
        <v/>
      </c>
      <c r="F15" t="str">
        <f>IF(ISNUMBER(SEARCH("ARLON",INVENTARIO!C15)),"ARL",
IF(ISNUMBER(SEARCH("SUNTHINKS",INVENTARIO!C15)),"SUN",
IF(ISNUMBER(SEARCH("FRIO",INVENTARIO!C15)),"FRI",
IF(ISNUMBER(SEARCH("CALIDO",INVENTARIO!C15)),"CAL",
IF(ISNUMBER(SEARCH("CEPILLADO",INVENTARIO!C15)),"CEP",
IF(ISNUMBER(SEARCH("ESPEJO",INVENTARIO!C15)),"ESP",
""))))))</f>
        <v/>
      </c>
      <c r="G15" t="str">
        <f>IF(ISNUMBER(SEARCH("LATEX",INVENTARIO!C15)),"LAT",
IF(ISNUMBER(SEARCH("RESP. NEGRO",INVENTARIO!C15)),"RES-NEG",
IF(ISNUMBER(SEARCH("RESPALDO CAFE",INVENTARIO!C15)),"RES-CAF",
IF(ISNUMBER(SEARCH("RESPALDO GRIS",INVENTARIO!C15)),"RES-GRI",
IF(ISNUMBER(SEARCH("OPTICO",INVENTARIO!C15)),"OPT",
IF(ISNUMBER(SEARCH("1,2 MM",INVENTARIO!C15)),"1MM2",
IF(ISNUMBER(SEARCH("2 MM",INVENTARIO!C15)),"2MM",
IF(ISNUMBER(SEARCH("3 MM",INVENTARIO!C15)),"3MM",
IF(ISNUMBER(SEARCH("4 MM",INVENTARIO!C15)),"4MM",
IF(ISNUMBER(SEARCH("5 MM",INVENTARIO!C15)),"5MM",
IF(ISNUMBER(SEARCH("6 MM",INVENTARIO!C15)),"6MM",
IF(ISNUMBER(SEARCH("9 MM",INVENTARIO!C15)),"9MM",
IF(ISNUMBER(SEARCH("10 MM",INVENTARIO!C15)),"10MM","")))))))))))))</f>
        <v>LAT</v>
      </c>
      <c r="H15" t="str">
        <f>IF(ISNUMBER(SEARCH("GAMA BAJA",INVENTARIO!C15)),"GAM-BAJ",
IF(ISNUMBER(SEARCH("OPTIMIZADOR",INVENTARIO!C15)),"OPT",
IF(ISNUMBER(SEARCH("OVERCOAT",INVENTARIO!C15)),"OVE",
IF(ISNUMBER(SEARCH("WHITE",INVENTARIO!C15)),"WHI",
IF(ISNUMBER(SEARCH("LIGHT CYAN",INVENTARIO!C15)),"LIG-CYA",
IF(ISNUMBER(SEARCH("CYAN",INVENTARIO!C15)),"CYA",
IF(ISNUMBER(SEARCH("LIGHT MAGENTA",INVENTARIO!C15)),"LIG-MAG",
IF(ISNUMBER(SEARCH("MAGENTA",INVENTARIO!C15)),"MAG",
IF(ISNUMBER(SEARCH("BLACK",INVENTARIO!C15)),"BLA",
IF(ISNUMBER(SEARCH("YELLOW",INVENTARIO!C15)),"YEL",
IF(ISNUMBER(SEARCH("2 DIODOS",INVENTARIO!C15)),"2DI",
IF(ISNUMBER(SEARCH("3 DIODOS",INVENTARIO!C15)),"3DI",
IF(OR(ISNUMBER(SEARCH("TRASLUCIDO",INVENTARIO!C15)),ISNUMBER(SEARCH("TRANSLUCIDO",INVENTARIO!C15))),"TRA",
"")))))))))))))</f>
        <v/>
      </c>
      <c r="I15" t="str">
        <f>IF(ISNUMBER(SEARCH("SILED",INVENTARIO!C11)),"SI",
IF(ISNUMBER(SEARCH("SYDEMEX",INVENTARIO!C11)),"SY",
IF(ISNUMBER(SEARCH("ROHS",INVENTARIO!C11)),"RO",
IF(ISNUMBER(SEARCH("RISHANG",INVENTARIO!C11)),"RS",
IF(ISNUMBER(SEARCH("VYG",INVENTARIO!C11)),"VYG",
IF(ISNUMBER(SEARCH("COLED",INVENTARIO!C11)),"CO",""))))))</f>
        <v/>
      </c>
    </row>
    <row r="16" spans="1:9">
      <c r="A16" t="str">
        <f>IF(ISNUMBER(SEARCH("LONA",INVENTARIO!C16)),"LON",
IF(ISNUMBER(SEARCH("VINIL",INVENTARIO!C16)),"VIN",
IF(ISNUMBER(SEARCH("KROMACOTE",INVENTARIO!C16)),"KRO",
IF(ISNUMBER(SEARCH("STARDREAM",INVENTARIO!C16)),"STA",
IF(ISNUMBER(SEARCH("DISPLAY",INVENTARIO!C16)),"DIS",
IF(ISNUMBER(SEARCH("ROLL UP",INVENTARIO!C16)),"ROL-UP",
IF(ISNUMBER(SEARCH("TRANSFER DE PAPEL",INVENTARIO!C16)),"TRA-PAP",
IF(ISNUMBER(SEARCH("TRANSFER",INVENTARIO!C16)),"TRA",IF(ISNUMBER(SEARCH("KOLA LOKA",INVENTARIO!C16)),"KOL-LOK",
IF(ISNUMBER(SEARCH("PETG",INVENTARIO!C16)),"PET",
IF(ISNUMBER(SEARCH("OJILLO",INVENTARIO!C16)),"OJI",
IF(ISNUMBER(SEARCH("COUCHE",INVENTARIO!C16)),"COU",
IF(ISNUMBER(SEARCH("PANEL DE ALUMINIO",INVENTARIO!C16)),"PAN-ALU",
IF(ISNUMBER(SEARCH("PVC",INVENTARIO!C16)),"PVC",
IF(ISNUMBER(SEARCH("PAPEL",INVENTARIO!C16)),"PAP",
IF(ISNUMBER(SEARCH("TELA",INVENTARIO!C16)),"TEL",
IF(ISNUMBER(SEARCH("CARTULINA",INVENTARIO!C16)),"CAR",
IF(OR(ISNUMBER(SEARCH("LAMINA",INVENTARIO!C16)),ISNUMBER(SEARCH("LÁMINA",INVENTARIO!C16)),ISNUMBER(SEARCH("LAMPARAS",INVENTARIO!C16))),"LAM",
IF(ISNUMBER(SEARCH("ESTIRENO",INVENTARIO!C16)),"EST",
IF(ISNUMBER(SEARCH("FOAMBOARD",INVENTARIO!C16)),"FOA",
IF(ISNUMBER(SEARCH("SOLVENTE",INVENTARIO!C16)),"SOL",
IF(ISNUMBER(SEARCH("TINTA",INVENTARIO!C16)),"TIN",
IF(ISNUMBER(SEARCH("ACRILICO",INVENTARIO!C16)),"ACR",
IF(ISNUMBER(SEARCH("MICROLED",INVENTARIO!C16)),"MIC",
IF(ISNUMBER(SEARCH("LED",INVENTARIO!C16)),"LED",
IF(ISNUMBER(SEARCH("FUENTE DE PODER",INVENTARIO!C16)),"FUE-POD",
IF(ISNUMBER(SEARCH("PETG",INVENTARIO!C16)),"PET",
IF(ISNUMBER(SEARCH("ALUMINIO",INVENTARIO!C16)),"ALU",
IF(ISNUMBER(SEARCH("CANAL",INVENTARIO!C16)),"CAN",
IF(ISNUMBER(SEARCH("ESCUADRA",INVENTARIO!C16)),"ESC",
IF(ISNUMBER(SEARCH("SOPORTE",INVENTARIO!C16)),"SOP","OTR")
))))))))))))))))))))))))))))))</f>
        <v>LON</v>
      </c>
      <c r="B16" t="str">
        <f>IF(ISNUMBER(SEARCH("CORTE",INVENTARIO!C16)),"COR",
IF(ISNUMBER(SEARCH("CITYLIGHT",INVENTARIO!C16)),"CIT",
IF(ISNUMBER(SEARCH("LINO",INVENTARIO!C16)),"LIN",
IF(ISNUMBER(SEARCH("FABRIANO",INVENTARIO!C16)),"FAB",
IF(ISNUMBER(SEARCH("SUNDANCE",INVENTARIO!C16)),"SUN",
IF(ISNUMBER(SEARCH("SINTETICA",INVENTARIO!C16)),"SIN",
IF(ISNUMBER(SEARCH("CONTROL",INVENTARIO!C16)),"CON",
IF(ISNUMBER(SEARCH("TERMICO",INVENTARIO!C16)),"TER",
IF(ISNUMBER(SEARCH("C-15",INVENTARIO!C16)),"C15",
IF(ISNUMBER(SEARCH("C-20",INVENTARIO!C16)),"C20",
IF(ISNUMBER(SEARCH("C-30",INVENTARIO!C16)),"C30",
IF(ISNUMBER(SEARCH("C-40",INVENTARIO!C16)),"C40",
IF(ISNUMBER(SEARCH("C-60",INVENTARIO!C16)),"C60",
IF(ISNUMBER(SEARCH("C-80",INVENTARIO!C16)),"C80",
IF(ISNUMBER(SEARCH("EQUIPO",INVENTARIO!C16)),"EQU",
IF(ISNUMBER(SEARCH("FLOOR",INVENTARIO!C16)),"FLO",
IF(ISNUMBER(SEARCH("CRISTAL",INVENTARIO!C16)),"CRI",
IF(ISNUMBER(SEARCH(" SULFATADA",INVENTARIO!C27)),"SUL",
IF(ISNUMBER(SEARCH("OPALINA",INVENTARIO!C16)),"OPA",
IF(ISNUMBER(SEARCH("ADHERIBLE",INVENTARIO!C16)),"ADH",
IF(ISNUMBER(SEARCH("MICRO",INVENTARIO!C16)),"MIC","")))))))))))))))))))))</f>
        <v/>
      </c>
      <c r="C16" t="str">
        <f>IF(ISNUMBER(SEARCH("PARED",INVENTARIO!C16)),"PAR",
IF(ISNUMBER(SEARCH("FRONT",INVENTARIO!C16)),"FRO",
IF(ISNUMBER(SEARCH("ALTA RESISTENCIA",INVENTARIO!C16)),
"ALT-RES",IF(ISNUMBER(SEARCH("BACKLITE",INVENTARIO!C16)),"BAC",
IF(ISNUMBER(SEARCH("MATE",INVENTARIO!C16)),"MAT",
IF(ISNUMBER(SEARCH("MESH",INVENTARIO!C16)),"MES",
IF(ISNUMBER(SEARCH("BRILLANTE",INVENTARIO!C16)),"BRI",
IF(ISNUMBER(SEARCH("DELGADA",INVENTARIO!C16)),"DEL",
IF(ISNUMBER(SEARCH("GRUESA",INVENTARIO!C16)),"GRU",
IF(ISNUMBER(SEARCH("ESTATICO",INVENTARIO!C16)),"EST",
IF(ISNUMBER(SEARCH("REFLECTIVO",INVENTARIO!C16)),"REF",
IF(ISNUMBER(SEARCH("LX700",INVENTARIO!C16)),"LX7",
IF(ISNUMBER(SEARCH("GRANDO",INVENTARIO!C16)),"GRA",
IF(ISNUMBER(SEARCH("FB700",INVENTARIO!C16)),"FB7",
IF(ISNUMBER(SEARCH("LX360",INVENTARIO!C16)),"LX3",
IF(ISNUMBER(SEARCH("XEROX",INVENTARIO!C16)),"XER",
IF(ISNUMBER(SEARCH("CEPILLADO",INVENTARIO!C16)),"CEP",
IF(ISNUMBER(SEARCH("ESPEJO",INVENTARIO!C16)),"ESP",
IF(ISNUMBER(SEARCH("10 PTS",INVENTARIO!C16)),"10PT",
IF(ISNUMBER(SEARCH("12 PTS",INVENTARIO!C16)),"12PT",
IF(ISNUMBER(SEARCH("14 PTS",INVENTARIO!C16)),"14PT",
IF(ISNUMBER(SEARCH("CLASICO",INVENTARIO!C16)),"CLA",
""))))))))))))))))))))))</f>
        <v>MAT</v>
      </c>
      <c r="D16" t="str">
        <f>IF(ISNUMBER(SEARCH("GRAN FORMATO",INVENTARIO!C16)),"GRA-FOR",
IF(ISNUMBER(SEARCH("CAMA PLANA",INVENTARIO!C16)),"CAM-PLA",
IF(ISNUMBER(SEARCH("GRADO INGENIERIA",INVENTARIO!C16)),"GRA-ING",
IF(ISNUMBER(SEARCH("130 GRS",INVENTARIO!C16)),"130GR",
IF(ISNUMBER(SEARCH("150 GRS",INVENTARIO!C16)),"150GR",
IF(ISNUMBER(SEARCH("185 GRS",INVENTARIO!C16)),"185GR",
IF(ISNUMBER(SEARCH("200 GRS",INVENTARIO!C16)),"200GR",
IF(ISNUMBER(SEARCH("250 GRS",INVENTARIO!C16)),"250GR",
IF(ISNUMBER(SEARCH("300 GRS",INVENTARIO!C16)),"300GR",
IF(ISNUMBER(SEARCH("350 GRS",INVENTARIO!C16)),"350GR",
IF(ISNUMBER(SEARCH("18 OZ",INVENTARIO!C16)),"18OZ",
IF(ISNUMBER(SEARCH("15 OZ",INVENTARIO!C16)),"15OZ",
IF(OR(ISNUMBER(SEARCH("13 OZ",INVENTARIO!C16)),ISNUMBER(SEARCH("13 ONZAS",INVENTARIO!C16))),"13OZ",
IF(OR(ISNUMBER(SEARCH("9 OZ",INVENTARIO!C16)),ISNUMBER(SEARCH("9 ONZAS",INVENTARIO!C16))),"09OZ",
IF(ISNUMBER(SEARCH("DOBLE CARA",INVENTARIO!C16)),"DOB-CAR",
"")))))))))))))))</f>
        <v>13OZ</v>
      </c>
      <c r="E16" t="str">
        <f>IF(OR(ISNUMBER(SEARCH("TRANSPARENTE",INVENTARIO!C16)),ISNUMBER(SEARCH("TRANSPARENTES",INVENTARIO!C16))),"TRA",
IF(OR(ISNUMBER(SEARCH("BLANCO",INVENTARIO!C16)),ISNUMBER(SEARCH("BCO",INVENTARIO!C16))),"BLA",
IF(ISNUMBER(SEARCH("FOTOGRAFICO",INVENTARIO!C16)),"FOT",
IF(ISNUMBER(SEARCH("MARFIL",INVENTARIO!C16)),"MAR",
IF(ISNUMBER(SEARCH("VERDE",INVENTARIO!C16)),"VER",
IF(ISNUMBER(SEARCH("MORADO",INVENTARIO!C16)),"MOR",
IF(ISNUMBER(SEARCH("PLATA",INVENTARIO!C16)),"PLA",
IF(ISNUMBER(SEARCH("ORO",INVENTARIO!C16)),"ORO",
IF(ISNUMBER(SEARCH("AMARILLO",INVENTARIO!C16)),"AMA",
IF(ISNUMBER(SEARCH("NARANJA",INVENTARIO!C16)),"NAR",
IF(ISNUMBER(SEARCH("NEGRO",INVENTARIO!C16)),"NEG",
IF(ISNUMBER(SEARCH("ROJO",INVENTARIO!C16)),"ROJ",
IF(ISNUMBER(SEARCH("AZUL",INVENTARIO!C16)),"AZU","")))))))))))))</f>
        <v/>
      </c>
      <c r="F16" t="str">
        <f>IF(ISNUMBER(SEARCH("ARLON",INVENTARIO!C16)),"ARL",
IF(ISNUMBER(SEARCH("SUNTHINKS",INVENTARIO!C16)),"SUN",
IF(ISNUMBER(SEARCH("FRIO",INVENTARIO!C16)),"FRI",
IF(ISNUMBER(SEARCH("CALIDO",INVENTARIO!C16)),"CAL",
IF(ISNUMBER(SEARCH("CEPILLADO",INVENTARIO!C16)),"CEP",
IF(ISNUMBER(SEARCH("ESPEJO",INVENTARIO!C16)),"ESP",
""))))))</f>
        <v/>
      </c>
      <c r="G16" t="str">
        <f>IF(ISNUMBER(SEARCH("LATEX",INVENTARIO!C16)),"LAT",
IF(ISNUMBER(SEARCH("RESP. NEGRO",INVENTARIO!C16)),"RES-NEG",
IF(ISNUMBER(SEARCH("RESPALDO CAFE",INVENTARIO!C16)),"RES-CAF",
IF(ISNUMBER(SEARCH("RESPALDO GRIS",INVENTARIO!C16)),"RES-GRI",
IF(ISNUMBER(SEARCH("OPTICO",INVENTARIO!C16)),"OPT",
IF(ISNUMBER(SEARCH("1,2 MM",INVENTARIO!C16)),"1MM2",
IF(ISNUMBER(SEARCH("2 MM",INVENTARIO!C16)),"2MM",
IF(ISNUMBER(SEARCH("3 MM",INVENTARIO!C16)),"3MM",
IF(ISNUMBER(SEARCH("4 MM",INVENTARIO!C16)),"4MM",
IF(ISNUMBER(SEARCH("5 MM",INVENTARIO!C16)),"5MM",
IF(ISNUMBER(SEARCH("6 MM",INVENTARIO!C16)),"6MM",
IF(ISNUMBER(SEARCH("9 MM",INVENTARIO!C16)),"9MM",
IF(ISNUMBER(SEARCH("10 MM",INVENTARIO!C16)),"10MM","")))))))))))))</f>
        <v/>
      </c>
      <c r="H16" t="str">
        <f>IF(ISNUMBER(SEARCH("GAMA BAJA",INVENTARIO!C16)),"GAM-BAJ",
IF(ISNUMBER(SEARCH("OPTIMIZADOR",INVENTARIO!C16)),"OPT",
IF(ISNUMBER(SEARCH("OVERCOAT",INVENTARIO!C16)),"OVE",
IF(ISNUMBER(SEARCH("WHITE",INVENTARIO!C16)),"WHI",
IF(ISNUMBER(SEARCH("LIGHT CYAN",INVENTARIO!C16)),"LIG-CYA",
IF(ISNUMBER(SEARCH("CYAN",INVENTARIO!C16)),"CYA",
IF(ISNUMBER(SEARCH("LIGHT MAGENTA",INVENTARIO!C16)),"LIG-MAG",
IF(ISNUMBER(SEARCH("MAGENTA",INVENTARIO!C16)),"MAG",
IF(ISNUMBER(SEARCH("BLACK",INVENTARIO!C16)),"BLA",
IF(ISNUMBER(SEARCH("YELLOW",INVENTARIO!C16)),"YEL",
IF(ISNUMBER(SEARCH("2 DIODOS",INVENTARIO!C16)),"2DI",
IF(ISNUMBER(SEARCH("3 DIODOS",INVENTARIO!C16)),"3DI",
IF(OR(ISNUMBER(SEARCH("TRASLUCIDO",INVENTARIO!C16)),ISNUMBER(SEARCH("TRANSLUCIDO",INVENTARIO!C16))),"TRA",
"")))))))))))))</f>
        <v/>
      </c>
      <c r="I16" t="str">
        <f>IF(ISNUMBER(SEARCH("SILED",INVENTARIO!C16)),"SI",
IF(ISNUMBER(SEARCH("SYDEMEX",INVENTARIO!C16)),"SY",
IF(ISNUMBER(SEARCH("ROHS",INVENTARIO!C16)),"RO",
IF(ISNUMBER(SEARCH("RISHANG",INVENTARIO!C16)),"RS",
IF(ISNUMBER(SEARCH("VYG",INVENTARIO!C16)),"VYG",
IF(ISNUMBER(SEARCH("COLED",INVENTARIO!C16)),"CO",""))))))</f>
        <v/>
      </c>
    </row>
    <row r="17" spans="1:9">
      <c r="A17" t="str">
        <f>IF(ISNUMBER(SEARCH("LONA",INVENTARIO!C17)),"LON",
IF(ISNUMBER(SEARCH("VINIL",INVENTARIO!C17)),"VIN",
IF(ISNUMBER(SEARCH("KROMACOTE",INVENTARIO!C17)),"KRO",
IF(ISNUMBER(SEARCH("STARDREAM",INVENTARIO!C17)),"STA",
IF(ISNUMBER(SEARCH("DISPLAY",INVENTARIO!C17)),"DIS",
IF(ISNUMBER(SEARCH("ROLL UP",INVENTARIO!C17)),"ROL-UP",
IF(ISNUMBER(SEARCH("TRANSFER DE PAPEL",INVENTARIO!C17)),"TRA-PAP",
IF(ISNUMBER(SEARCH("TRANSFER",INVENTARIO!C17)),"TRA",IF(ISNUMBER(SEARCH("KOLA LOKA",INVENTARIO!C17)),"KOL-LOK",
IF(ISNUMBER(SEARCH("PETG",INVENTARIO!C17)),"PET",
IF(ISNUMBER(SEARCH("OJILLO",INVENTARIO!C17)),"OJI",
IF(ISNUMBER(SEARCH("COUCHE",INVENTARIO!C17)),"COU",
IF(ISNUMBER(SEARCH("PANEL DE ALUMINIO",INVENTARIO!C17)),"PAN-ALU",
IF(ISNUMBER(SEARCH("PVC",INVENTARIO!C17)),"PVC",
IF(ISNUMBER(SEARCH("PAPEL",INVENTARIO!C17)),"PAP",
IF(ISNUMBER(SEARCH("TELA",INVENTARIO!C17)),"TEL",
IF(ISNUMBER(SEARCH("CARTULINA",INVENTARIO!C17)),"CAR",
IF(OR(ISNUMBER(SEARCH("LAMINA",INVENTARIO!C17)),ISNUMBER(SEARCH("LÁMINA",INVENTARIO!C17)),ISNUMBER(SEARCH("LAMPARAS",INVENTARIO!C17))),"LAM",
IF(ISNUMBER(SEARCH("ESTIRENO",INVENTARIO!C17)),"EST",
IF(ISNUMBER(SEARCH("FOAMBOARD",INVENTARIO!C17)),"FOA",
IF(ISNUMBER(SEARCH("SOLVENTE",INVENTARIO!C17)),"SOL",
IF(ISNUMBER(SEARCH("TINTA",INVENTARIO!C17)),"TIN",
IF(ISNUMBER(SEARCH("ACRILICO",INVENTARIO!C17)),"ACR",
IF(ISNUMBER(SEARCH("MICROLED",INVENTARIO!C17)),"MIC",
IF(ISNUMBER(SEARCH("LED",INVENTARIO!C17)),"LED",
IF(ISNUMBER(SEARCH("FUENTE DE PODER",INVENTARIO!C17)),"FUE-POD",
IF(ISNUMBER(SEARCH("PETG",INVENTARIO!C17)),"PET",
IF(ISNUMBER(SEARCH("ALUMINIO",INVENTARIO!C17)),"ALU",
IF(ISNUMBER(SEARCH("CANAL",INVENTARIO!C17)),"CAN",
IF(ISNUMBER(SEARCH("ESCUADRA",INVENTARIO!C17)),"ESC",
IF(ISNUMBER(SEARCH("SOPORTE",INVENTARIO!C17)),"SOP","OTR")
))))))))))))))))))))))))))))))</f>
        <v>LON</v>
      </c>
      <c r="B17" t="str">
        <f>IF(ISNUMBER(SEARCH("CORTE",INVENTARIO!C17)),"COR",
IF(ISNUMBER(SEARCH("CITYLIGHT",INVENTARIO!C17)),"CIT",
IF(ISNUMBER(SEARCH("LINO",INVENTARIO!C17)),"LIN",
IF(ISNUMBER(SEARCH("FABRIANO",INVENTARIO!C17)),"FAB",
IF(ISNUMBER(SEARCH("SUNDANCE",INVENTARIO!C17)),"SUN",
IF(ISNUMBER(SEARCH("SINTETICA",INVENTARIO!C17)),"SIN",
IF(ISNUMBER(SEARCH("CONTROL",INVENTARIO!C17)),"CON",
IF(ISNUMBER(SEARCH("TERMICO",INVENTARIO!C17)),"TER",
IF(ISNUMBER(SEARCH("C-15",INVENTARIO!C17)),"C15",
IF(ISNUMBER(SEARCH("C-20",INVENTARIO!C17)),"C20",
IF(ISNUMBER(SEARCH("C-30",INVENTARIO!C17)),"C30",
IF(ISNUMBER(SEARCH("C-40",INVENTARIO!C17)),"C40",
IF(ISNUMBER(SEARCH("C-60",INVENTARIO!C17)),"C60",
IF(ISNUMBER(SEARCH("C-80",INVENTARIO!C17)),"C80",
IF(ISNUMBER(SEARCH("EQUIPO",INVENTARIO!C17)),"EQU",
IF(ISNUMBER(SEARCH("FLOOR",INVENTARIO!C17)),"FLO",
IF(ISNUMBER(SEARCH("CRISTAL",INVENTARIO!C17)),"CRI",
IF(ISNUMBER(SEARCH(" SULFATADA",INVENTARIO!C28)),"SUL",
IF(ISNUMBER(SEARCH("OPALINA",INVENTARIO!C17)),"OPA",
IF(ISNUMBER(SEARCH("ADHERIBLE",INVENTARIO!C17)),"ADH",
IF(ISNUMBER(SEARCH("MICRO",INVENTARIO!C17)),"MIC","")))))))))))))))))))))</f>
        <v/>
      </c>
      <c r="C17" t="str">
        <f>IF(ISNUMBER(SEARCH("PARED",INVENTARIO!C17)),"PAR",
IF(ISNUMBER(SEARCH("FRONT",INVENTARIO!C17)),"FRO",
IF(ISNUMBER(SEARCH("ALTA RESISTENCIA",INVENTARIO!C17)),
"ALT-RES",IF(ISNUMBER(SEARCH("BACKLITE",INVENTARIO!C17)),"BAC",
IF(ISNUMBER(SEARCH("MATE",INVENTARIO!C17)),"MAT",
IF(ISNUMBER(SEARCH("MESH",INVENTARIO!C17)),"MES",
IF(ISNUMBER(SEARCH("BRILLANTE",INVENTARIO!C17)),"BRI",
IF(ISNUMBER(SEARCH("DELGADA",INVENTARIO!C17)),"DEL",
IF(ISNUMBER(SEARCH("GRUESA",INVENTARIO!C17)),"GRU",
IF(ISNUMBER(SEARCH("ESTATICO",INVENTARIO!C17)),"EST",
IF(ISNUMBER(SEARCH("REFLECTIVO",INVENTARIO!C17)),"REF",
IF(ISNUMBER(SEARCH("LX700",INVENTARIO!C17)),"LX7",
IF(ISNUMBER(SEARCH("GRANDO",INVENTARIO!C17)),"GRA",
IF(ISNUMBER(SEARCH("FB700",INVENTARIO!C17)),"FB7",
IF(ISNUMBER(SEARCH("LX360",INVENTARIO!C17)),"LX3",
IF(ISNUMBER(SEARCH("XEROX",INVENTARIO!C17)),"XER",
IF(ISNUMBER(SEARCH("CEPILLADO",INVENTARIO!C17)),"CEP",
IF(ISNUMBER(SEARCH("ESPEJO",INVENTARIO!C17)),"ESP",
IF(ISNUMBER(SEARCH("10 PTS",INVENTARIO!C17)),"10PT",
IF(ISNUMBER(SEARCH("12 PTS",INVENTARIO!C17)),"12PT",
IF(ISNUMBER(SEARCH("14 PTS",INVENTARIO!C17)),"14PT",
IF(ISNUMBER(SEARCH("CLASICO",INVENTARIO!C17)),"CLA",
""))))))))))))))))))))))</f>
        <v>MAT</v>
      </c>
      <c r="D17" t="str">
        <f>IF(ISNUMBER(SEARCH("GRAN FORMATO",INVENTARIO!C17)),"GRA-FOR",
IF(ISNUMBER(SEARCH("CAMA PLANA",INVENTARIO!C17)),"CAM-PLA",
IF(ISNUMBER(SEARCH("GRADO INGENIERIA",INVENTARIO!C17)),"GRA-ING",
IF(ISNUMBER(SEARCH("130 GRS",INVENTARIO!C17)),"130GR",
IF(ISNUMBER(SEARCH("150 GRS",INVENTARIO!C17)),"150GR",
IF(ISNUMBER(SEARCH("185 GRS",INVENTARIO!C17)),"185GR",
IF(ISNUMBER(SEARCH("200 GRS",INVENTARIO!C17)),"200GR",
IF(ISNUMBER(SEARCH("250 GRS",INVENTARIO!C17)),"250GR",
IF(ISNUMBER(SEARCH("300 GRS",INVENTARIO!C17)),"300GR",
IF(ISNUMBER(SEARCH("350 GRS",INVENTARIO!C17)),"350GR",
IF(ISNUMBER(SEARCH("18 OZ",INVENTARIO!C17)),"18OZ",
IF(ISNUMBER(SEARCH("15 OZ",INVENTARIO!C17)),"15OZ",
IF(OR(ISNUMBER(SEARCH("13 OZ",INVENTARIO!C17)),ISNUMBER(SEARCH("13 ONZAS",INVENTARIO!C17))),"13OZ",
IF(OR(ISNUMBER(SEARCH("9 OZ",INVENTARIO!C17)),ISNUMBER(SEARCH("9 ONZAS",INVENTARIO!C17))),"09OZ",
IF(ISNUMBER(SEARCH("DOBLE CARA",INVENTARIO!C17)),"DOB-CAR",
"")))))))))))))))</f>
        <v>13OZ</v>
      </c>
      <c r="E17" t="str">
        <f>IF(OR(ISNUMBER(SEARCH("TRANSPARENTE",INVENTARIO!C17)),ISNUMBER(SEARCH("TRANSPARENTES",INVENTARIO!C17))),"TRA",
IF(OR(ISNUMBER(SEARCH("BLANCO",INVENTARIO!C17)),ISNUMBER(SEARCH("BCO",INVENTARIO!C17))),"BLA",
IF(ISNUMBER(SEARCH("FOTOGRAFICO",INVENTARIO!C17)),"FOT",
IF(ISNUMBER(SEARCH("MARFIL",INVENTARIO!C17)),"MAR",
IF(ISNUMBER(SEARCH("VERDE",INVENTARIO!C17)),"VER",
IF(ISNUMBER(SEARCH("MORADO",INVENTARIO!C17)),"MOR",
IF(ISNUMBER(SEARCH("PLATA",INVENTARIO!C17)),"PLA",
IF(ISNUMBER(SEARCH("ORO",INVENTARIO!C17)),"ORO",
IF(ISNUMBER(SEARCH("AMARILLO",INVENTARIO!C17)),"AMA",
IF(ISNUMBER(SEARCH("NARANJA",INVENTARIO!C17)),"NAR",
IF(ISNUMBER(SEARCH("NEGRO",INVENTARIO!C17)),"NEG",
IF(ISNUMBER(SEARCH("ROJO",INVENTARIO!C17)),"ROJ",
IF(ISNUMBER(SEARCH("AZUL",INVENTARIO!C17)),"AZU","")))))))))))))</f>
        <v/>
      </c>
      <c r="F17" t="str">
        <f>IF(ISNUMBER(SEARCH("ARLON",INVENTARIO!C17)),"ARL",
IF(ISNUMBER(SEARCH("SUNTHINKS",INVENTARIO!C17)),"SUN",
IF(ISNUMBER(SEARCH("FRIO",INVENTARIO!C17)),"FRI",
IF(ISNUMBER(SEARCH("CALIDO",INVENTARIO!C17)),"CAL",
IF(ISNUMBER(SEARCH("CEPILLADO",INVENTARIO!C17)),"CEP",
IF(ISNUMBER(SEARCH("ESPEJO",INVENTARIO!C17)),"ESP",
""))))))</f>
        <v/>
      </c>
      <c r="G17" t="str">
        <f>IF(ISNUMBER(SEARCH("LATEX",INVENTARIO!C17)),"LAT",
IF(ISNUMBER(SEARCH("RESP. NEGRO",INVENTARIO!C17)),"RES-NEG",
IF(ISNUMBER(SEARCH("RESPALDO CAFE",INVENTARIO!C17)),"RES-CAF",
IF(ISNUMBER(SEARCH("RESPALDO GRIS",INVENTARIO!C17)),"RES-GRI",
IF(ISNUMBER(SEARCH("OPTICO",INVENTARIO!C17)),"OPT",
IF(ISNUMBER(SEARCH("1,2 MM",INVENTARIO!C17)),"1MM2",
IF(ISNUMBER(SEARCH("2 MM",INVENTARIO!C17)),"2MM",
IF(ISNUMBER(SEARCH("3 MM",INVENTARIO!C17)),"3MM",
IF(ISNUMBER(SEARCH("4 MM",INVENTARIO!C17)),"4MM",
IF(ISNUMBER(SEARCH("5 MM",INVENTARIO!C17)),"5MM",
IF(ISNUMBER(SEARCH("6 MM",INVENTARIO!C17)),"6MM",
IF(ISNUMBER(SEARCH("9 MM",INVENTARIO!C17)),"9MM",
IF(ISNUMBER(SEARCH("10 MM",INVENTARIO!C17)),"10MM","")))))))))))))</f>
        <v/>
      </c>
      <c r="H17" t="str">
        <f>IF(ISNUMBER(SEARCH("GAMA BAJA",INVENTARIO!C17)),"GAM-BAJ",
IF(ISNUMBER(SEARCH("OPTIMIZADOR",INVENTARIO!C17)),"OPT",
IF(ISNUMBER(SEARCH("OVERCOAT",INVENTARIO!C17)),"OVE",
IF(ISNUMBER(SEARCH("WHITE",INVENTARIO!C17)),"WHI",
IF(ISNUMBER(SEARCH("LIGHT CYAN",INVENTARIO!C17)),"LIG-CYA",
IF(ISNUMBER(SEARCH("CYAN",INVENTARIO!C17)),"CYA",
IF(ISNUMBER(SEARCH("LIGHT MAGENTA",INVENTARIO!C17)),"LIG-MAG",
IF(ISNUMBER(SEARCH("MAGENTA",INVENTARIO!C17)),"MAG",
IF(ISNUMBER(SEARCH("BLACK",INVENTARIO!C17)),"BLA",
IF(ISNUMBER(SEARCH("YELLOW",INVENTARIO!C17)),"YEL",
IF(ISNUMBER(SEARCH("2 DIODOS",INVENTARIO!C17)),"2DI",
IF(ISNUMBER(SEARCH("3 DIODOS",INVENTARIO!C17)),"3DI",
IF(OR(ISNUMBER(SEARCH("TRASLUCIDO",INVENTARIO!C17)),ISNUMBER(SEARCH("TRANSLUCIDO",INVENTARIO!C17))),"TRA",
"")))))))))))))</f>
        <v/>
      </c>
      <c r="I17" t="str">
        <f>IF(ISNUMBER(SEARCH("SILED",INVENTARIO!C15)),"SI",
IF(ISNUMBER(SEARCH("SYDEMEX",INVENTARIO!C15)),"SY",
IF(ISNUMBER(SEARCH("ROHS",INVENTARIO!C15)),"RO",
IF(ISNUMBER(SEARCH("RISHANG",INVENTARIO!C15)),"RS",
IF(ISNUMBER(SEARCH("VYG",INVENTARIO!C15)),"VYG",
IF(ISNUMBER(SEARCH("COLED",INVENTARIO!C15)),"CO",""))))))</f>
        <v/>
      </c>
    </row>
    <row r="18" spans="1:9">
      <c r="A18" t="str">
        <f>IF(ISNUMBER(SEARCH("LONA",INVENTARIO!C18)),"LON",
IF(ISNUMBER(SEARCH("VINIL",INVENTARIO!C18)),"VIN",
IF(ISNUMBER(SEARCH("KROMACOTE",INVENTARIO!C18)),"KRO",
IF(ISNUMBER(SEARCH("STARDREAM",INVENTARIO!C18)),"STA",
IF(ISNUMBER(SEARCH("DISPLAY",INVENTARIO!C18)),"DIS",
IF(ISNUMBER(SEARCH("ROLL UP",INVENTARIO!C18)),"ROL-UP",
IF(ISNUMBER(SEARCH("TRANSFER DE PAPEL",INVENTARIO!C18)),"TRA-PAP",
IF(ISNUMBER(SEARCH("TRANSFER",INVENTARIO!C18)),"TRA",IF(ISNUMBER(SEARCH("KOLA LOKA",INVENTARIO!C18)),"KOL-LOK",
IF(ISNUMBER(SEARCH("PETG",INVENTARIO!C18)),"PET",
IF(ISNUMBER(SEARCH("OJILLO",INVENTARIO!C18)),"OJI",
IF(ISNUMBER(SEARCH("COUCHE",INVENTARIO!C18)),"COU",
IF(ISNUMBER(SEARCH("PANEL DE ALUMINIO",INVENTARIO!C18)),"PAN-ALU",
IF(ISNUMBER(SEARCH("PVC",INVENTARIO!C18)),"PVC",
IF(ISNUMBER(SEARCH("PAPEL",INVENTARIO!C18)),"PAP",
IF(ISNUMBER(SEARCH("TELA",INVENTARIO!C18)),"TEL",
IF(ISNUMBER(SEARCH("CARTULINA",INVENTARIO!C18)),"CAR",
IF(OR(ISNUMBER(SEARCH("LAMINA",INVENTARIO!C18)),ISNUMBER(SEARCH("LÁMINA",INVENTARIO!C18)),ISNUMBER(SEARCH("LAMPARAS",INVENTARIO!C18))),"LAM",
IF(ISNUMBER(SEARCH("ESTIRENO",INVENTARIO!C18)),"EST",
IF(ISNUMBER(SEARCH("FOAMBOARD",INVENTARIO!C18)),"FOA",
IF(ISNUMBER(SEARCH("SOLVENTE",INVENTARIO!C18)),"SOL",
IF(ISNUMBER(SEARCH("TINTA",INVENTARIO!C18)),"TIN",
IF(ISNUMBER(SEARCH("ACRILICO",INVENTARIO!C18)),"ACR",
IF(ISNUMBER(SEARCH("MICROLED",INVENTARIO!C18)),"MIC",
IF(ISNUMBER(SEARCH("LED",INVENTARIO!C18)),"LED",
IF(ISNUMBER(SEARCH("FUENTE DE PODER",INVENTARIO!C18)),"FUE-POD",
IF(ISNUMBER(SEARCH("PETG",INVENTARIO!C18)),"PET",
IF(ISNUMBER(SEARCH("ALUMINIO",INVENTARIO!C18)),"ALU",
IF(ISNUMBER(SEARCH("CANAL",INVENTARIO!C18)),"CAN",
IF(ISNUMBER(SEARCH("ESCUADRA",INVENTARIO!C18)),"ESC",
IF(ISNUMBER(SEARCH("SOPORTE",INVENTARIO!C18)),"SOP","OTR")
))))))))))))))))))))))))))))))</f>
        <v>LON</v>
      </c>
      <c r="B18" t="str">
        <f>IF(ISNUMBER(SEARCH("CORTE",INVENTARIO!C18)),"COR",
IF(ISNUMBER(SEARCH("CITYLIGHT",INVENTARIO!C18)),"CIT",
IF(ISNUMBER(SEARCH("LINO",INVENTARIO!C18)),"LIN",
IF(ISNUMBER(SEARCH("FABRIANO",INVENTARIO!C18)),"FAB",
IF(ISNUMBER(SEARCH("SUNDANCE",INVENTARIO!C18)),"SUN",
IF(ISNUMBER(SEARCH("SINTETICA",INVENTARIO!C18)),"SIN",
IF(ISNUMBER(SEARCH("CONTROL",INVENTARIO!C18)),"CON",
IF(ISNUMBER(SEARCH("TERMICO",INVENTARIO!C18)),"TER",
IF(ISNUMBER(SEARCH("C-15",INVENTARIO!C18)),"C15",
IF(ISNUMBER(SEARCH("C-20",INVENTARIO!C18)),"C20",
IF(ISNUMBER(SEARCH("C-30",INVENTARIO!C18)),"C30",
IF(ISNUMBER(SEARCH("C-40",INVENTARIO!C18)),"C40",
IF(ISNUMBER(SEARCH("C-60",INVENTARIO!C18)),"C60",
IF(ISNUMBER(SEARCH("C-80",INVENTARIO!C18)),"C80",
IF(ISNUMBER(SEARCH("EQUIPO",INVENTARIO!C18)),"EQU",
IF(ISNUMBER(SEARCH("FLOOR",INVENTARIO!C18)),"FLO",
IF(ISNUMBER(SEARCH("CRISTAL",INVENTARIO!C18)),"CRI",
IF(ISNUMBER(SEARCH(" SULFATADA",INVENTARIO!C29)),"SUL",
IF(ISNUMBER(SEARCH("OPALINA",INVENTARIO!C18)),"OPA",
IF(ISNUMBER(SEARCH("ADHERIBLE",INVENTARIO!C18)),"ADH",
IF(ISNUMBER(SEARCH("MICRO",INVENTARIO!C18)),"MIC","")))))))))))))))))))))</f>
        <v/>
      </c>
      <c r="C18" t="str">
        <f>IF(ISNUMBER(SEARCH("PARED",INVENTARIO!C18)),"PAR",
IF(ISNUMBER(SEARCH("FRONT",INVENTARIO!C18)),"FRO",
IF(ISNUMBER(SEARCH("ALTA RESISTENCIA",INVENTARIO!C18)),
"ALT-RES",IF(ISNUMBER(SEARCH("BACKLITE",INVENTARIO!C18)),"BAC",
IF(ISNUMBER(SEARCH("MATE",INVENTARIO!C18)),"MAT",
IF(ISNUMBER(SEARCH("MESH",INVENTARIO!C18)),"MES",
IF(ISNUMBER(SEARCH("BRILLANTE",INVENTARIO!C18)),"BRI",
IF(ISNUMBER(SEARCH("DELGADA",INVENTARIO!C18)),"DEL",
IF(ISNUMBER(SEARCH("GRUESA",INVENTARIO!C18)),"GRU",
IF(ISNUMBER(SEARCH("ESTATICO",INVENTARIO!C18)),"EST",
IF(ISNUMBER(SEARCH("REFLECTIVO",INVENTARIO!C18)),"REF",
IF(ISNUMBER(SEARCH("LX700",INVENTARIO!C18)),"LX7",
IF(ISNUMBER(SEARCH("GRANDO",INVENTARIO!C18)),"GRA",
IF(ISNUMBER(SEARCH("FB700",INVENTARIO!C18)),"FB7",
IF(ISNUMBER(SEARCH("LX360",INVENTARIO!C18)),"LX3",
IF(ISNUMBER(SEARCH("XEROX",INVENTARIO!C18)),"XER",
IF(ISNUMBER(SEARCH("CEPILLADO",INVENTARIO!C18)),"CEP",
IF(ISNUMBER(SEARCH("ESPEJO",INVENTARIO!C18)),"ESP",
IF(ISNUMBER(SEARCH("10 PTS",INVENTARIO!C18)),"10PT",
IF(ISNUMBER(SEARCH("12 PTS",INVENTARIO!C18)),"12PT",
IF(ISNUMBER(SEARCH("14 PTS",INVENTARIO!C18)),"14PT",
IF(ISNUMBER(SEARCH("CLASICO",INVENTARIO!C18)),"CLA",
""))))))))))))))))))))))</f>
        <v>MAT</v>
      </c>
      <c r="D18" t="str">
        <f>IF(ISNUMBER(SEARCH("GRAN FORMATO",INVENTARIO!C18)),"GRA-FOR",
IF(ISNUMBER(SEARCH("CAMA PLANA",INVENTARIO!C18)),"CAM-PLA",
IF(ISNUMBER(SEARCH("GRADO INGENIERIA",INVENTARIO!C18)),"GRA-ING",
IF(ISNUMBER(SEARCH("130 GRS",INVENTARIO!C18)),"130GR",
IF(ISNUMBER(SEARCH("150 GRS",INVENTARIO!C18)),"150GR",
IF(ISNUMBER(SEARCH("185 GRS",INVENTARIO!C18)),"185GR",
IF(ISNUMBER(SEARCH("200 GRS",INVENTARIO!C18)),"200GR",
IF(ISNUMBER(SEARCH("250 GRS",INVENTARIO!C18)),"250GR",
IF(ISNUMBER(SEARCH("300 GRS",INVENTARIO!C18)),"300GR",
IF(ISNUMBER(SEARCH("350 GRS",INVENTARIO!C18)),"350GR",
IF(ISNUMBER(SEARCH("18 OZ",INVENTARIO!C18)),"18OZ",
IF(ISNUMBER(SEARCH("15 OZ",INVENTARIO!C18)),"15OZ",
IF(OR(ISNUMBER(SEARCH("13 OZ",INVENTARIO!C18)),ISNUMBER(SEARCH("13 ONZAS",INVENTARIO!C18))),"13OZ",
IF(OR(ISNUMBER(SEARCH("9 OZ",INVENTARIO!C18)),ISNUMBER(SEARCH("9 ONZAS",INVENTARIO!C18))),"09OZ",
IF(ISNUMBER(SEARCH("DOBLE CARA",INVENTARIO!C18)),"DOB-CAR",
"")))))))))))))))</f>
        <v>13OZ</v>
      </c>
      <c r="E18" t="str">
        <f>IF(OR(ISNUMBER(SEARCH("TRANSPARENTE",INVENTARIO!C18)),ISNUMBER(SEARCH("TRANSPARENTES",INVENTARIO!C18))),"TRA",
IF(OR(ISNUMBER(SEARCH("BLANCO",INVENTARIO!C18)),ISNUMBER(SEARCH("BCO",INVENTARIO!C18))),"BLA",
IF(ISNUMBER(SEARCH("FOTOGRAFICO",INVENTARIO!C18)),"FOT",
IF(ISNUMBER(SEARCH("MARFIL",INVENTARIO!C18)),"MAR",
IF(ISNUMBER(SEARCH("VERDE",INVENTARIO!C18)),"VER",
IF(ISNUMBER(SEARCH("MORADO",INVENTARIO!C18)),"MOR",
IF(ISNUMBER(SEARCH("PLATA",INVENTARIO!C18)),"PLA",
IF(ISNUMBER(SEARCH("ORO",INVENTARIO!C18)),"ORO",
IF(ISNUMBER(SEARCH("AMARILLO",INVENTARIO!C18)),"AMA",
IF(ISNUMBER(SEARCH("NARANJA",INVENTARIO!C18)),"NAR",
IF(ISNUMBER(SEARCH("NEGRO",INVENTARIO!C18)),"NEG",
IF(ISNUMBER(SEARCH("ROJO",INVENTARIO!C18)),"ROJ",
IF(ISNUMBER(SEARCH("AZUL",INVENTARIO!C18)),"AZU","")))))))))))))</f>
        <v/>
      </c>
      <c r="F18" t="str">
        <f>IF(ISNUMBER(SEARCH("ARLON",INVENTARIO!C18)),"ARL",
IF(ISNUMBER(SEARCH("SUNTHINKS",INVENTARIO!C18)),"SUN",
IF(ISNUMBER(SEARCH("FRIO",INVENTARIO!C18)),"FRI",
IF(ISNUMBER(SEARCH("CALIDO",INVENTARIO!C18)),"CAL",
IF(ISNUMBER(SEARCH("CEPILLADO",INVENTARIO!C18)),"CEP",
IF(ISNUMBER(SEARCH("ESPEJO",INVENTARIO!C18)),"ESP",
""))))))</f>
        <v/>
      </c>
      <c r="G18" t="str">
        <f>IF(ISNUMBER(SEARCH("LATEX",INVENTARIO!C18)),"LAT",
IF(ISNUMBER(SEARCH("RESP. NEGRO",INVENTARIO!C18)),"RES-NEG",
IF(ISNUMBER(SEARCH("RESPALDO CAFE",INVENTARIO!C18)),"RES-CAF",
IF(ISNUMBER(SEARCH("RESPALDO GRIS",INVENTARIO!C18)),"RES-GRI",
IF(ISNUMBER(SEARCH("OPTICO",INVENTARIO!C18)),"OPT",
IF(ISNUMBER(SEARCH("1,2 MM",INVENTARIO!C18)),"1MM2",
IF(ISNUMBER(SEARCH("2 MM",INVENTARIO!C18)),"2MM",
IF(ISNUMBER(SEARCH("3 MM",INVENTARIO!C18)),"3MM",
IF(ISNUMBER(SEARCH("4 MM",INVENTARIO!C18)),"4MM",
IF(ISNUMBER(SEARCH("5 MM",INVENTARIO!C18)),"5MM",
IF(ISNUMBER(SEARCH("6 MM",INVENTARIO!C18)),"6MM",
IF(ISNUMBER(SEARCH("9 MM",INVENTARIO!C18)),"9MM",
IF(ISNUMBER(SEARCH("10 MM",INVENTARIO!C18)),"10MM","")))))))))))))</f>
        <v/>
      </c>
      <c r="H18" t="str">
        <f>IF(ISNUMBER(SEARCH("GAMA BAJA",INVENTARIO!C18)),"GAM-BAJ",
IF(ISNUMBER(SEARCH("OPTIMIZADOR",INVENTARIO!C18)),"OPT",
IF(ISNUMBER(SEARCH("OVERCOAT",INVENTARIO!C18)),"OVE",
IF(ISNUMBER(SEARCH("WHITE",INVENTARIO!C18)),"WHI",
IF(ISNUMBER(SEARCH("LIGHT CYAN",INVENTARIO!C18)),"LIG-CYA",
IF(ISNUMBER(SEARCH("CYAN",INVENTARIO!C18)),"CYA",
IF(ISNUMBER(SEARCH("LIGHT MAGENTA",INVENTARIO!C18)),"LIG-MAG",
IF(ISNUMBER(SEARCH("MAGENTA",INVENTARIO!C18)),"MAG",
IF(ISNUMBER(SEARCH("BLACK",INVENTARIO!C18)),"BLA",
IF(ISNUMBER(SEARCH("YELLOW",INVENTARIO!C18)),"YEL",
IF(ISNUMBER(SEARCH("2 DIODOS",INVENTARIO!C18)),"2DI",
IF(ISNUMBER(SEARCH("3 DIODOS",INVENTARIO!C18)),"3DI",
IF(OR(ISNUMBER(SEARCH("TRASLUCIDO",INVENTARIO!C18)),ISNUMBER(SEARCH("TRANSLUCIDO",INVENTARIO!C18))),"TRA",
"")))))))))))))</f>
        <v/>
      </c>
      <c r="I18" t="str">
        <f>IF(ISNUMBER(SEARCH("SILED",INVENTARIO!C17)),"SI",
IF(ISNUMBER(SEARCH("SYDEMEX",INVENTARIO!C17)),"SY",
IF(ISNUMBER(SEARCH("ROHS",INVENTARIO!C17)),"RO",
IF(ISNUMBER(SEARCH("RISHANG",INVENTARIO!C17)),"RS",
IF(ISNUMBER(SEARCH("VYG",INVENTARIO!C17)),"VYG",
IF(ISNUMBER(SEARCH("COLED",INVENTARIO!C17)),"CO",""))))))</f>
        <v/>
      </c>
    </row>
    <row r="19" spans="1:9">
      <c r="A19" t="str">
        <f>IF(ISNUMBER(SEARCH("LONA",INVENTARIO!C19)),"LON",
IF(ISNUMBER(SEARCH("VINIL",INVENTARIO!C19)),"VIN",
IF(ISNUMBER(SEARCH("KROMACOTE",INVENTARIO!C19)),"KRO",
IF(ISNUMBER(SEARCH("STARDREAM",INVENTARIO!C19)),"STA",
IF(ISNUMBER(SEARCH("DISPLAY",INVENTARIO!C19)),"DIS",
IF(ISNUMBER(SEARCH("ROLL UP",INVENTARIO!C19)),"ROL-UP",
IF(ISNUMBER(SEARCH("TRANSFER DE PAPEL",INVENTARIO!C19)),"TRA-PAP",
IF(ISNUMBER(SEARCH("TRANSFER",INVENTARIO!C19)),"TRA",IF(ISNUMBER(SEARCH("KOLA LOKA",INVENTARIO!C19)),"KOL-LOK",
IF(ISNUMBER(SEARCH("PETG",INVENTARIO!C19)),"PET",
IF(ISNUMBER(SEARCH("OJILLO",INVENTARIO!C19)),"OJI",
IF(ISNUMBER(SEARCH("COUCHE",INVENTARIO!C19)),"COU",
IF(ISNUMBER(SEARCH("PANEL DE ALUMINIO",INVENTARIO!C19)),"PAN-ALU",
IF(ISNUMBER(SEARCH("PVC",INVENTARIO!C19)),"PVC",
IF(ISNUMBER(SEARCH("PAPEL",INVENTARIO!C19)),"PAP",
IF(ISNUMBER(SEARCH("TELA",INVENTARIO!C19)),"TEL",
IF(ISNUMBER(SEARCH("CARTULINA",INVENTARIO!C19)),"CAR",
IF(OR(ISNUMBER(SEARCH("LAMINA",INVENTARIO!C19)),ISNUMBER(SEARCH("LÁMINA",INVENTARIO!C19)),ISNUMBER(SEARCH("LAMPARAS",INVENTARIO!C19))),"LAM",
IF(ISNUMBER(SEARCH("ESTIRENO",INVENTARIO!C19)),"EST",
IF(ISNUMBER(SEARCH("FOAMBOARD",INVENTARIO!C19)),"FOA",
IF(ISNUMBER(SEARCH("SOLVENTE",INVENTARIO!C19)),"SOL",
IF(ISNUMBER(SEARCH("TINTA",INVENTARIO!C19)),"TIN",
IF(ISNUMBER(SEARCH("ACRILICO",INVENTARIO!C19)),"ACR",
IF(ISNUMBER(SEARCH("MICROLED",INVENTARIO!C19)),"MIC",
IF(ISNUMBER(SEARCH("LED",INVENTARIO!C19)),"LED",
IF(ISNUMBER(SEARCH("FUENTE DE PODER",INVENTARIO!C19)),"FUE-POD",
IF(ISNUMBER(SEARCH("PETG",INVENTARIO!C19)),"PET",
IF(ISNUMBER(SEARCH("ALUMINIO",INVENTARIO!C19)),"ALU",
IF(ISNUMBER(SEARCH("CANAL",INVENTARIO!C19)),"CAN",
IF(ISNUMBER(SEARCH("ESCUADRA",INVENTARIO!C19)),"ESC",
IF(ISNUMBER(SEARCH("SOPORTE",INVENTARIO!C19)),"SOP","OTR")
))))))))))))))))))))))))))))))</f>
        <v>LON</v>
      </c>
      <c r="B19" t="str">
        <f>IF(ISNUMBER(SEARCH("CORTE",INVENTARIO!C19)),"COR",
IF(ISNUMBER(SEARCH("CITYLIGHT",INVENTARIO!C19)),"CIT",
IF(ISNUMBER(SEARCH("LINO",INVENTARIO!C19)),"LIN",
IF(ISNUMBER(SEARCH("FABRIANO",INVENTARIO!C19)),"FAB",
IF(ISNUMBER(SEARCH("SUNDANCE",INVENTARIO!C19)),"SUN",
IF(ISNUMBER(SEARCH("SINTETICA",INVENTARIO!C19)),"SIN",
IF(ISNUMBER(SEARCH("CONTROL",INVENTARIO!C19)),"CON",
IF(ISNUMBER(SEARCH("TERMICO",INVENTARIO!C19)),"TER",
IF(ISNUMBER(SEARCH("C-15",INVENTARIO!C19)),"C15",
IF(ISNUMBER(SEARCH("C-20",INVENTARIO!C19)),"C20",
IF(ISNUMBER(SEARCH("C-30",INVENTARIO!C19)),"C30",
IF(ISNUMBER(SEARCH("C-40",INVENTARIO!C19)),"C40",
IF(ISNUMBER(SEARCH("C-60",INVENTARIO!C19)),"C60",
IF(ISNUMBER(SEARCH("C-80",INVENTARIO!C19)),"C80",
IF(ISNUMBER(SEARCH("EQUIPO",INVENTARIO!C19)),"EQU",
IF(ISNUMBER(SEARCH("FLOOR",INVENTARIO!C19)),"FLO",
IF(ISNUMBER(SEARCH("CRISTAL",INVENTARIO!C19)),"CRI",
IF(ISNUMBER(SEARCH(" SULFATADA",INVENTARIO!C30)),"SUL",
IF(ISNUMBER(SEARCH("OPALINA",INVENTARIO!C19)),"OPA",
IF(ISNUMBER(SEARCH("ADHERIBLE",INVENTARIO!C19)),"ADH",
IF(ISNUMBER(SEARCH("MICRO",INVENTARIO!C19)),"MIC","")))))))))))))))))))))</f>
        <v/>
      </c>
      <c r="C19" t="str">
        <f>IF(ISNUMBER(SEARCH("PARED",INVENTARIO!C19)),"PAR",
IF(ISNUMBER(SEARCH("FRONT",INVENTARIO!C19)),"FRO",
IF(ISNUMBER(SEARCH("ALTA RESISTENCIA",INVENTARIO!C19)),
"ALT-RES",IF(ISNUMBER(SEARCH("BACKLITE",INVENTARIO!C19)),"BAC",
IF(ISNUMBER(SEARCH("MATE",INVENTARIO!C19)),"MAT",
IF(ISNUMBER(SEARCH("MESH",INVENTARIO!C19)),"MES",
IF(ISNUMBER(SEARCH("BRILLANTE",INVENTARIO!C19)),"BRI",
IF(ISNUMBER(SEARCH("DELGADA",INVENTARIO!C19)),"DEL",
IF(ISNUMBER(SEARCH("GRUESA",INVENTARIO!C19)),"GRU",
IF(ISNUMBER(SEARCH("ESTATICO",INVENTARIO!C19)),"EST",
IF(ISNUMBER(SEARCH("REFLECTIVO",INVENTARIO!C19)),"REF",
IF(ISNUMBER(SEARCH("LX700",INVENTARIO!C19)),"LX7",
IF(ISNUMBER(SEARCH("GRANDO",INVENTARIO!C19)),"GRA",
IF(ISNUMBER(SEARCH("FB700",INVENTARIO!C19)),"FB7",
IF(ISNUMBER(SEARCH("LX360",INVENTARIO!C19)),"LX3",
IF(ISNUMBER(SEARCH("XEROX",INVENTARIO!C19)),"XER",
IF(ISNUMBER(SEARCH("CEPILLADO",INVENTARIO!C19)),"CEP",
IF(ISNUMBER(SEARCH("ESPEJO",INVENTARIO!C19)),"ESP",
IF(ISNUMBER(SEARCH("10 PTS",INVENTARIO!C19)),"10PT",
IF(ISNUMBER(SEARCH("12 PTS",INVENTARIO!C19)),"12PT",
IF(ISNUMBER(SEARCH("14 PTS",INVENTARIO!C19)),"14PT",
IF(ISNUMBER(SEARCH("CLASICO",INVENTARIO!C19)),"CLA",
""))))))))))))))))))))))</f>
        <v>MAT</v>
      </c>
      <c r="D19" t="str">
        <f>IF(ISNUMBER(SEARCH("GRAN FORMATO",INVENTARIO!C19)),"GRA-FOR",
IF(ISNUMBER(SEARCH("CAMA PLANA",INVENTARIO!C19)),"CAM-PLA",
IF(ISNUMBER(SEARCH("GRADO INGENIERIA",INVENTARIO!C19)),"GRA-ING",
IF(ISNUMBER(SEARCH("130 GRS",INVENTARIO!C19)),"130GR",
IF(ISNUMBER(SEARCH("150 GRS",INVENTARIO!C19)),"150GR",
IF(ISNUMBER(SEARCH("185 GRS",INVENTARIO!C19)),"185GR",
IF(ISNUMBER(SEARCH("200 GRS",INVENTARIO!C19)),"200GR",
IF(ISNUMBER(SEARCH("250 GRS",INVENTARIO!C19)),"250GR",
IF(ISNUMBER(SEARCH("300 GRS",INVENTARIO!C19)),"300GR",
IF(ISNUMBER(SEARCH("350 GRS",INVENTARIO!C19)),"350GR",
IF(ISNUMBER(SEARCH("18 OZ",INVENTARIO!C19)),"18OZ",
IF(ISNUMBER(SEARCH("15 OZ",INVENTARIO!C19)),"15OZ",
IF(OR(ISNUMBER(SEARCH("13 OZ",INVENTARIO!C19)),ISNUMBER(SEARCH("13 ONZAS",INVENTARIO!C19))),"13OZ",
IF(OR(ISNUMBER(SEARCH("9 OZ",INVENTARIO!C19)),ISNUMBER(SEARCH("9 ONZAS",INVENTARIO!C19))),"09OZ",
IF(ISNUMBER(SEARCH("DOBLE CARA",INVENTARIO!C19)),"DOB-CAR",
"")))))))))))))))</f>
        <v>13OZ</v>
      </c>
      <c r="E19" t="str">
        <f>IF(OR(ISNUMBER(SEARCH("TRANSPARENTE",INVENTARIO!C19)),ISNUMBER(SEARCH("TRANSPARENTES",INVENTARIO!C19))),"TRA",
IF(OR(ISNUMBER(SEARCH("BLANCO",INVENTARIO!C19)),ISNUMBER(SEARCH("BCO",INVENTARIO!C19))),"BLA",
IF(ISNUMBER(SEARCH("FOTOGRAFICO",INVENTARIO!C19)),"FOT",
IF(ISNUMBER(SEARCH("MARFIL",INVENTARIO!C19)),"MAR",
IF(ISNUMBER(SEARCH("VERDE",INVENTARIO!C19)),"VER",
IF(ISNUMBER(SEARCH("MORADO",INVENTARIO!C19)),"MOR",
IF(ISNUMBER(SEARCH("PLATA",INVENTARIO!C19)),"PLA",
IF(ISNUMBER(SEARCH("ORO",INVENTARIO!C19)),"ORO",
IF(ISNUMBER(SEARCH("AMARILLO",INVENTARIO!C19)),"AMA",
IF(ISNUMBER(SEARCH("NARANJA",INVENTARIO!C19)),"NAR",
IF(ISNUMBER(SEARCH("NEGRO",INVENTARIO!C19)),"NEG",
IF(ISNUMBER(SEARCH("ROJO",INVENTARIO!C19)),"ROJ",
IF(ISNUMBER(SEARCH("AZUL",INVENTARIO!C19)),"AZU","")))))))))))))</f>
        <v/>
      </c>
      <c r="F19" t="str">
        <f>IF(ISNUMBER(SEARCH("ARLON",INVENTARIO!C19)),"ARL",
IF(ISNUMBER(SEARCH("SUNTHINKS",INVENTARIO!C19)),"SUN",
IF(ISNUMBER(SEARCH("FRIO",INVENTARIO!C19)),"FRI",
IF(ISNUMBER(SEARCH("CALIDO",INVENTARIO!C19)),"CAL",
IF(ISNUMBER(SEARCH("CEPILLADO",INVENTARIO!C19)),"CEP",
IF(ISNUMBER(SEARCH("ESPEJO",INVENTARIO!C19)),"ESP",
""))))))</f>
        <v/>
      </c>
      <c r="G19" t="str">
        <f>IF(ISNUMBER(SEARCH("LATEX",INVENTARIO!C19)),"LAT",
IF(ISNUMBER(SEARCH("RESP. NEGRO",INVENTARIO!C19)),"RES-NEG",
IF(ISNUMBER(SEARCH("RESPALDO CAFE",INVENTARIO!C19)),"RES-CAF",
IF(ISNUMBER(SEARCH("RESPALDO GRIS",INVENTARIO!C19)),"RES-GRI",
IF(ISNUMBER(SEARCH("OPTICO",INVENTARIO!C19)),"OPT",
IF(ISNUMBER(SEARCH("1,2 MM",INVENTARIO!C19)),"1MM2",
IF(ISNUMBER(SEARCH("2 MM",INVENTARIO!C19)),"2MM",
IF(ISNUMBER(SEARCH("3 MM",INVENTARIO!C19)),"3MM",
IF(ISNUMBER(SEARCH("4 MM",INVENTARIO!C19)),"4MM",
IF(ISNUMBER(SEARCH("5 MM",INVENTARIO!C19)),"5MM",
IF(ISNUMBER(SEARCH("6 MM",INVENTARIO!C19)),"6MM",
IF(ISNUMBER(SEARCH("9 MM",INVENTARIO!C19)),"9MM",
IF(ISNUMBER(SEARCH("10 MM",INVENTARIO!C19)),"10MM","")))))))))))))</f>
        <v/>
      </c>
      <c r="H19" t="str">
        <f>IF(ISNUMBER(SEARCH("GAMA BAJA",INVENTARIO!C19)),"GAM-BAJ",
IF(ISNUMBER(SEARCH("OPTIMIZADOR",INVENTARIO!C19)),"OPT",
IF(ISNUMBER(SEARCH("OVERCOAT",INVENTARIO!C19)),"OVE",
IF(ISNUMBER(SEARCH("WHITE",INVENTARIO!C19)),"WHI",
IF(ISNUMBER(SEARCH("LIGHT CYAN",INVENTARIO!C19)),"LIG-CYA",
IF(ISNUMBER(SEARCH("CYAN",INVENTARIO!C19)),"CYA",
IF(ISNUMBER(SEARCH("LIGHT MAGENTA",INVENTARIO!C19)),"LIG-MAG",
IF(ISNUMBER(SEARCH("MAGENTA",INVENTARIO!C19)),"MAG",
IF(ISNUMBER(SEARCH("BLACK",INVENTARIO!C19)),"BLA",
IF(ISNUMBER(SEARCH("YELLOW",INVENTARIO!C19)),"YEL",
IF(ISNUMBER(SEARCH("2 DIODOS",INVENTARIO!C19)),"2DI",
IF(ISNUMBER(SEARCH("3 DIODOS",INVENTARIO!C19)),"3DI",
IF(OR(ISNUMBER(SEARCH("TRASLUCIDO",INVENTARIO!C19)),ISNUMBER(SEARCH("TRANSLUCIDO",INVENTARIO!C19))),"TRA",
"")))))))))))))</f>
        <v/>
      </c>
      <c r="I19" t="str">
        <f>IF(ISNUMBER(SEARCH("SILED",INVENTARIO!C21)),"SI",
IF(ISNUMBER(SEARCH("SYDEMEX",INVENTARIO!C21)),"SY",
IF(ISNUMBER(SEARCH("ROHS",INVENTARIO!C21)),"RO",
IF(ISNUMBER(SEARCH("RISHANG",INVENTARIO!C21)),"RS",
IF(ISNUMBER(SEARCH("VYG",INVENTARIO!C21)),"VYG",
IF(ISNUMBER(SEARCH("COLED",INVENTARIO!C21)),"CO",""))))))</f>
        <v/>
      </c>
    </row>
    <row r="20" spans="1:9">
      <c r="A20" t="str">
        <f>IF(ISNUMBER(SEARCH("LONA",INVENTARIO!C20)),"LON",
IF(ISNUMBER(SEARCH("VINIL",INVENTARIO!C20)),"VIN",
IF(ISNUMBER(SEARCH("KROMACOTE",INVENTARIO!C20)),"KRO",
IF(ISNUMBER(SEARCH("STARDREAM",INVENTARIO!C20)),"STA",
IF(ISNUMBER(SEARCH("DISPLAY",INVENTARIO!C20)),"DIS",
IF(ISNUMBER(SEARCH("ROLL UP",INVENTARIO!C20)),"ROL-UP",
IF(ISNUMBER(SEARCH("TRANSFER DE PAPEL",INVENTARIO!C20)),"TRA-PAP",
IF(ISNUMBER(SEARCH("TRANSFER",INVENTARIO!C20)),"TRA",IF(ISNUMBER(SEARCH("KOLA LOKA",INVENTARIO!C20)),"KOL-LOK",
IF(ISNUMBER(SEARCH("PETG",INVENTARIO!C20)),"PET",
IF(ISNUMBER(SEARCH("OJILLO",INVENTARIO!C20)),"OJI",
IF(ISNUMBER(SEARCH("COUCHE",INVENTARIO!C20)),"COU",
IF(ISNUMBER(SEARCH("PANEL DE ALUMINIO",INVENTARIO!C20)),"PAN-ALU",
IF(ISNUMBER(SEARCH("PVC",INVENTARIO!C20)),"PVC",
IF(ISNUMBER(SEARCH("PAPEL",INVENTARIO!C20)),"PAP",
IF(ISNUMBER(SEARCH("TELA",INVENTARIO!C20)),"TEL",
IF(ISNUMBER(SEARCH("CARTULINA",INVENTARIO!C20)),"CAR",
IF(OR(ISNUMBER(SEARCH("LAMINA",INVENTARIO!C20)),ISNUMBER(SEARCH("LÁMINA",INVENTARIO!C20)),ISNUMBER(SEARCH("LAMPARAS",INVENTARIO!C20))),"LAM",
IF(ISNUMBER(SEARCH("ESTIRENO",INVENTARIO!C20)),"EST",
IF(ISNUMBER(SEARCH("FOAMBOARD",INVENTARIO!C20)),"FOA",
IF(ISNUMBER(SEARCH("SOLVENTE",INVENTARIO!C20)),"SOL",
IF(ISNUMBER(SEARCH("TINTA",INVENTARIO!C20)),"TIN",
IF(ISNUMBER(SEARCH("ACRILICO",INVENTARIO!C20)),"ACR",
IF(ISNUMBER(SEARCH("MICROLED",INVENTARIO!C20)),"MIC",
IF(ISNUMBER(SEARCH("LED",INVENTARIO!C20)),"LED",
IF(ISNUMBER(SEARCH("FUENTE DE PODER",INVENTARIO!C20)),"FUE-POD",
IF(ISNUMBER(SEARCH("PETG",INVENTARIO!C20)),"PET",
IF(ISNUMBER(SEARCH("ALUMINIO",INVENTARIO!C20)),"ALU",
IF(ISNUMBER(SEARCH("CANAL",INVENTARIO!C20)),"CAN",
IF(ISNUMBER(SEARCH("ESCUADRA",INVENTARIO!C20)),"ESC",
IF(ISNUMBER(SEARCH("SOPORTE",INVENTARIO!C20)),"SOP","OTR")
))))))))))))))))))))))))))))))</f>
        <v>LON</v>
      </c>
      <c r="B20" t="str">
        <f>IF(ISNUMBER(SEARCH("CORTE",INVENTARIO!C20)),"COR",
IF(ISNUMBER(SEARCH("CITYLIGHT",INVENTARIO!C20)),"CIT",
IF(ISNUMBER(SEARCH("LINO",INVENTARIO!C20)),"LIN",
IF(ISNUMBER(SEARCH("FABRIANO",INVENTARIO!C20)),"FAB",
IF(ISNUMBER(SEARCH("SUNDANCE",INVENTARIO!C20)),"SUN",
IF(ISNUMBER(SEARCH("SINTETICA",INVENTARIO!C20)),"SIN",
IF(ISNUMBER(SEARCH("CONTROL",INVENTARIO!C20)),"CON",
IF(ISNUMBER(SEARCH("TERMICO",INVENTARIO!C20)),"TER",
IF(ISNUMBER(SEARCH("C-15",INVENTARIO!C20)),"C15",
IF(ISNUMBER(SEARCH("C-20",INVENTARIO!C20)),"C20",
IF(ISNUMBER(SEARCH("C-30",INVENTARIO!C20)),"C30",
IF(ISNUMBER(SEARCH("C-40",INVENTARIO!C20)),"C40",
IF(ISNUMBER(SEARCH("C-60",INVENTARIO!C20)),"C60",
IF(ISNUMBER(SEARCH("C-80",INVENTARIO!C20)),"C80",
IF(ISNUMBER(SEARCH("EQUIPO",INVENTARIO!C20)),"EQU",
IF(ISNUMBER(SEARCH("FLOOR",INVENTARIO!C20)),"FLO",
IF(ISNUMBER(SEARCH("CRISTAL",INVENTARIO!C20)),"CRI",
IF(ISNUMBER(SEARCH(" SULFATADA",INVENTARIO!C31)),"SUL",
IF(ISNUMBER(SEARCH("OPALINA",INVENTARIO!C20)),"OPA",
IF(ISNUMBER(SEARCH("ADHERIBLE",INVENTARIO!C20)),"ADH",
IF(ISNUMBER(SEARCH("MICRO",INVENTARIO!C20)),"MIC","")))))))))))))))))))))</f>
        <v/>
      </c>
      <c r="C20" t="str">
        <f>IF(ISNUMBER(SEARCH("PARED",INVENTARIO!C20)),"PAR",
IF(ISNUMBER(SEARCH("FRONT",INVENTARIO!C20)),"FRO",
IF(ISNUMBER(SEARCH("ALTA RESISTENCIA",INVENTARIO!C20)),
"ALT-RES",IF(ISNUMBER(SEARCH("BACKLITE",INVENTARIO!C20)),"BAC",
IF(ISNUMBER(SEARCH("MATE",INVENTARIO!C20)),"MAT",
IF(ISNUMBER(SEARCH("MESH",INVENTARIO!C20)),"MES",
IF(ISNUMBER(SEARCH("BRILLANTE",INVENTARIO!C20)),"BRI",
IF(ISNUMBER(SEARCH("DELGADA",INVENTARIO!C20)),"DEL",
IF(ISNUMBER(SEARCH("GRUESA",INVENTARIO!C20)),"GRU",
IF(ISNUMBER(SEARCH("ESTATICO",INVENTARIO!C20)),"EST",
IF(ISNUMBER(SEARCH("REFLECTIVO",INVENTARIO!C20)),"REF",
IF(ISNUMBER(SEARCH("LX700",INVENTARIO!C20)),"LX7",
IF(ISNUMBER(SEARCH("GRANDO",INVENTARIO!C20)),"GRA",
IF(ISNUMBER(SEARCH("FB700",INVENTARIO!C20)),"FB7",
IF(ISNUMBER(SEARCH("LX360",INVENTARIO!C20)),"LX3",
IF(ISNUMBER(SEARCH("XEROX",INVENTARIO!C20)),"XER",
IF(ISNUMBER(SEARCH("CEPILLADO",INVENTARIO!C20)),"CEP",
IF(ISNUMBER(SEARCH("ESPEJO",INVENTARIO!C20)),"ESP",
IF(ISNUMBER(SEARCH("10 PTS",INVENTARIO!C20)),"10PT",
IF(ISNUMBER(SEARCH("12 PTS",INVENTARIO!C20)),"12PT",
IF(ISNUMBER(SEARCH("14 PTS",INVENTARIO!C20)),"14PT",
IF(ISNUMBER(SEARCH("CLASICO",INVENTARIO!C20)),"CLA",
""))))))))))))))))))))))</f>
        <v>MAT</v>
      </c>
      <c r="D20" t="str">
        <f>IF(ISNUMBER(SEARCH("GRAN FORMATO",INVENTARIO!C20)),"GRA-FOR",
IF(ISNUMBER(SEARCH("CAMA PLANA",INVENTARIO!C20)),"CAM-PLA",
IF(ISNUMBER(SEARCH("GRADO INGENIERIA",INVENTARIO!C20)),"GRA-ING",
IF(ISNUMBER(SEARCH("130 GRS",INVENTARIO!C20)),"130GR",
IF(ISNUMBER(SEARCH("150 GRS",INVENTARIO!C20)),"150GR",
IF(ISNUMBER(SEARCH("185 GRS",INVENTARIO!C20)),"185GR",
IF(ISNUMBER(SEARCH("200 GRS",INVENTARIO!C20)),"200GR",
IF(ISNUMBER(SEARCH("250 GRS",INVENTARIO!C20)),"250GR",
IF(ISNUMBER(SEARCH("300 GRS",INVENTARIO!C20)),"300GR",
IF(ISNUMBER(SEARCH("350 GRS",INVENTARIO!C20)),"350GR",
IF(ISNUMBER(SEARCH("18 OZ",INVENTARIO!C20)),"18OZ",
IF(ISNUMBER(SEARCH("15 OZ",INVENTARIO!C20)),"15OZ",
IF(OR(ISNUMBER(SEARCH("13 OZ",INVENTARIO!C20)),ISNUMBER(SEARCH("13 ONZAS",INVENTARIO!C20))),"13OZ",
IF(OR(ISNUMBER(SEARCH("9 OZ",INVENTARIO!C20)),ISNUMBER(SEARCH("9 ONZAS",INVENTARIO!C20))),"09OZ",
IF(ISNUMBER(SEARCH("DOBLE CARA",INVENTARIO!C20)),"DOB-CAR",
"")))))))))))))))</f>
        <v>13OZ</v>
      </c>
      <c r="E20" t="str">
        <f>IF(OR(ISNUMBER(SEARCH("TRANSPARENTE",INVENTARIO!C20)),ISNUMBER(SEARCH("TRANSPARENTES",INVENTARIO!C20))),"TRA",
IF(OR(ISNUMBER(SEARCH("BLANCO",INVENTARIO!C20)),ISNUMBER(SEARCH("BCO",INVENTARIO!C20))),"BLA",
IF(ISNUMBER(SEARCH("FOTOGRAFICO",INVENTARIO!C20)),"FOT",
IF(ISNUMBER(SEARCH("MARFIL",INVENTARIO!C20)),"MAR",
IF(ISNUMBER(SEARCH("VERDE",INVENTARIO!C20)),"VER",
IF(ISNUMBER(SEARCH("MORADO",INVENTARIO!C20)),"MOR",
IF(ISNUMBER(SEARCH("PLATA",INVENTARIO!C20)),"PLA",
IF(ISNUMBER(SEARCH("ORO",INVENTARIO!C20)),"ORO",
IF(ISNUMBER(SEARCH("AMARILLO",INVENTARIO!C20)),"AMA",
IF(ISNUMBER(SEARCH("NARANJA",INVENTARIO!C20)),"NAR",
IF(ISNUMBER(SEARCH("NEGRO",INVENTARIO!C20)),"NEG",
IF(ISNUMBER(SEARCH("ROJO",INVENTARIO!C20)),"ROJ",
IF(ISNUMBER(SEARCH("AZUL",INVENTARIO!C20)),"AZU","")))))))))))))</f>
        <v>NEG</v>
      </c>
      <c r="F20" t="str">
        <f>IF(ISNUMBER(SEARCH("ARLON",INVENTARIO!C20)),"ARL",
IF(ISNUMBER(SEARCH("SUNTHINKS",INVENTARIO!C20)),"SUN",
IF(ISNUMBER(SEARCH("FRIO",INVENTARIO!C20)),"FRI",
IF(ISNUMBER(SEARCH("CALIDO",INVENTARIO!C20)),"CAL",
IF(ISNUMBER(SEARCH("CEPILLADO",INVENTARIO!C20)),"CEP",
IF(ISNUMBER(SEARCH("ESPEJO",INVENTARIO!C20)),"ESP",
""))))))</f>
        <v/>
      </c>
      <c r="G20" t="str">
        <f>IF(ISNUMBER(SEARCH("LATEX",INVENTARIO!C20)),"LAT",
IF(ISNUMBER(SEARCH("RESP. NEGRO",INVENTARIO!C20)),"RES-NEG",
IF(ISNUMBER(SEARCH("RESPALDO CAFE",INVENTARIO!C20)),"RES-CAF",
IF(ISNUMBER(SEARCH("RESPALDO GRIS",INVENTARIO!C20)),"RES-GRI",
IF(ISNUMBER(SEARCH("OPTICO",INVENTARIO!C20)),"OPT",
IF(ISNUMBER(SEARCH("1,2 MM",INVENTARIO!C20)),"1MM2",
IF(ISNUMBER(SEARCH("2 MM",INVENTARIO!C20)),"2MM",
IF(ISNUMBER(SEARCH("3 MM",INVENTARIO!C20)),"3MM",
IF(ISNUMBER(SEARCH("4 MM",INVENTARIO!C20)),"4MM",
IF(ISNUMBER(SEARCH("5 MM",INVENTARIO!C20)),"5MM",
IF(ISNUMBER(SEARCH("6 MM",INVENTARIO!C20)),"6MM",
IF(ISNUMBER(SEARCH("9 MM",INVENTARIO!C20)),"9MM",
IF(ISNUMBER(SEARCH("10 MM",INVENTARIO!C20)),"10MM","")))))))))))))</f>
        <v>RES-NEG</v>
      </c>
      <c r="H20" t="str">
        <f>IF(ISNUMBER(SEARCH("GAMA BAJA",INVENTARIO!C20)),"GAM-BAJ",
IF(ISNUMBER(SEARCH("OPTIMIZADOR",INVENTARIO!C20)),"OPT",
IF(ISNUMBER(SEARCH("OVERCOAT",INVENTARIO!C20)),"OVE",
IF(ISNUMBER(SEARCH("WHITE",INVENTARIO!C20)),"WHI",
IF(ISNUMBER(SEARCH("LIGHT CYAN",INVENTARIO!C20)),"LIG-CYA",
IF(ISNUMBER(SEARCH("CYAN",INVENTARIO!C20)),"CYA",
IF(ISNUMBER(SEARCH("LIGHT MAGENTA",INVENTARIO!C20)),"LIG-MAG",
IF(ISNUMBER(SEARCH("MAGENTA",INVENTARIO!C20)),"MAG",
IF(ISNUMBER(SEARCH("BLACK",INVENTARIO!C20)),"BLA",
IF(ISNUMBER(SEARCH("YELLOW",INVENTARIO!C20)),"YEL",
IF(ISNUMBER(SEARCH("2 DIODOS",INVENTARIO!C20)),"2DI",
IF(ISNUMBER(SEARCH("3 DIODOS",INVENTARIO!C20)),"3DI",
IF(OR(ISNUMBER(SEARCH("TRASLUCIDO",INVENTARIO!C20)),ISNUMBER(SEARCH("TRANSLUCIDO",INVENTARIO!C20))),"TRA",
"")))))))))))))</f>
        <v/>
      </c>
      <c r="I20" t="str">
        <f>IF(ISNUMBER(SEARCH("SILED",INVENTARIO!C19)),"SI",
IF(ISNUMBER(SEARCH("SYDEMEX",INVENTARIO!C19)),"SY",
IF(ISNUMBER(SEARCH("ROHS",INVENTARIO!C19)),"RO",
IF(ISNUMBER(SEARCH("RISHANG",INVENTARIO!C19)),"RS",
IF(ISNUMBER(SEARCH("VYG",INVENTARIO!C19)),"VYG",
IF(ISNUMBER(SEARCH("COLED",INVENTARIO!C19)),"CO",""))))))</f>
        <v/>
      </c>
    </row>
    <row r="21" spans="1:9">
      <c r="A21" t="str">
        <f>IF(ISNUMBER(SEARCH("LONA",INVENTARIO!C21)),"LON",
IF(ISNUMBER(SEARCH("VINIL",INVENTARIO!C21)),"VIN",
IF(ISNUMBER(SEARCH("KROMACOTE",INVENTARIO!C21)),"KRO",
IF(ISNUMBER(SEARCH("STARDREAM",INVENTARIO!C21)),"STA",
IF(ISNUMBER(SEARCH("DISPLAY",INVENTARIO!C21)),"DIS",
IF(ISNUMBER(SEARCH("ROLL UP",INVENTARIO!C21)),"ROL-UP",
IF(ISNUMBER(SEARCH("TRANSFER DE PAPEL",INVENTARIO!C21)),"TRA-PAP",
IF(ISNUMBER(SEARCH("TRANSFER",INVENTARIO!C21)),"TRA",IF(ISNUMBER(SEARCH("KOLA LOKA",INVENTARIO!C21)),"KOL-LOK",
IF(ISNUMBER(SEARCH("PETG",INVENTARIO!C21)),"PET",
IF(ISNUMBER(SEARCH("OJILLO",INVENTARIO!C21)),"OJI",
IF(ISNUMBER(SEARCH("COUCHE",INVENTARIO!C21)),"COU",
IF(ISNUMBER(SEARCH("PANEL DE ALUMINIO",INVENTARIO!C21)),"PAN-ALU",
IF(ISNUMBER(SEARCH("PVC",INVENTARIO!C21)),"PVC",
IF(ISNUMBER(SEARCH("PAPEL",INVENTARIO!C21)),"PAP",
IF(ISNUMBER(SEARCH("TELA",INVENTARIO!C21)),"TEL",
IF(ISNUMBER(SEARCH("CARTULINA",INVENTARIO!C21)),"CAR",
IF(OR(ISNUMBER(SEARCH("LAMINA",INVENTARIO!C21)),ISNUMBER(SEARCH("LÁMINA",INVENTARIO!C21)),ISNUMBER(SEARCH("LAMPARAS",INVENTARIO!C21))),"LAM",
IF(ISNUMBER(SEARCH("ESTIRENO",INVENTARIO!C21)),"EST",
IF(ISNUMBER(SEARCH("FOAMBOARD",INVENTARIO!C21)),"FOA",
IF(ISNUMBER(SEARCH("SOLVENTE",INVENTARIO!C21)),"SOL",
IF(ISNUMBER(SEARCH("TINTA",INVENTARIO!C21)),"TIN",
IF(ISNUMBER(SEARCH("ACRILICO",INVENTARIO!C21)),"ACR",
IF(ISNUMBER(SEARCH("MICROLED",INVENTARIO!C21)),"MIC",
IF(ISNUMBER(SEARCH("LED",INVENTARIO!C21)),"LED",
IF(ISNUMBER(SEARCH("FUENTE DE PODER",INVENTARIO!C21)),"FUE-POD",
IF(ISNUMBER(SEARCH("PETG",INVENTARIO!C21)),"PET",
IF(ISNUMBER(SEARCH("ALUMINIO",INVENTARIO!C21)),"ALU",
IF(ISNUMBER(SEARCH("CANAL",INVENTARIO!C21)),"CAN",
IF(ISNUMBER(SEARCH("ESCUADRA",INVENTARIO!C21)),"ESC",
IF(ISNUMBER(SEARCH("SOPORTE",INVENTARIO!C21)),"SOP","OTR")
))))))))))))))))))))))))))))))</f>
        <v>LON</v>
      </c>
      <c r="B21" t="str">
        <f>IF(ISNUMBER(SEARCH("CORTE",INVENTARIO!C21)),"COR",
IF(ISNUMBER(SEARCH("CITYLIGHT",INVENTARIO!C21)),"CIT",
IF(ISNUMBER(SEARCH("LINO",INVENTARIO!C21)),"LIN",
IF(ISNUMBER(SEARCH("FABRIANO",INVENTARIO!C21)),"FAB",
IF(ISNUMBER(SEARCH("SUNDANCE",INVENTARIO!C21)),"SUN",
IF(ISNUMBER(SEARCH("SINTETICA",INVENTARIO!C21)),"SIN",
IF(ISNUMBER(SEARCH("CONTROL",INVENTARIO!C21)),"CON",
IF(ISNUMBER(SEARCH("TERMICO",INVENTARIO!C21)),"TER",
IF(ISNUMBER(SEARCH("C-15",INVENTARIO!C21)),"C15",
IF(ISNUMBER(SEARCH("C-20",INVENTARIO!C21)),"C20",
IF(ISNUMBER(SEARCH("C-30",INVENTARIO!C21)),"C30",
IF(ISNUMBER(SEARCH("C-40",INVENTARIO!C21)),"C40",
IF(ISNUMBER(SEARCH("C-60",INVENTARIO!C21)),"C60",
IF(ISNUMBER(SEARCH("C-80",INVENTARIO!C21)),"C80",
IF(ISNUMBER(SEARCH("EQUIPO",INVENTARIO!C21)),"EQU",
IF(ISNUMBER(SEARCH("FLOOR",INVENTARIO!C21)),"FLO",
IF(ISNUMBER(SEARCH("CRISTAL",INVENTARIO!C21)),"CRI",
IF(ISNUMBER(SEARCH(" SULFATADA",INVENTARIO!C32)),"SUL",
IF(ISNUMBER(SEARCH("OPALINA",INVENTARIO!C21)),"OPA",
IF(ISNUMBER(SEARCH("ADHERIBLE",INVENTARIO!C21)),"ADH",
IF(ISNUMBER(SEARCH("MICRO",INVENTARIO!C21)),"MIC","")))))))))))))))))))))</f>
        <v/>
      </c>
      <c r="C21" t="str">
        <f>IF(ISNUMBER(SEARCH("PARED",INVENTARIO!C21)),"PAR",
IF(ISNUMBER(SEARCH("FRONT",INVENTARIO!C21)),"FRO",
IF(ISNUMBER(SEARCH("ALTA RESISTENCIA",INVENTARIO!C21)),
"ALT-RES",IF(ISNUMBER(SEARCH("BACKLITE",INVENTARIO!C21)),"BAC",
IF(ISNUMBER(SEARCH("MATE",INVENTARIO!C21)),"MAT",
IF(ISNUMBER(SEARCH("MESH",INVENTARIO!C21)),"MES",
IF(ISNUMBER(SEARCH("BRILLANTE",INVENTARIO!C21)),"BRI",
IF(ISNUMBER(SEARCH("DELGADA",INVENTARIO!C21)),"DEL",
IF(ISNUMBER(SEARCH("GRUESA",INVENTARIO!C21)),"GRU",
IF(ISNUMBER(SEARCH("ESTATICO",INVENTARIO!C21)),"EST",
IF(ISNUMBER(SEARCH("REFLECTIVO",INVENTARIO!C21)),"REF",
IF(ISNUMBER(SEARCH("LX700",INVENTARIO!C21)),"LX7",
IF(ISNUMBER(SEARCH("GRANDO",INVENTARIO!C21)),"GRA",
IF(ISNUMBER(SEARCH("FB700",INVENTARIO!C21)),"FB7",
IF(ISNUMBER(SEARCH("LX360",INVENTARIO!C21)),"LX3",
IF(ISNUMBER(SEARCH("XEROX",INVENTARIO!C21)),"XER",
IF(ISNUMBER(SEARCH("CEPILLADO",INVENTARIO!C21)),"CEP",
IF(ISNUMBER(SEARCH("ESPEJO",INVENTARIO!C21)),"ESP",
IF(ISNUMBER(SEARCH("10 PTS",INVENTARIO!C21)),"10PT",
IF(ISNUMBER(SEARCH("12 PTS",INVENTARIO!C21)),"12PT",
IF(ISNUMBER(SEARCH("14 PTS",INVENTARIO!C21)),"14PT",
IF(ISNUMBER(SEARCH("CLASICO",INVENTARIO!C21)),"CLA",
""))))))))))))))))))))))</f>
        <v>MAT</v>
      </c>
      <c r="D21" t="str">
        <f>IF(ISNUMBER(SEARCH("GRAN FORMATO",INVENTARIO!C21)),"GRA-FOR",
IF(ISNUMBER(SEARCH("CAMA PLANA",INVENTARIO!C21)),"CAM-PLA",
IF(ISNUMBER(SEARCH("GRADO INGENIERIA",INVENTARIO!C21)),"GRA-ING",
IF(ISNUMBER(SEARCH("130 GRS",INVENTARIO!C21)),"130GR",
IF(ISNUMBER(SEARCH("150 GRS",INVENTARIO!C21)),"150GR",
IF(ISNUMBER(SEARCH("185 GRS",INVENTARIO!C21)),"185GR",
IF(ISNUMBER(SEARCH("200 GRS",INVENTARIO!C21)),"200GR",
IF(ISNUMBER(SEARCH("250 GRS",INVENTARIO!C21)),"250GR",
IF(ISNUMBER(SEARCH("300 GRS",INVENTARIO!C21)),"300GR",
IF(ISNUMBER(SEARCH("350 GRS",INVENTARIO!C21)),"350GR",
IF(ISNUMBER(SEARCH("18 OZ",INVENTARIO!C21)),"18OZ",
IF(ISNUMBER(SEARCH("15 OZ",INVENTARIO!C21)),"15OZ",
IF(OR(ISNUMBER(SEARCH("13 OZ",INVENTARIO!C21)),ISNUMBER(SEARCH("13 ONZAS",INVENTARIO!C21))),"13OZ",
IF(OR(ISNUMBER(SEARCH("9 OZ",INVENTARIO!C21)),ISNUMBER(SEARCH("9 ONZAS",INVENTARIO!C21))),"09OZ",
IF(ISNUMBER(SEARCH("DOBLE CARA",INVENTARIO!C21)),"DOB-CAR",
"")))))))))))))))</f>
        <v>13OZ</v>
      </c>
      <c r="E21" t="str">
        <f>IF(OR(ISNUMBER(SEARCH("TRANSPARENTE",INVENTARIO!C21)),ISNUMBER(SEARCH("TRANSPARENTES",INVENTARIO!C21))),"TRA",
IF(OR(ISNUMBER(SEARCH("BLANCO",INVENTARIO!C21)),ISNUMBER(SEARCH("BCO",INVENTARIO!C21))),"BLA",
IF(ISNUMBER(SEARCH("FOTOGRAFICO",INVENTARIO!C21)),"FOT",
IF(ISNUMBER(SEARCH("MARFIL",INVENTARIO!C21)),"MAR",
IF(ISNUMBER(SEARCH("VERDE",INVENTARIO!C21)),"VER",
IF(ISNUMBER(SEARCH("MORADO",INVENTARIO!C21)),"MOR",
IF(ISNUMBER(SEARCH("PLATA",INVENTARIO!C21)),"PLA",
IF(ISNUMBER(SEARCH("ORO",INVENTARIO!C21)),"ORO",
IF(ISNUMBER(SEARCH("AMARILLO",INVENTARIO!C21)),"AMA",
IF(ISNUMBER(SEARCH("NARANJA",INVENTARIO!C21)),"NAR",
IF(ISNUMBER(SEARCH("NEGRO",INVENTARIO!C21)),"NEG",
IF(ISNUMBER(SEARCH("ROJO",INVENTARIO!C21)),"ROJ",
IF(ISNUMBER(SEARCH("AZUL",INVENTARIO!C21)),"AZU","")))))))))))))</f>
        <v>NEG</v>
      </c>
      <c r="F21" t="str">
        <f>IF(ISNUMBER(SEARCH("ARLON",INVENTARIO!C21)),"ARL",
IF(ISNUMBER(SEARCH("SUNTHINKS",INVENTARIO!C21)),"SUN",
IF(ISNUMBER(SEARCH("FRIO",INVENTARIO!C21)),"FRI",
IF(ISNUMBER(SEARCH("CALIDO",INVENTARIO!C21)),"CAL",
IF(ISNUMBER(SEARCH("CEPILLADO",INVENTARIO!C21)),"CEP",
IF(ISNUMBER(SEARCH("ESPEJO",INVENTARIO!C21)),"ESP",
""))))))</f>
        <v/>
      </c>
      <c r="G21" t="str">
        <f>IF(ISNUMBER(SEARCH("LATEX",INVENTARIO!C21)),"LAT",
IF(ISNUMBER(SEARCH("RESP. NEGRO",INVENTARIO!C21)),"RES-NEG",
IF(ISNUMBER(SEARCH("RESPALDO CAFE",INVENTARIO!C21)),"RES-CAF",
IF(ISNUMBER(SEARCH("RESPALDO GRIS",INVENTARIO!C21)),"RES-GRI",
IF(ISNUMBER(SEARCH("OPTICO",INVENTARIO!C21)),"OPT",
IF(ISNUMBER(SEARCH("1,2 MM",INVENTARIO!C21)),"1MM2",
IF(ISNUMBER(SEARCH("2 MM",INVENTARIO!C21)),"2MM",
IF(ISNUMBER(SEARCH("3 MM",INVENTARIO!C21)),"3MM",
IF(ISNUMBER(SEARCH("4 MM",INVENTARIO!C21)),"4MM",
IF(ISNUMBER(SEARCH("5 MM",INVENTARIO!C21)),"5MM",
IF(ISNUMBER(SEARCH("6 MM",INVENTARIO!C21)),"6MM",
IF(ISNUMBER(SEARCH("9 MM",INVENTARIO!C21)),"9MM",
IF(ISNUMBER(SEARCH("10 MM",INVENTARIO!C21)),"10MM","")))))))))))))</f>
        <v>RES-NEG</v>
      </c>
      <c r="H21" t="str">
        <f>IF(ISNUMBER(SEARCH("GAMA BAJA",INVENTARIO!C21)),"GAM-BAJ",
IF(ISNUMBER(SEARCH("OPTIMIZADOR",INVENTARIO!C21)),"OPT",
IF(ISNUMBER(SEARCH("OVERCOAT",INVENTARIO!C21)),"OVE",
IF(ISNUMBER(SEARCH("WHITE",INVENTARIO!C21)),"WHI",
IF(ISNUMBER(SEARCH("LIGHT CYAN",INVENTARIO!C21)),"LIG-CYA",
IF(ISNUMBER(SEARCH("CYAN",INVENTARIO!C21)),"CYA",
IF(ISNUMBER(SEARCH("LIGHT MAGENTA",INVENTARIO!C21)),"LIG-MAG",
IF(ISNUMBER(SEARCH("MAGENTA",INVENTARIO!C21)),"MAG",
IF(ISNUMBER(SEARCH("BLACK",INVENTARIO!C21)),"BLA",
IF(ISNUMBER(SEARCH("YELLOW",INVENTARIO!C21)),"YEL",
IF(ISNUMBER(SEARCH("2 DIODOS",INVENTARIO!C21)),"2DI",
IF(ISNUMBER(SEARCH("3 DIODOS",INVENTARIO!C21)),"3DI",
IF(OR(ISNUMBER(SEARCH("TRASLUCIDO",INVENTARIO!C21)),ISNUMBER(SEARCH("TRANSLUCIDO",INVENTARIO!C21))),"TRA",
"")))))))))))))</f>
        <v/>
      </c>
      <c r="I21" t="str">
        <f>IF(ISNUMBER(SEARCH("SILED",INVENTARIO!C22)),"SI",
IF(ISNUMBER(SEARCH("SYDEMEX",INVENTARIO!C22)),"SY",
IF(ISNUMBER(SEARCH("ROHS",INVENTARIO!C22)),"RO",
IF(ISNUMBER(SEARCH("RISHANG",INVENTARIO!C22)),"RS",
IF(ISNUMBER(SEARCH("VYG",INVENTARIO!C22)),"VYG",
IF(ISNUMBER(SEARCH("COLED",INVENTARIO!C22)),"CO",""))))))</f>
        <v/>
      </c>
    </row>
    <row r="22" spans="1:9">
      <c r="A22" t="str">
        <f>IF(ISNUMBER(SEARCH("LONA",INVENTARIO!C22)),"LON",
IF(ISNUMBER(SEARCH("VINIL",INVENTARIO!C22)),"VIN",
IF(ISNUMBER(SEARCH("KROMACOTE",INVENTARIO!C22)),"KRO",
IF(ISNUMBER(SEARCH("STARDREAM",INVENTARIO!C22)),"STA",
IF(ISNUMBER(SEARCH("DISPLAY",INVENTARIO!C22)),"DIS",
IF(ISNUMBER(SEARCH("ROLL UP",INVENTARIO!C22)),"ROL-UP",
IF(ISNUMBER(SEARCH("TRANSFER DE PAPEL",INVENTARIO!C22)),"TRA-PAP",
IF(ISNUMBER(SEARCH("TRANSFER",INVENTARIO!C22)),"TRA",IF(ISNUMBER(SEARCH("KOLA LOKA",INVENTARIO!C22)),"KOL-LOK",
IF(ISNUMBER(SEARCH("PETG",INVENTARIO!C22)),"PET",
IF(ISNUMBER(SEARCH("OJILLO",INVENTARIO!C22)),"OJI",
IF(ISNUMBER(SEARCH("COUCHE",INVENTARIO!C22)),"COU",
IF(ISNUMBER(SEARCH("PANEL DE ALUMINIO",INVENTARIO!C22)),"PAN-ALU",
IF(ISNUMBER(SEARCH("PVC",INVENTARIO!C22)),"PVC",
IF(ISNUMBER(SEARCH("PAPEL",INVENTARIO!C22)),"PAP",
IF(ISNUMBER(SEARCH("TELA",INVENTARIO!C22)),"TEL",
IF(ISNUMBER(SEARCH("CARTULINA",INVENTARIO!C22)),"CAR",
IF(OR(ISNUMBER(SEARCH("LAMINA",INVENTARIO!C22)),ISNUMBER(SEARCH("LÁMINA",INVENTARIO!C22)),ISNUMBER(SEARCH("LAMPARAS",INVENTARIO!C22))),"LAM",
IF(ISNUMBER(SEARCH("ESTIRENO",INVENTARIO!C22)),"EST",
IF(ISNUMBER(SEARCH("FOAMBOARD",INVENTARIO!C22)),"FOA",
IF(ISNUMBER(SEARCH("SOLVENTE",INVENTARIO!C22)),"SOL",
IF(ISNUMBER(SEARCH("TINTA",INVENTARIO!C22)),"TIN",
IF(ISNUMBER(SEARCH("ACRILICO",INVENTARIO!C22)),"ACR",
IF(ISNUMBER(SEARCH("MICROLED",INVENTARIO!C22)),"MIC",
IF(ISNUMBER(SEARCH("LED",INVENTARIO!C22)),"LED",
IF(ISNUMBER(SEARCH("FUENTE DE PODER",INVENTARIO!C22)),"FUE-POD",
IF(ISNUMBER(SEARCH("PETG",INVENTARIO!C22)),"PET",
IF(ISNUMBER(SEARCH("ALUMINIO",INVENTARIO!C22)),"ALU",
IF(ISNUMBER(SEARCH("CANAL",INVENTARIO!C22)),"CAN",
IF(ISNUMBER(SEARCH("ESCUADRA",INVENTARIO!C22)),"ESC",
IF(ISNUMBER(SEARCH("SOPORTE",INVENTARIO!C22)),"SOP","OTR")
))))))))))))))))))))))))))))))</f>
        <v>LON</v>
      </c>
      <c r="B22" t="str">
        <f>IF(ISNUMBER(SEARCH("CORTE",INVENTARIO!C22)),"COR",
IF(ISNUMBER(SEARCH("CITYLIGHT",INVENTARIO!C22)),"CIT",
IF(ISNUMBER(SEARCH("LINO",INVENTARIO!C22)),"LIN",
IF(ISNUMBER(SEARCH("FABRIANO",INVENTARIO!C22)),"FAB",
IF(ISNUMBER(SEARCH("SUNDANCE",INVENTARIO!C22)),"SUN",
IF(ISNUMBER(SEARCH("SINTETICA",INVENTARIO!C22)),"SIN",
IF(ISNUMBER(SEARCH("CONTROL",INVENTARIO!C22)),"CON",
IF(ISNUMBER(SEARCH("TERMICO",INVENTARIO!C22)),"TER",
IF(ISNUMBER(SEARCH("C-15",INVENTARIO!C22)),"C15",
IF(ISNUMBER(SEARCH("C-20",INVENTARIO!C22)),"C20",
IF(ISNUMBER(SEARCH("C-30",INVENTARIO!C22)),"C30",
IF(ISNUMBER(SEARCH("C-40",INVENTARIO!C22)),"C40",
IF(ISNUMBER(SEARCH("C-60",INVENTARIO!C22)),"C60",
IF(ISNUMBER(SEARCH("C-80",INVENTARIO!C22)),"C80",
IF(ISNUMBER(SEARCH("EQUIPO",INVENTARIO!C22)),"EQU",
IF(ISNUMBER(SEARCH("FLOOR",INVENTARIO!C22)),"FLO",
IF(ISNUMBER(SEARCH("CRISTAL",INVENTARIO!C22)),"CRI",
IF(ISNUMBER(SEARCH(" SULFATADA",INVENTARIO!C33)),"SUL",
IF(ISNUMBER(SEARCH("OPALINA",INVENTARIO!C22)),"OPA",
IF(ISNUMBER(SEARCH("ADHERIBLE",INVENTARIO!C22)),"ADH",
IF(ISNUMBER(SEARCH("MICRO",INVENTARIO!C22)),"MIC","")))))))))))))))))))))</f>
        <v/>
      </c>
      <c r="C22" t="str">
        <f>IF(ISNUMBER(SEARCH("PARED",INVENTARIO!C22)),"PAR",
IF(ISNUMBER(SEARCH("FRONT",INVENTARIO!C22)),"FRO",
IF(ISNUMBER(SEARCH("ALTA RESISTENCIA",INVENTARIO!C22)),
"ALT-RES",IF(ISNUMBER(SEARCH("BACKLITE",INVENTARIO!C22)),"BAC",
IF(ISNUMBER(SEARCH("MATE",INVENTARIO!C22)),"MAT",
IF(ISNUMBER(SEARCH("MESH",INVENTARIO!C22)),"MES",
IF(ISNUMBER(SEARCH("BRILLANTE",INVENTARIO!C22)),"BRI",
IF(ISNUMBER(SEARCH("DELGADA",INVENTARIO!C22)),"DEL",
IF(ISNUMBER(SEARCH("GRUESA",INVENTARIO!C22)),"GRU",
IF(ISNUMBER(SEARCH("ESTATICO",INVENTARIO!C22)),"EST",
IF(ISNUMBER(SEARCH("REFLECTIVO",INVENTARIO!C22)),"REF",
IF(ISNUMBER(SEARCH("LX700",INVENTARIO!C22)),"LX7",
IF(ISNUMBER(SEARCH("GRANDO",INVENTARIO!C22)),"GRA",
IF(ISNUMBER(SEARCH("FB700",INVENTARIO!C22)),"FB7",
IF(ISNUMBER(SEARCH("LX360",INVENTARIO!C22)),"LX3",
IF(ISNUMBER(SEARCH("XEROX",INVENTARIO!C22)),"XER",
IF(ISNUMBER(SEARCH("CEPILLADO",INVENTARIO!C22)),"CEP",
IF(ISNUMBER(SEARCH("ESPEJO",INVENTARIO!C22)),"ESP",
IF(ISNUMBER(SEARCH("10 PTS",INVENTARIO!C22)),"10PT",
IF(ISNUMBER(SEARCH("12 PTS",INVENTARIO!C22)),"12PT",
IF(ISNUMBER(SEARCH("14 PTS",INVENTARIO!C22)),"14PT",
IF(ISNUMBER(SEARCH("CLASICO",INVENTARIO!C22)),"CLA",
""))))))))))))))))))))))</f>
        <v>MAT</v>
      </c>
      <c r="D22" t="str">
        <f>IF(ISNUMBER(SEARCH("GRAN FORMATO",INVENTARIO!C22)),"GRA-FOR",
IF(ISNUMBER(SEARCH("CAMA PLANA",INVENTARIO!C22)),"CAM-PLA",
IF(ISNUMBER(SEARCH("GRADO INGENIERIA",INVENTARIO!C22)),"GRA-ING",
IF(ISNUMBER(SEARCH("130 GRS",INVENTARIO!C22)),"130GR",
IF(ISNUMBER(SEARCH("150 GRS",INVENTARIO!C22)),"150GR",
IF(ISNUMBER(SEARCH("185 GRS",INVENTARIO!C22)),"185GR",
IF(ISNUMBER(SEARCH("200 GRS",INVENTARIO!C22)),"200GR",
IF(ISNUMBER(SEARCH("250 GRS",INVENTARIO!C22)),"250GR",
IF(ISNUMBER(SEARCH("300 GRS",INVENTARIO!C22)),"300GR",
IF(ISNUMBER(SEARCH("350 GRS",INVENTARIO!C22)),"350GR",
IF(ISNUMBER(SEARCH("18 OZ",INVENTARIO!C22)),"18OZ",
IF(ISNUMBER(SEARCH("15 OZ",INVENTARIO!C22)),"15OZ",
IF(OR(ISNUMBER(SEARCH("13 OZ",INVENTARIO!C22)),ISNUMBER(SEARCH("13 ONZAS",INVENTARIO!C22))),"13OZ",
IF(OR(ISNUMBER(SEARCH("9 OZ",INVENTARIO!C22)),ISNUMBER(SEARCH("9 ONZAS",INVENTARIO!C22))),"09OZ",
IF(ISNUMBER(SEARCH("DOBLE CARA",INVENTARIO!C22)),"DOB-CAR",
"")))))))))))))))</f>
        <v>13OZ</v>
      </c>
      <c r="E22" t="str">
        <f>IF(OR(ISNUMBER(SEARCH("TRANSPARENTE",INVENTARIO!C22)),ISNUMBER(SEARCH("TRANSPARENTES",INVENTARIO!C22))),"TRA",
IF(OR(ISNUMBER(SEARCH("BLANCO",INVENTARIO!C22)),ISNUMBER(SEARCH("BCO",INVENTARIO!C22))),"BLA",
IF(ISNUMBER(SEARCH("FOTOGRAFICO",INVENTARIO!C22)),"FOT",
IF(ISNUMBER(SEARCH("MARFIL",INVENTARIO!C22)),"MAR",
IF(ISNUMBER(SEARCH("VERDE",INVENTARIO!C22)),"VER",
IF(ISNUMBER(SEARCH("MORADO",INVENTARIO!C22)),"MOR",
IF(ISNUMBER(SEARCH("PLATA",INVENTARIO!C22)),"PLA",
IF(ISNUMBER(SEARCH("ORO",INVENTARIO!C22)),"ORO",
IF(ISNUMBER(SEARCH("AMARILLO",INVENTARIO!C22)),"AMA",
IF(ISNUMBER(SEARCH("NARANJA",INVENTARIO!C22)),"NAR",
IF(ISNUMBER(SEARCH("NEGRO",INVENTARIO!C22)),"NEG",
IF(ISNUMBER(SEARCH("ROJO",INVENTARIO!C22)),"ROJ",
IF(ISNUMBER(SEARCH("AZUL",INVENTARIO!C22)),"AZU","")))))))))))))</f>
        <v>NEG</v>
      </c>
      <c r="F22" t="str">
        <f>IF(ISNUMBER(SEARCH("ARLON",INVENTARIO!C22)),"ARL",
IF(ISNUMBER(SEARCH("SUNTHINKS",INVENTARIO!C22)),"SUN",
IF(ISNUMBER(SEARCH("FRIO",INVENTARIO!C22)),"FRI",
IF(ISNUMBER(SEARCH("CALIDO",INVENTARIO!C22)),"CAL",
IF(ISNUMBER(SEARCH("CEPILLADO",INVENTARIO!C22)),"CEP",
IF(ISNUMBER(SEARCH("ESPEJO",INVENTARIO!C22)),"ESP",
""))))))</f>
        <v/>
      </c>
      <c r="G22" t="str">
        <f>IF(ISNUMBER(SEARCH("LATEX",INVENTARIO!C22)),"LAT",
IF(ISNUMBER(SEARCH("RESP. NEGRO",INVENTARIO!C22)),"RES-NEG",
IF(ISNUMBER(SEARCH("RESPALDO CAFE",INVENTARIO!C22)),"RES-CAF",
IF(ISNUMBER(SEARCH("RESPALDO GRIS",INVENTARIO!C22)),"RES-GRI",
IF(ISNUMBER(SEARCH("OPTICO",INVENTARIO!C22)),"OPT",
IF(ISNUMBER(SEARCH("1,2 MM",INVENTARIO!C22)),"1MM2",
IF(ISNUMBER(SEARCH("2 MM",INVENTARIO!C22)),"2MM",
IF(ISNUMBER(SEARCH("3 MM",INVENTARIO!C22)),"3MM",
IF(ISNUMBER(SEARCH("4 MM",INVENTARIO!C22)),"4MM",
IF(ISNUMBER(SEARCH("5 MM",INVENTARIO!C22)),"5MM",
IF(ISNUMBER(SEARCH("6 MM",INVENTARIO!C22)),"6MM",
IF(ISNUMBER(SEARCH("9 MM",INVENTARIO!C22)),"9MM",
IF(ISNUMBER(SEARCH("10 MM",INVENTARIO!C22)),"10MM","")))))))))))))</f>
        <v>RES-NEG</v>
      </c>
      <c r="H22" t="str">
        <f>IF(ISNUMBER(SEARCH("GAMA BAJA",INVENTARIO!C22)),"GAM-BAJ",
IF(ISNUMBER(SEARCH("OPTIMIZADOR",INVENTARIO!C22)),"OPT",
IF(ISNUMBER(SEARCH("OVERCOAT",INVENTARIO!C22)),"OVE",
IF(ISNUMBER(SEARCH("WHITE",INVENTARIO!C22)),"WHI",
IF(ISNUMBER(SEARCH("LIGHT CYAN",INVENTARIO!C22)),"LIG-CYA",
IF(ISNUMBER(SEARCH("CYAN",INVENTARIO!C22)),"CYA",
IF(ISNUMBER(SEARCH("LIGHT MAGENTA",INVENTARIO!C22)),"LIG-MAG",
IF(ISNUMBER(SEARCH("MAGENTA",INVENTARIO!C22)),"MAG",
IF(ISNUMBER(SEARCH("BLACK",INVENTARIO!C22)),"BLA",
IF(ISNUMBER(SEARCH("YELLOW",INVENTARIO!C22)),"YEL",
IF(ISNUMBER(SEARCH("2 DIODOS",INVENTARIO!C22)),"2DI",
IF(ISNUMBER(SEARCH("3 DIODOS",INVENTARIO!C22)),"3DI",
IF(OR(ISNUMBER(SEARCH("TRASLUCIDO",INVENTARIO!C22)),ISNUMBER(SEARCH("TRANSLUCIDO",INVENTARIO!C22))),"TRA",
"")))))))))))))</f>
        <v/>
      </c>
      <c r="I22" t="str">
        <f>IF(ISNUMBER(SEARCH("SILED",INVENTARIO!C23)),"SI",
IF(ISNUMBER(SEARCH("SYDEMEX",INVENTARIO!C23)),"SY",
IF(ISNUMBER(SEARCH("ROHS",INVENTARIO!C23)),"RO",
IF(ISNUMBER(SEARCH("RISHANG",INVENTARIO!C23)),"RS",
IF(ISNUMBER(SEARCH("VYG",INVENTARIO!C23)),"VYG",
IF(ISNUMBER(SEARCH("COLED",INVENTARIO!C23)),"CO",""))))))</f>
        <v/>
      </c>
    </row>
    <row r="23" spans="1:9">
      <c r="A23" t="str">
        <f>IF(ISNUMBER(SEARCH("LONA",INVENTARIO!C23)),"LON",
IF(ISNUMBER(SEARCH("VINIL",INVENTARIO!C23)),"VIN",
IF(ISNUMBER(SEARCH("KROMACOTE",INVENTARIO!C23)),"KRO",
IF(ISNUMBER(SEARCH("STARDREAM",INVENTARIO!C23)),"STA",
IF(ISNUMBER(SEARCH("DISPLAY",INVENTARIO!C23)),"DIS",
IF(ISNUMBER(SEARCH("ROLL UP",INVENTARIO!C23)),"ROL-UP",
IF(ISNUMBER(SEARCH("TRANSFER DE PAPEL",INVENTARIO!C23)),"TRA-PAP",
IF(ISNUMBER(SEARCH("TRANSFER",INVENTARIO!C23)),"TRA",IF(ISNUMBER(SEARCH("KOLA LOKA",INVENTARIO!C23)),"KOL-LOK",
IF(ISNUMBER(SEARCH("PETG",INVENTARIO!C23)),"PET",
IF(ISNUMBER(SEARCH("OJILLO",INVENTARIO!C23)),"OJI",
IF(ISNUMBER(SEARCH("COUCHE",INVENTARIO!C23)),"COU",
IF(ISNUMBER(SEARCH("PANEL DE ALUMINIO",INVENTARIO!C23)),"PAN-ALU",
IF(ISNUMBER(SEARCH("PVC",INVENTARIO!C23)),"PVC",
IF(ISNUMBER(SEARCH("PAPEL",INVENTARIO!C23)),"PAP",
IF(ISNUMBER(SEARCH("TELA",INVENTARIO!C23)),"TEL",
IF(ISNUMBER(SEARCH("CARTULINA",INVENTARIO!C23)),"CAR",
IF(OR(ISNUMBER(SEARCH("LAMINA",INVENTARIO!C23)),ISNUMBER(SEARCH("LÁMINA",INVENTARIO!C23)),ISNUMBER(SEARCH("LAMPARAS",INVENTARIO!C23))),"LAM",
IF(ISNUMBER(SEARCH("ESTIRENO",INVENTARIO!C23)),"EST",
IF(ISNUMBER(SEARCH("FOAMBOARD",INVENTARIO!C23)),"FOA",
IF(ISNUMBER(SEARCH("SOLVENTE",INVENTARIO!C23)),"SOL",
IF(ISNUMBER(SEARCH("TINTA",INVENTARIO!C23)),"TIN",
IF(ISNUMBER(SEARCH("ACRILICO",INVENTARIO!C23)),"ACR",
IF(ISNUMBER(SEARCH("MICROLED",INVENTARIO!C23)),"MIC",
IF(ISNUMBER(SEARCH("LED",INVENTARIO!C23)),"LED",
IF(ISNUMBER(SEARCH("FUENTE DE PODER",INVENTARIO!C23)),"FUE-POD",
IF(ISNUMBER(SEARCH("PETG",INVENTARIO!C23)),"PET",
IF(ISNUMBER(SEARCH("ALUMINIO",INVENTARIO!C23)),"ALU",
IF(ISNUMBER(SEARCH("CANAL",INVENTARIO!C23)),"CAN",
IF(ISNUMBER(SEARCH("ESCUADRA",INVENTARIO!C23)),"ESC",
IF(ISNUMBER(SEARCH("SOPORTE",INVENTARIO!C23)),"SOP","OTR")
))))))))))))))))))))))))))))))</f>
        <v>LON</v>
      </c>
      <c r="B23" t="str">
        <f>IF(ISNUMBER(SEARCH("CORTE",INVENTARIO!C23)),"COR",
IF(ISNUMBER(SEARCH("CITYLIGHT",INVENTARIO!C23)),"CIT",
IF(ISNUMBER(SEARCH("LINO",INVENTARIO!C23)),"LIN",
IF(ISNUMBER(SEARCH("FABRIANO",INVENTARIO!C23)),"FAB",
IF(ISNUMBER(SEARCH("SUNDANCE",INVENTARIO!C23)),"SUN",
IF(ISNUMBER(SEARCH("SINTETICA",INVENTARIO!C23)),"SIN",
IF(ISNUMBER(SEARCH("CONTROL",INVENTARIO!C23)),"CON",
IF(ISNUMBER(SEARCH("TERMICO",INVENTARIO!C23)),"TER",
IF(ISNUMBER(SEARCH("C-15",INVENTARIO!C23)),"C15",
IF(ISNUMBER(SEARCH("C-20",INVENTARIO!C23)),"C20",
IF(ISNUMBER(SEARCH("C-30",INVENTARIO!C23)),"C30",
IF(ISNUMBER(SEARCH("C-40",INVENTARIO!C23)),"C40",
IF(ISNUMBER(SEARCH("C-60",INVENTARIO!C23)),"C60",
IF(ISNUMBER(SEARCH("C-80",INVENTARIO!C23)),"C80",
IF(ISNUMBER(SEARCH("EQUIPO",INVENTARIO!C23)),"EQU",
IF(ISNUMBER(SEARCH("FLOOR",INVENTARIO!C23)),"FLO",
IF(ISNUMBER(SEARCH("CRISTAL",INVENTARIO!C23)),"CRI",
IF(ISNUMBER(SEARCH(" SULFATADA",INVENTARIO!C34)),"SUL",
IF(ISNUMBER(SEARCH("OPALINA",INVENTARIO!C23)),"OPA",
IF(ISNUMBER(SEARCH("ADHERIBLE",INVENTARIO!C23)),"ADH",
IF(ISNUMBER(SEARCH("MICRO",INVENTARIO!C23)),"MIC","")))))))))))))))))))))</f>
        <v/>
      </c>
      <c r="C23" t="str">
        <f>IF(ISNUMBER(SEARCH("PARED",INVENTARIO!C23)),"PAR",
IF(ISNUMBER(SEARCH("FRONT",INVENTARIO!C23)),"FRO",
IF(ISNUMBER(SEARCH("ALTA RESISTENCIA",INVENTARIO!C23)),
"ALT-RES",IF(ISNUMBER(SEARCH("BACKLITE",INVENTARIO!C23)),"BAC",
IF(ISNUMBER(SEARCH("MATE",INVENTARIO!C23)),"MAT",
IF(ISNUMBER(SEARCH("MESH",INVENTARIO!C23)),"MES",
IF(ISNUMBER(SEARCH("BRILLANTE",INVENTARIO!C23)),"BRI",
IF(ISNUMBER(SEARCH("DELGADA",INVENTARIO!C23)),"DEL",
IF(ISNUMBER(SEARCH("GRUESA",INVENTARIO!C23)),"GRU",
IF(ISNUMBER(SEARCH("ESTATICO",INVENTARIO!C23)),"EST",
IF(ISNUMBER(SEARCH("REFLECTIVO",INVENTARIO!C23)),"REF",
IF(ISNUMBER(SEARCH("LX700",INVENTARIO!C23)),"LX7",
IF(ISNUMBER(SEARCH("GRANDO",INVENTARIO!C23)),"GRA",
IF(ISNUMBER(SEARCH("FB700",INVENTARIO!C23)),"FB7",
IF(ISNUMBER(SEARCH("LX360",INVENTARIO!C23)),"LX3",
IF(ISNUMBER(SEARCH("XEROX",INVENTARIO!C23)),"XER",
IF(ISNUMBER(SEARCH("CEPILLADO",INVENTARIO!C23)),"CEP",
IF(ISNUMBER(SEARCH("ESPEJO",INVENTARIO!C23)),"ESP",
IF(ISNUMBER(SEARCH("10 PTS",INVENTARIO!C23)),"10PT",
IF(ISNUMBER(SEARCH("12 PTS",INVENTARIO!C23)),"12PT",
IF(ISNUMBER(SEARCH("14 PTS",INVENTARIO!C23)),"14PT",
IF(ISNUMBER(SEARCH("CLASICO",INVENTARIO!C23)),"CLA",
""))))))))))))))))))))))</f>
        <v>MAT</v>
      </c>
      <c r="D23" t="str">
        <f>IF(ISNUMBER(SEARCH("GRAN FORMATO",INVENTARIO!C23)),"GRA-FOR",
IF(ISNUMBER(SEARCH("CAMA PLANA",INVENTARIO!C23)),"CAM-PLA",
IF(ISNUMBER(SEARCH("GRADO INGENIERIA",INVENTARIO!C23)),"GRA-ING",
IF(ISNUMBER(SEARCH("130 GRS",INVENTARIO!C23)),"130GR",
IF(ISNUMBER(SEARCH("150 GRS",INVENTARIO!C23)),"150GR",
IF(ISNUMBER(SEARCH("185 GRS",INVENTARIO!C23)),"185GR",
IF(ISNUMBER(SEARCH("200 GRS",INVENTARIO!C23)),"200GR",
IF(ISNUMBER(SEARCH("250 GRS",INVENTARIO!C23)),"250GR",
IF(ISNUMBER(SEARCH("300 GRS",INVENTARIO!C23)),"300GR",
IF(ISNUMBER(SEARCH("350 GRS",INVENTARIO!C23)),"350GR",
IF(ISNUMBER(SEARCH("18 OZ",INVENTARIO!C23)),"18OZ",
IF(ISNUMBER(SEARCH("15 OZ",INVENTARIO!C23)),"15OZ",
IF(OR(ISNUMBER(SEARCH("13 OZ",INVENTARIO!C23)),ISNUMBER(SEARCH("13 ONZAS",INVENTARIO!C23))),"13OZ",
IF(OR(ISNUMBER(SEARCH("9 OZ",INVENTARIO!C23)),ISNUMBER(SEARCH("9 ONZAS",INVENTARIO!C23))),"09OZ",
IF(ISNUMBER(SEARCH("DOBLE CARA",INVENTARIO!C23)),"DOB-CAR",
"")))))))))))))))</f>
        <v>13OZ</v>
      </c>
      <c r="E23" t="str">
        <f>IF(OR(ISNUMBER(SEARCH("TRANSPARENTE",INVENTARIO!C23)),ISNUMBER(SEARCH("TRANSPARENTES",INVENTARIO!C23))),"TRA",
IF(OR(ISNUMBER(SEARCH("BLANCO",INVENTARIO!C23)),ISNUMBER(SEARCH("BCO",INVENTARIO!C23))),"BLA",
IF(ISNUMBER(SEARCH("FOTOGRAFICO",INVENTARIO!C23)),"FOT",
IF(ISNUMBER(SEARCH("MARFIL",INVENTARIO!C23)),"MAR",
IF(ISNUMBER(SEARCH("VERDE",INVENTARIO!C23)),"VER",
IF(ISNUMBER(SEARCH("MORADO",INVENTARIO!C23)),"MOR",
IF(ISNUMBER(SEARCH("PLATA",INVENTARIO!C23)),"PLA",
IF(ISNUMBER(SEARCH("ORO",INVENTARIO!C23)),"ORO",
IF(ISNUMBER(SEARCH("AMARILLO",INVENTARIO!C23)),"AMA",
IF(ISNUMBER(SEARCH("NARANJA",INVENTARIO!C23)),"NAR",
IF(ISNUMBER(SEARCH("NEGRO",INVENTARIO!C23)),"NEG",
IF(ISNUMBER(SEARCH("ROJO",INVENTARIO!C23)),"ROJ",
IF(ISNUMBER(SEARCH("AZUL",INVENTARIO!C23)),"AZU","")))))))))))))</f>
        <v>NEG</v>
      </c>
      <c r="F23" t="str">
        <f>IF(ISNUMBER(SEARCH("ARLON",INVENTARIO!C23)),"ARL",
IF(ISNUMBER(SEARCH("SUNTHINKS",INVENTARIO!C23)),"SUN",
IF(ISNUMBER(SEARCH("FRIO",INVENTARIO!C23)),"FRI",
IF(ISNUMBER(SEARCH("CALIDO",INVENTARIO!C23)),"CAL",
IF(ISNUMBER(SEARCH("CEPILLADO",INVENTARIO!C23)),"CEP",
IF(ISNUMBER(SEARCH("ESPEJO",INVENTARIO!C23)),"ESP",
""))))))</f>
        <v/>
      </c>
      <c r="G23" t="str">
        <f>IF(ISNUMBER(SEARCH("LATEX",INVENTARIO!C23)),"LAT",
IF(ISNUMBER(SEARCH("RESP. NEGRO",INVENTARIO!C23)),"RES-NEG",
IF(ISNUMBER(SEARCH("RESPALDO CAFE",INVENTARIO!C23)),"RES-CAF",
IF(ISNUMBER(SEARCH("RESPALDO GRIS",INVENTARIO!C23)),"RES-GRI",
IF(ISNUMBER(SEARCH("OPTICO",INVENTARIO!C23)),"OPT",
IF(ISNUMBER(SEARCH("1,2 MM",INVENTARIO!C23)),"1MM2",
IF(ISNUMBER(SEARCH("2 MM",INVENTARIO!C23)),"2MM",
IF(ISNUMBER(SEARCH("3 MM",INVENTARIO!C23)),"3MM",
IF(ISNUMBER(SEARCH("4 MM",INVENTARIO!C23)),"4MM",
IF(ISNUMBER(SEARCH("5 MM",INVENTARIO!C23)),"5MM",
IF(ISNUMBER(SEARCH("6 MM",INVENTARIO!C23)),"6MM",
IF(ISNUMBER(SEARCH("9 MM",INVENTARIO!C23)),"9MM",
IF(ISNUMBER(SEARCH("10 MM",INVENTARIO!C23)),"10MM","")))))))))))))</f>
        <v>RES-NEG</v>
      </c>
      <c r="H23" t="str">
        <f>IF(ISNUMBER(SEARCH("GAMA BAJA",INVENTARIO!C23)),"GAM-BAJ",
IF(ISNUMBER(SEARCH("OPTIMIZADOR",INVENTARIO!C23)),"OPT",
IF(ISNUMBER(SEARCH("OVERCOAT",INVENTARIO!C23)),"OVE",
IF(ISNUMBER(SEARCH("WHITE",INVENTARIO!C23)),"WHI",
IF(ISNUMBER(SEARCH("LIGHT CYAN",INVENTARIO!C23)),"LIG-CYA",
IF(ISNUMBER(SEARCH("CYAN",INVENTARIO!C23)),"CYA",
IF(ISNUMBER(SEARCH("LIGHT MAGENTA",INVENTARIO!C23)),"LIG-MAG",
IF(ISNUMBER(SEARCH("MAGENTA",INVENTARIO!C23)),"MAG",
IF(ISNUMBER(SEARCH("BLACK",INVENTARIO!C23)),"BLA",
IF(ISNUMBER(SEARCH("YELLOW",INVENTARIO!C23)),"YEL",
IF(ISNUMBER(SEARCH("2 DIODOS",INVENTARIO!C23)),"2DI",
IF(ISNUMBER(SEARCH("3 DIODOS",INVENTARIO!C23)),"3DI",
IF(OR(ISNUMBER(SEARCH("TRASLUCIDO",INVENTARIO!C23)),ISNUMBER(SEARCH("TRANSLUCIDO",INVENTARIO!C23))),"TRA",
"")))))))))))))</f>
        <v/>
      </c>
      <c r="I23" t="str">
        <f>IF(ISNUMBER(SEARCH("SILED",INVENTARIO!C24)),"SI",
IF(ISNUMBER(SEARCH("SYDEMEX",INVENTARIO!C24)),"SY",
IF(ISNUMBER(SEARCH("ROHS",INVENTARIO!C24)),"RO",
IF(ISNUMBER(SEARCH("RISHANG",INVENTARIO!C24)),"RS",
IF(ISNUMBER(SEARCH("VYG",INVENTARIO!C24)),"VYG",
IF(ISNUMBER(SEARCH("COLED",INVENTARIO!C24)),"CO",""))))))</f>
        <v/>
      </c>
    </row>
    <row r="24" spans="1:9">
      <c r="A24" t="str">
        <f>IF(ISNUMBER(SEARCH("LONA",INVENTARIO!C24)),"LON",
IF(ISNUMBER(SEARCH("VINIL",INVENTARIO!C24)),"VIN",
IF(ISNUMBER(SEARCH("KROMACOTE",INVENTARIO!C24)),"KRO",
IF(ISNUMBER(SEARCH("STARDREAM",INVENTARIO!C24)),"STA",
IF(ISNUMBER(SEARCH("DISPLAY",INVENTARIO!C24)),"DIS",
IF(ISNUMBER(SEARCH("ROLL UP",INVENTARIO!C24)),"ROL-UP",
IF(ISNUMBER(SEARCH("TRANSFER DE PAPEL",INVENTARIO!C24)),"TRA-PAP",
IF(ISNUMBER(SEARCH("TRANSFER",INVENTARIO!C24)),"TRA",IF(ISNUMBER(SEARCH("KOLA LOKA",INVENTARIO!C24)),"KOL-LOK",
IF(ISNUMBER(SEARCH("PETG",INVENTARIO!C24)),"PET",
IF(ISNUMBER(SEARCH("OJILLO",INVENTARIO!C24)),"OJI",
IF(ISNUMBER(SEARCH("COUCHE",INVENTARIO!C24)),"COU",
IF(ISNUMBER(SEARCH("PANEL DE ALUMINIO",INVENTARIO!C24)),"PAN-ALU",
IF(ISNUMBER(SEARCH("PVC",INVENTARIO!C24)),"PVC",
IF(ISNUMBER(SEARCH("PAPEL",INVENTARIO!C24)),"PAP",
IF(ISNUMBER(SEARCH("TELA",INVENTARIO!C24)),"TEL",
IF(ISNUMBER(SEARCH("CARTULINA",INVENTARIO!C24)),"CAR",
IF(OR(ISNUMBER(SEARCH("LAMINA",INVENTARIO!C24)),ISNUMBER(SEARCH("LÁMINA",INVENTARIO!C24)),ISNUMBER(SEARCH("LAMPARAS",INVENTARIO!C24))),"LAM",
IF(ISNUMBER(SEARCH("ESTIRENO",INVENTARIO!C24)),"EST",
IF(ISNUMBER(SEARCH("FOAMBOARD",INVENTARIO!C24)),"FOA",
IF(ISNUMBER(SEARCH("SOLVENTE",INVENTARIO!C24)),"SOL",
IF(ISNUMBER(SEARCH("TINTA",INVENTARIO!C24)),"TIN",
IF(ISNUMBER(SEARCH("ACRILICO",INVENTARIO!C24)),"ACR",
IF(ISNUMBER(SEARCH("MICROLED",INVENTARIO!C24)),"MIC",
IF(ISNUMBER(SEARCH("LED",INVENTARIO!C24)),"LED",
IF(ISNUMBER(SEARCH("FUENTE DE PODER",INVENTARIO!C24)),"FUE-POD",
IF(ISNUMBER(SEARCH("PETG",INVENTARIO!C24)),"PET",
IF(ISNUMBER(SEARCH("ALUMINIO",INVENTARIO!C24)),"ALU",
IF(ISNUMBER(SEARCH("CANAL",INVENTARIO!C24)),"CAN",
IF(ISNUMBER(SEARCH("ESCUADRA",INVENTARIO!C24)),"ESC",
IF(ISNUMBER(SEARCH("SOPORTE",INVENTARIO!C24)),"SOP","OTR")
))))))))))))))))))))))))))))))</f>
        <v>LON</v>
      </c>
      <c r="B24" t="str">
        <f>IF(ISNUMBER(SEARCH("CORTE",INVENTARIO!C24)),"COR",
IF(ISNUMBER(SEARCH("CITYLIGHT",INVENTARIO!C24)),"CIT",
IF(ISNUMBER(SEARCH("LINO",INVENTARIO!C24)),"LIN",
IF(ISNUMBER(SEARCH("FABRIANO",INVENTARIO!C24)),"FAB",
IF(ISNUMBER(SEARCH("SUNDANCE",INVENTARIO!C24)),"SUN",
IF(ISNUMBER(SEARCH("SINTETICA",INVENTARIO!C24)),"SIN",
IF(ISNUMBER(SEARCH("CONTROL",INVENTARIO!C24)),"CON",
IF(ISNUMBER(SEARCH("TERMICO",INVENTARIO!C24)),"TER",
IF(ISNUMBER(SEARCH("C-15",INVENTARIO!C24)),"C15",
IF(ISNUMBER(SEARCH("C-20",INVENTARIO!C24)),"C20",
IF(ISNUMBER(SEARCH("C-30",INVENTARIO!C24)),"C30",
IF(ISNUMBER(SEARCH("C-40",INVENTARIO!C24)),"C40",
IF(ISNUMBER(SEARCH("C-60",INVENTARIO!C24)),"C60",
IF(ISNUMBER(SEARCH("C-80",INVENTARIO!C24)),"C80",
IF(ISNUMBER(SEARCH("EQUIPO",INVENTARIO!C24)),"EQU",
IF(ISNUMBER(SEARCH("FLOOR",INVENTARIO!C24)),"FLO",
IF(ISNUMBER(SEARCH("CRISTAL",INVENTARIO!C24)),"CRI",
IF(ISNUMBER(SEARCH(" SULFATADA",INVENTARIO!C35)),"SUL",
IF(ISNUMBER(SEARCH("OPALINA",INVENTARIO!C24)),"OPA",
IF(ISNUMBER(SEARCH("ADHERIBLE",INVENTARIO!C24)),"ADH",
IF(ISNUMBER(SEARCH("MICRO",INVENTARIO!C24)),"MIC","")))))))))))))))))))))</f>
        <v/>
      </c>
      <c r="C24" t="str">
        <f>IF(ISNUMBER(SEARCH("PARED",INVENTARIO!C24)),"PAR",
IF(ISNUMBER(SEARCH("FRONT",INVENTARIO!C24)),"FRO",
IF(ISNUMBER(SEARCH("ALTA RESISTENCIA",INVENTARIO!C24)),
"ALT-RES",IF(ISNUMBER(SEARCH("BACKLITE",INVENTARIO!C24)),"BAC",
IF(ISNUMBER(SEARCH("MATE",INVENTARIO!C24)),"MAT",
IF(ISNUMBER(SEARCH("MESH",INVENTARIO!C24)),"MES",
IF(ISNUMBER(SEARCH("BRILLANTE",INVENTARIO!C24)),"BRI",
IF(ISNUMBER(SEARCH("DELGADA",INVENTARIO!C24)),"DEL",
IF(ISNUMBER(SEARCH("GRUESA",INVENTARIO!C24)),"GRU",
IF(ISNUMBER(SEARCH("ESTATICO",INVENTARIO!C24)),"EST",
IF(ISNUMBER(SEARCH("REFLECTIVO",INVENTARIO!C24)),"REF",
IF(ISNUMBER(SEARCH("LX700",INVENTARIO!C24)),"LX7",
IF(ISNUMBER(SEARCH("GRANDO",INVENTARIO!C24)),"GRA",
IF(ISNUMBER(SEARCH("FB700",INVENTARIO!C24)),"FB7",
IF(ISNUMBER(SEARCH("LX360",INVENTARIO!C24)),"LX3",
IF(ISNUMBER(SEARCH("XEROX",INVENTARIO!C24)),"XER",
IF(ISNUMBER(SEARCH("CEPILLADO",INVENTARIO!C24)),"CEP",
IF(ISNUMBER(SEARCH("ESPEJO",INVENTARIO!C24)),"ESP",
IF(ISNUMBER(SEARCH("10 PTS",INVENTARIO!C24)),"10PT",
IF(ISNUMBER(SEARCH("12 PTS",INVENTARIO!C24)),"12PT",
IF(ISNUMBER(SEARCH("14 PTS",INVENTARIO!C24)),"14PT",
IF(ISNUMBER(SEARCH("CLASICO",INVENTARIO!C24)),"CLA",
""))))))))))))))))))))))</f>
        <v>MES</v>
      </c>
      <c r="D24" t="str">
        <f>IF(ISNUMBER(SEARCH("GRAN FORMATO",INVENTARIO!C24)),"GRA-FOR",
IF(ISNUMBER(SEARCH("CAMA PLANA",INVENTARIO!C24)),"CAM-PLA",
IF(ISNUMBER(SEARCH("GRADO INGENIERIA",INVENTARIO!C24)),"GRA-ING",
IF(ISNUMBER(SEARCH("130 GRS",INVENTARIO!C24)),"130GR",
IF(ISNUMBER(SEARCH("150 GRS",INVENTARIO!C24)),"150GR",
IF(ISNUMBER(SEARCH("185 GRS",INVENTARIO!C24)),"185GR",
IF(ISNUMBER(SEARCH("200 GRS",INVENTARIO!C24)),"200GR",
IF(ISNUMBER(SEARCH("250 GRS",INVENTARIO!C24)),"250GR",
IF(ISNUMBER(SEARCH("300 GRS",INVENTARIO!C24)),"300GR",
IF(ISNUMBER(SEARCH("350 GRS",INVENTARIO!C24)),"350GR",
IF(ISNUMBER(SEARCH("18 OZ",INVENTARIO!C24)),"18OZ",
IF(ISNUMBER(SEARCH("15 OZ",INVENTARIO!C24)),"15OZ",
IF(OR(ISNUMBER(SEARCH("13 OZ",INVENTARIO!C24)),ISNUMBER(SEARCH("13 ONZAS",INVENTARIO!C24))),"13OZ",
IF(OR(ISNUMBER(SEARCH("9 OZ",INVENTARIO!C24)),ISNUMBER(SEARCH("9 ONZAS",INVENTARIO!C24))),"09OZ",
IF(ISNUMBER(SEARCH("DOBLE CARA",INVENTARIO!C24)),"DOB-CAR",
"")))))))))))))))</f>
        <v/>
      </c>
      <c r="E24" t="str">
        <f>IF(OR(ISNUMBER(SEARCH("TRANSPARENTE",INVENTARIO!C24)),ISNUMBER(SEARCH("TRANSPARENTES",INVENTARIO!C24))),"TRA",
IF(OR(ISNUMBER(SEARCH("BLANCO",INVENTARIO!C24)),ISNUMBER(SEARCH("BCO",INVENTARIO!C24))),"BLA",
IF(ISNUMBER(SEARCH("FOTOGRAFICO",INVENTARIO!C24)),"FOT",
IF(ISNUMBER(SEARCH("MARFIL",INVENTARIO!C24)),"MAR",
IF(ISNUMBER(SEARCH("VERDE",INVENTARIO!C24)),"VER",
IF(ISNUMBER(SEARCH("MORADO",INVENTARIO!C24)),"MOR",
IF(ISNUMBER(SEARCH("PLATA",INVENTARIO!C24)),"PLA",
IF(ISNUMBER(SEARCH("ORO",INVENTARIO!C24)),"ORO",
IF(ISNUMBER(SEARCH("AMARILLO",INVENTARIO!C24)),"AMA",
IF(ISNUMBER(SEARCH("NARANJA",INVENTARIO!C24)),"NAR",
IF(ISNUMBER(SEARCH("NEGRO",INVENTARIO!C24)),"NEG",
IF(ISNUMBER(SEARCH("ROJO",INVENTARIO!C24)),"ROJ",
IF(ISNUMBER(SEARCH("AZUL",INVENTARIO!C24)),"AZU","")))))))))))))</f>
        <v/>
      </c>
      <c r="F24" t="str">
        <f>IF(ISNUMBER(SEARCH("ARLON",INVENTARIO!C24)),"ARL",
IF(ISNUMBER(SEARCH("SUNTHINKS",INVENTARIO!C24)),"SUN",
IF(ISNUMBER(SEARCH("FRIO",INVENTARIO!C24)),"FRI",
IF(ISNUMBER(SEARCH("CALIDO",INVENTARIO!C24)),"CAL",
IF(ISNUMBER(SEARCH("CEPILLADO",INVENTARIO!C24)),"CEP",
IF(ISNUMBER(SEARCH("ESPEJO",INVENTARIO!C24)),"ESP",
""))))))</f>
        <v/>
      </c>
      <c r="G24" t="str">
        <f>IF(ISNUMBER(SEARCH("LATEX",INVENTARIO!C24)),"LAT",
IF(ISNUMBER(SEARCH("RESP. NEGRO",INVENTARIO!C24)),"RES-NEG",
IF(ISNUMBER(SEARCH("RESPALDO CAFE",INVENTARIO!C24)),"RES-CAF",
IF(ISNUMBER(SEARCH("RESPALDO GRIS",INVENTARIO!C24)),"RES-GRI",
IF(ISNUMBER(SEARCH("OPTICO",INVENTARIO!C24)),"OPT",
IF(ISNUMBER(SEARCH("1,2 MM",INVENTARIO!C24)),"1MM2",
IF(ISNUMBER(SEARCH("2 MM",INVENTARIO!C24)),"2MM",
IF(ISNUMBER(SEARCH("3 MM",INVENTARIO!C24)),"3MM",
IF(ISNUMBER(SEARCH("4 MM",INVENTARIO!C24)),"4MM",
IF(ISNUMBER(SEARCH("5 MM",INVENTARIO!C24)),"5MM",
IF(ISNUMBER(SEARCH("6 MM",INVENTARIO!C24)),"6MM",
IF(ISNUMBER(SEARCH("9 MM",INVENTARIO!C24)),"9MM",
IF(ISNUMBER(SEARCH("10 MM",INVENTARIO!C24)),"10MM","")))))))))))))</f>
        <v/>
      </c>
      <c r="H24" t="str">
        <f>IF(ISNUMBER(SEARCH("GAMA BAJA",INVENTARIO!C24)),"GAM-BAJ",
IF(ISNUMBER(SEARCH("OPTIMIZADOR",INVENTARIO!C24)),"OPT",
IF(ISNUMBER(SEARCH("OVERCOAT",INVENTARIO!C24)),"OVE",
IF(ISNUMBER(SEARCH("WHITE",INVENTARIO!C24)),"WHI",
IF(ISNUMBER(SEARCH("LIGHT CYAN",INVENTARIO!C24)),"LIG-CYA",
IF(ISNUMBER(SEARCH("CYAN",INVENTARIO!C24)),"CYA",
IF(ISNUMBER(SEARCH("LIGHT MAGENTA",INVENTARIO!C24)),"LIG-MAG",
IF(ISNUMBER(SEARCH("MAGENTA",INVENTARIO!C24)),"MAG",
IF(ISNUMBER(SEARCH("BLACK",INVENTARIO!C24)),"BLA",
IF(ISNUMBER(SEARCH("YELLOW",INVENTARIO!C24)),"YEL",
IF(ISNUMBER(SEARCH("2 DIODOS",INVENTARIO!C24)),"2DI",
IF(ISNUMBER(SEARCH("3 DIODOS",INVENTARIO!C24)),"3DI",
IF(OR(ISNUMBER(SEARCH("TRASLUCIDO",INVENTARIO!C24)),ISNUMBER(SEARCH("TRANSLUCIDO",INVENTARIO!C24))),"TRA",
"")))))))))))))</f>
        <v/>
      </c>
      <c r="I24" t="str">
        <f>IF(ISNUMBER(SEARCH("SILED",INVENTARIO!C26)),"SI",
IF(ISNUMBER(SEARCH("SYDEMEX",INVENTARIO!C26)),"SY",
IF(ISNUMBER(SEARCH("ROHS",INVENTARIO!C26)),"RO",
IF(ISNUMBER(SEARCH("RISHANG",INVENTARIO!C26)),"RS",
IF(ISNUMBER(SEARCH("VYG",INVENTARIO!C26)),"VYG",
IF(ISNUMBER(SEARCH("COLED",INVENTARIO!C26)),"CO",""))))))</f>
        <v/>
      </c>
    </row>
    <row r="25" spans="1:9">
      <c r="A25" t="str">
        <f>IF(ISNUMBER(SEARCH("LONA",INVENTARIO!C25)),"LON",
IF(ISNUMBER(SEARCH("VINIL",INVENTARIO!C25)),"VIN",
IF(ISNUMBER(SEARCH("KROMACOTE",INVENTARIO!C25)),"KRO",
IF(ISNUMBER(SEARCH("STARDREAM",INVENTARIO!C25)),"STA",
IF(ISNUMBER(SEARCH("DISPLAY",INVENTARIO!C25)),"DIS",
IF(ISNUMBER(SEARCH("ROLL UP",INVENTARIO!C25)),"ROL-UP",
IF(ISNUMBER(SEARCH("TRANSFER DE PAPEL",INVENTARIO!C25)),"TRA-PAP",
IF(ISNUMBER(SEARCH("TRANSFER",INVENTARIO!C25)),"TRA",IF(ISNUMBER(SEARCH("KOLA LOKA",INVENTARIO!C25)),"KOL-LOK",
IF(ISNUMBER(SEARCH("PETG",INVENTARIO!C25)),"PET",
IF(ISNUMBER(SEARCH("OJILLO",INVENTARIO!C25)),"OJI",
IF(ISNUMBER(SEARCH("COUCHE",INVENTARIO!C25)),"COU",
IF(ISNUMBER(SEARCH("PANEL DE ALUMINIO",INVENTARIO!C25)),"PAN-ALU",
IF(ISNUMBER(SEARCH("PVC",INVENTARIO!C25)),"PVC",
IF(ISNUMBER(SEARCH("PAPEL",INVENTARIO!C25)),"PAP",
IF(ISNUMBER(SEARCH("TELA",INVENTARIO!C25)),"TEL",
IF(ISNUMBER(SEARCH("CARTULINA",INVENTARIO!C25)),"CAR",
IF(OR(ISNUMBER(SEARCH("LAMINA",INVENTARIO!C25)),ISNUMBER(SEARCH("LÁMINA",INVENTARIO!C25)),ISNUMBER(SEARCH("LAMPARAS",INVENTARIO!C25))),"LAM",
IF(ISNUMBER(SEARCH("ESTIRENO",INVENTARIO!C25)),"EST",
IF(ISNUMBER(SEARCH("FOAMBOARD",INVENTARIO!C25)),"FOA",
IF(ISNUMBER(SEARCH("SOLVENTE",INVENTARIO!C25)),"SOL",
IF(ISNUMBER(SEARCH("TINTA",INVENTARIO!C25)),"TIN",
IF(ISNUMBER(SEARCH("ACRILICO",INVENTARIO!C25)),"ACR",
IF(ISNUMBER(SEARCH("MICROLED",INVENTARIO!C25)),"MIC",
IF(ISNUMBER(SEARCH("LED",INVENTARIO!C25)),"LED",
IF(ISNUMBER(SEARCH("FUENTE DE PODER",INVENTARIO!C25)),"FUE-POD",
IF(ISNUMBER(SEARCH("PETG",INVENTARIO!C25)),"PET",
IF(ISNUMBER(SEARCH("ALUMINIO",INVENTARIO!C25)),"ALU",
IF(ISNUMBER(SEARCH("CANAL",INVENTARIO!C25)),"CAN",
IF(ISNUMBER(SEARCH("ESCUADRA",INVENTARIO!C25)),"ESC",
IF(ISNUMBER(SEARCH("SOPORTE",INVENTARIO!C25)),"SOP","OTR")
))))))))))))))))))))))))))))))</f>
        <v>LON</v>
      </c>
      <c r="B25" t="str">
        <f>IF(ISNUMBER(SEARCH("CORTE",INVENTARIO!C25)),"COR",
IF(ISNUMBER(SEARCH("CITYLIGHT",INVENTARIO!C25)),"CIT",
IF(ISNUMBER(SEARCH("LINO",INVENTARIO!C25)),"LIN",
IF(ISNUMBER(SEARCH("FABRIANO",INVENTARIO!C25)),"FAB",
IF(ISNUMBER(SEARCH("SUNDANCE",INVENTARIO!C25)),"SUN",
IF(ISNUMBER(SEARCH("SINTETICA",INVENTARIO!C25)),"SIN",
IF(ISNUMBER(SEARCH("CONTROL",INVENTARIO!C25)),"CON",
IF(ISNUMBER(SEARCH("TERMICO",INVENTARIO!C25)),"TER",
IF(ISNUMBER(SEARCH("C-15",INVENTARIO!C25)),"C15",
IF(ISNUMBER(SEARCH("C-20",INVENTARIO!C25)),"C20",
IF(ISNUMBER(SEARCH("C-30",INVENTARIO!C25)),"C30",
IF(ISNUMBER(SEARCH("C-40",INVENTARIO!C25)),"C40",
IF(ISNUMBER(SEARCH("C-60",INVENTARIO!C25)),"C60",
IF(ISNUMBER(SEARCH("C-80",INVENTARIO!C25)),"C80",
IF(ISNUMBER(SEARCH("EQUIPO",INVENTARIO!C25)),"EQU",
IF(ISNUMBER(SEARCH("FLOOR",INVENTARIO!C25)),"FLO",
IF(ISNUMBER(SEARCH("CRISTAL",INVENTARIO!C25)),"CRI",
IF(ISNUMBER(SEARCH(" SULFATADA",INVENTARIO!C36)),"SUL",
IF(ISNUMBER(SEARCH("OPALINA",INVENTARIO!C25)),"OPA",
IF(ISNUMBER(SEARCH("ADHERIBLE",INVENTARIO!C25)),"ADH",
IF(ISNUMBER(SEARCH("MICRO",INVENTARIO!C25)),"MIC","")))))))))))))))))))))</f>
        <v/>
      </c>
      <c r="C25" t="str">
        <f>IF(ISNUMBER(SEARCH("PARED",INVENTARIO!C25)),"PAR",
IF(ISNUMBER(SEARCH("FRONT",INVENTARIO!C25)),"FRO",
IF(ISNUMBER(SEARCH("ALTA RESISTENCIA",INVENTARIO!C25)),
"ALT-RES",IF(ISNUMBER(SEARCH("BACKLITE",INVENTARIO!C25)),"BAC",
IF(ISNUMBER(SEARCH("MATE",INVENTARIO!C25)),"MAT",
IF(ISNUMBER(SEARCH("MESH",INVENTARIO!C25)),"MES",
IF(ISNUMBER(SEARCH("BRILLANTE",INVENTARIO!C25)),"BRI",
IF(ISNUMBER(SEARCH("DELGADA",INVENTARIO!C25)),"DEL",
IF(ISNUMBER(SEARCH("GRUESA",INVENTARIO!C25)),"GRU",
IF(ISNUMBER(SEARCH("ESTATICO",INVENTARIO!C25)),"EST",
IF(ISNUMBER(SEARCH("REFLECTIVO",INVENTARIO!C25)),"REF",
IF(ISNUMBER(SEARCH("LX700",INVENTARIO!C25)),"LX7",
IF(ISNUMBER(SEARCH("GRANDO",INVENTARIO!C25)),"GRA",
IF(ISNUMBER(SEARCH("FB700",INVENTARIO!C25)),"FB7",
IF(ISNUMBER(SEARCH("LX360",INVENTARIO!C25)),"LX3",
IF(ISNUMBER(SEARCH("XEROX",INVENTARIO!C25)),"XER",
IF(ISNUMBER(SEARCH("CEPILLADO",INVENTARIO!C25)),"CEP",
IF(ISNUMBER(SEARCH("ESPEJO",INVENTARIO!C25)),"ESP",
IF(ISNUMBER(SEARCH("10 PTS",INVENTARIO!C25)),"10PT",
IF(ISNUMBER(SEARCH("12 PTS",INVENTARIO!C25)),"12PT",
IF(ISNUMBER(SEARCH("14 PTS",INVENTARIO!C25)),"14PT",
IF(ISNUMBER(SEARCH("CLASICO",INVENTARIO!C25)),"CLA",
""))))))))))))))))))))))</f>
        <v>MES</v>
      </c>
      <c r="D25" t="str">
        <f>IF(ISNUMBER(SEARCH("GRAN FORMATO",INVENTARIO!C25)),"GRA-FOR",
IF(ISNUMBER(SEARCH("CAMA PLANA",INVENTARIO!C25)),"CAM-PLA",
IF(ISNUMBER(SEARCH("GRADO INGENIERIA",INVENTARIO!C25)),"GRA-ING",
IF(ISNUMBER(SEARCH("130 GRS",INVENTARIO!C25)),"130GR",
IF(ISNUMBER(SEARCH("150 GRS",INVENTARIO!C25)),"150GR",
IF(ISNUMBER(SEARCH("185 GRS",INVENTARIO!C25)),"185GR",
IF(ISNUMBER(SEARCH("200 GRS",INVENTARIO!C25)),"200GR",
IF(ISNUMBER(SEARCH("250 GRS",INVENTARIO!C25)),"250GR",
IF(ISNUMBER(SEARCH("300 GRS",INVENTARIO!C25)),"300GR",
IF(ISNUMBER(SEARCH("350 GRS",INVENTARIO!C25)),"350GR",
IF(ISNUMBER(SEARCH("18 OZ",INVENTARIO!C25)),"18OZ",
IF(ISNUMBER(SEARCH("15 OZ",INVENTARIO!C25)),"15OZ",
IF(OR(ISNUMBER(SEARCH("13 OZ",INVENTARIO!C25)),ISNUMBER(SEARCH("13 ONZAS",INVENTARIO!C25))),"13OZ",
IF(OR(ISNUMBER(SEARCH("9 OZ",INVENTARIO!C25)),ISNUMBER(SEARCH("9 ONZAS",INVENTARIO!C25))),"09OZ",
IF(ISNUMBER(SEARCH("DOBLE CARA",INVENTARIO!C25)),"DOB-CAR",
"")))))))))))))))</f>
        <v/>
      </c>
      <c r="E25" t="str">
        <f>IF(OR(ISNUMBER(SEARCH("TRANSPARENTE",INVENTARIO!C25)),ISNUMBER(SEARCH("TRANSPARENTES",INVENTARIO!C25))),"TRA",
IF(OR(ISNUMBER(SEARCH("BLANCO",INVENTARIO!C25)),ISNUMBER(SEARCH("BCO",INVENTARIO!C25))),"BLA",
IF(ISNUMBER(SEARCH("FOTOGRAFICO",INVENTARIO!C25)),"FOT",
IF(ISNUMBER(SEARCH("MARFIL",INVENTARIO!C25)),"MAR",
IF(ISNUMBER(SEARCH("VERDE",INVENTARIO!C25)),"VER",
IF(ISNUMBER(SEARCH("MORADO",INVENTARIO!C25)),"MOR",
IF(ISNUMBER(SEARCH("PLATA",INVENTARIO!C25)),"PLA",
IF(ISNUMBER(SEARCH("ORO",INVENTARIO!C25)),"ORO",
IF(ISNUMBER(SEARCH("AMARILLO",INVENTARIO!C25)),"AMA",
IF(ISNUMBER(SEARCH("NARANJA",INVENTARIO!C25)),"NAR",
IF(ISNUMBER(SEARCH("NEGRO",INVENTARIO!C25)),"NEG",
IF(ISNUMBER(SEARCH("ROJO",INVENTARIO!C25)),"ROJ",
IF(ISNUMBER(SEARCH("AZUL",INVENTARIO!C25)),"AZU","")))))))))))))</f>
        <v/>
      </c>
      <c r="F25" t="str">
        <f>IF(ISNUMBER(SEARCH("ARLON",INVENTARIO!C25)),"ARL",
IF(ISNUMBER(SEARCH("SUNTHINKS",INVENTARIO!C25)),"SUN",
IF(ISNUMBER(SEARCH("FRIO",INVENTARIO!C25)),"FRI",
IF(ISNUMBER(SEARCH("CALIDO",INVENTARIO!C25)),"CAL",
IF(ISNUMBER(SEARCH("CEPILLADO",INVENTARIO!C25)),"CEP",
IF(ISNUMBER(SEARCH("ESPEJO",INVENTARIO!C25)),"ESP",
""))))))</f>
        <v/>
      </c>
      <c r="G25" t="str">
        <f>IF(ISNUMBER(SEARCH("LATEX",INVENTARIO!C25)),"LAT",
IF(ISNUMBER(SEARCH("RESP. NEGRO",INVENTARIO!C25)),"RES-NEG",
IF(ISNUMBER(SEARCH("RESPALDO CAFE",INVENTARIO!C25)),"RES-CAF",
IF(ISNUMBER(SEARCH("RESPALDO GRIS",INVENTARIO!C25)),"RES-GRI",
IF(ISNUMBER(SEARCH("OPTICO",INVENTARIO!C25)),"OPT",
IF(ISNUMBER(SEARCH("1,2 MM",INVENTARIO!C25)),"1MM2",
IF(ISNUMBER(SEARCH("2 MM",INVENTARIO!C25)),"2MM",
IF(ISNUMBER(SEARCH("3 MM",INVENTARIO!C25)),"3MM",
IF(ISNUMBER(SEARCH("4 MM",INVENTARIO!C25)),"4MM",
IF(ISNUMBER(SEARCH("5 MM",INVENTARIO!C25)),"5MM",
IF(ISNUMBER(SEARCH("6 MM",INVENTARIO!C25)),"6MM",
IF(ISNUMBER(SEARCH("9 MM",INVENTARIO!C25)),"9MM",
IF(ISNUMBER(SEARCH("10 MM",INVENTARIO!C25)),"10MM","")))))))))))))</f>
        <v/>
      </c>
      <c r="H25" t="str">
        <f>IF(ISNUMBER(SEARCH("GAMA BAJA",INVENTARIO!C25)),"GAM-BAJ",
IF(ISNUMBER(SEARCH("OPTIMIZADOR",INVENTARIO!C25)),"OPT",
IF(ISNUMBER(SEARCH("OVERCOAT",INVENTARIO!C25)),"OVE",
IF(ISNUMBER(SEARCH("WHITE",INVENTARIO!C25)),"WHI",
IF(ISNUMBER(SEARCH("LIGHT CYAN",INVENTARIO!C25)),"LIG-CYA",
IF(ISNUMBER(SEARCH("CYAN",INVENTARIO!C25)),"CYA",
IF(ISNUMBER(SEARCH("LIGHT MAGENTA",INVENTARIO!C25)),"LIG-MAG",
IF(ISNUMBER(SEARCH("MAGENTA",INVENTARIO!C25)),"MAG",
IF(ISNUMBER(SEARCH("BLACK",INVENTARIO!C25)),"BLA",
IF(ISNUMBER(SEARCH("YELLOW",INVENTARIO!C25)),"YEL",
IF(ISNUMBER(SEARCH("2 DIODOS",INVENTARIO!C25)),"2DI",
IF(ISNUMBER(SEARCH("3 DIODOS",INVENTARIO!C25)),"3DI",
IF(OR(ISNUMBER(SEARCH("TRASLUCIDO",INVENTARIO!C25)),ISNUMBER(SEARCH("TRANSLUCIDO",INVENTARIO!C25))),"TRA",
"")))))))))))))</f>
        <v/>
      </c>
      <c r="I25" t="str">
        <f>IF(ISNUMBER(SEARCH("SILED",INVENTARIO!C27)),"SI",
IF(ISNUMBER(SEARCH("SYDEMEX",INVENTARIO!C27)),"SY",
IF(ISNUMBER(SEARCH("ROHS",INVENTARIO!C27)),"RO",
IF(ISNUMBER(SEARCH("RISHANG",INVENTARIO!C27)),"RS",
IF(ISNUMBER(SEARCH("VYG",INVENTARIO!C27)),"VYG",
IF(ISNUMBER(SEARCH("COLED",INVENTARIO!C27)),"CO",""))))))</f>
        <v/>
      </c>
    </row>
    <row r="26" spans="1:9">
      <c r="A26" t="str">
        <f>IF(ISNUMBER(SEARCH("LONA",INVENTARIO!C26)),"LON",
IF(ISNUMBER(SEARCH("VINIL",INVENTARIO!C26)),"VIN",
IF(ISNUMBER(SEARCH("KROMACOTE",INVENTARIO!C26)),"KRO",
IF(ISNUMBER(SEARCH("STARDREAM",INVENTARIO!C26)),"STA",
IF(ISNUMBER(SEARCH("DISPLAY",INVENTARIO!C26)),"DIS",
IF(ISNUMBER(SEARCH("ROLL UP",INVENTARIO!C26)),"ROL-UP",
IF(ISNUMBER(SEARCH("TRANSFER DE PAPEL",INVENTARIO!C26)),"TRA-PAP",
IF(ISNUMBER(SEARCH("TRANSFER",INVENTARIO!C26)),"TRA",IF(ISNUMBER(SEARCH("KOLA LOKA",INVENTARIO!C26)),"KOL-LOK",
IF(ISNUMBER(SEARCH("PETG",INVENTARIO!C26)),"PET",
IF(ISNUMBER(SEARCH("OJILLO",INVENTARIO!C26)),"OJI",
IF(ISNUMBER(SEARCH("COUCHE",INVENTARIO!C26)),"COU",
IF(ISNUMBER(SEARCH("PANEL DE ALUMINIO",INVENTARIO!C26)),"PAN-ALU",
IF(ISNUMBER(SEARCH("PVC",INVENTARIO!C26)),"PVC",
IF(ISNUMBER(SEARCH("PAPEL",INVENTARIO!C26)),"PAP",
IF(ISNUMBER(SEARCH("TELA",INVENTARIO!C26)),"TEL",
IF(ISNUMBER(SEARCH("CARTULINA",INVENTARIO!C26)),"CAR",
IF(OR(ISNUMBER(SEARCH("LAMINA",INVENTARIO!C26)),ISNUMBER(SEARCH("LÁMINA",INVENTARIO!C26)),ISNUMBER(SEARCH("LAMPARAS",INVENTARIO!C26))),"LAM",
IF(ISNUMBER(SEARCH("ESTIRENO",INVENTARIO!C26)),"EST",
IF(ISNUMBER(SEARCH("FOAMBOARD",INVENTARIO!C26)),"FOA",
IF(ISNUMBER(SEARCH("SOLVENTE",INVENTARIO!C26)),"SOL",
IF(ISNUMBER(SEARCH("TINTA",INVENTARIO!C26)),"TIN",
IF(ISNUMBER(SEARCH("ACRILICO",INVENTARIO!C26)),"ACR",
IF(ISNUMBER(SEARCH("MICROLED",INVENTARIO!C26)),"MIC",
IF(ISNUMBER(SEARCH("LED",INVENTARIO!C26)),"LED",
IF(ISNUMBER(SEARCH("FUENTE DE PODER",INVENTARIO!C26)),"FUE-POD",
IF(ISNUMBER(SEARCH("PETG",INVENTARIO!C26)),"PET",
IF(ISNUMBER(SEARCH("ALUMINIO",INVENTARIO!C26)),"ALU",
IF(ISNUMBER(SEARCH("CANAL",INVENTARIO!C26)),"CAN",
IF(ISNUMBER(SEARCH("ESCUADRA",INVENTARIO!C26)),"ESC",
IF(ISNUMBER(SEARCH("SOPORTE",INVENTARIO!C26)),"SOP","OTR")
))))))))))))))))))))))))))))))</f>
        <v>LON</v>
      </c>
      <c r="B26" t="str">
        <f>IF(ISNUMBER(SEARCH("CORTE",INVENTARIO!C26)),"COR",
IF(ISNUMBER(SEARCH("CITYLIGHT",INVENTARIO!C26)),"CIT",
IF(ISNUMBER(SEARCH("LINO",INVENTARIO!C26)),"LIN",
IF(ISNUMBER(SEARCH("FABRIANO",INVENTARIO!C26)),"FAB",
IF(ISNUMBER(SEARCH("SUNDANCE",INVENTARIO!C26)),"SUN",
IF(ISNUMBER(SEARCH("SINTETICA",INVENTARIO!C26)),"SIN",
IF(ISNUMBER(SEARCH("CONTROL",INVENTARIO!C26)),"CON",
IF(ISNUMBER(SEARCH("TERMICO",INVENTARIO!C26)),"TER",
IF(ISNUMBER(SEARCH("C-15",INVENTARIO!C26)),"C15",
IF(ISNUMBER(SEARCH("C-20",INVENTARIO!C26)),"C20",
IF(ISNUMBER(SEARCH("C-30",INVENTARIO!C26)),"C30",
IF(ISNUMBER(SEARCH("C-40",INVENTARIO!C26)),"C40",
IF(ISNUMBER(SEARCH("C-60",INVENTARIO!C26)),"C60",
IF(ISNUMBER(SEARCH("C-80",INVENTARIO!C26)),"C80",
IF(ISNUMBER(SEARCH("EQUIPO",INVENTARIO!C26)),"EQU",
IF(ISNUMBER(SEARCH("FLOOR",INVENTARIO!C26)),"FLO",
IF(ISNUMBER(SEARCH("CRISTAL",INVENTARIO!C26)),"CRI",
IF(ISNUMBER(SEARCH(" SULFATADA",INVENTARIO!C37)),"SUL",
IF(ISNUMBER(SEARCH("OPALINA",INVENTARIO!C26)),"OPA",
IF(ISNUMBER(SEARCH("ADHERIBLE",INVENTARIO!C26)),"ADH",
IF(ISNUMBER(SEARCH("MICRO",INVENTARIO!C26)),"MIC","")))))))))))))))))))))</f>
        <v/>
      </c>
      <c r="C26" t="str">
        <f>IF(ISNUMBER(SEARCH("PARED",INVENTARIO!C26)),"PAR",
IF(ISNUMBER(SEARCH("FRONT",INVENTARIO!C26)),"FRO",
IF(ISNUMBER(SEARCH("ALTA RESISTENCIA",INVENTARIO!C26)),
"ALT-RES",IF(ISNUMBER(SEARCH("BACKLITE",INVENTARIO!C26)),"BAC",
IF(ISNUMBER(SEARCH("MATE",INVENTARIO!C26)),"MAT",
IF(ISNUMBER(SEARCH("MESH",INVENTARIO!C26)),"MES",
IF(ISNUMBER(SEARCH("BRILLANTE",INVENTARIO!C26)),"BRI",
IF(ISNUMBER(SEARCH("DELGADA",INVENTARIO!C26)),"DEL",
IF(ISNUMBER(SEARCH("GRUESA",INVENTARIO!C26)),"GRU",
IF(ISNUMBER(SEARCH("ESTATICO",INVENTARIO!C26)),"EST",
IF(ISNUMBER(SEARCH("REFLECTIVO",INVENTARIO!C26)),"REF",
IF(ISNUMBER(SEARCH("LX700",INVENTARIO!C26)),"LX7",
IF(ISNUMBER(SEARCH("GRANDO",INVENTARIO!C26)),"GRA",
IF(ISNUMBER(SEARCH("FB700",INVENTARIO!C26)),"FB7",
IF(ISNUMBER(SEARCH("LX360",INVENTARIO!C26)),"LX3",
IF(ISNUMBER(SEARCH("XEROX",INVENTARIO!C26)),"XER",
IF(ISNUMBER(SEARCH("CEPILLADO",INVENTARIO!C26)),"CEP",
IF(ISNUMBER(SEARCH("ESPEJO",INVENTARIO!C26)),"ESP",
IF(ISNUMBER(SEARCH("10 PTS",INVENTARIO!C26)),"10PT",
IF(ISNUMBER(SEARCH("12 PTS",INVENTARIO!C26)),"12PT",
IF(ISNUMBER(SEARCH("14 PTS",INVENTARIO!C26)),"14PT",
IF(ISNUMBER(SEARCH("CLASICO",INVENTARIO!C26)),"CLA",
""))))))))))))))))))))))</f>
        <v>MES</v>
      </c>
      <c r="D26" t="str">
        <f>IF(ISNUMBER(SEARCH("GRAN FORMATO",INVENTARIO!C26)),"GRA-FOR",
IF(ISNUMBER(SEARCH("CAMA PLANA",INVENTARIO!C26)),"CAM-PLA",
IF(ISNUMBER(SEARCH("GRADO INGENIERIA",INVENTARIO!C26)),"GRA-ING",
IF(ISNUMBER(SEARCH("130 GRS",INVENTARIO!C26)),"130GR",
IF(ISNUMBER(SEARCH("150 GRS",INVENTARIO!C26)),"150GR",
IF(ISNUMBER(SEARCH("185 GRS",INVENTARIO!C26)),"185GR",
IF(ISNUMBER(SEARCH("200 GRS",INVENTARIO!C26)),"200GR",
IF(ISNUMBER(SEARCH("250 GRS",INVENTARIO!C26)),"250GR",
IF(ISNUMBER(SEARCH("300 GRS",INVENTARIO!C26)),"300GR",
IF(ISNUMBER(SEARCH("350 GRS",INVENTARIO!C26)),"350GR",
IF(ISNUMBER(SEARCH("18 OZ",INVENTARIO!C26)),"18OZ",
IF(ISNUMBER(SEARCH("15 OZ",INVENTARIO!C26)),"15OZ",
IF(OR(ISNUMBER(SEARCH("13 OZ",INVENTARIO!C26)),ISNUMBER(SEARCH("13 ONZAS",INVENTARIO!C26))),"13OZ",
IF(OR(ISNUMBER(SEARCH("9 OZ",INVENTARIO!C26)),ISNUMBER(SEARCH("9 ONZAS",INVENTARIO!C26))),"09OZ",
IF(ISNUMBER(SEARCH("DOBLE CARA",INVENTARIO!C26)),"DOB-CAR",
"")))))))))))))))</f>
        <v/>
      </c>
      <c r="E26" t="str">
        <f>IF(OR(ISNUMBER(SEARCH("TRANSPARENTE",INVENTARIO!C26)),ISNUMBER(SEARCH("TRANSPARENTES",INVENTARIO!C26))),"TRA",
IF(OR(ISNUMBER(SEARCH("BLANCO",INVENTARIO!C26)),ISNUMBER(SEARCH("BCO",INVENTARIO!C26))),"BLA",
IF(ISNUMBER(SEARCH("FOTOGRAFICO",INVENTARIO!C26)),"FOT",
IF(ISNUMBER(SEARCH("MARFIL",INVENTARIO!C26)),"MAR",
IF(ISNUMBER(SEARCH("VERDE",INVENTARIO!C26)),"VER",
IF(ISNUMBER(SEARCH("MORADO",INVENTARIO!C26)),"MOR",
IF(ISNUMBER(SEARCH("PLATA",INVENTARIO!C26)),"PLA",
IF(ISNUMBER(SEARCH("ORO",INVENTARIO!C26)),"ORO",
IF(ISNUMBER(SEARCH("AMARILLO",INVENTARIO!C26)),"AMA",
IF(ISNUMBER(SEARCH("NARANJA",INVENTARIO!C26)),"NAR",
IF(ISNUMBER(SEARCH("NEGRO",INVENTARIO!C26)),"NEG",
IF(ISNUMBER(SEARCH("ROJO",INVENTARIO!C26)),"ROJ",
IF(ISNUMBER(SEARCH("AZUL",INVENTARIO!C26)),"AZU","")))))))))))))</f>
        <v/>
      </c>
      <c r="F26" t="str">
        <f>IF(ISNUMBER(SEARCH("ARLON",INVENTARIO!C26)),"ARL",
IF(ISNUMBER(SEARCH("SUNTHINKS",INVENTARIO!C26)),"SUN",
IF(ISNUMBER(SEARCH("FRIO",INVENTARIO!C26)),"FRI",
IF(ISNUMBER(SEARCH("CALIDO",INVENTARIO!C26)),"CAL",
IF(ISNUMBER(SEARCH("CEPILLADO",INVENTARIO!C26)),"CEP",
IF(ISNUMBER(SEARCH("ESPEJO",INVENTARIO!C26)),"ESP",
""))))))</f>
        <v/>
      </c>
      <c r="G26" t="str">
        <f>IF(ISNUMBER(SEARCH("LATEX",INVENTARIO!C26)),"LAT",
IF(ISNUMBER(SEARCH("RESP. NEGRO",INVENTARIO!C26)),"RES-NEG",
IF(ISNUMBER(SEARCH("RESPALDO CAFE",INVENTARIO!C26)),"RES-CAF",
IF(ISNUMBER(SEARCH("RESPALDO GRIS",INVENTARIO!C26)),"RES-GRI",
IF(ISNUMBER(SEARCH("OPTICO",INVENTARIO!C26)),"OPT",
IF(ISNUMBER(SEARCH("1,2 MM",INVENTARIO!C26)),"1MM2",
IF(ISNUMBER(SEARCH("2 MM",INVENTARIO!C26)),"2MM",
IF(ISNUMBER(SEARCH("3 MM",INVENTARIO!C26)),"3MM",
IF(ISNUMBER(SEARCH("4 MM",INVENTARIO!C26)),"4MM",
IF(ISNUMBER(SEARCH("5 MM",INVENTARIO!C26)),"5MM",
IF(ISNUMBER(SEARCH("6 MM",INVENTARIO!C26)),"6MM",
IF(ISNUMBER(SEARCH("9 MM",INVENTARIO!C26)),"9MM",
IF(ISNUMBER(SEARCH("10 MM",INVENTARIO!C26)),"10MM","")))))))))))))</f>
        <v/>
      </c>
      <c r="H26" t="str">
        <f>IF(ISNUMBER(SEARCH("GAMA BAJA",INVENTARIO!C26)),"GAM-BAJ",
IF(ISNUMBER(SEARCH("OPTIMIZADOR",INVENTARIO!C26)),"OPT",
IF(ISNUMBER(SEARCH("OVERCOAT",INVENTARIO!C26)),"OVE",
IF(ISNUMBER(SEARCH("WHITE",INVENTARIO!C26)),"WHI",
IF(ISNUMBER(SEARCH("LIGHT CYAN",INVENTARIO!C26)),"LIG-CYA",
IF(ISNUMBER(SEARCH("CYAN",INVENTARIO!C26)),"CYA",
IF(ISNUMBER(SEARCH("LIGHT MAGENTA",INVENTARIO!C26)),"LIG-MAG",
IF(ISNUMBER(SEARCH("MAGENTA",INVENTARIO!C26)),"MAG",
IF(ISNUMBER(SEARCH("BLACK",INVENTARIO!C26)),"BLA",
IF(ISNUMBER(SEARCH("YELLOW",INVENTARIO!C26)),"YEL",
IF(ISNUMBER(SEARCH("2 DIODOS",INVENTARIO!C26)),"2DI",
IF(ISNUMBER(SEARCH("3 DIODOS",INVENTARIO!C26)),"3DI",
IF(OR(ISNUMBER(SEARCH("TRASLUCIDO",INVENTARIO!C26)),ISNUMBER(SEARCH("TRANSLUCIDO",INVENTARIO!C26))),"TRA",
"")))))))))))))</f>
        <v/>
      </c>
      <c r="I26" t="str">
        <f>IF(ISNUMBER(SEARCH("SILED",INVENTARIO!C28)),"SI",
IF(ISNUMBER(SEARCH("SYDEMEX",INVENTARIO!C28)),"SY",
IF(ISNUMBER(SEARCH("ROHS",INVENTARIO!C28)),"RO",
IF(ISNUMBER(SEARCH("RISHANG",INVENTARIO!C28)),"RS",
IF(ISNUMBER(SEARCH("VYG",INVENTARIO!C28)),"VYG",
IF(ISNUMBER(SEARCH("COLED",INVENTARIO!C28)),"CO",""))))))</f>
        <v/>
      </c>
    </row>
    <row r="27" spans="1:9">
      <c r="A27" t="str">
        <f>IF(ISNUMBER(SEARCH("LONA",INVENTARIO!C27)),"LON",
IF(ISNUMBER(SEARCH("VINIL",INVENTARIO!C27)),"VIN",
IF(ISNUMBER(SEARCH("KROMACOTE",INVENTARIO!C27)),"KRO",
IF(ISNUMBER(SEARCH("STARDREAM",INVENTARIO!C27)),"STA",
IF(ISNUMBER(SEARCH("DISPLAY",INVENTARIO!C27)),"DIS",
IF(ISNUMBER(SEARCH("ROLL UP",INVENTARIO!C27)),"ROL-UP",
IF(ISNUMBER(SEARCH("TRANSFER DE PAPEL",INVENTARIO!C27)),"TRA-PAP",
IF(ISNUMBER(SEARCH("TRANSFER",INVENTARIO!C27)),"TRA",IF(ISNUMBER(SEARCH("KOLA LOKA",INVENTARIO!C27)),"KOL-LOK",
IF(ISNUMBER(SEARCH("PETG",INVENTARIO!C27)),"PET",
IF(ISNUMBER(SEARCH("OJILLO",INVENTARIO!C27)),"OJI",
IF(ISNUMBER(SEARCH("COUCHE",INVENTARIO!C27)),"COU",
IF(ISNUMBER(SEARCH("PANEL DE ALUMINIO",INVENTARIO!C27)),"PAN-ALU",
IF(ISNUMBER(SEARCH("PVC",INVENTARIO!C27)),"PVC",
IF(ISNUMBER(SEARCH("PAPEL",INVENTARIO!C27)),"PAP",
IF(ISNUMBER(SEARCH("TELA",INVENTARIO!C27)),"TEL",
IF(ISNUMBER(SEARCH("CARTULINA",INVENTARIO!C27)),"CAR",
IF(OR(ISNUMBER(SEARCH("LAMINA",INVENTARIO!C27)),ISNUMBER(SEARCH("LÁMINA",INVENTARIO!C27)),ISNUMBER(SEARCH("LAMPARAS",INVENTARIO!C27))),"LAM",
IF(ISNUMBER(SEARCH("ESTIRENO",INVENTARIO!C27)),"EST",
IF(ISNUMBER(SEARCH("FOAMBOARD",INVENTARIO!C27)),"FOA",
IF(ISNUMBER(SEARCH("SOLVENTE",INVENTARIO!C27)),"SOL",
IF(ISNUMBER(SEARCH("TINTA",INVENTARIO!C27)),"TIN",
IF(ISNUMBER(SEARCH("ACRILICO",INVENTARIO!C27)),"ACR",
IF(ISNUMBER(SEARCH("MICROLED",INVENTARIO!C27)),"MIC",
IF(ISNUMBER(SEARCH("LED",INVENTARIO!C27)),"LED",
IF(ISNUMBER(SEARCH("FUENTE DE PODER",INVENTARIO!C27)),"FUE-POD",
IF(ISNUMBER(SEARCH("PETG",INVENTARIO!C27)),"PET",
IF(ISNUMBER(SEARCH("ALUMINIO",INVENTARIO!C27)),"ALU",
IF(ISNUMBER(SEARCH("CANAL",INVENTARIO!C27)),"CAN",
IF(ISNUMBER(SEARCH("ESCUADRA",INVENTARIO!C27)),"ESC",
IF(ISNUMBER(SEARCH("SOPORTE",INVENTARIO!C27)),"SOP","OTR")
))))))))))))))))))))))))))))))</f>
        <v>LON</v>
      </c>
      <c r="B27" t="str">
        <f>IF(ISNUMBER(SEARCH("CORTE",INVENTARIO!C27)),"COR",
IF(ISNUMBER(SEARCH("CITYLIGHT",INVENTARIO!C27)),"CIT",
IF(ISNUMBER(SEARCH("LINO",INVENTARIO!C27)),"LIN",
IF(ISNUMBER(SEARCH("FABRIANO",INVENTARIO!C27)),"FAB",
IF(ISNUMBER(SEARCH("SUNDANCE",INVENTARIO!C27)),"SUN",
IF(ISNUMBER(SEARCH("SINTETICA",INVENTARIO!C27)),"SIN",
IF(ISNUMBER(SEARCH("CONTROL",INVENTARIO!C27)),"CON",
IF(ISNUMBER(SEARCH("TERMICO",INVENTARIO!C27)),"TER",
IF(ISNUMBER(SEARCH("C-15",INVENTARIO!C27)),"C15",
IF(ISNUMBER(SEARCH("C-20",INVENTARIO!C27)),"C20",
IF(ISNUMBER(SEARCH("C-30",INVENTARIO!C27)),"C30",
IF(ISNUMBER(SEARCH("C-40",INVENTARIO!C27)),"C40",
IF(ISNUMBER(SEARCH("C-60",INVENTARIO!C27)),"C60",
IF(ISNUMBER(SEARCH("C-80",INVENTARIO!C27)),"C80",
IF(ISNUMBER(SEARCH("EQUIPO",INVENTARIO!C27)),"EQU",
IF(ISNUMBER(SEARCH("FLOOR",INVENTARIO!C27)),"FLO",
IF(ISNUMBER(SEARCH("CRISTAL",INVENTARIO!C27)),"CRI",
IF(ISNUMBER(SEARCH(" SULFATADA",INVENTARIO!C38)),"SUL",
IF(ISNUMBER(SEARCH("OPALINA",INVENTARIO!C27)),"OPA",
IF(ISNUMBER(SEARCH("ADHERIBLE",INVENTARIO!C27)),"ADH",
IF(ISNUMBER(SEARCH("MICRO",INVENTARIO!C27)),"MIC","")))))))))))))))))))))</f>
        <v/>
      </c>
      <c r="C27" t="str">
        <f>IF(ISNUMBER(SEARCH("PARED",INVENTARIO!C27)),"PAR",
IF(ISNUMBER(SEARCH("FRONT",INVENTARIO!C27)),"FRO",
IF(ISNUMBER(SEARCH("ALTA RESISTENCIA",INVENTARIO!C27)),
"ALT-RES",IF(ISNUMBER(SEARCH("BACKLITE",INVENTARIO!C27)),"BAC",
IF(ISNUMBER(SEARCH("MATE",INVENTARIO!C27)),"MAT",
IF(ISNUMBER(SEARCH("MESH",INVENTARIO!C27)),"MES",
IF(ISNUMBER(SEARCH("BRILLANTE",INVENTARIO!C27)),"BRI",
IF(ISNUMBER(SEARCH("DELGADA",INVENTARIO!C27)),"DEL",
IF(ISNUMBER(SEARCH("GRUESA",INVENTARIO!C27)),"GRU",
IF(ISNUMBER(SEARCH("ESTATICO",INVENTARIO!C27)),"EST",
IF(ISNUMBER(SEARCH("REFLECTIVO",INVENTARIO!C27)),"REF",
IF(ISNUMBER(SEARCH("LX700",INVENTARIO!C27)),"LX7",
IF(ISNUMBER(SEARCH("GRANDO",INVENTARIO!C27)),"GRA",
IF(ISNUMBER(SEARCH("FB700",INVENTARIO!C27)),"FB7",
IF(ISNUMBER(SEARCH("LX360",INVENTARIO!C27)),"LX3",
IF(ISNUMBER(SEARCH("XEROX",INVENTARIO!C27)),"XER",
IF(ISNUMBER(SEARCH("CEPILLADO",INVENTARIO!C27)),"CEP",
IF(ISNUMBER(SEARCH("ESPEJO",INVENTARIO!C27)),"ESP",
IF(ISNUMBER(SEARCH("10 PTS",INVENTARIO!C27)),"10PT",
IF(ISNUMBER(SEARCH("12 PTS",INVENTARIO!C27)),"12PT",
IF(ISNUMBER(SEARCH("14 PTS",INVENTARIO!C27)),"14PT",
IF(ISNUMBER(SEARCH("CLASICO",INVENTARIO!C27)),"CLA",
""))))))))))))))))))))))</f>
        <v>MES</v>
      </c>
      <c r="D27" t="str">
        <f>IF(ISNUMBER(SEARCH("GRAN FORMATO",INVENTARIO!C27)),"GRA-FOR",
IF(ISNUMBER(SEARCH("CAMA PLANA",INVENTARIO!C27)),"CAM-PLA",
IF(ISNUMBER(SEARCH("GRADO INGENIERIA",INVENTARIO!C27)),"GRA-ING",
IF(ISNUMBER(SEARCH("130 GRS",INVENTARIO!C27)),"130GR",
IF(ISNUMBER(SEARCH("150 GRS",INVENTARIO!C27)),"150GR",
IF(ISNUMBER(SEARCH("185 GRS",INVENTARIO!C27)),"185GR",
IF(ISNUMBER(SEARCH("200 GRS",INVENTARIO!C27)),"200GR",
IF(ISNUMBER(SEARCH("250 GRS",INVENTARIO!C27)),"250GR",
IF(ISNUMBER(SEARCH("300 GRS",INVENTARIO!C27)),"300GR",
IF(ISNUMBER(SEARCH("350 GRS",INVENTARIO!C27)),"350GR",
IF(ISNUMBER(SEARCH("18 OZ",INVENTARIO!C27)),"18OZ",
IF(ISNUMBER(SEARCH("15 OZ",INVENTARIO!C27)),"15OZ",
IF(OR(ISNUMBER(SEARCH("13 OZ",INVENTARIO!C27)),ISNUMBER(SEARCH("13 ONZAS",INVENTARIO!C27))),"13OZ",
IF(OR(ISNUMBER(SEARCH("9 OZ",INVENTARIO!C27)),ISNUMBER(SEARCH("9 ONZAS",INVENTARIO!C27))),"09OZ",
IF(ISNUMBER(SEARCH("DOBLE CARA",INVENTARIO!C27)),"DOB-CAR",
"")))))))))))))))</f>
        <v/>
      </c>
      <c r="E27" t="str">
        <f>IF(OR(ISNUMBER(SEARCH("TRANSPARENTE",INVENTARIO!C27)),ISNUMBER(SEARCH("TRANSPARENTES",INVENTARIO!C27))),"TRA",
IF(OR(ISNUMBER(SEARCH("BLANCO",INVENTARIO!C27)),ISNUMBER(SEARCH("BCO",INVENTARIO!C27))),"BLA",
IF(ISNUMBER(SEARCH("FOTOGRAFICO",INVENTARIO!C27)),"FOT",
IF(ISNUMBER(SEARCH("MARFIL",INVENTARIO!C27)),"MAR",
IF(ISNUMBER(SEARCH("VERDE",INVENTARIO!C27)),"VER",
IF(ISNUMBER(SEARCH("MORADO",INVENTARIO!C27)),"MOR",
IF(ISNUMBER(SEARCH("PLATA",INVENTARIO!C27)),"PLA",
IF(ISNUMBER(SEARCH("ORO",INVENTARIO!C27)),"ORO",
IF(ISNUMBER(SEARCH("AMARILLO",INVENTARIO!C27)),"AMA",
IF(ISNUMBER(SEARCH("NARANJA",INVENTARIO!C27)),"NAR",
IF(ISNUMBER(SEARCH("NEGRO",INVENTARIO!C27)),"NEG",
IF(ISNUMBER(SEARCH("ROJO",INVENTARIO!C27)),"ROJ",
IF(ISNUMBER(SEARCH("AZUL",INVENTARIO!C27)),"AZU","")))))))))))))</f>
        <v/>
      </c>
      <c r="F27" t="str">
        <f>IF(ISNUMBER(SEARCH("ARLON",INVENTARIO!C27)),"ARL",
IF(ISNUMBER(SEARCH("SUNTHINKS",INVENTARIO!C27)),"SUN",
IF(ISNUMBER(SEARCH("FRIO",INVENTARIO!C27)),"FRI",
IF(ISNUMBER(SEARCH("CALIDO",INVENTARIO!C27)),"CAL",
IF(ISNUMBER(SEARCH("CEPILLADO",INVENTARIO!C27)),"CEP",
IF(ISNUMBER(SEARCH("ESPEJO",INVENTARIO!C27)),"ESP",
""))))))</f>
        <v/>
      </c>
      <c r="G27" t="str">
        <f>IF(ISNUMBER(SEARCH("LATEX",INVENTARIO!C27)),"LAT",
IF(ISNUMBER(SEARCH("RESP. NEGRO",INVENTARIO!C27)),"RES-NEG",
IF(ISNUMBER(SEARCH("RESPALDO CAFE",INVENTARIO!C27)),"RES-CAF",
IF(ISNUMBER(SEARCH("RESPALDO GRIS",INVENTARIO!C27)),"RES-GRI",
IF(ISNUMBER(SEARCH("OPTICO",INVENTARIO!C27)),"OPT",
IF(ISNUMBER(SEARCH("1,2 MM",INVENTARIO!C27)),"1MM2",
IF(ISNUMBER(SEARCH("2 MM",INVENTARIO!C27)),"2MM",
IF(ISNUMBER(SEARCH("3 MM",INVENTARIO!C27)),"3MM",
IF(ISNUMBER(SEARCH("4 MM",INVENTARIO!C27)),"4MM",
IF(ISNUMBER(SEARCH("5 MM",INVENTARIO!C27)),"5MM",
IF(ISNUMBER(SEARCH("6 MM",INVENTARIO!C27)),"6MM",
IF(ISNUMBER(SEARCH("9 MM",INVENTARIO!C27)),"9MM",
IF(ISNUMBER(SEARCH("10 MM",INVENTARIO!C27)),"10MM","")))))))))))))</f>
        <v/>
      </c>
      <c r="H27" t="str">
        <f>IF(ISNUMBER(SEARCH("GAMA BAJA",INVENTARIO!C27)),"GAM-BAJ",
IF(ISNUMBER(SEARCH("OPTIMIZADOR",INVENTARIO!C27)),"OPT",
IF(ISNUMBER(SEARCH("OVERCOAT",INVENTARIO!C27)),"OVE",
IF(ISNUMBER(SEARCH("WHITE",INVENTARIO!C27)),"WHI",
IF(ISNUMBER(SEARCH("LIGHT CYAN",INVENTARIO!C27)),"LIG-CYA",
IF(ISNUMBER(SEARCH("CYAN",INVENTARIO!C27)),"CYA",
IF(ISNUMBER(SEARCH("LIGHT MAGENTA",INVENTARIO!C27)),"LIG-MAG",
IF(ISNUMBER(SEARCH("MAGENTA",INVENTARIO!C27)),"MAG",
IF(ISNUMBER(SEARCH("BLACK",INVENTARIO!C27)),"BLA",
IF(ISNUMBER(SEARCH("YELLOW",INVENTARIO!C27)),"YEL",
IF(ISNUMBER(SEARCH("2 DIODOS",INVENTARIO!C27)),"2DI",
IF(ISNUMBER(SEARCH("3 DIODOS",INVENTARIO!C27)),"3DI",
IF(OR(ISNUMBER(SEARCH("TRASLUCIDO",INVENTARIO!C27)),ISNUMBER(SEARCH("TRANSLUCIDO",INVENTARIO!C27))),"TRA",
"")))))))))))))</f>
        <v/>
      </c>
      <c r="I27" t="str">
        <f>IF(ISNUMBER(SEARCH("SILED",INVENTARIO!C29)),"SI",
IF(ISNUMBER(SEARCH("SYDEMEX",INVENTARIO!C29)),"SY",
IF(ISNUMBER(SEARCH("ROHS",INVENTARIO!C29)),"RO",
IF(ISNUMBER(SEARCH("RISHANG",INVENTARIO!C29)),"RS",
IF(ISNUMBER(SEARCH("VYG",INVENTARIO!C29)),"VYG",
IF(ISNUMBER(SEARCH("COLED",INVENTARIO!C29)),"CO",""))))))</f>
        <v/>
      </c>
    </row>
    <row r="28" spans="1:9">
      <c r="A28" t="str">
        <f>IF(ISNUMBER(SEARCH("LONA",INVENTARIO!C28)),"LON",
IF(ISNUMBER(SEARCH("VINIL",INVENTARIO!C28)),"VIN",
IF(ISNUMBER(SEARCH("KROMACOTE",INVENTARIO!C28)),"KRO",
IF(ISNUMBER(SEARCH("STARDREAM",INVENTARIO!C28)),"STA",
IF(ISNUMBER(SEARCH("DISPLAY",INVENTARIO!C28)),"DIS",
IF(ISNUMBER(SEARCH("ROLL UP",INVENTARIO!C28)),"ROL-UP",
IF(ISNUMBER(SEARCH("TRANSFER DE PAPEL",INVENTARIO!C28)),"TRA-PAP",
IF(ISNUMBER(SEARCH("TRANSFER",INVENTARIO!C28)),"TRA",IF(ISNUMBER(SEARCH("KOLA LOKA",INVENTARIO!C28)),"KOL-LOK",
IF(ISNUMBER(SEARCH("PETG",INVENTARIO!C28)),"PET",
IF(ISNUMBER(SEARCH("OJILLO",INVENTARIO!C28)),"OJI",
IF(ISNUMBER(SEARCH("COUCHE",INVENTARIO!C28)),"COU",
IF(ISNUMBER(SEARCH("PANEL DE ALUMINIO",INVENTARIO!C28)),"PAN-ALU",
IF(ISNUMBER(SEARCH("PVC",INVENTARIO!C28)),"PVC",
IF(ISNUMBER(SEARCH("PAPEL",INVENTARIO!C28)),"PAP",
IF(ISNUMBER(SEARCH("TELA",INVENTARIO!C28)),"TEL",
IF(ISNUMBER(SEARCH("CARTULINA",INVENTARIO!C28)),"CAR",
IF(OR(ISNUMBER(SEARCH("LAMINA",INVENTARIO!C28)),ISNUMBER(SEARCH("LÁMINA",INVENTARIO!C28)),ISNUMBER(SEARCH("LAMPARAS",INVENTARIO!C28))),"LAM",
IF(ISNUMBER(SEARCH("ESTIRENO",INVENTARIO!C28)),"EST",
IF(ISNUMBER(SEARCH("FOAMBOARD",INVENTARIO!C28)),"FOA",
IF(ISNUMBER(SEARCH("SOLVENTE",INVENTARIO!C28)),"SOL",
IF(ISNUMBER(SEARCH("TINTA",INVENTARIO!C28)),"TIN",
IF(ISNUMBER(SEARCH("ACRILICO",INVENTARIO!C28)),"ACR",
IF(ISNUMBER(SEARCH("MICROLED",INVENTARIO!C28)),"MIC",
IF(ISNUMBER(SEARCH("LED",INVENTARIO!C28)),"LED",
IF(ISNUMBER(SEARCH("FUENTE DE PODER",INVENTARIO!C28)),"FUE-POD",
IF(ISNUMBER(SEARCH("PETG",INVENTARIO!C28)),"PET",
IF(ISNUMBER(SEARCH("ALUMINIO",INVENTARIO!C28)),"ALU",
IF(ISNUMBER(SEARCH("CANAL",INVENTARIO!C28)),"CAN",
IF(ISNUMBER(SEARCH("ESCUADRA",INVENTARIO!C28)),"ESC",
IF(ISNUMBER(SEARCH("SOPORTE",INVENTARIO!C28)),"SOP","OTR")
))))))))))))))))))))))))))))))</f>
        <v>LON</v>
      </c>
      <c r="B28" t="str">
        <f>IF(ISNUMBER(SEARCH("CORTE",INVENTARIO!C28)),"COR",
IF(ISNUMBER(SEARCH("CITYLIGHT",INVENTARIO!C28)),"CIT",
IF(ISNUMBER(SEARCH("LINO",INVENTARIO!C28)),"LIN",
IF(ISNUMBER(SEARCH("FABRIANO",INVENTARIO!C28)),"FAB",
IF(ISNUMBER(SEARCH("SUNDANCE",INVENTARIO!C28)),"SUN",
IF(ISNUMBER(SEARCH("SINTETICA",INVENTARIO!C28)),"SIN",
IF(ISNUMBER(SEARCH("CONTROL",INVENTARIO!C28)),"CON",
IF(ISNUMBER(SEARCH("TERMICO",INVENTARIO!C28)),"TER",
IF(ISNUMBER(SEARCH("C-15",INVENTARIO!C28)),"C15",
IF(ISNUMBER(SEARCH("C-20",INVENTARIO!C28)),"C20",
IF(ISNUMBER(SEARCH("C-30",INVENTARIO!C28)),"C30",
IF(ISNUMBER(SEARCH("C-40",INVENTARIO!C28)),"C40",
IF(ISNUMBER(SEARCH("C-60",INVENTARIO!C28)),"C60",
IF(ISNUMBER(SEARCH("C-80",INVENTARIO!C28)),"C80",
IF(ISNUMBER(SEARCH("EQUIPO",INVENTARIO!C28)),"EQU",
IF(ISNUMBER(SEARCH("FLOOR",INVENTARIO!C28)),"FLO",
IF(ISNUMBER(SEARCH("CRISTAL",INVENTARIO!C28)),"CRI",
IF(ISNUMBER(SEARCH(" SULFATADA",INVENTARIO!C39)),"SUL",
IF(ISNUMBER(SEARCH("OPALINA",INVENTARIO!C28)),"OPA",
IF(ISNUMBER(SEARCH("ADHERIBLE",INVENTARIO!C28)),"ADH",
IF(ISNUMBER(SEARCH("MICRO",INVENTARIO!C28)),"MIC","")))))))))))))))))))))</f>
        <v/>
      </c>
      <c r="C28" t="str">
        <f>IF(ISNUMBER(SEARCH("PARED",INVENTARIO!C28)),"PAR",
IF(ISNUMBER(SEARCH("FRONT",INVENTARIO!C28)),"FRO",
IF(ISNUMBER(SEARCH("ALTA RESISTENCIA",INVENTARIO!C28)),
"ALT-RES",IF(ISNUMBER(SEARCH("BACKLITE",INVENTARIO!C28)),"BAC",
IF(ISNUMBER(SEARCH("MATE",INVENTARIO!C28)),"MAT",
IF(ISNUMBER(SEARCH("MESH",INVENTARIO!C28)),"MES",
IF(ISNUMBER(SEARCH("BRILLANTE",INVENTARIO!C28)),"BRI",
IF(ISNUMBER(SEARCH("DELGADA",INVENTARIO!C28)),"DEL",
IF(ISNUMBER(SEARCH("GRUESA",INVENTARIO!C28)),"GRU",
IF(ISNUMBER(SEARCH("ESTATICO",INVENTARIO!C28)),"EST",
IF(ISNUMBER(SEARCH("REFLECTIVO",INVENTARIO!C28)),"REF",
IF(ISNUMBER(SEARCH("LX700",INVENTARIO!C28)),"LX7",
IF(ISNUMBER(SEARCH("GRANDO",INVENTARIO!C28)),"GRA",
IF(ISNUMBER(SEARCH("FB700",INVENTARIO!C28)),"FB7",
IF(ISNUMBER(SEARCH("LX360",INVENTARIO!C28)),"LX3",
IF(ISNUMBER(SEARCH("XEROX",INVENTARIO!C28)),"XER",
IF(ISNUMBER(SEARCH("CEPILLADO",INVENTARIO!C28)),"CEP",
IF(ISNUMBER(SEARCH("ESPEJO",INVENTARIO!C28)),"ESP",
IF(ISNUMBER(SEARCH("10 PTS",INVENTARIO!C28)),"10PT",
IF(ISNUMBER(SEARCH("12 PTS",INVENTARIO!C28)),"12PT",
IF(ISNUMBER(SEARCH("14 PTS",INVENTARIO!C28)),"14PT",
IF(ISNUMBER(SEARCH("CLASICO",INVENTARIO!C28)),"CLA",
""))))))))))))))))))))))</f>
        <v>MES</v>
      </c>
      <c r="D28" t="str">
        <f>IF(ISNUMBER(SEARCH("GRAN FORMATO",INVENTARIO!C28)),"GRA-FOR",
IF(ISNUMBER(SEARCH("CAMA PLANA",INVENTARIO!C28)),"CAM-PLA",
IF(ISNUMBER(SEARCH("GRADO INGENIERIA",INVENTARIO!C28)),"GRA-ING",
IF(ISNUMBER(SEARCH("130 GRS",INVENTARIO!C28)),"130GR",
IF(ISNUMBER(SEARCH("150 GRS",INVENTARIO!C28)),"150GR",
IF(ISNUMBER(SEARCH("185 GRS",INVENTARIO!C28)),"185GR",
IF(ISNUMBER(SEARCH("200 GRS",INVENTARIO!C28)),"200GR",
IF(ISNUMBER(SEARCH("250 GRS",INVENTARIO!C28)),"250GR",
IF(ISNUMBER(SEARCH("300 GRS",INVENTARIO!C28)),"300GR",
IF(ISNUMBER(SEARCH("350 GRS",INVENTARIO!C28)),"350GR",
IF(ISNUMBER(SEARCH("18 OZ",INVENTARIO!C28)),"18OZ",
IF(ISNUMBER(SEARCH("15 OZ",INVENTARIO!C28)),"15OZ",
IF(OR(ISNUMBER(SEARCH("13 OZ",INVENTARIO!C28)),ISNUMBER(SEARCH("13 ONZAS",INVENTARIO!C28))),"13OZ",
IF(OR(ISNUMBER(SEARCH("9 OZ",INVENTARIO!C28)),ISNUMBER(SEARCH("9 ONZAS",INVENTARIO!C28))),"09OZ",
IF(ISNUMBER(SEARCH("DOBLE CARA",INVENTARIO!C28)),"DOB-CAR",
"")))))))))))))))</f>
        <v/>
      </c>
      <c r="E28" t="str">
        <f>IF(OR(ISNUMBER(SEARCH("TRANSPARENTE",INVENTARIO!C28)),ISNUMBER(SEARCH("TRANSPARENTES",INVENTARIO!C28))),"TRA",
IF(OR(ISNUMBER(SEARCH("BLANCO",INVENTARIO!C28)),ISNUMBER(SEARCH("BCO",INVENTARIO!C28))),"BLA",
IF(ISNUMBER(SEARCH("FOTOGRAFICO",INVENTARIO!C28)),"FOT",
IF(ISNUMBER(SEARCH("MARFIL",INVENTARIO!C28)),"MAR",
IF(ISNUMBER(SEARCH("VERDE",INVENTARIO!C28)),"VER",
IF(ISNUMBER(SEARCH("MORADO",INVENTARIO!C28)),"MOR",
IF(ISNUMBER(SEARCH("PLATA",INVENTARIO!C28)),"PLA",
IF(ISNUMBER(SEARCH("ORO",INVENTARIO!C28)),"ORO",
IF(ISNUMBER(SEARCH("AMARILLO",INVENTARIO!C28)),"AMA",
IF(ISNUMBER(SEARCH("NARANJA",INVENTARIO!C28)),"NAR",
IF(ISNUMBER(SEARCH("NEGRO",INVENTARIO!C28)),"NEG",
IF(ISNUMBER(SEARCH("ROJO",INVENTARIO!C28)),"ROJ",
IF(ISNUMBER(SEARCH("AZUL",INVENTARIO!C28)),"AZU","")))))))))))))</f>
        <v/>
      </c>
      <c r="F28" t="str">
        <f>IF(ISNUMBER(SEARCH("ARLON",INVENTARIO!C28)),"ARL",
IF(ISNUMBER(SEARCH("SUNTHINKS",INVENTARIO!C28)),"SUN",
IF(ISNUMBER(SEARCH("FRIO",INVENTARIO!C28)),"FRI",
IF(ISNUMBER(SEARCH("CALIDO",INVENTARIO!C28)),"CAL",
IF(ISNUMBER(SEARCH("CEPILLADO",INVENTARIO!C28)),"CEP",
IF(ISNUMBER(SEARCH("ESPEJO",INVENTARIO!C28)),"ESP",
""))))))</f>
        <v/>
      </c>
      <c r="G28" t="str">
        <f>IF(ISNUMBER(SEARCH("LATEX",INVENTARIO!C28)),"LAT",
IF(ISNUMBER(SEARCH("RESP. NEGRO",INVENTARIO!C28)),"RES-NEG",
IF(ISNUMBER(SEARCH("RESPALDO CAFE",INVENTARIO!C28)),"RES-CAF",
IF(ISNUMBER(SEARCH("RESPALDO GRIS",INVENTARIO!C28)),"RES-GRI",
IF(ISNUMBER(SEARCH("OPTICO",INVENTARIO!C28)),"OPT",
IF(ISNUMBER(SEARCH("1,2 MM",INVENTARIO!C28)),"1MM2",
IF(ISNUMBER(SEARCH("2 MM",INVENTARIO!C28)),"2MM",
IF(ISNUMBER(SEARCH("3 MM",INVENTARIO!C28)),"3MM",
IF(ISNUMBER(SEARCH("4 MM",INVENTARIO!C28)),"4MM",
IF(ISNUMBER(SEARCH("5 MM",INVENTARIO!C28)),"5MM",
IF(ISNUMBER(SEARCH("6 MM",INVENTARIO!C28)),"6MM",
IF(ISNUMBER(SEARCH("9 MM",INVENTARIO!C28)),"9MM",
IF(ISNUMBER(SEARCH("10 MM",INVENTARIO!C28)),"10MM","")))))))))))))</f>
        <v/>
      </c>
      <c r="H28" t="str">
        <f>IF(ISNUMBER(SEARCH("GAMA BAJA",INVENTARIO!C28)),"GAM-BAJ",
IF(ISNUMBER(SEARCH("OPTIMIZADOR",INVENTARIO!C28)),"OPT",
IF(ISNUMBER(SEARCH("OVERCOAT",INVENTARIO!C28)),"OVE",
IF(ISNUMBER(SEARCH("WHITE",INVENTARIO!C28)),"WHI",
IF(ISNUMBER(SEARCH("LIGHT CYAN",INVENTARIO!C28)),"LIG-CYA",
IF(ISNUMBER(SEARCH("CYAN",INVENTARIO!C28)),"CYA",
IF(ISNUMBER(SEARCH("LIGHT MAGENTA",INVENTARIO!C28)),"LIG-MAG",
IF(ISNUMBER(SEARCH("MAGENTA",INVENTARIO!C28)),"MAG",
IF(ISNUMBER(SEARCH("BLACK",INVENTARIO!C28)),"BLA",
IF(ISNUMBER(SEARCH("YELLOW",INVENTARIO!C28)),"YEL",
IF(ISNUMBER(SEARCH("2 DIODOS",INVENTARIO!C28)),"2DI",
IF(ISNUMBER(SEARCH("3 DIODOS",INVENTARIO!C28)),"3DI",
IF(OR(ISNUMBER(SEARCH("TRASLUCIDO",INVENTARIO!C28)),ISNUMBER(SEARCH("TRANSLUCIDO",INVENTARIO!C28))),"TRA",
"")))))))))))))</f>
        <v/>
      </c>
      <c r="I28" t="str">
        <f>IF(ISNUMBER(SEARCH("SILED",INVENTARIO!C30)),"SI",
IF(ISNUMBER(SEARCH("SYDEMEX",INVENTARIO!C30)),"SY",
IF(ISNUMBER(SEARCH("ROHS",INVENTARIO!C30)),"RO",
IF(ISNUMBER(SEARCH("RISHANG",INVENTARIO!C30)),"RS",
IF(ISNUMBER(SEARCH("VYG",INVENTARIO!C30)),"VYG",
IF(ISNUMBER(SEARCH("COLED",INVENTARIO!C30)),"CO",""))))))</f>
        <v/>
      </c>
    </row>
    <row r="29" spans="1:9">
      <c r="A29" t="str">
        <f>IF(ISNUMBER(SEARCH("LONA",INVENTARIO!C29)),"LON",
IF(ISNUMBER(SEARCH("VINIL",INVENTARIO!C29)),"VIN",
IF(ISNUMBER(SEARCH("KROMACOTE",INVENTARIO!C29)),"KRO",
IF(ISNUMBER(SEARCH("STARDREAM",INVENTARIO!C29)),"STA",
IF(ISNUMBER(SEARCH("DISPLAY",INVENTARIO!C29)),"DIS",
IF(ISNUMBER(SEARCH("ROLL UP",INVENTARIO!C29)),"ROL-UP",
IF(ISNUMBER(SEARCH("TRANSFER DE PAPEL",INVENTARIO!C29)),"TRA-PAP",
IF(ISNUMBER(SEARCH("TRANSFER",INVENTARIO!C29)),"TRA",IF(ISNUMBER(SEARCH("KOLA LOKA",INVENTARIO!C29)),"KOL-LOK",
IF(ISNUMBER(SEARCH("PETG",INVENTARIO!C29)),"PET",
IF(ISNUMBER(SEARCH("OJILLO",INVENTARIO!C29)),"OJI",
IF(ISNUMBER(SEARCH("COUCHE",INVENTARIO!C29)),"COU",
IF(ISNUMBER(SEARCH("PANEL DE ALUMINIO",INVENTARIO!C29)),"PAN-ALU",
IF(ISNUMBER(SEARCH("PVC",INVENTARIO!C29)),"PVC",
IF(ISNUMBER(SEARCH("PAPEL",INVENTARIO!C29)),"PAP",
IF(ISNUMBER(SEARCH("TELA",INVENTARIO!C29)),"TEL",
IF(ISNUMBER(SEARCH("CARTULINA",INVENTARIO!C29)),"CAR",
IF(OR(ISNUMBER(SEARCH("LAMINA",INVENTARIO!C29)),ISNUMBER(SEARCH("LÁMINA",INVENTARIO!C29)),ISNUMBER(SEARCH("LAMPARAS",INVENTARIO!C29))),"LAM",
IF(ISNUMBER(SEARCH("ESTIRENO",INVENTARIO!C29)),"EST",
IF(ISNUMBER(SEARCH("FOAMBOARD",INVENTARIO!C29)),"FOA",
IF(ISNUMBER(SEARCH("SOLVENTE",INVENTARIO!C29)),"SOL",
IF(ISNUMBER(SEARCH("TINTA",INVENTARIO!C29)),"TIN",
IF(ISNUMBER(SEARCH("ACRILICO",INVENTARIO!C29)),"ACR",
IF(ISNUMBER(SEARCH("MICROLED",INVENTARIO!C29)),"MIC",
IF(ISNUMBER(SEARCH("LED",INVENTARIO!C29)),"LED",
IF(ISNUMBER(SEARCH("FUENTE DE PODER",INVENTARIO!C29)),"FUE-POD",
IF(ISNUMBER(SEARCH("PETG",INVENTARIO!C29)),"PET",
IF(ISNUMBER(SEARCH("ALUMINIO",INVENTARIO!C29)),"ALU",
IF(ISNUMBER(SEARCH("CANAL",INVENTARIO!C29)),"CAN",
IF(ISNUMBER(SEARCH("ESCUADRA",INVENTARIO!C29)),"ESC",
IF(ISNUMBER(SEARCH("SOPORTE",INVENTARIO!C29)),"SOP","OTR")
))))))))))))))))))))))))))))))</f>
        <v>PAP</v>
      </c>
      <c r="B29" t="str">
        <f>IF(ISNUMBER(SEARCH("CORTE",INVENTARIO!C29)),"COR",
IF(ISNUMBER(SEARCH("CITYLIGHT",INVENTARIO!C29)),"CIT",
IF(ISNUMBER(SEARCH("LINO",INVENTARIO!C29)),"LIN",
IF(ISNUMBER(SEARCH("FABRIANO",INVENTARIO!C29)),"FAB",
IF(ISNUMBER(SEARCH("SUNDANCE",INVENTARIO!C29)),"SUN",
IF(ISNUMBER(SEARCH("SINTETICA",INVENTARIO!C29)),"SIN",
IF(ISNUMBER(SEARCH("CONTROL",INVENTARIO!C29)),"CON",
IF(ISNUMBER(SEARCH("TERMICO",INVENTARIO!C29)),"TER",
IF(ISNUMBER(SEARCH("C-15",INVENTARIO!C29)),"C15",
IF(ISNUMBER(SEARCH("C-20",INVENTARIO!C29)),"C20",
IF(ISNUMBER(SEARCH("C-30",INVENTARIO!C29)),"C30",
IF(ISNUMBER(SEARCH("C-40",INVENTARIO!C29)),"C40",
IF(ISNUMBER(SEARCH("C-60",INVENTARIO!C29)),"C60",
IF(ISNUMBER(SEARCH("C-80",INVENTARIO!C29)),"C80",
IF(ISNUMBER(SEARCH("EQUIPO",INVENTARIO!C29)),"EQU",
IF(ISNUMBER(SEARCH("FLOOR",INVENTARIO!C29)),"FLO",
IF(ISNUMBER(SEARCH("CRISTAL",INVENTARIO!C29)),"CRI",
IF(ISNUMBER(SEARCH(" SULFATADA",INVENTARIO!C40)),"SUL",
IF(ISNUMBER(SEARCH("OPALINA",INVENTARIO!C29)),"OPA",
IF(ISNUMBER(SEARCH("ADHERIBLE",INVENTARIO!C29)),"ADH",
IF(ISNUMBER(SEARCH("MICRO",INVENTARIO!C29)),"MIC","")))))))))))))))))))))</f>
        <v/>
      </c>
      <c r="C29" t="str">
        <f>IF(ISNUMBER(SEARCH("PARED",INVENTARIO!C29)),"PAR",
IF(ISNUMBER(SEARCH("FRONT",INVENTARIO!C29)),"FRO",
IF(ISNUMBER(SEARCH("ALTA RESISTENCIA",INVENTARIO!C29)),
"ALT-RES",IF(ISNUMBER(SEARCH("BACKLITE",INVENTARIO!C29)),"BAC",
IF(ISNUMBER(SEARCH("MATE",INVENTARIO!C29)),"MAT",
IF(ISNUMBER(SEARCH("MESH",INVENTARIO!C29)),"MES",
IF(ISNUMBER(SEARCH("BRILLANTE",INVENTARIO!C29)),"BRI",
IF(ISNUMBER(SEARCH("DELGADA",INVENTARIO!C29)),"DEL",
IF(ISNUMBER(SEARCH("GRUESA",INVENTARIO!C29)),"GRU",
IF(ISNUMBER(SEARCH("ESTATICO",INVENTARIO!C29)),"EST",
IF(ISNUMBER(SEARCH("REFLECTIVO",INVENTARIO!C29)),"REF",
IF(ISNUMBER(SEARCH("LX700",INVENTARIO!C29)),"LX7",
IF(ISNUMBER(SEARCH("GRANDO",INVENTARIO!C29)),"GRA",
IF(ISNUMBER(SEARCH("FB700",INVENTARIO!C29)),"FB7",
IF(ISNUMBER(SEARCH("LX360",INVENTARIO!C29)),"LX3",
IF(ISNUMBER(SEARCH("XEROX",INVENTARIO!C29)),"XER",
IF(ISNUMBER(SEARCH("CEPILLADO",INVENTARIO!C29)),"CEP",
IF(ISNUMBER(SEARCH("ESPEJO",INVENTARIO!C29)),"ESP",
IF(ISNUMBER(SEARCH("10 PTS",INVENTARIO!C29)),"10PT",
IF(ISNUMBER(SEARCH("12 PTS",INVENTARIO!C29)),"12PT",
IF(ISNUMBER(SEARCH("14 PTS",INVENTARIO!C29)),"14PT",
IF(ISNUMBER(SEARCH("CLASICO",INVENTARIO!C29)),"CLA",
""))))))))))))))))))))))</f>
        <v/>
      </c>
      <c r="D29" t="str">
        <f>IF(ISNUMBER(SEARCH("GRAN FORMATO",INVENTARIO!C29)),"GRA-FOR",
IF(ISNUMBER(SEARCH("CAMA PLANA",INVENTARIO!C29)),"CAM-PLA",
IF(ISNUMBER(SEARCH("GRADO INGENIERIA",INVENTARIO!C29)),"GRA-ING",
IF(ISNUMBER(SEARCH("130 GRS",INVENTARIO!C29)),"130GR",
IF(ISNUMBER(SEARCH("150 GRS",INVENTARIO!C29)),"150GR",
IF(ISNUMBER(SEARCH("185 GRS",INVENTARIO!C29)),"185GR",
IF(ISNUMBER(SEARCH("200 GRS",INVENTARIO!C29)),"200GR",
IF(ISNUMBER(SEARCH("250 GRS",INVENTARIO!C29)),"250GR",
IF(ISNUMBER(SEARCH("300 GRS",INVENTARIO!C29)),"300GR",
IF(ISNUMBER(SEARCH("350 GRS",INVENTARIO!C29)),"350GR",
IF(ISNUMBER(SEARCH("18 OZ",INVENTARIO!C29)),"18OZ",
IF(ISNUMBER(SEARCH("15 OZ",INVENTARIO!C29)),"15OZ",
IF(OR(ISNUMBER(SEARCH("13 OZ",INVENTARIO!C29)),ISNUMBER(SEARCH("13 ONZAS",INVENTARIO!C29))),"13OZ",
IF(OR(ISNUMBER(SEARCH("9 OZ",INVENTARIO!C29)),ISNUMBER(SEARCH("9 ONZAS",INVENTARIO!C29))),"09OZ",
IF(ISNUMBER(SEARCH("DOBLE CARA",INVENTARIO!C29)),"DOB-CAR",
"")))))))))))))))</f>
        <v/>
      </c>
      <c r="E29" t="str">
        <f>IF(OR(ISNUMBER(SEARCH("TRANSPARENTE",INVENTARIO!C29)),ISNUMBER(SEARCH("TRANSPARENTES",INVENTARIO!C29))),"TRA",
IF(OR(ISNUMBER(SEARCH("BLANCO",INVENTARIO!C29)),ISNUMBER(SEARCH("BCO",INVENTARIO!C29))),"BLA",
IF(ISNUMBER(SEARCH("FOTOGRAFICO",INVENTARIO!C29)),"FOT",
IF(ISNUMBER(SEARCH("MARFIL",INVENTARIO!C29)),"MAR",
IF(ISNUMBER(SEARCH("VERDE",INVENTARIO!C29)),"VER",
IF(ISNUMBER(SEARCH("MORADO",INVENTARIO!C29)),"MOR",
IF(ISNUMBER(SEARCH("PLATA",INVENTARIO!C29)),"PLA",
IF(ISNUMBER(SEARCH("ORO",INVENTARIO!C29)),"ORO",
IF(ISNUMBER(SEARCH("AMARILLO",INVENTARIO!C29)),"AMA",
IF(ISNUMBER(SEARCH("NARANJA",INVENTARIO!C29)),"NAR",
IF(ISNUMBER(SEARCH("NEGRO",INVENTARIO!C29)),"NEG",
IF(ISNUMBER(SEARCH("ROJO",INVENTARIO!C29)),"ROJ",
IF(ISNUMBER(SEARCH("AZUL",INVENTARIO!C29)),"AZU","")))))))))))))</f>
        <v/>
      </c>
      <c r="F29" t="str">
        <f>IF(ISNUMBER(SEARCH("ARLON",INVENTARIO!C29)),"ARL",
IF(ISNUMBER(SEARCH("SUNTHINKS",INVENTARIO!C29)),"SUN",
IF(ISNUMBER(SEARCH("FRIO",INVENTARIO!C29)),"FRI",
IF(ISNUMBER(SEARCH("CALIDO",INVENTARIO!C29)),"CAL",
IF(ISNUMBER(SEARCH("CEPILLADO",INVENTARIO!C29)),"CEP",
IF(ISNUMBER(SEARCH("ESPEJO",INVENTARIO!C29)),"ESP",
""))))))</f>
        <v/>
      </c>
      <c r="G29" t="str">
        <f>IF(ISNUMBER(SEARCH("LATEX",INVENTARIO!C29)),"LAT",
IF(ISNUMBER(SEARCH("RESP. NEGRO",INVENTARIO!C29)),"RES-NEG",
IF(ISNUMBER(SEARCH("RESPALDO CAFE",INVENTARIO!C29)),"RES-CAF",
IF(ISNUMBER(SEARCH("RESPALDO GRIS",INVENTARIO!C29)),"RES-GRI",
IF(ISNUMBER(SEARCH("OPTICO",INVENTARIO!C29)),"OPT",
IF(ISNUMBER(SEARCH("1,2 MM",INVENTARIO!C29)),"1MM2",
IF(ISNUMBER(SEARCH("2 MM",INVENTARIO!C29)),"2MM",
IF(ISNUMBER(SEARCH("3 MM",INVENTARIO!C29)),"3MM",
IF(ISNUMBER(SEARCH("4 MM",INVENTARIO!C29)),"4MM",
IF(ISNUMBER(SEARCH("5 MM",INVENTARIO!C29)),"5MM",
IF(ISNUMBER(SEARCH("6 MM",INVENTARIO!C29)),"6MM",
IF(ISNUMBER(SEARCH("9 MM",INVENTARIO!C29)),"9MM",
IF(ISNUMBER(SEARCH("10 MM",INVENTARIO!C29)),"10MM","")))))))))))))</f>
        <v/>
      </c>
      <c r="H29" t="str">
        <f>IF(ISNUMBER(SEARCH("GAMA BAJA",INVENTARIO!C29)),"GAM-BAJ",
IF(ISNUMBER(SEARCH("OPTIMIZADOR",INVENTARIO!C29)),"OPT",
IF(ISNUMBER(SEARCH("OVERCOAT",INVENTARIO!C29)),"OVE",
IF(ISNUMBER(SEARCH("WHITE",INVENTARIO!C29)),"WHI",
IF(ISNUMBER(SEARCH("LIGHT CYAN",INVENTARIO!C29)),"LIG-CYA",
IF(ISNUMBER(SEARCH("CYAN",INVENTARIO!C29)),"CYA",
IF(ISNUMBER(SEARCH("LIGHT MAGENTA",INVENTARIO!C29)),"LIG-MAG",
IF(ISNUMBER(SEARCH("MAGENTA",INVENTARIO!C29)),"MAG",
IF(ISNUMBER(SEARCH("BLACK",INVENTARIO!C29)),"BLA",
IF(ISNUMBER(SEARCH("YELLOW",INVENTARIO!C29)),"YEL",
IF(ISNUMBER(SEARCH("2 DIODOS",INVENTARIO!C29)),"2DI",
IF(ISNUMBER(SEARCH("3 DIODOS",INVENTARIO!C29)),"3DI",
IF(OR(ISNUMBER(SEARCH("TRASLUCIDO",INVENTARIO!C29)),ISNUMBER(SEARCH("TRANSLUCIDO",INVENTARIO!C29))),"TRA",
"")))))))))))))</f>
        <v/>
      </c>
      <c r="I29" t="str">
        <f>IF(ISNUMBER(SEARCH("SILED",INVENTARIO!C31)),"SI",
IF(ISNUMBER(SEARCH("SYDEMEX",INVENTARIO!C31)),"SY",
IF(ISNUMBER(SEARCH("ROHS",INVENTARIO!C31)),"RO",
IF(ISNUMBER(SEARCH("RISHANG",INVENTARIO!C31)),"RS",
IF(ISNUMBER(SEARCH("VYG",INVENTARIO!C31)),"VYG",
IF(ISNUMBER(SEARCH("COLED",INVENTARIO!C31)),"CO",""))))))</f>
        <v/>
      </c>
    </row>
    <row r="30" spans="1:9">
      <c r="A30" t="str">
        <f>IF(ISNUMBER(SEARCH("LONA",INVENTARIO!C30)),"LON",
IF(ISNUMBER(SEARCH("VINIL",INVENTARIO!C30)),"VIN",
IF(ISNUMBER(SEARCH("KROMACOTE",INVENTARIO!C30)),"KRO",
IF(ISNUMBER(SEARCH("STARDREAM",INVENTARIO!C30)),"STA",
IF(ISNUMBER(SEARCH("DISPLAY",INVENTARIO!C30)),"DIS",
IF(ISNUMBER(SEARCH("ROLL UP",INVENTARIO!C30)),"ROL-UP",
IF(ISNUMBER(SEARCH("TRANSFER DE PAPEL",INVENTARIO!C30)),"TRA-PAP",
IF(ISNUMBER(SEARCH("TRANSFER",INVENTARIO!C30)),"TRA",IF(ISNUMBER(SEARCH("KOLA LOKA",INVENTARIO!C30)),"KOL-LOK",
IF(ISNUMBER(SEARCH("PETG",INVENTARIO!C30)),"PET",
IF(ISNUMBER(SEARCH("OJILLO",INVENTARIO!C30)),"OJI",
IF(ISNUMBER(SEARCH("COUCHE",INVENTARIO!C30)),"COU",
IF(ISNUMBER(SEARCH("PANEL DE ALUMINIO",INVENTARIO!C30)),"PAN-ALU",
IF(ISNUMBER(SEARCH("PVC",INVENTARIO!C30)),"PVC",
IF(ISNUMBER(SEARCH("PAPEL",INVENTARIO!C30)),"PAP",
IF(ISNUMBER(SEARCH("TELA",INVENTARIO!C30)),"TEL",
IF(ISNUMBER(SEARCH("CARTULINA",INVENTARIO!C30)),"CAR",
IF(OR(ISNUMBER(SEARCH("LAMINA",INVENTARIO!C30)),ISNUMBER(SEARCH("LÁMINA",INVENTARIO!C30)),ISNUMBER(SEARCH("LAMPARAS",INVENTARIO!C30))),"LAM",
IF(ISNUMBER(SEARCH("ESTIRENO",INVENTARIO!C30)),"EST",
IF(ISNUMBER(SEARCH("FOAMBOARD",INVENTARIO!C30)),"FOA",
IF(ISNUMBER(SEARCH("SOLVENTE",INVENTARIO!C30)),"SOL",
IF(ISNUMBER(SEARCH("TINTA",INVENTARIO!C30)),"TIN",
IF(ISNUMBER(SEARCH("ACRILICO",INVENTARIO!C30)),"ACR",
IF(ISNUMBER(SEARCH("MICROLED",INVENTARIO!C30)),"MIC",
IF(ISNUMBER(SEARCH("LED",INVENTARIO!C30)),"LED",
IF(ISNUMBER(SEARCH("FUENTE DE PODER",INVENTARIO!C30)),"FUE-POD",
IF(ISNUMBER(SEARCH("PETG",INVENTARIO!C30)),"PET",
IF(ISNUMBER(SEARCH("ALUMINIO",INVENTARIO!C30)),"ALU",
IF(ISNUMBER(SEARCH("CANAL",INVENTARIO!C30)),"CAN",
IF(ISNUMBER(SEARCH("ESCUADRA",INVENTARIO!C30)),"ESC",
IF(ISNUMBER(SEARCH("SOPORTE",INVENTARIO!C30)),"SOP","OTR")
))))))))))))))))))))))))))))))</f>
        <v>PAP</v>
      </c>
      <c r="B30" t="str">
        <f>IF(ISNUMBER(SEARCH("CORTE",INVENTARIO!C30)),"COR",
IF(ISNUMBER(SEARCH("CITYLIGHT",INVENTARIO!C30)),"CIT",
IF(ISNUMBER(SEARCH("LINO",INVENTARIO!C30)),"LIN",
IF(ISNUMBER(SEARCH("FABRIANO",INVENTARIO!C30)),"FAB",
IF(ISNUMBER(SEARCH("SUNDANCE",INVENTARIO!C30)),"SUN",
IF(ISNUMBER(SEARCH("SINTETICA",INVENTARIO!C30)),"SIN",
IF(ISNUMBER(SEARCH("CONTROL",INVENTARIO!C30)),"CON",
IF(ISNUMBER(SEARCH("TERMICO",INVENTARIO!C30)),"TER",
IF(ISNUMBER(SEARCH("C-15",INVENTARIO!C30)),"C15",
IF(ISNUMBER(SEARCH("C-20",INVENTARIO!C30)),"C20",
IF(ISNUMBER(SEARCH("C-30",INVENTARIO!C30)),"C30",
IF(ISNUMBER(SEARCH("C-40",INVENTARIO!C30)),"C40",
IF(ISNUMBER(SEARCH("C-60",INVENTARIO!C30)),"C60",
IF(ISNUMBER(SEARCH("C-80",INVENTARIO!C30)),"C80",
IF(ISNUMBER(SEARCH("EQUIPO",INVENTARIO!C30)),"EQU",
IF(ISNUMBER(SEARCH("FLOOR",INVENTARIO!C30)),"FLO",
IF(ISNUMBER(SEARCH("CRISTAL",INVENTARIO!C30)),"CRI",
IF(ISNUMBER(SEARCH(" SULFATADA",INVENTARIO!C41)),"SUL",
IF(ISNUMBER(SEARCH("OPALINA",INVENTARIO!C30)),"OPA",
IF(ISNUMBER(SEARCH("ADHERIBLE",INVENTARIO!C30)),"ADH",
IF(ISNUMBER(SEARCH("MICRO",INVENTARIO!C30)),"MIC","")))))))))))))))))))))</f>
        <v/>
      </c>
      <c r="C30" t="str">
        <f>IF(ISNUMBER(SEARCH("PARED",INVENTARIO!C30)),"PAR",
IF(ISNUMBER(SEARCH("FRONT",INVENTARIO!C30)),"FRO",
IF(ISNUMBER(SEARCH("ALTA RESISTENCIA",INVENTARIO!C30)),
"ALT-RES",IF(ISNUMBER(SEARCH("BACKLITE",INVENTARIO!C30)),"BAC",
IF(ISNUMBER(SEARCH("MATE",INVENTARIO!C30)),"MAT",
IF(ISNUMBER(SEARCH("MESH",INVENTARIO!C30)),"MES",
IF(ISNUMBER(SEARCH("BRILLANTE",INVENTARIO!C30)),"BRI",
IF(ISNUMBER(SEARCH("DELGADA",INVENTARIO!C30)),"DEL",
IF(ISNUMBER(SEARCH("GRUESA",INVENTARIO!C30)),"GRU",
IF(ISNUMBER(SEARCH("ESTATICO",INVENTARIO!C30)),"EST",
IF(ISNUMBER(SEARCH("REFLECTIVO",INVENTARIO!C30)),"REF",
IF(ISNUMBER(SEARCH("LX700",INVENTARIO!C30)),"LX7",
IF(ISNUMBER(SEARCH("GRANDO",INVENTARIO!C30)),"GRA",
IF(ISNUMBER(SEARCH("FB700",INVENTARIO!C30)),"FB7",
IF(ISNUMBER(SEARCH("LX360",INVENTARIO!C30)),"LX3",
IF(ISNUMBER(SEARCH("XEROX",INVENTARIO!C30)),"XER",
IF(ISNUMBER(SEARCH("CEPILLADO",INVENTARIO!C30)),"CEP",
IF(ISNUMBER(SEARCH("ESPEJO",INVENTARIO!C30)),"ESP",
IF(ISNUMBER(SEARCH("10 PTS",INVENTARIO!C30)),"10PT",
IF(ISNUMBER(SEARCH("12 PTS",INVENTARIO!C30)),"12PT",
IF(ISNUMBER(SEARCH("14 PTS",INVENTARIO!C30)),"14PT",
IF(ISNUMBER(SEARCH("CLASICO",INVENTARIO!C30)),"CLA",
""))))))))))))))))))))))</f>
        <v>MAT</v>
      </c>
      <c r="D30" t="str">
        <f>IF(ISNUMBER(SEARCH("GRAN FORMATO",INVENTARIO!C30)),"GRA-FOR",
IF(ISNUMBER(SEARCH("CAMA PLANA",INVENTARIO!C30)),"CAM-PLA",
IF(ISNUMBER(SEARCH("GRADO INGENIERIA",INVENTARIO!C30)),"GRA-ING",
IF(ISNUMBER(SEARCH("130 GRS",INVENTARIO!C30)),"130GR",
IF(ISNUMBER(SEARCH("150 GRS",INVENTARIO!C30)),"150GR",
IF(ISNUMBER(SEARCH("185 GRS",INVENTARIO!C30)),"185GR",
IF(ISNUMBER(SEARCH("200 GRS",INVENTARIO!C30)),"200GR",
IF(ISNUMBER(SEARCH("250 GRS",INVENTARIO!C30)),"250GR",
IF(ISNUMBER(SEARCH("300 GRS",INVENTARIO!C30)),"300GR",
IF(ISNUMBER(SEARCH("350 GRS",INVENTARIO!C30)),"350GR",
IF(ISNUMBER(SEARCH("18 OZ",INVENTARIO!C30)),"18OZ",
IF(ISNUMBER(SEARCH("15 OZ",INVENTARIO!C30)),"15OZ",
IF(OR(ISNUMBER(SEARCH("13 OZ",INVENTARIO!C30)),ISNUMBER(SEARCH("13 ONZAS",INVENTARIO!C30))),"13OZ",
IF(OR(ISNUMBER(SEARCH("9 OZ",INVENTARIO!C30)),ISNUMBER(SEARCH("9 ONZAS",INVENTARIO!C30))),"09OZ",
IF(ISNUMBER(SEARCH("DOBLE CARA",INVENTARIO!C30)),"DOB-CAR",
"")))))))))))))))</f>
        <v>200GR</v>
      </c>
      <c r="E30" t="str">
        <f>IF(OR(ISNUMBER(SEARCH("TRANSPARENTE",INVENTARIO!C30)),ISNUMBER(SEARCH("TRANSPARENTES",INVENTARIO!C30))),"TRA",
IF(OR(ISNUMBER(SEARCH("BLANCO",INVENTARIO!C30)),ISNUMBER(SEARCH("BCO",INVENTARIO!C30))),"BLA",
IF(ISNUMBER(SEARCH("FOTOGRAFICO",INVENTARIO!C30)),"FOT",
IF(ISNUMBER(SEARCH("MARFIL",INVENTARIO!C30)),"MAR",
IF(ISNUMBER(SEARCH("VERDE",INVENTARIO!C30)),"VER",
IF(ISNUMBER(SEARCH("MORADO",INVENTARIO!C30)),"MOR",
IF(ISNUMBER(SEARCH("PLATA",INVENTARIO!C30)),"PLA",
IF(ISNUMBER(SEARCH("ORO",INVENTARIO!C30)),"ORO",
IF(ISNUMBER(SEARCH("AMARILLO",INVENTARIO!C30)),"AMA",
IF(ISNUMBER(SEARCH("NARANJA",INVENTARIO!C30)),"NAR",
IF(ISNUMBER(SEARCH("NEGRO",INVENTARIO!C30)),"NEG",
IF(ISNUMBER(SEARCH("ROJO",INVENTARIO!C30)),"ROJ",
IF(ISNUMBER(SEARCH("AZUL",INVENTARIO!C30)),"AZU","")))))))))))))</f>
        <v>FOT</v>
      </c>
      <c r="F30" t="str">
        <f>IF(ISNUMBER(SEARCH("ARLON",INVENTARIO!C30)),"ARL",
IF(ISNUMBER(SEARCH("SUNTHINKS",INVENTARIO!C30)),"SUN",
IF(ISNUMBER(SEARCH("FRIO",INVENTARIO!C30)),"FRI",
IF(ISNUMBER(SEARCH("CALIDO",INVENTARIO!C30)),"CAL",
IF(ISNUMBER(SEARCH("CEPILLADO",INVENTARIO!C30)),"CEP",
IF(ISNUMBER(SEARCH("ESPEJO",INVENTARIO!C30)),"ESP",
""))))))</f>
        <v/>
      </c>
      <c r="G30" t="str">
        <f>IF(ISNUMBER(SEARCH("LATEX",INVENTARIO!C30)),"LAT",
IF(ISNUMBER(SEARCH("RESP. NEGRO",INVENTARIO!C30)),"RES-NEG",
IF(ISNUMBER(SEARCH("RESPALDO CAFE",INVENTARIO!C30)),"RES-CAF",
IF(ISNUMBER(SEARCH("RESPALDO GRIS",INVENTARIO!C30)),"RES-GRI",
IF(ISNUMBER(SEARCH("OPTICO",INVENTARIO!C30)),"OPT",
IF(ISNUMBER(SEARCH("1,2 MM",INVENTARIO!C30)),"1MM2",
IF(ISNUMBER(SEARCH("2 MM",INVENTARIO!C30)),"2MM",
IF(ISNUMBER(SEARCH("3 MM",INVENTARIO!C30)),"3MM",
IF(ISNUMBER(SEARCH("4 MM",INVENTARIO!C30)),"4MM",
IF(ISNUMBER(SEARCH("5 MM",INVENTARIO!C30)),"5MM",
IF(ISNUMBER(SEARCH("6 MM",INVENTARIO!C30)),"6MM",
IF(ISNUMBER(SEARCH("9 MM",INVENTARIO!C30)),"9MM",
IF(ISNUMBER(SEARCH("10 MM",INVENTARIO!C30)),"10MM","")))))))))))))</f>
        <v/>
      </c>
      <c r="H30" t="str">
        <f>IF(ISNUMBER(SEARCH("GAMA BAJA",INVENTARIO!C30)),"GAM-BAJ",
IF(ISNUMBER(SEARCH("OPTIMIZADOR",INVENTARIO!C30)),"OPT",
IF(ISNUMBER(SEARCH("OVERCOAT",INVENTARIO!C30)),"OVE",
IF(ISNUMBER(SEARCH("WHITE",INVENTARIO!C30)),"WHI",
IF(ISNUMBER(SEARCH("LIGHT CYAN",INVENTARIO!C30)),"LIG-CYA",
IF(ISNUMBER(SEARCH("CYAN",INVENTARIO!C30)),"CYA",
IF(ISNUMBER(SEARCH("LIGHT MAGENTA",INVENTARIO!C30)),"LIG-MAG",
IF(ISNUMBER(SEARCH("MAGENTA",INVENTARIO!C30)),"MAG",
IF(ISNUMBER(SEARCH("BLACK",INVENTARIO!C30)),"BLA",
IF(ISNUMBER(SEARCH("YELLOW",INVENTARIO!C30)),"YEL",
IF(ISNUMBER(SEARCH("2 DIODOS",INVENTARIO!C30)),"2DI",
IF(ISNUMBER(SEARCH("3 DIODOS",INVENTARIO!C30)),"3DI",
IF(OR(ISNUMBER(SEARCH("TRASLUCIDO",INVENTARIO!C30)),ISNUMBER(SEARCH("TRANSLUCIDO",INVENTARIO!C30))),"TRA",
"")))))))))))))</f>
        <v/>
      </c>
      <c r="I30" t="str">
        <f>IF(ISNUMBER(SEARCH("SILED",INVENTARIO!C32)),"SI",
IF(ISNUMBER(SEARCH("SYDEMEX",INVENTARIO!C32)),"SY",
IF(ISNUMBER(SEARCH("ROHS",INVENTARIO!C32)),"RO",
IF(ISNUMBER(SEARCH("RISHANG",INVENTARIO!C32)),"RS",
IF(ISNUMBER(SEARCH("VYG",INVENTARIO!C32)),"VYG",
IF(ISNUMBER(SEARCH("COLED",INVENTARIO!C32)),"CO",""))))))</f>
        <v/>
      </c>
    </row>
    <row r="31" spans="1:9">
      <c r="A31" t="str">
        <f>IF(ISNUMBER(SEARCH("LONA",INVENTARIO!C31)),"LON",
IF(ISNUMBER(SEARCH("VINIL",INVENTARIO!C31)),"VIN",
IF(ISNUMBER(SEARCH("KROMACOTE",INVENTARIO!C31)),"KRO",
IF(ISNUMBER(SEARCH("STARDREAM",INVENTARIO!C31)),"STA",
IF(ISNUMBER(SEARCH("DISPLAY",INVENTARIO!C31)),"DIS",
IF(ISNUMBER(SEARCH("ROLL UP",INVENTARIO!C31)),"ROL-UP",
IF(ISNUMBER(SEARCH("TRANSFER DE PAPEL",INVENTARIO!C31)),"TRA-PAP",
IF(ISNUMBER(SEARCH("TRANSFER",INVENTARIO!C31)),"TRA",IF(ISNUMBER(SEARCH("KOLA LOKA",INVENTARIO!C31)),"KOL-LOK",
IF(ISNUMBER(SEARCH("PETG",INVENTARIO!C31)),"PET",
IF(ISNUMBER(SEARCH("OJILLO",INVENTARIO!C31)),"OJI",
IF(ISNUMBER(SEARCH("COUCHE",INVENTARIO!C31)),"COU",
IF(ISNUMBER(SEARCH("PANEL DE ALUMINIO",INVENTARIO!C31)),"PAN-ALU",
IF(ISNUMBER(SEARCH("PVC",INVENTARIO!C31)),"PVC",
IF(ISNUMBER(SEARCH("PAPEL",INVENTARIO!C31)),"PAP",
IF(ISNUMBER(SEARCH("TELA",INVENTARIO!C31)),"TEL",
IF(ISNUMBER(SEARCH("CARTULINA",INVENTARIO!C31)),"CAR",
IF(OR(ISNUMBER(SEARCH("LAMINA",INVENTARIO!C31)),ISNUMBER(SEARCH("LÁMINA",INVENTARIO!C31)),ISNUMBER(SEARCH("LAMPARAS",INVENTARIO!C31))),"LAM",
IF(ISNUMBER(SEARCH("ESTIRENO",INVENTARIO!C31)),"EST",
IF(ISNUMBER(SEARCH("FOAMBOARD",INVENTARIO!C31)),"FOA",
IF(ISNUMBER(SEARCH("SOLVENTE",INVENTARIO!C31)),"SOL",
IF(ISNUMBER(SEARCH("TINTA",INVENTARIO!C31)),"TIN",
IF(ISNUMBER(SEARCH("ACRILICO",INVENTARIO!C31)),"ACR",
IF(ISNUMBER(SEARCH("MICROLED",INVENTARIO!C31)),"MIC",
IF(ISNUMBER(SEARCH("LED",INVENTARIO!C31)),"LED",
IF(ISNUMBER(SEARCH("FUENTE DE PODER",INVENTARIO!C31)),"FUE-POD",
IF(ISNUMBER(SEARCH("PETG",INVENTARIO!C31)),"PET",
IF(ISNUMBER(SEARCH("ALUMINIO",INVENTARIO!C31)),"ALU",
IF(ISNUMBER(SEARCH("CANAL",INVENTARIO!C31)),"CAN",
IF(ISNUMBER(SEARCH("ESCUADRA",INVENTARIO!C31)),"ESC",
IF(ISNUMBER(SEARCH("SOPORTE",INVENTARIO!C31)),"SOP","OTR")
))))))))))))))))))))))))))))))</f>
        <v>PAP</v>
      </c>
      <c r="B31" t="str">
        <f>IF(ISNUMBER(SEARCH("CORTE",INVENTARIO!C31)),"COR",
IF(ISNUMBER(SEARCH("CITYLIGHT",INVENTARIO!C31)),"CIT",
IF(ISNUMBER(SEARCH("LINO",INVENTARIO!C31)),"LIN",
IF(ISNUMBER(SEARCH("FABRIANO",INVENTARIO!C31)),"FAB",
IF(ISNUMBER(SEARCH("SUNDANCE",INVENTARIO!C31)),"SUN",
IF(ISNUMBER(SEARCH("SINTETICA",INVENTARIO!C31)),"SIN",
IF(ISNUMBER(SEARCH("CONTROL",INVENTARIO!C31)),"CON",
IF(ISNUMBER(SEARCH("TERMICO",INVENTARIO!C31)),"TER",
IF(ISNUMBER(SEARCH("C-15",INVENTARIO!C31)),"C15",
IF(ISNUMBER(SEARCH("C-20",INVENTARIO!C31)),"C20",
IF(ISNUMBER(SEARCH("C-30",INVENTARIO!C31)),"C30",
IF(ISNUMBER(SEARCH("C-40",INVENTARIO!C31)),"C40",
IF(ISNUMBER(SEARCH("C-60",INVENTARIO!C31)),"C60",
IF(ISNUMBER(SEARCH("C-80",INVENTARIO!C31)),"C80",
IF(ISNUMBER(SEARCH("EQUIPO",INVENTARIO!C31)),"EQU",
IF(ISNUMBER(SEARCH("FLOOR",INVENTARIO!C31)),"FLO",
IF(ISNUMBER(SEARCH("CRISTAL",INVENTARIO!C31)),"CRI",
IF(ISNUMBER(SEARCH(" SULFATADA",INVENTARIO!C42)),"SUL",
IF(ISNUMBER(SEARCH("OPALINA",INVENTARIO!C31)),"OPA",
IF(ISNUMBER(SEARCH("ADHERIBLE",INVENTARIO!C31)),"ADH",
IF(ISNUMBER(SEARCH("MICRO",INVENTARIO!C31)),"MIC","")))))))))))))))))))))</f>
        <v/>
      </c>
      <c r="C31" t="str">
        <f>IF(ISNUMBER(SEARCH("PARED",INVENTARIO!C31)),"PAR",
IF(ISNUMBER(SEARCH("FRONT",INVENTARIO!C31)),"FRO",
IF(ISNUMBER(SEARCH("ALTA RESISTENCIA",INVENTARIO!C31)),
"ALT-RES",IF(ISNUMBER(SEARCH("BACKLITE",INVENTARIO!C31)),"BAC",
IF(ISNUMBER(SEARCH("MATE",INVENTARIO!C31)),"MAT",
IF(ISNUMBER(SEARCH("MESH",INVENTARIO!C31)),"MES",
IF(ISNUMBER(SEARCH("BRILLANTE",INVENTARIO!C31)),"BRI",
IF(ISNUMBER(SEARCH("DELGADA",INVENTARIO!C31)),"DEL",
IF(ISNUMBER(SEARCH("GRUESA",INVENTARIO!C31)),"GRU",
IF(ISNUMBER(SEARCH("ESTATICO",INVENTARIO!C31)),"EST",
IF(ISNUMBER(SEARCH("REFLECTIVO",INVENTARIO!C31)),"REF",
IF(ISNUMBER(SEARCH("LX700",INVENTARIO!C31)),"LX7",
IF(ISNUMBER(SEARCH("GRANDO",INVENTARIO!C31)),"GRA",
IF(ISNUMBER(SEARCH("FB700",INVENTARIO!C31)),"FB7",
IF(ISNUMBER(SEARCH("LX360",INVENTARIO!C31)),"LX3",
IF(ISNUMBER(SEARCH("XEROX",INVENTARIO!C31)),"XER",
IF(ISNUMBER(SEARCH("CEPILLADO",INVENTARIO!C31)),"CEP",
IF(ISNUMBER(SEARCH("ESPEJO",INVENTARIO!C31)),"ESP",
IF(ISNUMBER(SEARCH("10 PTS",INVENTARIO!C31)),"10PT",
IF(ISNUMBER(SEARCH("12 PTS",INVENTARIO!C31)),"12PT",
IF(ISNUMBER(SEARCH("14 PTS",INVENTARIO!C31)),"14PT",
IF(ISNUMBER(SEARCH("CLASICO",INVENTARIO!C31)),"CLA",
""))))))))))))))))))))))</f>
        <v>BRI</v>
      </c>
      <c r="D31" t="str">
        <f>IF(ISNUMBER(SEARCH("GRAN FORMATO",INVENTARIO!C31)),"GRA-FOR",
IF(ISNUMBER(SEARCH("CAMA PLANA",INVENTARIO!C31)),"CAM-PLA",
IF(ISNUMBER(SEARCH("GRADO INGENIERIA",INVENTARIO!C31)),"GRA-ING",
IF(ISNUMBER(SEARCH("130 GRS",INVENTARIO!C31)),"130GR",
IF(ISNUMBER(SEARCH("150 GRS",INVENTARIO!C31)),"150GR",
IF(ISNUMBER(SEARCH("185 GRS",INVENTARIO!C31)),"185GR",
IF(ISNUMBER(SEARCH("200 GRS",INVENTARIO!C31)),"200GR",
IF(ISNUMBER(SEARCH("250 GRS",INVENTARIO!C31)),"250GR",
IF(ISNUMBER(SEARCH("300 GRS",INVENTARIO!C31)),"300GR",
IF(ISNUMBER(SEARCH("350 GRS",INVENTARIO!C31)),"350GR",
IF(ISNUMBER(SEARCH("18 OZ",INVENTARIO!C31)),"18OZ",
IF(ISNUMBER(SEARCH("15 OZ",INVENTARIO!C31)),"15OZ",
IF(OR(ISNUMBER(SEARCH("13 OZ",INVENTARIO!C31)),ISNUMBER(SEARCH("13 ONZAS",INVENTARIO!C31))),"13OZ",
IF(OR(ISNUMBER(SEARCH("9 OZ",INVENTARIO!C31)),ISNUMBER(SEARCH("9 ONZAS",INVENTARIO!C31))),"09OZ",
IF(ISNUMBER(SEARCH("DOBLE CARA",INVENTARIO!C31)),"DOB-CAR",
"")))))))))))))))</f>
        <v>200GR</v>
      </c>
      <c r="E31" t="str">
        <f>IF(OR(ISNUMBER(SEARCH("TRANSPARENTE",INVENTARIO!C31)),ISNUMBER(SEARCH("TRANSPARENTES",INVENTARIO!C31))),"TRA",
IF(OR(ISNUMBER(SEARCH("BLANCO",INVENTARIO!C31)),ISNUMBER(SEARCH("BCO",INVENTARIO!C31))),"BLA",
IF(ISNUMBER(SEARCH("FOTOGRAFICO",INVENTARIO!C31)),"FOT",
IF(ISNUMBER(SEARCH("MARFIL",INVENTARIO!C31)),"MAR",
IF(ISNUMBER(SEARCH("VERDE",INVENTARIO!C31)),"VER",
IF(ISNUMBER(SEARCH("MORADO",INVENTARIO!C31)),"MOR",
IF(ISNUMBER(SEARCH("PLATA",INVENTARIO!C31)),"PLA",
IF(ISNUMBER(SEARCH("ORO",INVENTARIO!C31)),"ORO",
IF(ISNUMBER(SEARCH("AMARILLO",INVENTARIO!C31)),"AMA",
IF(ISNUMBER(SEARCH("NARANJA",INVENTARIO!C31)),"NAR",
IF(ISNUMBER(SEARCH("NEGRO",INVENTARIO!C31)),"NEG",
IF(ISNUMBER(SEARCH("ROJO",INVENTARIO!C31)),"ROJ",
IF(ISNUMBER(SEARCH("AZUL",INVENTARIO!C31)),"AZU","")))))))))))))</f>
        <v>FOT</v>
      </c>
      <c r="F31" t="str">
        <f>IF(ISNUMBER(SEARCH("ARLON",INVENTARIO!C31)),"ARL",
IF(ISNUMBER(SEARCH("SUNTHINKS",INVENTARIO!C31)),"SUN",
IF(ISNUMBER(SEARCH("FRIO",INVENTARIO!C31)),"FRI",
IF(ISNUMBER(SEARCH("CALIDO",INVENTARIO!C31)),"CAL",
IF(ISNUMBER(SEARCH("CEPILLADO",INVENTARIO!C31)),"CEP",
IF(ISNUMBER(SEARCH("ESPEJO",INVENTARIO!C31)),"ESP",
""))))))</f>
        <v/>
      </c>
      <c r="G31" t="str">
        <f>IF(ISNUMBER(SEARCH("LATEX",INVENTARIO!C31)),"LAT",
IF(ISNUMBER(SEARCH("RESP. NEGRO",INVENTARIO!C31)),"RES-NEG",
IF(ISNUMBER(SEARCH("RESPALDO CAFE",INVENTARIO!C31)),"RES-CAF",
IF(ISNUMBER(SEARCH("RESPALDO GRIS",INVENTARIO!C31)),"RES-GRI",
IF(ISNUMBER(SEARCH("OPTICO",INVENTARIO!C31)),"OPT",
IF(ISNUMBER(SEARCH("1,2 MM",INVENTARIO!C31)),"1MM2",
IF(ISNUMBER(SEARCH("2 MM",INVENTARIO!C31)),"2MM",
IF(ISNUMBER(SEARCH("3 MM",INVENTARIO!C31)),"3MM",
IF(ISNUMBER(SEARCH("4 MM",INVENTARIO!C31)),"4MM",
IF(ISNUMBER(SEARCH("5 MM",INVENTARIO!C31)),"5MM",
IF(ISNUMBER(SEARCH("6 MM",INVENTARIO!C31)),"6MM",
IF(ISNUMBER(SEARCH("9 MM",INVENTARIO!C31)),"9MM",
IF(ISNUMBER(SEARCH("10 MM",INVENTARIO!C31)),"10MM","")))))))))))))</f>
        <v/>
      </c>
      <c r="H31" t="str">
        <f>IF(ISNUMBER(SEARCH("GAMA BAJA",INVENTARIO!C31)),"GAM-BAJ",
IF(ISNUMBER(SEARCH("OPTIMIZADOR",INVENTARIO!C31)),"OPT",
IF(ISNUMBER(SEARCH("OVERCOAT",INVENTARIO!C31)),"OVE",
IF(ISNUMBER(SEARCH("WHITE",INVENTARIO!C31)),"WHI",
IF(ISNUMBER(SEARCH("LIGHT CYAN",INVENTARIO!C31)),"LIG-CYA",
IF(ISNUMBER(SEARCH("CYAN",INVENTARIO!C31)),"CYA",
IF(ISNUMBER(SEARCH("LIGHT MAGENTA",INVENTARIO!C31)),"LIG-MAG",
IF(ISNUMBER(SEARCH("MAGENTA",INVENTARIO!C31)),"MAG",
IF(ISNUMBER(SEARCH("BLACK",INVENTARIO!C31)),"BLA",
IF(ISNUMBER(SEARCH("YELLOW",INVENTARIO!C31)),"YEL",
IF(ISNUMBER(SEARCH("2 DIODOS",INVENTARIO!C31)),"2DI",
IF(ISNUMBER(SEARCH("3 DIODOS",INVENTARIO!C31)),"3DI",
IF(OR(ISNUMBER(SEARCH("TRASLUCIDO",INVENTARIO!C31)),ISNUMBER(SEARCH("TRANSLUCIDO",INVENTARIO!C31))),"TRA",
"")))))))))))))</f>
        <v/>
      </c>
      <c r="I31" t="str">
        <f>IF(ISNUMBER(SEARCH("SILED",INVENTARIO!C35)),"SI",
IF(ISNUMBER(SEARCH("SYDEMEX",INVENTARIO!C35)),"SY",
IF(ISNUMBER(SEARCH("ROHS",INVENTARIO!C35)),"RO",
IF(ISNUMBER(SEARCH("RISHANG",INVENTARIO!C35)),"RS",
IF(ISNUMBER(SEARCH("VYG",INVENTARIO!C35)),"VYG",
IF(ISNUMBER(SEARCH("COLED",INVENTARIO!C35)),"CO",""))))))</f>
        <v/>
      </c>
    </row>
    <row r="32" spans="1:9">
      <c r="A32" t="str">
        <f>IF(ISNUMBER(SEARCH("LONA",INVENTARIO!C32)),"LON",
IF(ISNUMBER(SEARCH("VINIL",INVENTARIO!C32)),"VIN",
IF(ISNUMBER(SEARCH("KROMACOTE",INVENTARIO!C32)),"KRO",
IF(ISNUMBER(SEARCH("STARDREAM",INVENTARIO!C32)),"STA",
IF(ISNUMBER(SEARCH("DISPLAY",INVENTARIO!C32)),"DIS",
IF(ISNUMBER(SEARCH("ROLL UP",INVENTARIO!C32)),"ROL-UP",
IF(ISNUMBER(SEARCH("TRANSFER DE PAPEL",INVENTARIO!C32)),"TRA-PAP",
IF(ISNUMBER(SEARCH("TRANSFER",INVENTARIO!C32)),"TRA",IF(ISNUMBER(SEARCH("KOLA LOKA",INVENTARIO!C32)),"KOL-LOK",
IF(ISNUMBER(SEARCH("PETG",INVENTARIO!C32)),"PET",
IF(ISNUMBER(SEARCH("OJILLO",INVENTARIO!C32)),"OJI",
IF(ISNUMBER(SEARCH("COUCHE",INVENTARIO!C32)),"COU",
IF(ISNUMBER(SEARCH("PANEL DE ALUMINIO",INVENTARIO!C32)),"PAN-ALU",
IF(ISNUMBER(SEARCH("PVC",INVENTARIO!C32)),"PVC",
IF(ISNUMBER(SEARCH("PAPEL",INVENTARIO!C32)),"PAP",
IF(ISNUMBER(SEARCH("TELA",INVENTARIO!C32)),"TEL",
IF(ISNUMBER(SEARCH("CARTULINA",INVENTARIO!C32)),"CAR",
IF(OR(ISNUMBER(SEARCH("LAMINA",INVENTARIO!C32)),ISNUMBER(SEARCH("LÁMINA",INVENTARIO!C32)),ISNUMBER(SEARCH("LAMPARAS",INVENTARIO!C32))),"LAM",
IF(ISNUMBER(SEARCH("ESTIRENO",INVENTARIO!C32)),"EST",
IF(ISNUMBER(SEARCH("FOAMBOARD",INVENTARIO!C32)),"FOA",
IF(ISNUMBER(SEARCH("SOLVENTE",INVENTARIO!C32)),"SOL",
IF(ISNUMBER(SEARCH("TINTA",INVENTARIO!C32)),"TIN",
IF(ISNUMBER(SEARCH("ACRILICO",INVENTARIO!C32)),"ACR",
IF(ISNUMBER(SEARCH("MICROLED",INVENTARIO!C32)),"MIC",
IF(ISNUMBER(SEARCH("LED",INVENTARIO!C32)),"LED",
IF(ISNUMBER(SEARCH("FUENTE DE PODER",INVENTARIO!C32)),"FUE-POD",
IF(ISNUMBER(SEARCH("PETG",INVENTARIO!C32)),"PET",
IF(ISNUMBER(SEARCH("ALUMINIO",INVENTARIO!C32)),"ALU",
IF(ISNUMBER(SEARCH("CANAL",INVENTARIO!C32)),"CAN",
IF(ISNUMBER(SEARCH("ESCUADRA",INVENTARIO!C32)),"ESC",
IF(ISNUMBER(SEARCH("SOPORTE",INVENTARIO!C32)),"SOP","OTR")
))))))))))))))))))))))))))))))</f>
        <v>PAP</v>
      </c>
      <c r="B32" t="str">
        <f>IF(ISNUMBER(SEARCH("CORTE",INVENTARIO!C32)),"COR",
IF(ISNUMBER(SEARCH("CITYLIGHT",INVENTARIO!C32)),"CIT",
IF(ISNUMBER(SEARCH("LINO",INVENTARIO!C32)),"LIN",
IF(ISNUMBER(SEARCH("FABRIANO",INVENTARIO!C32)),"FAB",
IF(ISNUMBER(SEARCH("SUNDANCE",INVENTARIO!C32)),"SUN",
IF(ISNUMBER(SEARCH("SINTETICA",INVENTARIO!C32)),"SIN",
IF(ISNUMBER(SEARCH("CONTROL",INVENTARIO!C32)),"CON",
IF(ISNUMBER(SEARCH("TERMICO",INVENTARIO!C32)),"TER",
IF(ISNUMBER(SEARCH("C-15",INVENTARIO!C32)),"C15",
IF(ISNUMBER(SEARCH("C-20",INVENTARIO!C32)),"C20",
IF(ISNUMBER(SEARCH("C-30",INVENTARIO!C32)),"C30",
IF(ISNUMBER(SEARCH("C-40",INVENTARIO!C32)),"C40",
IF(ISNUMBER(SEARCH("C-60",INVENTARIO!C32)),"C60",
IF(ISNUMBER(SEARCH("C-80",INVENTARIO!C32)),"C80",
IF(ISNUMBER(SEARCH("EQUIPO",INVENTARIO!C32)),"EQU",
IF(ISNUMBER(SEARCH("FLOOR",INVENTARIO!C32)),"FLO",
IF(ISNUMBER(SEARCH("CRISTAL",INVENTARIO!C32)),"CRI",
IF(ISNUMBER(SEARCH(" SULFATADA",INVENTARIO!C43)),"SUL",
IF(ISNUMBER(SEARCH("OPALINA",INVENTARIO!C32)),"OPA",
IF(ISNUMBER(SEARCH("ADHERIBLE",INVENTARIO!C32)),"ADH",
IF(ISNUMBER(SEARCH("MICRO",INVENTARIO!C32)),"MIC","")))))))))))))))))))))</f>
        <v/>
      </c>
      <c r="C32" t="str">
        <f>IF(ISNUMBER(SEARCH("PARED",INVENTARIO!C32)),"PAR",
IF(ISNUMBER(SEARCH("FRONT",INVENTARIO!C32)),"FRO",
IF(ISNUMBER(SEARCH("ALTA RESISTENCIA",INVENTARIO!C32)),
"ALT-RES",IF(ISNUMBER(SEARCH("BACKLITE",INVENTARIO!C32)),"BAC",
IF(ISNUMBER(SEARCH("MATE",INVENTARIO!C32)),"MAT",
IF(ISNUMBER(SEARCH("MESH",INVENTARIO!C32)),"MES",
IF(ISNUMBER(SEARCH("BRILLANTE",INVENTARIO!C32)),"BRI",
IF(ISNUMBER(SEARCH("DELGADA",INVENTARIO!C32)),"DEL",
IF(ISNUMBER(SEARCH("GRUESA",INVENTARIO!C32)),"GRU",
IF(ISNUMBER(SEARCH("ESTATICO",INVENTARIO!C32)),"EST",
IF(ISNUMBER(SEARCH("REFLECTIVO",INVENTARIO!C32)),"REF",
IF(ISNUMBER(SEARCH("LX700",INVENTARIO!C32)),"LX7",
IF(ISNUMBER(SEARCH("GRANDO",INVENTARIO!C32)),"GRA",
IF(ISNUMBER(SEARCH("FB700",INVENTARIO!C32)),"FB7",
IF(ISNUMBER(SEARCH("LX360",INVENTARIO!C32)),"LX3",
IF(ISNUMBER(SEARCH("XEROX",INVENTARIO!C32)),"XER",
IF(ISNUMBER(SEARCH("CEPILLADO",INVENTARIO!C32)),"CEP",
IF(ISNUMBER(SEARCH("ESPEJO",INVENTARIO!C32)),"ESP",
IF(ISNUMBER(SEARCH("10 PTS",INVENTARIO!C32)),"10PT",
IF(ISNUMBER(SEARCH("12 PTS",INVENTARIO!C32)),"12PT",
IF(ISNUMBER(SEARCH("14 PTS",INVENTARIO!C32)),"14PT",
IF(ISNUMBER(SEARCH("CLASICO",INVENTARIO!C32)),"CLA",
""))))))))))))))))))))))</f>
        <v>BAC</v>
      </c>
      <c r="D32" t="str">
        <f>IF(ISNUMBER(SEARCH("GRAN FORMATO",INVENTARIO!C32)),"GRA-FOR",
IF(ISNUMBER(SEARCH("CAMA PLANA",INVENTARIO!C32)),"CAM-PLA",
IF(ISNUMBER(SEARCH("GRADO INGENIERIA",INVENTARIO!C32)),"GRA-ING",
IF(ISNUMBER(SEARCH("130 GRS",INVENTARIO!C32)),"130GR",
IF(ISNUMBER(SEARCH("150 GRS",INVENTARIO!C32)),"150GR",
IF(ISNUMBER(SEARCH("185 GRS",INVENTARIO!C32)),"185GR",
IF(ISNUMBER(SEARCH("200 GRS",INVENTARIO!C32)),"200GR",
IF(ISNUMBER(SEARCH("250 GRS",INVENTARIO!C32)),"250GR",
IF(ISNUMBER(SEARCH("300 GRS",INVENTARIO!C32)),"300GR",
IF(ISNUMBER(SEARCH("350 GRS",INVENTARIO!C32)),"350GR",
IF(ISNUMBER(SEARCH("18 OZ",INVENTARIO!C32)),"18OZ",
IF(ISNUMBER(SEARCH("15 OZ",INVENTARIO!C32)),"15OZ",
IF(OR(ISNUMBER(SEARCH("13 OZ",INVENTARIO!C32)),ISNUMBER(SEARCH("13 ONZAS",INVENTARIO!C32))),"13OZ",
IF(OR(ISNUMBER(SEARCH("9 OZ",INVENTARIO!C32)),ISNUMBER(SEARCH("9 ONZAS",INVENTARIO!C32))),"09OZ",
IF(ISNUMBER(SEARCH("DOBLE CARA",INVENTARIO!C32)),"DOB-CAR",
"")))))))))))))))</f>
        <v/>
      </c>
      <c r="E32" t="str">
        <f>IF(OR(ISNUMBER(SEARCH("TRANSPARENTE",INVENTARIO!C32)),ISNUMBER(SEARCH("TRANSPARENTES",INVENTARIO!C32))),"TRA",
IF(OR(ISNUMBER(SEARCH("BLANCO",INVENTARIO!C32)),ISNUMBER(SEARCH("BCO",INVENTARIO!C32))),"BLA",
IF(ISNUMBER(SEARCH("FOTOGRAFICO",INVENTARIO!C32)),"FOT",
IF(ISNUMBER(SEARCH("MARFIL",INVENTARIO!C32)),"MAR",
IF(ISNUMBER(SEARCH("VERDE",INVENTARIO!C32)),"VER",
IF(ISNUMBER(SEARCH("MORADO",INVENTARIO!C32)),"MOR",
IF(ISNUMBER(SEARCH("PLATA",INVENTARIO!C32)),"PLA",
IF(ISNUMBER(SEARCH("ORO",INVENTARIO!C32)),"ORO",
IF(ISNUMBER(SEARCH("AMARILLO",INVENTARIO!C32)),"AMA",
IF(ISNUMBER(SEARCH("NARANJA",INVENTARIO!C32)),"NAR",
IF(ISNUMBER(SEARCH("NEGRO",INVENTARIO!C32)),"NEG",
IF(ISNUMBER(SEARCH("ROJO",INVENTARIO!C32)),"ROJ",
IF(ISNUMBER(SEARCH("AZUL",INVENTARIO!C32)),"AZU","")))))))))))))</f>
        <v/>
      </c>
      <c r="F32" t="str">
        <f>IF(ISNUMBER(SEARCH("ARLON",INVENTARIO!C32)),"ARL",
IF(ISNUMBER(SEARCH("SUNTHINKS",INVENTARIO!C32)),"SUN",
IF(ISNUMBER(SEARCH("FRIO",INVENTARIO!C32)),"FRI",
IF(ISNUMBER(SEARCH("CALIDO",INVENTARIO!C32)),"CAL",
IF(ISNUMBER(SEARCH("CEPILLADO",INVENTARIO!C32)),"CEP",
IF(ISNUMBER(SEARCH("ESPEJO",INVENTARIO!C32)),"ESP",
""))))))</f>
        <v/>
      </c>
      <c r="G32" t="str">
        <f>IF(ISNUMBER(SEARCH("LATEX",INVENTARIO!C32)),"LAT",
IF(ISNUMBER(SEARCH("RESP. NEGRO",INVENTARIO!C32)),"RES-NEG",
IF(ISNUMBER(SEARCH("RESPALDO CAFE",INVENTARIO!C32)),"RES-CAF",
IF(ISNUMBER(SEARCH("RESPALDO GRIS",INVENTARIO!C32)),"RES-GRI",
IF(ISNUMBER(SEARCH("OPTICO",INVENTARIO!C32)),"OPT",
IF(ISNUMBER(SEARCH("1,2 MM",INVENTARIO!C32)),"1MM2",
IF(ISNUMBER(SEARCH("2 MM",INVENTARIO!C32)),"2MM",
IF(ISNUMBER(SEARCH("3 MM",INVENTARIO!C32)),"3MM",
IF(ISNUMBER(SEARCH("4 MM",INVENTARIO!C32)),"4MM",
IF(ISNUMBER(SEARCH("5 MM",INVENTARIO!C32)),"5MM",
IF(ISNUMBER(SEARCH("6 MM",INVENTARIO!C32)),"6MM",
IF(ISNUMBER(SEARCH("9 MM",INVENTARIO!C32)),"9MM",
IF(ISNUMBER(SEARCH("10 MM",INVENTARIO!C32)),"10MM","")))))))))))))</f>
        <v/>
      </c>
      <c r="H32" t="str">
        <f>IF(ISNUMBER(SEARCH("GAMA BAJA",INVENTARIO!C32)),"GAM-BAJ",
IF(ISNUMBER(SEARCH("OPTIMIZADOR",INVENTARIO!C32)),"OPT",
IF(ISNUMBER(SEARCH("OVERCOAT",INVENTARIO!C32)),"OVE",
IF(ISNUMBER(SEARCH("WHITE",INVENTARIO!C32)),"WHI",
IF(ISNUMBER(SEARCH("LIGHT CYAN",INVENTARIO!C32)),"LIG-CYA",
IF(ISNUMBER(SEARCH("CYAN",INVENTARIO!C32)),"CYA",
IF(ISNUMBER(SEARCH("LIGHT MAGENTA",INVENTARIO!C32)),"LIG-MAG",
IF(ISNUMBER(SEARCH("MAGENTA",INVENTARIO!C32)),"MAG",
IF(ISNUMBER(SEARCH("BLACK",INVENTARIO!C32)),"BLA",
IF(ISNUMBER(SEARCH("YELLOW",INVENTARIO!C32)),"YEL",
IF(ISNUMBER(SEARCH("2 DIODOS",INVENTARIO!C32)),"2DI",
IF(ISNUMBER(SEARCH("3 DIODOS",INVENTARIO!C32)),"3DI",
IF(OR(ISNUMBER(SEARCH("TRASLUCIDO",INVENTARIO!C32)),ISNUMBER(SEARCH("TRANSLUCIDO",INVENTARIO!C32))),"TRA",
"")))))))))))))</f>
        <v/>
      </c>
      <c r="I32" t="str">
        <f>IF(ISNUMBER(SEARCH("SILED",INVENTARIO!C36)),"SI",
IF(ISNUMBER(SEARCH("SYDEMEX",INVENTARIO!C36)),"SY",
IF(ISNUMBER(SEARCH("ROHS",INVENTARIO!C36)),"RO",
IF(ISNUMBER(SEARCH("RISHANG",INVENTARIO!C36)),"RS",
IF(ISNUMBER(SEARCH("VYG",INVENTARIO!C36)),"VYG",
IF(ISNUMBER(SEARCH("COLED",INVENTARIO!C36)),"CO",""))))))</f>
        <v/>
      </c>
    </row>
    <row r="33" spans="1:9">
      <c r="A33" t="str">
        <f>IF(ISNUMBER(SEARCH("LONA",INVENTARIO!C33)),"LON",
IF(ISNUMBER(SEARCH("VINIL",INVENTARIO!C33)),"VIN",
IF(ISNUMBER(SEARCH("KROMACOTE",INVENTARIO!C33)),"KRO",
IF(ISNUMBER(SEARCH("STARDREAM",INVENTARIO!C33)),"STA",
IF(ISNUMBER(SEARCH("DISPLAY",INVENTARIO!C33)),"DIS",
IF(ISNUMBER(SEARCH("ROLL UP",INVENTARIO!C33)),"ROL-UP",
IF(ISNUMBER(SEARCH("TRANSFER DE PAPEL",INVENTARIO!C33)),"TRA-PAP",
IF(ISNUMBER(SEARCH("TRANSFER",INVENTARIO!C33)),"TRA",IF(ISNUMBER(SEARCH("KOLA LOKA",INVENTARIO!C33)),"KOL-LOK",
IF(ISNUMBER(SEARCH("PETG",INVENTARIO!C33)),"PET",
IF(ISNUMBER(SEARCH("OJILLO",INVENTARIO!C33)),"OJI",
IF(ISNUMBER(SEARCH("COUCHE",INVENTARIO!C33)),"COU",
IF(ISNUMBER(SEARCH("PANEL DE ALUMINIO",INVENTARIO!C33)),"PAN-ALU",
IF(ISNUMBER(SEARCH("PVC",INVENTARIO!C33)),"PVC",
IF(ISNUMBER(SEARCH("PAPEL",INVENTARIO!C33)),"PAP",
IF(ISNUMBER(SEARCH("TELA",INVENTARIO!C33)),"TEL",
IF(ISNUMBER(SEARCH("CARTULINA",INVENTARIO!C33)),"CAR",
IF(OR(ISNUMBER(SEARCH("LAMINA",INVENTARIO!C33)),ISNUMBER(SEARCH("LÁMINA",INVENTARIO!C33)),ISNUMBER(SEARCH("LAMPARAS",INVENTARIO!C33))),"LAM",
IF(ISNUMBER(SEARCH("ESTIRENO",INVENTARIO!C33)),"EST",
IF(ISNUMBER(SEARCH("FOAMBOARD",INVENTARIO!C33)),"FOA",
IF(ISNUMBER(SEARCH("SOLVENTE",INVENTARIO!C33)),"SOL",
IF(ISNUMBER(SEARCH("TINTA",INVENTARIO!C33)),"TIN",
IF(ISNUMBER(SEARCH("ACRILICO",INVENTARIO!C33)),"ACR",
IF(ISNUMBER(SEARCH("MICROLED",INVENTARIO!C33)),"MIC",
IF(ISNUMBER(SEARCH("LED",INVENTARIO!C33)),"LED",
IF(ISNUMBER(SEARCH("FUENTE DE PODER",INVENTARIO!C33)),"FUE-POD",
IF(ISNUMBER(SEARCH("PETG",INVENTARIO!C33)),"PET",
IF(ISNUMBER(SEARCH("ALUMINIO",INVENTARIO!C33)),"ALU",
IF(ISNUMBER(SEARCH("CANAL",INVENTARIO!C33)),"CAN",
IF(ISNUMBER(SEARCH("ESCUADRA",INVENTARIO!C33)),"ESC",
IF(ISNUMBER(SEARCH("SOPORTE",INVENTARIO!C33)),"SOP","OTR")
))))))))))))))))))))))))))))))</f>
        <v>PAP</v>
      </c>
      <c r="B33" t="str">
        <f>IF(ISNUMBER(SEARCH("CORTE",INVENTARIO!C33)),"COR",
IF(ISNUMBER(SEARCH("CITYLIGHT",INVENTARIO!C33)),"CIT",
IF(ISNUMBER(SEARCH("LINO",INVENTARIO!C33)),"LIN",
IF(ISNUMBER(SEARCH("FABRIANO",INVENTARIO!C33)),"FAB",
IF(ISNUMBER(SEARCH("SUNDANCE",INVENTARIO!C33)),"SUN",
IF(ISNUMBER(SEARCH("SINTETICA",INVENTARIO!C33)),"SIN",
IF(ISNUMBER(SEARCH("CONTROL",INVENTARIO!C33)),"CON",
IF(ISNUMBER(SEARCH("TERMICO",INVENTARIO!C33)),"TER",
IF(ISNUMBER(SEARCH("C-15",INVENTARIO!C33)),"C15",
IF(ISNUMBER(SEARCH("C-20",INVENTARIO!C33)),"C20",
IF(ISNUMBER(SEARCH("C-30",INVENTARIO!C33)),"C30",
IF(ISNUMBER(SEARCH("C-40",INVENTARIO!C33)),"C40",
IF(ISNUMBER(SEARCH("C-60",INVENTARIO!C33)),"C60",
IF(ISNUMBER(SEARCH("C-80",INVENTARIO!C33)),"C80",
IF(ISNUMBER(SEARCH("EQUIPO",INVENTARIO!C33)),"EQU",
IF(ISNUMBER(SEARCH("FLOOR",INVENTARIO!C33)),"FLO",
IF(ISNUMBER(SEARCH("CRISTAL",INVENTARIO!C33)),"CRI",
IF(ISNUMBER(SEARCH(" SULFATADA",INVENTARIO!C44)),"SUL",
IF(ISNUMBER(SEARCH("OPALINA",INVENTARIO!C33)),"OPA",
IF(ISNUMBER(SEARCH("ADHERIBLE",INVENTARIO!C33)),"ADH",
IF(ISNUMBER(SEARCH("MICRO",INVENTARIO!C33)),"MIC","")))))))))))))))))))))</f>
        <v/>
      </c>
      <c r="C33" t="str">
        <f>IF(ISNUMBER(SEARCH("PARED",INVENTARIO!C33)),"PAR",
IF(ISNUMBER(SEARCH("FRONT",INVENTARIO!C33)),"FRO",
IF(ISNUMBER(SEARCH("ALTA RESISTENCIA",INVENTARIO!C33)),
"ALT-RES",IF(ISNUMBER(SEARCH("BACKLITE",INVENTARIO!C33)),"BAC",
IF(ISNUMBER(SEARCH("MATE",INVENTARIO!C33)),"MAT",
IF(ISNUMBER(SEARCH("MESH",INVENTARIO!C33)),"MES",
IF(ISNUMBER(SEARCH("BRILLANTE",INVENTARIO!C33)),"BRI",
IF(ISNUMBER(SEARCH("DELGADA",INVENTARIO!C33)),"DEL",
IF(ISNUMBER(SEARCH("GRUESA",INVENTARIO!C33)),"GRU",
IF(ISNUMBER(SEARCH("ESTATICO",INVENTARIO!C33)),"EST",
IF(ISNUMBER(SEARCH("REFLECTIVO",INVENTARIO!C33)),"REF",
IF(ISNUMBER(SEARCH("LX700",INVENTARIO!C33)),"LX7",
IF(ISNUMBER(SEARCH("GRANDO",INVENTARIO!C33)),"GRA",
IF(ISNUMBER(SEARCH("FB700",INVENTARIO!C33)),"FB7",
IF(ISNUMBER(SEARCH("LX360",INVENTARIO!C33)),"LX3",
IF(ISNUMBER(SEARCH("XEROX",INVENTARIO!C33)),"XER",
IF(ISNUMBER(SEARCH("CEPILLADO",INVENTARIO!C33)),"CEP",
IF(ISNUMBER(SEARCH("ESPEJO",INVENTARIO!C33)),"ESP",
IF(ISNUMBER(SEARCH("10 PTS",INVENTARIO!C33)),"10PT",
IF(ISNUMBER(SEARCH("12 PTS",INVENTARIO!C33)),"12PT",
IF(ISNUMBER(SEARCH("14 PTS",INVENTARIO!C33)),"14PT",
IF(ISNUMBER(SEARCH("CLASICO",INVENTARIO!C33)),"CLA",
""))))))))))))))))))))))</f>
        <v>BAC</v>
      </c>
      <c r="D33" t="str">
        <f>IF(ISNUMBER(SEARCH("GRAN FORMATO",INVENTARIO!C33)),"GRA-FOR",
IF(ISNUMBER(SEARCH("CAMA PLANA",INVENTARIO!C33)),"CAM-PLA",
IF(ISNUMBER(SEARCH("GRADO INGENIERIA",INVENTARIO!C33)),"GRA-ING",
IF(ISNUMBER(SEARCH("130 GRS",INVENTARIO!C33)),"130GR",
IF(ISNUMBER(SEARCH("150 GRS",INVENTARIO!C33)),"150GR",
IF(ISNUMBER(SEARCH("185 GRS",INVENTARIO!C33)),"185GR",
IF(ISNUMBER(SEARCH("200 GRS",INVENTARIO!C33)),"200GR",
IF(ISNUMBER(SEARCH("250 GRS",INVENTARIO!C33)),"250GR",
IF(ISNUMBER(SEARCH("300 GRS",INVENTARIO!C33)),"300GR",
IF(ISNUMBER(SEARCH("350 GRS",INVENTARIO!C33)),"350GR",
IF(ISNUMBER(SEARCH("18 OZ",INVENTARIO!C33)),"18OZ",
IF(ISNUMBER(SEARCH("15 OZ",INVENTARIO!C33)),"15OZ",
IF(OR(ISNUMBER(SEARCH("13 OZ",INVENTARIO!C33)),ISNUMBER(SEARCH("13 ONZAS",INVENTARIO!C33))),"13OZ",
IF(OR(ISNUMBER(SEARCH("9 OZ",INVENTARIO!C33)),ISNUMBER(SEARCH("9 ONZAS",INVENTARIO!C33))),"09OZ",
IF(ISNUMBER(SEARCH("DOBLE CARA",INVENTARIO!C33)),"DOB-CAR",
"")))))))))))))))</f>
        <v/>
      </c>
      <c r="E33" t="str">
        <f>IF(OR(ISNUMBER(SEARCH("TRANSPARENTE",INVENTARIO!C33)),ISNUMBER(SEARCH("TRANSPARENTES",INVENTARIO!C33))),"TRA",
IF(OR(ISNUMBER(SEARCH("BLANCO",INVENTARIO!C33)),ISNUMBER(SEARCH("BCO",INVENTARIO!C33))),"BLA",
IF(ISNUMBER(SEARCH("FOTOGRAFICO",INVENTARIO!C33)),"FOT",
IF(ISNUMBER(SEARCH("MARFIL",INVENTARIO!C33)),"MAR",
IF(ISNUMBER(SEARCH("VERDE",INVENTARIO!C33)),"VER",
IF(ISNUMBER(SEARCH("MORADO",INVENTARIO!C33)),"MOR",
IF(ISNUMBER(SEARCH("PLATA",INVENTARIO!C33)),"PLA",
IF(ISNUMBER(SEARCH("ORO",INVENTARIO!C33)),"ORO",
IF(ISNUMBER(SEARCH("AMARILLO",INVENTARIO!C33)),"AMA",
IF(ISNUMBER(SEARCH("NARANJA",INVENTARIO!C33)),"NAR",
IF(ISNUMBER(SEARCH("NEGRO",INVENTARIO!C33)),"NEG",
IF(ISNUMBER(SEARCH("ROJO",INVENTARIO!C33)),"ROJ",
IF(ISNUMBER(SEARCH("AZUL",INVENTARIO!C33)),"AZU","")))))))))))))</f>
        <v/>
      </c>
      <c r="F33" t="str">
        <f>IF(ISNUMBER(SEARCH("ARLON",INVENTARIO!C33)),"ARL",
IF(ISNUMBER(SEARCH("SUNTHINKS",INVENTARIO!C33)),"SUN",
IF(ISNUMBER(SEARCH("FRIO",INVENTARIO!C33)),"FRI",
IF(ISNUMBER(SEARCH("CALIDO",INVENTARIO!C33)),"CAL",
IF(ISNUMBER(SEARCH("CEPILLADO",INVENTARIO!C33)),"CEP",
IF(ISNUMBER(SEARCH("ESPEJO",INVENTARIO!C33)),"ESP",
""))))))</f>
        <v/>
      </c>
      <c r="G33" t="str">
        <f>IF(ISNUMBER(SEARCH("LATEX",INVENTARIO!C33)),"LAT",
IF(ISNUMBER(SEARCH("RESP. NEGRO",INVENTARIO!C33)),"RES-NEG",
IF(ISNUMBER(SEARCH("RESPALDO CAFE",INVENTARIO!C33)),"RES-CAF",
IF(ISNUMBER(SEARCH("RESPALDO GRIS",INVENTARIO!C33)),"RES-GRI",
IF(ISNUMBER(SEARCH("OPTICO",INVENTARIO!C33)),"OPT",
IF(ISNUMBER(SEARCH("1,2 MM",INVENTARIO!C33)),"1MM2",
IF(ISNUMBER(SEARCH("2 MM",INVENTARIO!C33)),"2MM",
IF(ISNUMBER(SEARCH("3 MM",INVENTARIO!C33)),"3MM",
IF(ISNUMBER(SEARCH("4 MM",INVENTARIO!C33)),"4MM",
IF(ISNUMBER(SEARCH("5 MM",INVENTARIO!C33)),"5MM",
IF(ISNUMBER(SEARCH("6 MM",INVENTARIO!C33)),"6MM",
IF(ISNUMBER(SEARCH("9 MM",INVENTARIO!C33)),"9MM",
IF(ISNUMBER(SEARCH("10 MM",INVENTARIO!C33)),"10MM","")))))))))))))</f>
        <v/>
      </c>
      <c r="H33" t="str">
        <f>IF(ISNUMBER(SEARCH("GAMA BAJA",INVENTARIO!C33)),"GAM-BAJ",
IF(ISNUMBER(SEARCH("OPTIMIZADOR",INVENTARIO!C33)),"OPT",
IF(ISNUMBER(SEARCH("OVERCOAT",INVENTARIO!C33)),"OVE",
IF(ISNUMBER(SEARCH("WHITE",INVENTARIO!C33)),"WHI",
IF(ISNUMBER(SEARCH("LIGHT CYAN",INVENTARIO!C33)),"LIG-CYA",
IF(ISNUMBER(SEARCH("CYAN",INVENTARIO!C33)),"CYA",
IF(ISNUMBER(SEARCH("LIGHT MAGENTA",INVENTARIO!C33)),"LIG-MAG",
IF(ISNUMBER(SEARCH("MAGENTA",INVENTARIO!C33)),"MAG",
IF(ISNUMBER(SEARCH("BLACK",INVENTARIO!C33)),"BLA",
IF(ISNUMBER(SEARCH("YELLOW",INVENTARIO!C33)),"YEL",
IF(ISNUMBER(SEARCH("2 DIODOS",INVENTARIO!C33)),"2DI",
IF(ISNUMBER(SEARCH("3 DIODOS",INVENTARIO!C33)),"3DI",
IF(OR(ISNUMBER(SEARCH("TRASLUCIDO",INVENTARIO!C33)),ISNUMBER(SEARCH("TRANSLUCIDO",INVENTARIO!C33))),"TRA",
"")))))))))))))</f>
        <v/>
      </c>
      <c r="I33" t="str">
        <f>IF(ISNUMBER(SEARCH("SILED",INVENTARIO!C37)),"SI",
IF(ISNUMBER(SEARCH("SYDEMEX",INVENTARIO!C37)),"SY",
IF(ISNUMBER(SEARCH("ROHS",INVENTARIO!C37)),"RO",
IF(ISNUMBER(SEARCH("RISHANG",INVENTARIO!C37)),"RS",
IF(ISNUMBER(SEARCH("VYG",INVENTARIO!C37)),"VYG",
IF(ISNUMBER(SEARCH("COLED",INVENTARIO!C37)),"CO",""))))))</f>
        <v/>
      </c>
    </row>
    <row r="34" spans="1:9">
      <c r="A34" t="str">
        <f>IF(ISNUMBER(SEARCH("LONA",INVENTARIO!C34)),"LON",
IF(ISNUMBER(SEARCH("VINIL",INVENTARIO!C34)),"VIN",
IF(ISNUMBER(SEARCH("KROMACOTE",INVENTARIO!C34)),"KRO",
IF(ISNUMBER(SEARCH("STARDREAM",INVENTARIO!C34)),"STA",
IF(ISNUMBER(SEARCH("DISPLAY",INVENTARIO!C34)),"DIS",
IF(ISNUMBER(SEARCH("ROLL UP",INVENTARIO!C34)),"ROL-UP",
IF(ISNUMBER(SEARCH("TRANSFER DE PAPEL",INVENTARIO!C34)),"TRA-PAP",
IF(ISNUMBER(SEARCH("TRANSFER",INVENTARIO!C34)),"TRA",IF(ISNUMBER(SEARCH("KOLA LOKA",INVENTARIO!C34)),"KOL-LOK",
IF(ISNUMBER(SEARCH("PETG",INVENTARIO!C34)),"PET",
IF(ISNUMBER(SEARCH("OJILLO",INVENTARIO!C34)),"OJI",
IF(ISNUMBER(SEARCH("COUCHE",INVENTARIO!C34)),"COU",
IF(ISNUMBER(SEARCH("PANEL DE ALUMINIO",INVENTARIO!C34)),"PAN-ALU",
IF(ISNUMBER(SEARCH("PVC",INVENTARIO!C34)),"PVC",
IF(ISNUMBER(SEARCH("PAPEL",INVENTARIO!C34)),"PAP",
IF(ISNUMBER(SEARCH("TELA",INVENTARIO!C34)),"TEL",
IF(ISNUMBER(SEARCH("CARTULINA",INVENTARIO!C34)),"CAR",
IF(OR(ISNUMBER(SEARCH("LAMINA",INVENTARIO!C34)),ISNUMBER(SEARCH("LÁMINA",INVENTARIO!C34)),ISNUMBER(SEARCH("LAMPARAS",INVENTARIO!C34))),"LAM",
IF(ISNUMBER(SEARCH("ESTIRENO",INVENTARIO!C34)),"EST",
IF(ISNUMBER(SEARCH("FOAMBOARD",INVENTARIO!C34)),"FOA",
IF(ISNUMBER(SEARCH("SOLVENTE",INVENTARIO!C34)),"SOL",
IF(ISNUMBER(SEARCH("TINTA",INVENTARIO!C34)),"TIN",
IF(ISNUMBER(SEARCH("ACRILICO",INVENTARIO!C34)),"ACR",
IF(ISNUMBER(SEARCH("MICROLED",INVENTARIO!C34)),"MIC",
IF(ISNUMBER(SEARCH("LED",INVENTARIO!C34)),"LED",
IF(ISNUMBER(SEARCH("FUENTE DE PODER",INVENTARIO!C34)),"FUE-POD",
IF(ISNUMBER(SEARCH("PETG",INVENTARIO!C34)),"PET",
IF(ISNUMBER(SEARCH("ALUMINIO",INVENTARIO!C34)),"ALU",
IF(ISNUMBER(SEARCH("CANAL",INVENTARIO!C34)),"CAN",
IF(ISNUMBER(SEARCH("ESCUADRA",INVENTARIO!C34)),"ESC",
IF(ISNUMBER(SEARCH("SOPORTE",INVENTARIO!C34)),"SOP","OTR")
))))))))))))))))))))))))))))))</f>
        <v>PAP</v>
      </c>
      <c r="B34" t="str">
        <f>IF(ISNUMBER(SEARCH("CORTE",INVENTARIO!C34)),"COR",
IF(ISNUMBER(SEARCH("CITYLIGHT",INVENTARIO!C34)),"CIT",
IF(ISNUMBER(SEARCH("LINO",INVENTARIO!C34)),"LIN",
IF(ISNUMBER(SEARCH("FABRIANO",INVENTARIO!C34)),"FAB",
IF(ISNUMBER(SEARCH("SUNDANCE",INVENTARIO!C34)),"SUN",
IF(ISNUMBER(SEARCH("SINTETICA",INVENTARIO!C34)),"SIN",
IF(ISNUMBER(SEARCH("CONTROL",INVENTARIO!C34)),"CON",
IF(ISNUMBER(SEARCH("TERMICO",INVENTARIO!C34)),"TER",
IF(ISNUMBER(SEARCH("C-15",INVENTARIO!C34)),"C15",
IF(ISNUMBER(SEARCH("C-20",INVENTARIO!C34)),"C20",
IF(ISNUMBER(SEARCH("C-30",INVENTARIO!C34)),"C30",
IF(ISNUMBER(SEARCH("C-40",INVENTARIO!C34)),"C40",
IF(ISNUMBER(SEARCH("C-60",INVENTARIO!C34)),"C60",
IF(ISNUMBER(SEARCH("C-80",INVENTARIO!C34)),"C80",
IF(ISNUMBER(SEARCH("EQUIPO",INVENTARIO!C34)),"EQU",
IF(ISNUMBER(SEARCH("FLOOR",INVENTARIO!C34)),"FLO",
IF(ISNUMBER(SEARCH("CRISTAL",INVENTARIO!C34)),"CRI",
IF(ISNUMBER(SEARCH(" SULFATADA",INVENTARIO!C45)),"SUL",
IF(ISNUMBER(SEARCH("OPALINA",INVENTARIO!C34)),"OPA",
IF(ISNUMBER(SEARCH("ADHERIBLE",INVENTARIO!C34)),"ADH",
IF(ISNUMBER(SEARCH("MICRO",INVENTARIO!C34)),"MIC","")))))))))))))))))))))</f>
        <v/>
      </c>
      <c r="C34" t="str">
        <f>IF(ISNUMBER(SEARCH("PARED",INVENTARIO!C34)),"PAR",
IF(ISNUMBER(SEARCH("FRONT",INVENTARIO!C34)),"FRO",
IF(ISNUMBER(SEARCH("ALTA RESISTENCIA",INVENTARIO!C34)),
"ALT-RES",IF(ISNUMBER(SEARCH("BACKLITE",INVENTARIO!C34)),"BAC",
IF(ISNUMBER(SEARCH("MATE",INVENTARIO!C34)),"MAT",
IF(ISNUMBER(SEARCH("MESH",INVENTARIO!C34)),"MES",
IF(ISNUMBER(SEARCH("BRILLANTE",INVENTARIO!C34)),"BRI",
IF(ISNUMBER(SEARCH("DELGADA",INVENTARIO!C34)),"DEL",
IF(ISNUMBER(SEARCH("GRUESA",INVENTARIO!C34)),"GRU",
IF(ISNUMBER(SEARCH("ESTATICO",INVENTARIO!C34)),"EST",
IF(ISNUMBER(SEARCH("REFLECTIVO",INVENTARIO!C34)),"REF",
IF(ISNUMBER(SEARCH("LX700",INVENTARIO!C34)),"LX7",
IF(ISNUMBER(SEARCH("GRANDO",INVENTARIO!C34)),"GRA",
IF(ISNUMBER(SEARCH("FB700",INVENTARIO!C34)),"FB7",
IF(ISNUMBER(SEARCH("LX360",INVENTARIO!C34)),"LX3",
IF(ISNUMBER(SEARCH("XEROX",INVENTARIO!C34)),"XER",
IF(ISNUMBER(SEARCH("CEPILLADO",INVENTARIO!C34)),"CEP",
IF(ISNUMBER(SEARCH("ESPEJO",INVENTARIO!C34)),"ESP",
IF(ISNUMBER(SEARCH("10 PTS",INVENTARIO!C34)),"10PT",
IF(ISNUMBER(SEARCH("12 PTS",INVENTARIO!C34)),"12PT",
IF(ISNUMBER(SEARCH("14 PTS",INVENTARIO!C34)),"14PT",
IF(ISNUMBER(SEARCH("CLASICO",INVENTARIO!C34)),"CLA",
""))))))))))))))))))))))</f>
        <v>BAC</v>
      </c>
      <c r="D34" t="str">
        <f>IF(ISNUMBER(SEARCH("GRAN FORMATO",INVENTARIO!C34)),"GRA-FOR",
IF(ISNUMBER(SEARCH("CAMA PLANA",INVENTARIO!C34)),"CAM-PLA",
IF(ISNUMBER(SEARCH("GRADO INGENIERIA",INVENTARIO!C34)),"GRA-ING",
IF(ISNUMBER(SEARCH("130 GRS",INVENTARIO!C34)),"130GR",
IF(ISNUMBER(SEARCH("150 GRS",INVENTARIO!C34)),"150GR",
IF(ISNUMBER(SEARCH("185 GRS",INVENTARIO!C34)),"185GR",
IF(ISNUMBER(SEARCH("200 GRS",INVENTARIO!C34)),"200GR",
IF(ISNUMBER(SEARCH("250 GRS",INVENTARIO!C34)),"250GR",
IF(ISNUMBER(SEARCH("300 GRS",INVENTARIO!C34)),"300GR",
IF(ISNUMBER(SEARCH("350 GRS",INVENTARIO!C34)),"350GR",
IF(ISNUMBER(SEARCH("18 OZ",INVENTARIO!C34)),"18OZ",
IF(ISNUMBER(SEARCH("15 OZ",INVENTARIO!C34)),"15OZ",
IF(OR(ISNUMBER(SEARCH("13 OZ",INVENTARIO!C34)),ISNUMBER(SEARCH("13 ONZAS",INVENTARIO!C34))),"13OZ",
IF(OR(ISNUMBER(SEARCH("9 OZ",INVENTARIO!C34)),ISNUMBER(SEARCH("9 ONZAS",INVENTARIO!C34))),"09OZ",
IF(ISNUMBER(SEARCH("DOBLE CARA",INVENTARIO!C34)),"DOB-CAR",
"")))))))))))))))</f>
        <v/>
      </c>
      <c r="E34" t="str">
        <f>IF(OR(ISNUMBER(SEARCH("TRANSPARENTE",INVENTARIO!C34)),ISNUMBER(SEARCH("TRANSPARENTES",INVENTARIO!C34))),"TRA",
IF(OR(ISNUMBER(SEARCH("BLANCO",INVENTARIO!C34)),ISNUMBER(SEARCH("BCO",INVENTARIO!C34))),"BLA",
IF(ISNUMBER(SEARCH("FOTOGRAFICO",INVENTARIO!C34)),"FOT",
IF(ISNUMBER(SEARCH("MARFIL",INVENTARIO!C34)),"MAR",
IF(ISNUMBER(SEARCH("VERDE",INVENTARIO!C34)),"VER",
IF(ISNUMBER(SEARCH("MORADO",INVENTARIO!C34)),"MOR",
IF(ISNUMBER(SEARCH("PLATA",INVENTARIO!C34)),"PLA",
IF(ISNUMBER(SEARCH("ORO",INVENTARIO!C34)),"ORO",
IF(ISNUMBER(SEARCH("AMARILLO",INVENTARIO!C34)),"AMA",
IF(ISNUMBER(SEARCH("NARANJA",INVENTARIO!C34)),"NAR",
IF(ISNUMBER(SEARCH("NEGRO",INVENTARIO!C34)),"NEG",
IF(ISNUMBER(SEARCH("ROJO",INVENTARIO!C34)),"ROJ",
IF(ISNUMBER(SEARCH("AZUL",INVENTARIO!C34)),"AZU","")))))))))))))</f>
        <v/>
      </c>
      <c r="F34" t="str">
        <f>IF(ISNUMBER(SEARCH("ARLON",INVENTARIO!C34)),"ARL",
IF(ISNUMBER(SEARCH("SUNTHINKS",INVENTARIO!C34)),"SUN",
IF(ISNUMBER(SEARCH("FRIO",INVENTARIO!C34)),"FRI",
IF(ISNUMBER(SEARCH("CALIDO",INVENTARIO!C34)),"CAL",
IF(ISNUMBER(SEARCH("CEPILLADO",INVENTARIO!C34)),"CEP",
IF(ISNUMBER(SEARCH("ESPEJO",INVENTARIO!C34)),"ESP",
""))))))</f>
        <v/>
      </c>
      <c r="G34" t="str">
        <f>IF(ISNUMBER(SEARCH("LATEX",INVENTARIO!C34)),"LAT",
IF(ISNUMBER(SEARCH("RESP. NEGRO",INVENTARIO!C34)),"RES-NEG",
IF(ISNUMBER(SEARCH("RESPALDO CAFE",INVENTARIO!C34)),"RES-CAF",
IF(ISNUMBER(SEARCH("RESPALDO GRIS",INVENTARIO!C34)),"RES-GRI",
IF(ISNUMBER(SEARCH("OPTICO",INVENTARIO!C34)),"OPT",
IF(ISNUMBER(SEARCH("1,2 MM",INVENTARIO!C34)),"1MM2",
IF(ISNUMBER(SEARCH("2 MM",INVENTARIO!C34)),"2MM",
IF(ISNUMBER(SEARCH("3 MM",INVENTARIO!C34)),"3MM",
IF(ISNUMBER(SEARCH("4 MM",INVENTARIO!C34)),"4MM",
IF(ISNUMBER(SEARCH("5 MM",INVENTARIO!C34)),"5MM",
IF(ISNUMBER(SEARCH("6 MM",INVENTARIO!C34)),"6MM",
IF(ISNUMBER(SEARCH("9 MM",INVENTARIO!C34)),"9MM",
IF(ISNUMBER(SEARCH("10 MM",INVENTARIO!C34)),"10MM","")))))))))))))</f>
        <v/>
      </c>
      <c r="H34" t="str">
        <f>IF(ISNUMBER(SEARCH("GAMA BAJA",INVENTARIO!C34)),"GAM-BAJ",
IF(ISNUMBER(SEARCH("OPTIMIZADOR",INVENTARIO!C34)),"OPT",
IF(ISNUMBER(SEARCH("OVERCOAT",INVENTARIO!C34)),"OVE",
IF(ISNUMBER(SEARCH("WHITE",INVENTARIO!C34)),"WHI",
IF(ISNUMBER(SEARCH("LIGHT CYAN",INVENTARIO!C34)),"LIG-CYA",
IF(ISNUMBER(SEARCH("CYAN",INVENTARIO!C34)),"CYA",
IF(ISNUMBER(SEARCH("LIGHT MAGENTA",INVENTARIO!C34)),"LIG-MAG",
IF(ISNUMBER(SEARCH("MAGENTA",INVENTARIO!C34)),"MAG",
IF(ISNUMBER(SEARCH("BLACK",INVENTARIO!C34)),"BLA",
IF(ISNUMBER(SEARCH("YELLOW",INVENTARIO!C34)),"YEL",
IF(ISNUMBER(SEARCH("2 DIODOS",INVENTARIO!C34)),"2DI",
IF(ISNUMBER(SEARCH("3 DIODOS",INVENTARIO!C34)),"3DI",
IF(OR(ISNUMBER(SEARCH("TRASLUCIDO",INVENTARIO!C34)),ISNUMBER(SEARCH("TRANSLUCIDO",INVENTARIO!C34))),"TRA",
"")))))))))))))</f>
        <v/>
      </c>
      <c r="I3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35" spans="1:9">
      <c r="A35" t="str">
        <f>IF(ISNUMBER(SEARCH("LONA",INVENTARIO!C35)),"LON",
IF(ISNUMBER(SEARCH("VINIL",INVENTARIO!C35)),"VIN",
IF(ISNUMBER(SEARCH("KROMACOTE",INVENTARIO!C35)),"KRO",
IF(ISNUMBER(SEARCH("STARDREAM",INVENTARIO!C35)),"STA",
IF(ISNUMBER(SEARCH("DISPLAY",INVENTARIO!C35)),"DIS",
IF(ISNUMBER(SEARCH("ROLL UP",INVENTARIO!C35)),"ROL-UP",
IF(ISNUMBER(SEARCH("TRANSFER DE PAPEL",INVENTARIO!C35)),"TRA-PAP",
IF(ISNUMBER(SEARCH("TRANSFER",INVENTARIO!C35)),"TRA",IF(ISNUMBER(SEARCH("KOLA LOKA",INVENTARIO!C35)),"KOL-LOK",
IF(ISNUMBER(SEARCH("PETG",INVENTARIO!C35)),"PET",
IF(ISNUMBER(SEARCH("OJILLO",INVENTARIO!C35)),"OJI",
IF(ISNUMBER(SEARCH("COUCHE",INVENTARIO!C35)),"COU",
IF(ISNUMBER(SEARCH("PANEL DE ALUMINIO",INVENTARIO!C35)),"PAN-ALU",
IF(ISNUMBER(SEARCH("PVC",INVENTARIO!C35)),"PVC",
IF(ISNUMBER(SEARCH("PAPEL",INVENTARIO!C35)),"PAP",
IF(ISNUMBER(SEARCH("TELA",INVENTARIO!C35)),"TEL",
IF(ISNUMBER(SEARCH("CARTULINA",INVENTARIO!C35)),"CAR",
IF(OR(ISNUMBER(SEARCH("LAMINA",INVENTARIO!C35)),ISNUMBER(SEARCH("LÁMINA",INVENTARIO!C35)),ISNUMBER(SEARCH("LAMPARAS",INVENTARIO!C35))),"LAM",
IF(ISNUMBER(SEARCH("ESTIRENO",INVENTARIO!C35)),"EST",
IF(ISNUMBER(SEARCH("FOAMBOARD",INVENTARIO!C35)),"FOA",
IF(ISNUMBER(SEARCH("SOLVENTE",INVENTARIO!C35)),"SOL",
IF(ISNUMBER(SEARCH("TINTA",INVENTARIO!C35)),"TIN",
IF(ISNUMBER(SEARCH("ACRILICO",INVENTARIO!C35)),"ACR",
IF(ISNUMBER(SEARCH("MICROLED",INVENTARIO!C35)),"MIC",
IF(ISNUMBER(SEARCH("LED",INVENTARIO!C35)),"LED",
IF(ISNUMBER(SEARCH("FUENTE DE PODER",INVENTARIO!C35)),"FUE-POD",
IF(ISNUMBER(SEARCH("PETG",INVENTARIO!C35)),"PET",
IF(ISNUMBER(SEARCH("ALUMINIO",INVENTARIO!C35)),"ALU",
IF(ISNUMBER(SEARCH("CANAL",INVENTARIO!C35)),"CAN",
IF(ISNUMBER(SEARCH("ESCUADRA",INVENTARIO!C35)),"ESC",
IF(ISNUMBER(SEARCH("SOPORTE",INVENTARIO!C35)),"SOP","OTR")
))))))))))))))))))))))))))))))</f>
        <v>PAP</v>
      </c>
      <c r="B35" t="str">
        <f>IF(ISNUMBER(SEARCH("CORTE",INVENTARIO!C35)),"COR",
IF(ISNUMBER(SEARCH("CITYLIGHT",INVENTARIO!C35)),"CIT",
IF(ISNUMBER(SEARCH("LINO",INVENTARIO!C35)),"LIN",
IF(ISNUMBER(SEARCH("FABRIANO",INVENTARIO!C35)),"FAB",
IF(ISNUMBER(SEARCH("SUNDANCE",INVENTARIO!C35)),"SUN",
IF(ISNUMBER(SEARCH("SINTETICA",INVENTARIO!C35)),"SIN",
IF(ISNUMBER(SEARCH("CONTROL",INVENTARIO!C35)),"CON",
IF(ISNUMBER(SEARCH("TERMICO",INVENTARIO!C35)),"TER",
IF(ISNUMBER(SEARCH("C-15",INVENTARIO!C35)),"C15",
IF(ISNUMBER(SEARCH("C-20",INVENTARIO!C35)),"C20",
IF(ISNUMBER(SEARCH("C-30",INVENTARIO!C35)),"C30",
IF(ISNUMBER(SEARCH("C-40",INVENTARIO!C35)),"C40",
IF(ISNUMBER(SEARCH("C-60",INVENTARIO!C35)),"C60",
IF(ISNUMBER(SEARCH("C-80",INVENTARIO!C35)),"C80",
IF(ISNUMBER(SEARCH("EQUIPO",INVENTARIO!C35)),"EQU",
IF(ISNUMBER(SEARCH("FLOOR",INVENTARIO!C35)),"FLO",
IF(ISNUMBER(SEARCH("CRISTAL",INVENTARIO!C35)),"CRI",
IF(ISNUMBER(SEARCH(" SULFATADA",INVENTARIO!C46)),"SUL",
IF(ISNUMBER(SEARCH("OPALINA",INVENTARIO!C35)),"OPA",
IF(ISNUMBER(SEARCH("ADHERIBLE",INVENTARIO!C35)),"ADH",
IF(ISNUMBER(SEARCH("MICRO",INVENTARIO!C35)),"MIC","")))))))))))))))))))))</f>
        <v/>
      </c>
      <c r="C35" t="str">
        <f>IF(ISNUMBER(SEARCH("PARED",INVENTARIO!C35)),"PAR",
IF(ISNUMBER(SEARCH("FRONT",INVENTARIO!C35)),"FRO",
IF(ISNUMBER(SEARCH("ALTA RESISTENCIA",INVENTARIO!C35)),
"ALT-RES",IF(ISNUMBER(SEARCH("BACKLITE",INVENTARIO!C35)),"BAC",
IF(ISNUMBER(SEARCH("MATE",INVENTARIO!C35)),"MAT",
IF(ISNUMBER(SEARCH("MESH",INVENTARIO!C35)),"MES",
IF(ISNUMBER(SEARCH("BRILLANTE",INVENTARIO!C35)),"BRI",
IF(ISNUMBER(SEARCH("DELGADA",INVENTARIO!C35)),"DEL",
IF(ISNUMBER(SEARCH("GRUESA",INVENTARIO!C35)),"GRU",
IF(ISNUMBER(SEARCH("ESTATICO",INVENTARIO!C35)),"EST",
IF(ISNUMBER(SEARCH("REFLECTIVO",INVENTARIO!C35)),"REF",
IF(ISNUMBER(SEARCH("LX700",INVENTARIO!C35)),"LX7",
IF(ISNUMBER(SEARCH("GRANDO",INVENTARIO!C35)),"GRA",
IF(ISNUMBER(SEARCH("FB700",INVENTARIO!C35)),"FB7",
IF(ISNUMBER(SEARCH("LX360",INVENTARIO!C35)),"LX3",
IF(ISNUMBER(SEARCH("XEROX",INVENTARIO!C35)),"XER",
IF(ISNUMBER(SEARCH("CEPILLADO",INVENTARIO!C35)),"CEP",
IF(ISNUMBER(SEARCH("ESPEJO",INVENTARIO!C35)),"ESP",
IF(ISNUMBER(SEARCH("10 PTS",INVENTARIO!C35)),"10PT",
IF(ISNUMBER(SEARCH("12 PTS",INVENTARIO!C35)),"12PT",
IF(ISNUMBER(SEARCH("14 PTS",INVENTARIO!C35)),"14PT",
IF(ISNUMBER(SEARCH("CLASICO",INVENTARIO!C35)),"CLA",
""))))))))))))))))))))))</f>
        <v/>
      </c>
      <c r="D35" t="str">
        <f>IF(ISNUMBER(SEARCH("GRAN FORMATO",INVENTARIO!C35)),"GRA-FOR",
IF(ISNUMBER(SEARCH("CAMA PLANA",INVENTARIO!C35)),"CAM-PLA",
IF(ISNUMBER(SEARCH("GRADO INGENIERIA",INVENTARIO!C35)),"GRA-ING",
IF(ISNUMBER(SEARCH("130 GRS",INVENTARIO!C35)),"130GR",
IF(ISNUMBER(SEARCH("150 GRS",INVENTARIO!C35)),"150GR",
IF(ISNUMBER(SEARCH("185 GRS",INVENTARIO!C35)),"185GR",
IF(ISNUMBER(SEARCH("200 GRS",INVENTARIO!C35)),"200GR",
IF(ISNUMBER(SEARCH("250 GRS",INVENTARIO!C35)),"250GR",
IF(ISNUMBER(SEARCH("300 GRS",INVENTARIO!C35)),"300GR",
IF(ISNUMBER(SEARCH("350 GRS",INVENTARIO!C35)),"350GR",
IF(ISNUMBER(SEARCH("18 OZ",INVENTARIO!C35)),"18OZ",
IF(ISNUMBER(SEARCH("15 OZ",INVENTARIO!C35)),"15OZ",
IF(OR(ISNUMBER(SEARCH("13 OZ",INVENTARIO!C35)),ISNUMBER(SEARCH("13 ONZAS",INVENTARIO!C35))),"13OZ",
IF(OR(ISNUMBER(SEARCH("9 OZ",INVENTARIO!C35)),ISNUMBER(SEARCH("9 ONZAS",INVENTARIO!C35))),"09OZ",
IF(ISNUMBER(SEARCH("DOBLE CARA",INVENTARIO!C35)),"DOB-CAR",
"")))))))))))))))</f>
        <v/>
      </c>
      <c r="E35" t="str">
        <f>IF(OR(ISNUMBER(SEARCH("TRANSPARENTE",INVENTARIO!C35)),ISNUMBER(SEARCH("TRANSPARENTES",INVENTARIO!C35))),"TRA",
IF(OR(ISNUMBER(SEARCH("BLANCO",INVENTARIO!C35)),ISNUMBER(SEARCH("BCO",INVENTARIO!C35))),"BLA",
IF(ISNUMBER(SEARCH("FOTOGRAFICO",INVENTARIO!C35)),"FOT",
IF(ISNUMBER(SEARCH("MARFIL",INVENTARIO!C35)),"MAR",
IF(ISNUMBER(SEARCH("VERDE",INVENTARIO!C35)),"VER",
IF(ISNUMBER(SEARCH("MORADO",INVENTARIO!C35)),"MOR",
IF(ISNUMBER(SEARCH("PLATA",INVENTARIO!C35)),"PLA",
IF(ISNUMBER(SEARCH("ORO",INVENTARIO!C35)),"ORO",
IF(ISNUMBER(SEARCH("AMARILLO",INVENTARIO!C35)),"AMA",
IF(ISNUMBER(SEARCH("NARANJA",INVENTARIO!C35)),"NAR",
IF(ISNUMBER(SEARCH("NEGRO",INVENTARIO!C35)),"NEG",
IF(ISNUMBER(SEARCH("ROJO",INVENTARIO!C35)),"ROJ",
IF(ISNUMBER(SEARCH("AZUL",INVENTARIO!C35)),"AZU","")))))))))))))</f>
        <v/>
      </c>
      <c r="F35" t="str">
        <f>IF(ISNUMBER(SEARCH("ARLON",INVENTARIO!C35)),"ARL",
IF(ISNUMBER(SEARCH("SUNTHINKS",INVENTARIO!C35)),"SUN",
IF(ISNUMBER(SEARCH("FRIO",INVENTARIO!C35)),"FRI",
IF(ISNUMBER(SEARCH("CALIDO",INVENTARIO!C35)),"CAL",
IF(ISNUMBER(SEARCH("CEPILLADO",INVENTARIO!C35)),"CEP",
IF(ISNUMBER(SEARCH("ESPEJO",INVENTARIO!C35)),"ESP",
""))))))</f>
        <v/>
      </c>
      <c r="G35" t="str">
        <f>IF(ISNUMBER(SEARCH("LATEX",INVENTARIO!C35)),"LAT",
IF(ISNUMBER(SEARCH("RESP. NEGRO",INVENTARIO!C35)),"RES-NEG",
IF(ISNUMBER(SEARCH("RESPALDO CAFE",INVENTARIO!C35)),"RES-CAF",
IF(ISNUMBER(SEARCH("RESPALDO GRIS",INVENTARIO!C35)),"RES-GRI",
IF(ISNUMBER(SEARCH("OPTICO",INVENTARIO!C35)),"OPT",
IF(ISNUMBER(SEARCH("1,2 MM",INVENTARIO!C35)),"1MM2",
IF(ISNUMBER(SEARCH("2 MM",INVENTARIO!C35)),"2MM",
IF(ISNUMBER(SEARCH("3 MM",INVENTARIO!C35)),"3MM",
IF(ISNUMBER(SEARCH("4 MM",INVENTARIO!C35)),"4MM",
IF(ISNUMBER(SEARCH("5 MM",INVENTARIO!C35)),"5MM",
IF(ISNUMBER(SEARCH("6 MM",INVENTARIO!C35)),"6MM",
IF(ISNUMBER(SEARCH("9 MM",INVENTARIO!C35)),"9MM",
IF(ISNUMBER(SEARCH("10 MM",INVENTARIO!C35)),"10MM","")))))))))))))</f>
        <v/>
      </c>
      <c r="H35" t="str">
        <f>IF(ISNUMBER(SEARCH("GAMA BAJA",INVENTARIO!C35)),"GAM-BAJ",
IF(ISNUMBER(SEARCH("OPTIMIZADOR",INVENTARIO!C35)),"OPT",
IF(ISNUMBER(SEARCH("OVERCOAT",INVENTARIO!C35)),"OVE",
IF(ISNUMBER(SEARCH("WHITE",INVENTARIO!C35)),"WHI",
IF(ISNUMBER(SEARCH("LIGHT CYAN",INVENTARIO!C35)),"LIG-CYA",
IF(ISNUMBER(SEARCH("CYAN",INVENTARIO!C35)),"CYA",
IF(ISNUMBER(SEARCH("LIGHT MAGENTA",INVENTARIO!C35)),"LIG-MAG",
IF(ISNUMBER(SEARCH("MAGENTA",INVENTARIO!C35)),"MAG",
IF(ISNUMBER(SEARCH("BLACK",INVENTARIO!C35)),"BLA",
IF(ISNUMBER(SEARCH("YELLOW",INVENTARIO!C35)),"YEL",
IF(ISNUMBER(SEARCH("2 DIODOS",INVENTARIO!C35)),"2DI",
IF(ISNUMBER(SEARCH("3 DIODOS",INVENTARIO!C35)),"3DI",
IF(OR(ISNUMBER(SEARCH("TRASLUCIDO",INVENTARIO!C35)),ISNUMBER(SEARCH("TRANSLUCIDO",INVENTARIO!C35))),"TRA",
"")))))))))))))</f>
        <v/>
      </c>
      <c r="I35" t="str">
        <f>IF(ISNUMBER(SEARCH("SILED",INVENTARIO!C38)),"SI",
IF(ISNUMBER(SEARCH("SYDEMEX",INVENTARIO!C38)),"SY",
IF(ISNUMBER(SEARCH("ROHS",INVENTARIO!C38)),"RO",
IF(ISNUMBER(SEARCH("RISHANG",INVENTARIO!C38)),"RS",
IF(ISNUMBER(SEARCH("VYG",INVENTARIO!C38)),"VYG",
IF(ISNUMBER(SEARCH("COLED",INVENTARIO!C38)),"CO",""))))))</f>
        <v/>
      </c>
    </row>
    <row r="36" spans="1:9">
      <c r="A36" t="str">
        <f>IF(ISNUMBER(SEARCH("LONA",INVENTARIO!C36)),"LON",
IF(ISNUMBER(SEARCH("VINIL",INVENTARIO!C36)),"VIN",
IF(ISNUMBER(SEARCH("KROMACOTE",INVENTARIO!C36)),"KRO",
IF(ISNUMBER(SEARCH("STARDREAM",INVENTARIO!C36)),"STA",
IF(ISNUMBER(SEARCH("DISPLAY",INVENTARIO!C36)),"DIS",
IF(ISNUMBER(SEARCH("ROLL UP",INVENTARIO!C36)),"ROL-UP",
IF(ISNUMBER(SEARCH("TRANSFER DE PAPEL",INVENTARIO!C36)),"TRA-PAP",
IF(ISNUMBER(SEARCH("TRANSFER",INVENTARIO!C36)),"TRA",IF(ISNUMBER(SEARCH("KOLA LOKA",INVENTARIO!C36)),"KOL-LOK",
IF(ISNUMBER(SEARCH("PETG",INVENTARIO!C36)),"PET",
IF(ISNUMBER(SEARCH("OJILLO",INVENTARIO!C36)),"OJI",
IF(ISNUMBER(SEARCH("COUCHE",INVENTARIO!C36)),"COU",
IF(ISNUMBER(SEARCH("PANEL DE ALUMINIO",INVENTARIO!C36)),"PAN-ALU",
IF(ISNUMBER(SEARCH("PVC",INVENTARIO!C36)),"PVC",
IF(ISNUMBER(SEARCH("PAPEL",INVENTARIO!C36)),"PAP",
IF(ISNUMBER(SEARCH("TELA",INVENTARIO!C36)),"TEL",
IF(ISNUMBER(SEARCH("CARTULINA",INVENTARIO!C36)),"CAR",
IF(OR(ISNUMBER(SEARCH("LAMINA",INVENTARIO!C36)),ISNUMBER(SEARCH("LÁMINA",INVENTARIO!C36)),ISNUMBER(SEARCH("LAMPARAS",INVENTARIO!C36))),"LAM",
IF(ISNUMBER(SEARCH("ESTIRENO",INVENTARIO!C36)),"EST",
IF(ISNUMBER(SEARCH("FOAMBOARD",INVENTARIO!C36)),"FOA",
IF(ISNUMBER(SEARCH("SOLVENTE",INVENTARIO!C36)),"SOL",
IF(ISNUMBER(SEARCH("TINTA",INVENTARIO!C36)),"TIN",
IF(ISNUMBER(SEARCH("ACRILICO",INVENTARIO!C36)),"ACR",
IF(ISNUMBER(SEARCH("MICROLED",INVENTARIO!C36)),"MIC",
IF(ISNUMBER(SEARCH("LED",INVENTARIO!C36)),"LED",
IF(ISNUMBER(SEARCH("FUENTE DE PODER",INVENTARIO!C36)),"FUE-POD",
IF(ISNUMBER(SEARCH("PETG",INVENTARIO!C36)),"PET",
IF(ISNUMBER(SEARCH("ALUMINIO",INVENTARIO!C36)),"ALU",
IF(ISNUMBER(SEARCH("CANAL",INVENTARIO!C36)),"CAN",
IF(ISNUMBER(SEARCH("ESCUADRA",INVENTARIO!C36)),"ESC",
IF(ISNUMBER(SEARCH("SOPORTE",INVENTARIO!C36)),"SOP","OTR")
))))))))))))))))))))))))))))))</f>
        <v>PAP</v>
      </c>
      <c r="B36" t="str">
        <f>IF(ISNUMBER(SEARCH("CORTE",INVENTARIO!C36)),"COR",
IF(ISNUMBER(SEARCH("CITYLIGHT",INVENTARIO!C36)),"CIT",
IF(ISNUMBER(SEARCH("LINO",INVENTARIO!C36)),"LIN",
IF(ISNUMBER(SEARCH("FABRIANO",INVENTARIO!C36)),"FAB",
IF(ISNUMBER(SEARCH("SUNDANCE",INVENTARIO!C36)),"SUN",
IF(ISNUMBER(SEARCH("SINTETICA",INVENTARIO!C36)),"SIN",
IF(ISNUMBER(SEARCH("CONTROL",INVENTARIO!C36)),"CON",
IF(ISNUMBER(SEARCH("TERMICO",INVENTARIO!C36)),"TER",
IF(ISNUMBER(SEARCH("C-15",INVENTARIO!C36)),"C15",
IF(ISNUMBER(SEARCH("C-20",INVENTARIO!C36)),"C20",
IF(ISNUMBER(SEARCH("C-30",INVENTARIO!C36)),"C30",
IF(ISNUMBER(SEARCH("C-40",INVENTARIO!C36)),"C40",
IF(ISNUMBER(SEARCH("C-60",INVENTARIO!C36)),"C60",
IF(ISNUMBER(SEARCH("C-80",INVENTARIO!C36)),"C80",
IF(ISNUMBER(SEARCH("EQUIPO",INVENTARIO!C36)),"EQU",
IF(ISNUMBER(SEARCH("FLOOR",INVENTARIO!C36)),"FLO",
IF(ISNUMBER(SEARCH("CRISTAL",INVENTARIO!C36)),"CRI",
IF(ISNUMBER(SEARCH(" SULFATADA",INVENTARIO!C47)),"SUL",
IF(ISNUMBER(SEARCH("OPALINA",INVENTARIO!C36)),"OPA",
IF(ISNUMBER(SEARCH("ADHERIBLE",INVENTARIO!C36)),"ADH",
IF(ISNUMBER(SEARCH("MICRO",INVENTARIO!C36)),"MIC","")))))))))))))))))))))</f>
        <v>CIT</v>
      </c>
      <c r="C36" t="str">
        <f>IF(ISNUMBER(SEARCH("PARED",INVENTARIO!C36)),"PAR",
IF(ISNUMBER(SEARCH("FRONT",INVENTARIO!C36)),"FRO",
IF(ISNUMBER(SEARCH("ALTA RESISTENCIA",INVENTARIO!C36)),
"ALT-RES",IF(ISNUMBER(SEARCH("BACKLITE",INVENTARIO!C36)),"BAC",
IF(ISNUMBER(SEARCH("MATE",INVENTARIO!C36)),"MAT",
IF(ISNUMBER(SEARCH("MESH",INVENTARIO!C36)),"MES",
IF(ISNUMBER(SEARCH("BRILLANTE",INVENTARIO!C36)),"BRI",
IF(ISNUMBER(SEARCH("DELGADA",INVENTARIO!C36)),"DEL",
IF(ISNUMBER(SEARCH("GRUESA",INVENTARIO!C36)),"GRU",
IF(ISNUMBER(SEARCH("ESTATICO",INVENTARIO!C36)),"EST",
IF(ISNUMBER(SEARCH("REFLECTIVO",INVENTARIO!C36)),"REF",
IF(ISNUMBER(SEARCH("LX700",INVENTARIO!C36)),"LX7",
IF(ISNUMBER(SEARCH("GRANDO",INVENTARIO!C36)),"GRA",
IF(ISNUMBER(SEARCH("FB700",INVENTARIO!C36)),"FB7",
IF(ISNUMBER(SEARCH("LX360",INVENTARIO!C36)),"LX3",
IF(ISNUMBER(SEARCH("XEROX",INVENTARIO!C36)),"XER",
IF(ISNUMBER(SEARCH("CEPILLADO",INVENTARIO!C36)),"CEP",
IF(ISNUMBER(SEARCH("ESPEJO",INVENTARIO!C36)),"ESP",
IF(ISNUMBER(SEARCH("10 PTS",INVENTARIO!C36)),"10PT",
IF(ISNUMBER(SEARCH("12 PTS",INVENTARIO!C36)),"12PT",
IF(ISNUMBER(SEARCH("14 PTS",INVENTARIO!C36)),"14PT",
IF(ISNUMBER(SEARCH("CLASICO",INVENTARIO!C36)),"CLA",
""))))))))))))))))))))))</f>
        <v/>
      </c>
      <c r="D36" t="str">
        <f>IF(ISNUMBER(SEARCH("GRAN FORMATO",INVENTARIO!C36)),"GRA-FOR",
IF(ISNUMBER(SEARCH("CAMA PLANA",INVENTARIO!C36)),"CAM-PLA",
IF(ISNUMBER(SEARCH("GRADO INGENIERIA",INVENTARIO!C36)),"GRA-ING",
IF(ISNUMBER(SEARCH("130 GRS",INVENTARIO!C36)),"130GR",
IF(ISNUMBER(SEARCH("150 GRS",INVENTARIO!C36)),"150GR",
IF(ISNUMBER(SEARCH("185 GRS",INVENTARIO!C36)),"185GR",
IF(ISNUMBER(SEARCH("200 GRS",INVENTARIO!C36)),"200GR",
IF(ISNUMBER(SEARCH("250 GRS",INVENTARIO!C36)),"250GR",
IF(ISNUMBER(SEARCH("300 GRS",INVENTARIO!C36)),"300GR",
IF(ISNUMBER(SEARCH("350 GRS",INVENTARIO!C36)),"350GR",
IF(ISNUMBER(SEARCH("18 OZ",INVENTARIO!C36)),"18OZ",
IF(ISNUMBER(SEARCH("15 OZ",INVENTARIO!C36)),"15OZ",
IF(OR(ISNUMBER(SEARCH("13 OZ",INVENTARIO!C36)),ISNUMBER(SEARCH("13 ONZAS",INVENTARIO!C36))),"13OZ",
IF(OR(ISNUMBER(SEARCH("9 OZ",INVENTARIO!C36)),ISNUMBER(SEARCH("9 ONZAS",INVENTARIO!C36))),"09OZ",
IF(ISNUMBER(SEARCH("DOBLE CARA",INVENTARIO!C36)),"DOB-CAR",
"")))))))))))))))</f>
        <v/>
      </c>
      <c r="E36" t="str">
        <f>IF(OR(ISNUMBER(SEARCH("TRANSPARENTE",INVENTARIO!C36)),ISNUMBER(SEARCH("TRANSPARENTES",INVENTARIO!C36))),"TRA",
IF(OR(ISNUMBER(SEARCH("BLANCO",INVENTARIO!C36)),ISNUMBER(SEARCH("BCO",INVENTARIO!C36))),"BLA",
IF(ISNUMBER(SEARCH("FOTOGRAFICO",INVENTARIO!C36)),"FOT",
IF(ISNUMBER(SEARCH("MARFIL",INVENTARIO!C36)),"MAR",
IF(ISNUMBER(SEARCH("VERDE",INVENTARIO!C36)),"VER",
IF(ISNUMBER(SEARCH("MORADO",INVENTARIO!C36)),"MOR",
IF(ISNUMBER(SEARCH("PLATA",INVENTARIO!C36)),"PLA",
IF(ISNUMBER(SEARCH("ORO",INVENTARIO!C36)),"ORO",
IF(ISNUMBER(SEARCH("AMARILLO",INVENTARIO!C36)),"AMA",
IF(ISNUMBER(SEARCH("NARANJA",INVENTARIO!C36)),"NAR",
IF(ISNUMBER(SEARCH("NEGRO",INVENTARIO!C36)),"NEG",
IF(ISNUMBER(SEARCH("ROJO",INVENTARIO!C36)),"ROJ",
IF(ISNUMBER(SEARCH("AZUL",INVENTARIO!C36)),"AZU","")))))))))))))</f>
        <v/>
      </c>
      <c r="F36" t="str">
        <f>IF(ISNUMBER(SEARCH("ARLON",INVENTARIO!C36)),"ARL",
IF(ISNUMBER(SEARCH("SUNTHINKS",INVENTARIO!C36)),"SUN",
IF(ISNUMBER(SEARCH("FRIO",INVENTARIO!C36)),"FRI",
IF(ISNUMBER(SEARCH("CALIDO",INVENTARIO!C36)),"CAL",
IF(ISNUMBER(SEARCH("CEPILLADO",INVENTARIO!C36)),"CEP",
IF(ISNUMBER(SEARCH("ESPEJO",INVENTARIO!C36)),"ESP",
""))))))</f>
        <v/>
      </c>
      <c r="G36" t="str">
        <f>IF(ISNUMBER(SEARCH("LATEX",INVENTARIO!C36)),"LAT",
IF(ISNUMBER(SEARCH("RESP. NEGRO",INVENTARIO!C36)),"RES-NEG",
IF(ISNUMBER(SEARCH("RESPALDO CAFE",INVENTARIO!C36)),"RES-CAF",
IF(ISNUMBER(SEARCH("RESPALDO GRIS",INVENTARIO!C36)),"RES-GRI",
IF(ISNUMBER(SEARCH("OPTICO",INVENTARIO!C36)),"OPT",
IF(ISNUMBER(SEARCH("1,2 MM",INVENTARIO!C36)),"1MM2",
IF(ISNUMBER(SEARCH("2 MM",INVENTARIO!C36)),"2MM",
IF(ISNUMBER(SEARCH("3 MM",INVENTARIO!C36)),"3MM",
IF(ISNUMBER(SEARCH("4 MM",INVENTARIO!C36)),"4MM",
IF(ISNUMBER(SEARCH("5 MM",INVENTARIO!C36)),"5MM",
IF(ISNUMBER(SEARCH("6 MM",INVENTARIO!C36)),"6MM",
IF(ISNUMBER(SEARCH("9 MM",INVENTARIO!C36)),"9MM",
IF(ISNUMBER(SEARCH("10 MM",INVENTARIO!C36)),"10MM","")))))))))))))</f>
        <v/>
      </c>
      <c r="H36" t="str">
        <f>IF(ISNUMBER(SEARCH("GAMA BAJA",INVENTARIO!C36)),"GAM-BAJ",
IF(ISNUMBER(SEARCH("OPTIMIZADOR",INVENTARIO!C36)),"OPT",
IF(ISNUMBER(SEARCH("OVERCOAT",INVENTARIO!C36)),"OVE",
IF(ISNUMBER(SEARCH("WHITE",INVENTARIO!C36)),"WHI",
IF(ISNUMBER(SEARCH("LIGHT CYAN",INVENTARIO!C36)),"LIG-CYA",
IF(ISNUMBER(SEARCH("CYAN",INVENTARIO!C36)),"CYA",
IF(ISNUMBER(SEARCH("LIGHT MAGENTA",INVENTARIO!C36)),"LIG-MAG",
IF(ISNUMBER(SEARCH("MAGENTA",INVENTARIO!C36)),"MAG",
IF(ISNUMBER(SEARCH("BLACK",INVENTARIO!C36)),"BLA",
IF(ISNUMBER(SEARCH("YELLOW",INVENTARIO!C36)),"YEL",
IF(ISNUMBER(SEARCH("2 DIODOS",INVENTARIO!C36)),"2DI",
IF(ISNUMBER(SEARCH("3 DIODOS",INVENTARIO!C36)),"3DI",
IF(OR(ISNUMBER(SEARCH("TRASLUCIDO",INVENTARIO!C36)),ISNUMBER(SEARCH("TRANSLUCIDO",INVENTARIO!C36))),"TRA",
"")))))))))))))</f>
        <v/>
      </c>
      <c r="I36" t="str">
        <f>IF(ISNUMBER(SEARCH("SILED",INVENTARIO!C39)),"SI",
IF(ISNUMBER(SEARCH("SYDEMEX",INVENTARIO!C39)),"SY",
IF(ISNUMBER(SEARCH("ROHS",INVENTARIO!C39)),"RO",
IF(ISNUMBER(SEARCH("RISHANG",INVENTARIO!C39)),"RS",
IF(ISNUMBER(SEARCH("VYG",INVENTARIO!C39)),"VYG",
IF(ISNUMBER(SEARCH("COLED",INVENTARIO!C39)),"CO",""))))))</f>
        <v/>
      </c>
    </row>
    <row r="37" spans="1:9">
      <c r="A37" t="str">
        <f>IF(ISNUMBER(SEARCH("LONA",INVENTARIO!C37)),"LON",
IF(ISNUMBER(SEARCH("VINIL",INVENTARIO!C37)),"VIN",
IF(ISNUMBER(SEARCH("KROMACOTE",INVENTARIO!C37)),"KRO",
IF(ISNUMBER(SEARCH("STARDREAM",INVENTARIO!C37)),"STA",
IF(ISNUMBER(SEARCH("DISPLAY",INVENTARIO!C37)),"DIS",
IF(ISNUMBER(SEARCH("ROLL UP",INVENTARIO!C37)),"ROL-UP",
IF(ISNUMBER(SEARCH("TRANSFER DE PAPEL",INVENTARIO!C37)),"TRA-PAP",
IF(ISNUMBER(SEARCH("TRANSFER",INVENTARIO!C37)),"TRA",IF(ISNUMBER(SEARCH("KOLA LOKA",INVENTARIO!C37)),"KOL-LOK",
IF(ISNUMBER(SEARCH("PETG",INVENTARIO!C37)),"PET",
IF(ISNUMBER(SEARCH("OJILLO",INVENTARIO!C37)),"OJI",
IF(ISNUMBER(SEARCH("COUCHE",INVENTARIO!C37)),"COU",
IF(ISNUMBER(SEARCH("PANEL DE ALUMINIO",INVENTARIO!C37)),"PAN-ALU",
IF(ISNUMBER(SEARCH("PVC",INVENTARIO!C37)),"PVC",
IF(ISNUMBER(SEARCH("PAPEL",INVENTARIO!C37)),"PAP",
IF(ISNUMBER(SEARCH("TELA",INVENTARIO!C37)),"TEL",
IF(ISNUMBER(SEARCH("CARTULINA",INVENTARIO!C37)),"CAR",
IF(OR(ISNUMBER(SEARCH("LAMINA",INVENTARIO!C37)),ISNUMBER(SEARCH("LÁMINA",INVENTARIO!C37)),ISNUMBER(SEARCH("LAMPARAS",INVENTARIO!C37))),"LAM",
IF(ISNUMBER(SEARCH("ESTIRENO",INVENTARIO!C37)),"EST",
IF(ISNUMBER(SEARCH("FOAMBOARD",INVENTARIO!C37)),"FOA",
IF(ISNUMBER(SEARCH("SOLVENTE",INVENTARIO!C37)),"SOL",
IF(ISNUMBER(SEARCH("TINTA",INVENTARIO!C37)),"TIN",
IF(ISNUMBER(SEARCH("ACRILICO",INVENTARIO!C37)),"ACR",
IF(ISNUMBER(SEARCH("MICROLED",INVENTARIO!C37)),"MIC",
IF(ISNUMBER(SEARCH("LED",INVENTARIO!C37)),"LED",
IF(ISNUMBER(SEARCH("FUENTE DE PODER",INVENTARIO!C37)),"FUE-POD",
IF(ISNUMBER(SEARCH("PETG",INVENTARIO!C37)),"PET",
IF(ISNUMBER(SEARCH("ALUMINIO",INVENTARIO!C37)),"ALU",
IF(ISNUMBER(SEARCH("CANAL",INVENTARIO!C37)),"CAN",
IF(ISNUMBER(SEARCH("ESCUADRA",INVENTARIO!C37)),"ESC",
IF(ISNUMBER(SEARCH("SOPORTE",INVENTARIO!C37)),"SOP","OTR")
))))))))))))))))))))))))))))))</f>
        <v>PAP</v>
      </c>
      <c r="B37" t="str">
        <f>IF(ISNUMBER(SEARCH("CORTE",INVENTARIO!C37)),"COR",
IF(ISNUMBER(SEARCH("CITYLIGHT",INVENTARIO!C37)),"CIT",
IF(ISNUMBER(SEARCH("LINO",INVENTARIO!C37)),"LIN",
IF(ISNUMBER(SEARCH("FABRIANO",INVENTARIO!C37)),"FAB",
IF(ISNUMBER(SEARCH("SUNDANCE",INVENTARIO!C37)),"SUN",
IF(ISNUMBER(SEARCH("SINTETICA",INVENTARIO!C37)),"SIN",
IF(ISNUMBER(SEARCH("CONTROL",INVENTARIO!C37)),"CON",
IF(ISNUMBER(SEARCH("TERMICO",INVENTARIO!C37)),"TER",
IF(ISNUMBER(SEARCH("C-15",INVENTARIO!C37)),"C15",
IF(ISNUMBER(SEARCH("C-20",INVENTARIO!C37)),"C20",
IF(ISNUMBER(SEARCH("C-30",INVENTARIO!C37)),"C30",
IF(ISNUMBER(SEARCH("C-40",INVENTARIO!C37)),"C40",
IF(ISNUMBER(SEARCH("C-60",INVENTARIO!C37)),"C60",
IF(ISNUMBER(SEARCH("C-80",INVENTARIO!C37)),"C80",
IF(ISNUMBER(SEARCH("EQUIPO",INVENTARIO!C37)),"EQU",
IF(ISNUMBER(SEARCH("FLOOR",INVENTARIO!C37)),"FLO",
IF(ISNUMBER(SEARCH("CRISTAL",INVENTARIO!C37)),"CRI",
IF(ISNUMBER(SEARCH(" SULFATADA",INVENTARIO!C48)),"SUL",
IF(ISNUMBER(SEARCH("OPALINA",INVENTARIO!C37)),"OPA",
IF(ISNUMBER(SEARCH("ADHERIBLE",INVENTARIO!C37)),"ADH",
IF(ISNUMBER(SEARCH("MICRO",INVENTARIO!C37)),"MIC","")))))))))))))))))))))</f>
        <v>CIT</v>
      </c>
      <c r="C37" t="str">
        <f>IF(ISNUMBER(SEARCH("PARED",INVENTARIO!C37)),"PAR",
IF(ISNUMBER(SEARCH("FRONT",INVENTARIO!C37)),"FRO",
IF(ISNUMBER(SEARCH("ALTA RESISTENCIA",INVENTARIO!C37)),
"ALT-RES",IF(ISNUMBER(SEARCH("BACKLITE",INVENTARIO!C37)),"BAC",
IF(ISNUMBER(SEARCH("MATE",INVENTARIO!C37)),"MAT",
IF(ISNUMBER(SEARCH("MESH",INVENTARIO!C37)),"MES",
IF(ISNUMBER(SEARCH("BRILLANTE",INVENTARIO!C37)),"BRI",
IF(ISNUMBER(SEARCH("DELGADA",INVENTARIO!C37)),"DEL",
IF(ISNUMBER(SEARCH("GRUESA",INVENTARIO!C37)),"GRU",
IF(ISNUMBER(SEARCH("ESTATICO",INVENTARIO!C37)),"EST",
IF(ISNUMBER(SEARCH("REFLECTIVO",INVENTARIO!C37)),"REF",
IF(ISNUMBER(SEARCH("LX700",INVENTARIO!C37)),"LX7",
IF(ISNUMBER(SEARCH("GRANDO",INVENTARIO!C37)),"GRA",
IF(ISNUMBER(SEARCH("FB700",INVENTARIO!C37)),"FB7",
IF(ISNUMBER(SEARCH("LX360",INVENTARIO!C37)),"LX3",
IF(ISNUMBER(SEARCH("XEROX",INVENTARIO!C37)),"XER",
IF(ISNUMBER(SEARCH("CEPILLADO",INVENTARIO!C37)),"CEP",
IF(ISNUMBER(SEARCH("ESPEJO",INVENTARIO!C37)),"ESP",
IF(ISNUMBER(SEARCH("10 PTS",INVENTARIO!C37)),"10PT",
IF(ISNUMBER(SEARCH("12 PTS",INVENTARIO!C37)),"12PT",
IF(ISNUMBER(SEARCH("14 PTS",INVENTARIO!C37)),"14PT",
IF(ISNUMBER(SEARCH("CLASICO",INVENTARIO!C37)),"CLA",
""))))))))))))))))))))))</f>
        <v/>
      </c>
      <c r="D37" t="str">
        <f>IF(ISNUMBER(SEARCH("GRAN FORMATO",INVENTARIO!C37)),"GRA-FOR",
IF(ISNUMBER(SEARCH("CAMA PLANA",INVENTARIO!C37)),"CAM-PLA",
IF(ISNUMBER(SEARCH("GRADO INGENIERIA",INVENTARIO!C37)),"GRA-ING",
IF(ISNUMBER(SEARCH("130 GRS",INVENTARIO!C37)),"130GR",
IF(ISNUMBER(SEARCH("150 GRS",INVENTARIO!C37)),"150GR",
IF(ISNUMBER(SEARCH("185 GRS",INVENTARIO!C37)),"185GR",
IF(ISNUMBER(SEARCH("200 GRS",INVENTARIO!C37)),"200GR",
IF(ISNUMBER(SEARCH("250 GRS",INVENTARIO!C37)),"250GR",
IF(ISNUMBER(SEARCH("300 GRS",INVENTARIO!C37)),"300GR",
IF(ISNUMBER(SEARCH("350 GRS",INVENTARIO!C37)),"350GR",
IF(ISNUMBER(SEARCH("18 OZ",INVENTARIO!C37)),"18OZ",
IF(ISNUMBER(SEARCH("15 OZ",INVENTARIO!C37)),"15OZ",
IF(OR(ISNUMBER(SEARCH("13 OZ",INVENTARIO!C37)),ISNUMBER(SEARCH("13 ONZAS",INVENTARIO!C37))),"13OZ",
IF(OR(ISNUMBER(SEARCH("9 OZ",INVENTARIO!C37)),ISNUMBER(SEARCH("9 ONZAS",INVENTARIO!C37))),"09OZ",
IF(ISNUMBER(SEARCH("DOBLE CARA",INVENTARIO!C37)),"DOB-CAR",
"")))))))))))))))</f>
        <v/>
      </c>
      <c r="E37" t="str">
        <f>IF(OR(ISNUMBER(SEARCH("TRANSPARENTE",INVENTARIO!C37)),ISNUMBER(SEARCH("TRANSPARENTES",INVENTARIO!C37))),"TRA",
IF(OR(ISNUMBER(SEARCH("BLANCO",INVENTARIO!C37)),ISNUMBER(SEARCH("BCO",INVENTARIO!C37))),"BLA",
IF(ISNUMBER(SEARCH("FOTOGRAFICO",INVENTARIO!C37)),"FOT",
IF(ISNUMBER(SEARCH("MARFIL",INVENTARIO!C37)),"MAR",
IF(ISNUMBER(SEARCH("VERDE",INVENTARIO!C37)),"VER",
IF(ISNUMBER(SEARCH("MORADO",INVENTARIO!C37)),"MOR",
IF(ISNUMBER(SEARCH("PLATA",INVENTARIO!C37)),"PLA",
IF(ISNUMBER(SEARCH("ORO",INVENTARIO!C37)),"ORO",
IF(ISNUMBER(SEARCH("AMARILLO",INVENTARIO!C37)),"AMA",
IF(ISNUMBER(SEARCH("NARANJA",INVENTARIO!C37)),"NAR",
IF(ISNUMBER(SEARCH("NEGRO",INVENTARIO!C37)),"NEG",
IF(ISNUMBER(SEARCH("ROJO",INVENTARIO!C37)),"ROJ",
IF(ISNUMBER(SEARCH("AZUL",INVENTARIO!C37)),"AZU","")))))))))))))</f>
        <v/>
      </c>
      <c r="F37" t="str">
        <f>IF(ISNUMBER(SEARCH("ARLON",INVENTARIO!C37)),"ARL",
IF(ISNUMBER(SEARCH("SUNTHINKS",INVENTARIO!C37)),"SUN",
IF(ISNUMBER(SEARCH("FRIO",INVENTARIO!C37)),"FRI",
IF(ISNUMBER(SEARCH("CALIDO",INVENTARIO!C37)),"CAL",
IF(ISNUMBER(SEARCH("CEPILLADO",INVENTARIO!C37)),"CEP",
IF(ISNUMBER(SEARCH("ESPEJO",INVENTARIO!C37)),"ESP",
""))))))</f>
        <v/>
      </c>
      <c r="G37" t="str">
        <f>IF(ISNUMBER(SEARCH("LATEX",INVENTARIO!C37)),"LAT",
IF(ISNUMBER(SEARCH("RESP. NEGRO",INVENTARIO!C37)),"RES-NEG",
IF(ISNUMBER(SEARCH("RESPALDO CAFE",INVENTARIO!C37)),"RES-CAF",
IF(ISNUMBER(SEARCH("RESPALDO GRIS",INVENTARIO!C37)),"RES-GRI",
IF(ISNUMBER(SEARCH("OPTICO",INVENTARIO!C37)),"OPT",
IF(ISNUMBER(SEARCH("1,2 MM",INVENTARIO!C37)),"1MM2",
IF(ISNUMBER(SEARCH("2 MM",INVENTARIO!C37)),"2MM",
IF(ISNUMBER(SEARCH("3 MM",INVENTARIO!C37)),"3MM",
IF(ISNUMBER(SEARCH("4 MM",INVENTARIO!C37)),"4MM",
IF(ISNUMBER(SEARCH("5 MM",INVENTARIO!C37)),"5MM",
IF(ISNUMBER(SEARCH("6 MM",INVENTARIO!C37)),"6MM",
IF(ISNUMBER(SEARCH("9 MM",INVENTARIO!C37)),"9MM",
IF(ISNUMBER(SEARCH("10 MM",INVENTARIO!C37)),"10MM","")))))))))))))</f>
        <v/>
      </c>
      <c r="H37" t="str">
        <f>IF(ISNUMBER(SEARCH("GAMA BAJA",INVENTARIO!C37)),"GAM-BAJ",
IF(ISNUMBER(SEARCH("OPTIMIZADOR",INVENTARIO!C37)),"OPT",
IF(ISNUMBER(SEARCH("OVERCOAT",INVENTARIO!C37)),"OVE",
IF(ISNUMBER(SEARCH("WHITE",INVENTARIO!C37)),"WHI",
IF(ISNUMBER(SEARCH("LIGHT CYAN",INVENTARIO!C37)),"LIG-CYA",
IF(ISNUMBER(SEARCH("CYAN",INVENTARIO!C37)),"CYA",
IF(ISNUMBER(SEARCH("LIGHT MAGENTA",INVENTARIO!C37)),"LIG-MAG",
IF(ISNUMBER(SEARCH("MAGENTA",INVENTARIO!C37)),"MAG",
IF(ISNUMBER(SEARCH("BLACK",INVENTARIO!C37)),"BLA",
IF(ISNUMBER(SEARCH("YELLOW",INVENTARIO!C37)),"YEL",
IF(ISNUMBER(SEARCH("2 DIODOS",INVENTARIO!C37)),"2DI",
IF(ISNUMBER(SEARCH("3 DIODOS",INVENTARIO!C37)),"3DI",
IF(OR(ISNUMBER(SEARCH("TRASLUCIDO",INVENTARIO!C37)),ISNUMBER(SEARCH("TRANSLUCIDO",INVENTARIO!C37))),"TRA",
"")))))))))))))</f>
        <v/>
      </c>
      <c r="I37" t="str">
        <f>IF(ISNUMBER(SEARCH("SILED",INVENTARIO!C40)),"SI",
IF(ISNUMBER(SEARCH("SYDEMEX",INVENTARIO!C40)),"SY",
IF(ISNUMBER(SEARCH("ROHS",INVENTARIO!C40)),"RO",
IF(ISNUMBER(SEARCH("RISHANG",INVENTARIO!C40)),"RS",
IF(ISNUMBER(SEARCH("VYG",INVENTARIO!C40)),"VYG",
IF(ISNUMBER(SEARCH("COLED",INVENTARIO!C40)),"CO",""))))))</f>
        <v/>
      </c>
    </row>
    <row r="38" spans="1:9">
      <c r="A38" t="str">
        <f>IF(ISNUMBER(SEARCH("LONA",INVENTARIO!C38)),"LON",
IF(ISNUMBER(SEARCH("VINIL",INVENTARIO!C38)),"VIN",
IF(ISNUMBER(SEARCH("KROMACOTE",INVENTARIO!C38)),"KRO",
IF(ISNUMBER(SEARCH("STARDREAM",INVENTARIO!C38)),"STA",
IF(ISNUMBER(SEARCH("DISPLAY",INVENTARIO!C38)),"DIS",
IF(ISNUMBER(SEARCH("ROLL UP",INVENTARIO!C38)),"ROL-UP",
IF(ISNUMBER(SEARCH("TRANSFER DE PAPEL",INVENTARIO!C38)),"TRA-PAP",
IF(ISNUMBER(SEARCH("TRANSFER",INVENTARIO!C38)),"TRA",IF(ISNUMBER(SEARCH("KOLA LOKA",INVENTARIO!C38)),"KOL-LOK",
IF(ISNUMBER(SEARCH("PETG",INVENTARIO!C38)),"PET",
IF(ISNUMBER(SEARCH("OJILLO",INVENTARIO!C38)),"OJI",
IF(ISNUMBER(SEARCH("COUCHE",INVENTARIO!C38)),"COU",
IF(ISNUMBER(SEARCH("PANEL DE ALUMINIO",INVENTARIO!C38)),"PAN-ALU",
IF(ISNUMBER(SEARCH("PVC",INVENTARIO!C38)),"PVC",
IF(ISNUMBER(SEARCH("PAPEL",INVENTARIO!C38)),"PAP",
IF(ISNUMBER(SEARCH("TELA",INVENTARIO!C38)),"TEL",
IF(ISNUMBER(SEARCH("CARTULINA",INVENTARIO!C38)),"CAR",
IF(OR(ISNUMBER(SEARCH("LAMINA",INVENTARIO!C38)),ISNUMBER(SEARCH("LÁMINA",INVENTARIO!C38)),ISNUMBER(SEARCH("LAMPARAS",INVENTARIO!C38))),"LAM",
IF(ISNUMBER(SEARCH("ESTIRENO",INVENTARIO!C38)),"EST",
IF(ISNUMBER(SEARCH("FOAMBOARD",INVENTARIO!C38)),"FOA",
IF(ISNUMBER(SEARCH("SOLVENTE",INVENTARIO!C38)),"SOL",
IF(ISNUMBER(SEARCH("TINTA",INVENTARIO!C38)),"TIN",
IF(ISNUMBER(SEARCH("ACRILICO",INVENTARIO!C38)),"ACR",
IF(ISNUMBER(SEARCH("MICROLED",INVENTARIO!C38)),"MIC",
IF(ISNUMBER(SEARCH("LED",INVENTARIO!C38)),"LED",
IF(ISNUMBER(SEARCH("FUENTE DE PODER",INVENTARIO!C38)),"FUE-POD",
IF(ISNUMBER(SEARCH("PETG",INVENTARIO!C38)),"PET",
IF(ISNUMBER(SEARCH("ALUMINIO",INVENTARIO!C38)),"ALU",
IF(ISNUMBER(SEARCH("CANAL",INVENTARIO!C38)),"CAN",
IF(ISNUMBER(SEARCH("ESCUADRA",INVENTARIO!C38)),"ESC",
IF(ISNUMBER(SEARCH("SOPORTE",INVENTARIO!C38)),"SOP","OTR")
))))))))))))))))))))))))))))))</f>
        <v>TEL</v>
      </c>
      <c r="B38" t="str">
        <f>IF(ISNUMBER(SEARCH("CORTE",INVENTARIO!C38)),"COR",
IF(ISNUMBER(SEARCH("CITYLIGHT",INVENTARIO!C38)),"CIT",
IF(ISNUMBER(SEARCH("LINO",INVENTARIO!C38)),"LIN",
IF(ISNUMBER(SEARCH("FABRIANO",INVENTARIO!C38)),"FAB",
IF(ISNUMBER(SEARCH("SUNDANCE",INVENTARIO!C38)),"SUN",
IF(ISNUMBER(SEARCH("SINTETICA",INVENTARIO!C38)),"SIN",
IF(ISNUMBER(SEARCH("CONTROL",INVENTARIO!C38)),"CON",
IF(ISNUMBER(SEARCH("TERMICO",INVENTARIO!C38)),"TER",
IF(ISNUMBER(SEARCH("C-15",INVENTARIO!C38)),"C15",
IF(ISNUMBER(SEARCH("C-20",INVENTARIO!C38)),"C20",
IF(ISNUMBER(SEARCH("C-30",INVENTARIO!C38)),"C30",
IF(ISNUMBER(SEARCH("C-40",INVENTARIO!C38)),"C40",
IF(ISNUMBER(SEARCH("C-60",INVENTARIO!C38)),"C60",
IF(ISNUMBER(SEARCH("C-80",INVENTARIO!C38)),"C80",
IF(ISNUMBER(SEARCH("EQUIPO",INVENTARIO!C38)),"EQU",
IF(ISNUMBER(SEARCH("FLOOR",INVENTARIO!C38)),"FLO",
IF(ISNUMBER(SEARCH("CRISTAL",INVENTARIO!C38)),"CRI",
IF(ISNUMBER(SEARCH(" SULFATADA",INVENTARIO!C49)),"SUL",
IF(ISNUMBER(SEARCH("OPALINA",INVENTARIO!C38)),"OPA",
IF(ISNUMBER(SEARCH("ADHERIBLE",INVENTARIO!C38)),"ADH",
IF(ISNUMBER(SEARCH("MICRO",INVENTARIO!C38)),"MIC","")))))))))))))))))))))</f>
        <v>SIN</v>
      </c>
      <c r="C38" t="str">
        <f>IF(ISNUMBER(SEARCH("PARED",INVENTARIO!C38)),"PAR",
IF(ISNUMBER(SEARCH("FRONT",INVENTARIO!C38)),"FRO",
IF(ISNUMBER(SEARCH("ALTA RESISTENCIA",INVENTARIO!C38)),
"ALT-RES",IF(ISNUMBER(SEARCH("BACKLITE",INVENTARIO!C38)),"BAC",
IF(ISNUMBER(SEARCH("MATE",INVENTARIO!C38)),"MAT",
IF(ISNUMBER(SEARCH("MESH",INVENTARIO!C38)),"MES",
IF(ISNUMBER(SEARCH("BRILLANTE",INVENTARIO!C38)),"BRI",
IF(ISNUMBER(SEARCH("DELGADA",INVENTARIO!C38)),"DEL",
IF(ISNUMBER(SEARCH("GRUESA",INVENTARIO!C38)),"GRU",
IF(ISNUMBER(SEARCH("ESTATICO",INVENTARIO!C38)),"EST",
IF(ISNUMBER(SEARCH("REFLECTIVO",INVENTARIO!C38)),"REF",
IF(ISNUMBER(SEARCH("LX700",INVENTARIO!C38)),"LX7",
IF(ISNUMBER(SEARCH("GRANDO",INVENTARIO!C38)),"GRA",
IF(ISNUMBER(SEARCH("FB700",INVENTARIO!C38)),"FB7",
IF(ISNUMBER(SEARCH("LX360",INVENTARIO!C38)),"LX3",
IF(ISNUMBER(SEARCH("XEROX",INVENTARIO!C38)),"XER",
IF(ISNUMBER(SEARCH("CEPILLADO",INVENTARIO!C38)),"CEP",
IF(ISNUMBER(SEARCH("ESPEJO",INVENTARIO!C38)),"ESP",
IF(ISNUMBER(SEARCH("10 PTS",INVENTARIO!C38)),"10PT",
IF(ISNUMBER(SEARCH("12 PTS",INVENTARIO!C38)),"12PT",
IF(ISNUMBER(SEARCH("14 PTS",INVENTARIO!C38)),"14PT",
IF(ISNUMBER(SEARCH("CLASICO",INVENTARIO!C38)),"CLA",
""))))))))))))))))))))))</f>
        <v>DEL</v>
      </c>
      <c r="D38" t="str">
        <f>IF(ISNUMBER(SEARCH("GRAN FORMATO",INVENTARIO!C38)),"GRA-FOR",
IF(ISNUMBER(SEARCH("CAMA PLANA",INVENTARIO!C38)),"CAM-PLA",
IF(ISNUMBER(SEARCH("GRADO INGENIERIA",INVENTARIO!C38)),"GRA-ING",
IF(ISNUMBER(SEARCH("130 GRS",INVENTARIO!C38)),"130GR",
IF(ISNUMBER(SEARCH("150 GRS",INVENTARIO!C38)),"150GR",
IF(ISNUMBER(SEARCH("185 GRS",INVENTARIO!C38)),"185GR",
IF(ISNUMBER(SEARCH("200 GRS",INVENTARIO!C38)),"200GR",
IF(ISNUMBER(SEARCH("250 GRS",INVENTARIO!C38)),"250GR",
IF(ISNUMBER(SEARCH("300 GRS",INVENTARIO!C38)),"300GR",
IF(ISNUMBER(SEARCH("350 GRS",INVENTARIO!C38)),"350GR",
IF(ISNUMBER(SEARCH("18 OZ",INVENTARIO!C38)),"18OZ",
IF(ISNUMBER(SEARCH("15 OZ",INVENTARIO!C38)),"15OZ",
IF(OR(ISNUMBER(SEARCH("13 OZ",INVENTARIO!C38)),ISNUMBER(SEARCH("13 ONZAS",INVENTARIO!C38))),"13OZ",
IF(OR(ISNUMBER(SEARCH("9 OZ",INVENTARIO!C38)),ISNUMBER(SEARCH("9 ONZAS",INVENTARIO!C38))),"09OZ",
IF(ISNUMBER(SEARCH("DOBLE CARA",INVENTARIO!C38)),"DOB-CAR",
"")))))))))))))))</f>
        <v/>
      </c>
      <c r="E38" t="str">
        <f>IF(OR(ISNUMBER(SEARCH("TRANSPARENTE",INVENTARIO!C38)),ISNUMBER(SEARCH("TRANSPARENTES",INVENTARIO!C38))),"TRA",
IF(OR(ISNUMBER(SEARCH("BLANCO",INVENTARIO!C38)),ISNUMBER(SEARCH("BCO",INVENTARIO!C38))),"BLA",
IF(ISNUMBER(SEARCH("FOTOGRAFICO",INVENTARIO!C38)),"FOT",
IF(ISNUMBER(SEARCH("MARFIL",INVENTARIO!C38)),"MAR",
IF(ISNUMBER(SEARCH("VERDE",INVENTARIO!C38)),"VER",
IF(ISNUMBER(SEARCH("MORADO",INVENTARIO!C38)),"MOR",
IF(ISNUMBER(SEARCH("PLATA",INVENTARIO!C38)),"PLA",
IF(ISNUMBER(SEARCH("ORO",INVENTARIO!C38)),"ORO",
IF(ISNUMBER(SEARCH("AMARILLO",INVENTARIO!C38)),"AMA",
IF(ISNUMBER(SEARCH("NARANJA",INVENTARIO!C38)),"NAR",
IF(ISNUMBER(SEARCH("NEGRO",INVENTARIO!C38)),"NEG",
IF(ISNUMBER(SEARCH("ROJO",INVENTARIO!C38)),"ROJ",
IF(ISNUMBER(SEARCH("AZUL",INVENTARIO!C38)),"AZU","")))))))))))))</f>
        <v/>
      </c>
      <c r="F38" t="str">
        <f>IF(ISNUMBER(SEARCH("ARLON",INVENTARIO!C38)),"ARL",
IF(ISNUMBER(SEARCH("SUNTHINKS",INVENTARIO!C38)),"SUN",
IF(ISNUMBER(SEARCH("FRIO",INVENTARIO!C38)),"FRI",
IF(ISNUMBER(SEARCH("CALIDO",INVENTARIO!C38)),"CAL",
IF(ISNUMBER(SEARCH("CEPILLADO",INVENTARIO!C38)),"CEP",
IF(ISNUMBER(SEARCH("ESPEJO",INVENTARIO!C38)),"ESP",
""))))))</f>
        <v/>
      </c>
      <c r="G38" t="str">
        <f>IF(ISNUMBER(SEARCH("LATEX",INVENTARIO!C38)),"LAT",
IF(ISNUMBER(SEARCH("RESP. NEGRO",INVENTARIO!C38)),"RES-NEG",
IF(ISNUMBER(SEARCH("RESPALDO CAFE",INVENTARIO!C38)),"RES-CAF",
IF(ISNUMBER(SEARCH("RESPALDO GRIS",INVENTARIO!C38)),"RES-GRI",
IF(ISNUMBER(SEARCH("OPTICO",INVENTARIO!C38)),"OPT",
IF(ISNUMBER(SEARCH("1,2 MM",INVENTARIO!C38)),"1MM2",
IF(ISNUMBER(SEARCH("2 MM",INVENTARIO!C38)),"2MM",
IF(ISNUMBER(SEARCH("3 MM",INVENTARIO!C38)),"3MM",
IF(ISNUMBER(SEARCH("4 MM",INVENTARIO!C38)),"4MM",
IF(ISNUMBER(SEARCH("5 MM",INVENTARIO!C38)),"5MM",
IF(ISNUMBER(SEARCH("6 MM",INVENTARIO!C38)),"6MM",
IF(ISNUMBER(SEARCH("9 MM",INVENTARIO!C38)),"9MM",
IF(ISNUMBER(SEARCH("10 MM",INVENTARIO!C38)),"10MM","")))))))))))))</f>
        <v/>
      </c>
      <c r="H38" t="str">
        <f>IF(ISNUMBER(SEARCH("GAMA BAJA",INVENTARIO!C38)),"GAM-BAJ",
IF(ISNUMBER(SEARCH("OPTIMIZADOR",INVENTARIO!C38)),"OPT",
IF(ISNUMBER(SEARCH("OVERCOAT",INVENTARIO!C38)),"OVE",
IF(ISNUMBER(SEARCH("WHITE",INVENTARIO!C38)),"WHI",
IF(ISNUMBER(SEARCH("LIGHT CYAN",INVENTARIO!C38)),"LIG-CYA",
IF(ISNUMBER(SEARCH("CYAN",INVENTARIO!C38)),"CYA",
IF(ISNUMBER(SEARCH("LIGHT MAGENTA",INVENTARIO!C38)),"LIG-MAG",
IF(ISNUMBER(SEARCH("MAGENTA",INVENTARIO!C38)),"MAG",
IF(ISNUMBER(SEARCH("BLACK",INVENTARIO!C38)),"BLA",
IF(ISNUMBER(SEARCH("YELLOW",INVENTARIO!C38)),"YEL",
IF(ISNUMBER(SEARCH("2 DIODOS",INVENTARIO!C38)),"2DI",
IF(ISNUMBER(SEARCH("3 DIODOS",INVENTARIO!C38)),"3DI",
IF(OR(ISNUMBER(SEARCH("TRASLUCIDO",INVENTARIO!C38)),ISNUMBER(SEARCH("TRANSLUCIDO",INVENTARIO!C38))),"TRA",
"")))))))))))))</f>
        <v/>
      </c>
      <c r="I3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39" spans="1:9">
      <c r="A39" t="str">
        <f>IF(ISNUMBER(SEARCH("LONA",INVENTARIO!C39)),"LON",
IF(ISNUMBER(SEARCH("VINIL",INVENTARIO!C39)),"VIN",
IF(ISNUMBER(SEARCH("KROMACOTE",INVENTARIO!C39)),"KRO",
IF(ISNUMBER(SEARCH("STARDREAM",INVENTARIO!C39)),"STA",
IF(ISNUMBER(SEARCH("DISPLAY",INVENTARIO!C39)),"DIS",
IF(ISNUMBER(SEARCH("ROLL UP",INVENTARIO!C39)),"ROL-UP",
IF(ISNUMBER(SEARCH("TRANSFER DE PAPEL",INVENTARIO!C39)),"TRA-PAP",
IF(ISNUMBER(SEARCH("TRANSFER",INVENTARIO!C39)),"TRA",IF(ISNUMBER(SEARCH("KOLA LOKA",INVENTARIO!C39)),"KOL-LOK",
IF(ISNUMBER(SEARCH("PETG",INVENTARIO!C39)),"PET",
IF(ISNUMBER(SEARCH("OJILLO",INVENTARIO!C39)),"OJI",
IF(ISNUMBER(SEARCH("COUCHE",INVENTARIO!C39)),"COU",
IF(ISNUMBER(SEARCH("PANEL DE ALUMINIO",INVENTARIO!C39)),"PAN-ALU",
IF(ISNUMBER(SEARCH("PVC",INVENTARIO!C39)),"PVC",
IF(ISNUMBER(SEARCH("PAPEL",INVENTARIO!C39)),"PAP",
IF(ISNUMBER(SEARCH("TELA",INVENTARIO!C39)),"TEL",
IF(ISNUMBER(SEARCH("CARTULINA",INVENTARIO!C39)),"CAR",
IF(OR(ISNUMBER(SEARCH("LAMINA",INVENTARIO!C39)),ISNUMBER(SEARCH("LÁMINA",INVENTARIO!C39)),ISNUMBER(SEARCH("LAMPARAS",INVENTARIO!C39))),"LAM",
IF(ISNUMBER(SEARCH("ESTIRENO",INVENTARIO!C39)),"EST",
IF(ISNUMBER(SEARCH("FOAMBOARD",INVENTARIO!C39)),"FOA",
IF(ISNUMBER(SEARCH("SOLVENTE",INVENTARIO!C39)),"SOL",
IF(ISNUMBER(SEARCH("TINTA",INVENTARIO!C39)),"TIN",
IF(ISNUMBER(SEARCH("ACRILICO",INVENTARIO!C39)),"ACR",
IF(ISNUMBER(SEARCH("MICROLED",INVENTARIO!C39)),"MIC",
IF(ISNUMBER(SEARCH("LED",INVENTARIO!C39)),"LED",
IF(ISNUMBER(SEARCH("FUENTE DE PODER",INVENTARIO!C39)),"FUE-POD",
IF(ISNUMBER(SEARCH("PETG",INVENTARIO!C39)),"PET",
IF(ISNUMBER(SEARCH("ALUMINIO",INVENTARIO!C39)),"ALU",
IF(ISNUMBER(SEARCH("CANAL",INVENTARIO!C39)),"CAN",
IF(ISNUMBER(SEARCH("ESCUADRA",INVENTARIO!C39)),"ESC",
IF(ISNUMBER(SEARCH("SOPORTE",INVENTARIO!C39)),"SOP","OTR")
))))))))))))))))))))))))))))))</f>
        <v>TEL</v>
      </c>
      <c r="B39" t="str">
        <f>IF(ISNUMBER(SEARCH("CORTE",INVENTARIO!C39)),"COR",
IF(ISNUMBER(SEARCH("CITYLIGHT",INVENTARIO!C39)),"CIT",
IF(ISNUMBER(SEARCH("LINO",INVENTARIO!C39)),"LIN",
IF(ISNUMBER(SEARCH("FABRIANO",INVENTARIO!C39)),"FAB",
IF(ISNUMBER(SEARCH("SUNDANCE",INVENTARIO!C39)),"SUN",
IF(ISNUMBER(SEARCH("SINTETICA",INVENTARIO!C39)),"SIN",
IF(ISNUMBER(SEARCH("CONTROL",INVENTARIO!C39)),"CON",
IF(ISNUMBER(SEARCH("TERMICO",INVENTARIO!C39)),"TER",
IF(ISNUMBER(SEARCH("C-15",INVENTARIO!C39)),"C15",
IF(ISNUMBER(SEARCH("C-20",INVENTARIO!C39)),"C20",
IF(ISNUMBER(SEARCH("C-30",INVENTARIO!C39)),"C30",
IF(ISNUMBER(SEARCH("C-40",INVENTARIO!C39)),"C40",
IF(ISNUMBER(SEARCH("C-60",INVENTARIO!C39)),"C60",
IF(ISNUMBER(SEARCH("C-80",INVENTARIO!C39)),"C80",
IF(ISNUMBER(SEARCH("EQUIPO",INVENTARIO!C39)),"EQU",
IF(ISNUMBER(SEARCH("FLOOR",INVENTARIO!C39)),"FLO",
IF(ISNUMBER(SEARCH("CRISTAL",INVENTARIO!C39)),"CRI",
IF(ISNUMBER(SEARCH(" SULFATADA",INVENTARIO!C50)),"SUL",
IF(ISNUMBER(SEARCH("OPALINA",INVENTARIO!C39)),"OPA",
IF(ISNUMBER(SEARCH("ADHERIBLE",INVENTARIO!C39)),"ADH",
IF(ISNUMBER(SEARCH("MICRO",INVENTARIO!C39)),"MIC","")))))))))))))))))))))</f>
        <v>SIN</v>
      </c>
      <c r="C39" t="str">
        <f>IF(ISNUMBER(SEARCH("PARED",INVENTARIO!C39)),"PAR",
IF(ISNUMBER(SEARCH("FRONT",INVENTARIO!C39)),"FRO",
IF(ISNUMBER(SEARCH("ALTA RESISTENCIA",INVENTARIO!C39)),
"ALT-RES",IF(ISNUMBER(SEARCH("BACKLITE",INVENTARIO!C39)),"BAC",
IF(ISNUMBER(SEARCH("MATE",INVENTARIO!C39)),"MAT",
IF(ISNUMBER(SEARCH("MESH",INVENTARIO!C39)),"MES",
IF(ISNUMBER(SEARCH("BRILLANTE",INVENTARIO!C39)),"BRI",
IF(ISNUMBER(SEARCH("DELGADA",INVENTARIO!C39)),"DEL",
IF(ISNUMBER(SEARCH("GRUESA",INVENTARIO!C39)),"GRU",
IF(ISNUMBER(SEARCH("ESTATICO",INVENTARIO!C39)),"EST",
IF(ISNUMBER(SEARCH("REFLECTIVO",INVENTARIO!C39)),"REF",
IF(ISNUMBER(SEARCH("LX700",INVENTARIO!C39)),"LX7",
IF(ISNUMBER(SEARCH("GRANDO",INVENTARIO!C39)),"GRA",
IF(ISNUMBER(SEARCH("FB700",INVENTARIO!C39)),"FB7",
IF(ISNUMBER(SEARCH("LX360",INVENTARIO!C39)),"LX3",
IF(ISNUMBER(SEARCH("XEROX",INVENTARIO!C39)),"XER",
IF(ISNUMBER(SEARCH("CEPILLADO",INVENTARIO!C39)),"CEP",
IF(ISNUMBER(SEARCH("ESPEJO",INVENTARIO!C39)),"ESP",
IF(ISNUMBER(SEARCH("10 PTS",INVENTARIO!C39)),"10PT",
IF(ISNUMBER(SEARCH("12 PTS",INVENTARIO!C39)),"12PT",
IF(ISNUMBER(SEARCH("14 PTS",INVENTARIO!C39)),"14PT",
IF(ISNUMBER(SEARCH("CLASICO",INVENTARIO!C39)),"CLA",
""))))))))))))))))))))))</f>
        <v>DEL</v>
      </c>
      <c r="D39" t="str">
        <f>IF(ISNUMBER(SEARCH("GRAN FORMATO",INVENTARIO!C39)),"GRA-FOR",
IF(ISNUMBER(SEARCH("CAMA PLANA",INVENTARIO!C39)),"CAM-PLA",
IF(ISNUMBER(SEARCH("GRADO INGENIERIA",INVENTARIO!C39)),"GRA-ING",
IF(ISNUMBER(SEARCH("130 GRS",INVENTARIO!C39)),"130GR",
IF(ISNUMBER(SEARCH("150 GRS",INVENTARIO!C39)),"150GR",
IF(ISNUMBER(SEARCH("185 GRS",INVENTARIO!C39)),"185GR",
IF(ISNUMBER(SEARCH("200 GRS",INVENTARIO!C39)),"200GR",
IF(ISNUMBER(SEARCH("250 GRS",INVENTARIO!C39)),"250GR",
IF(ISNUMBER(SEARCH("300 GRS",INVENTARIO!C39)),"300GR",
IF(ISNUMBER(SEARCH("350 GRS",INVENTARIO!C39)),"350GR",
IF(ISNUMBER(SEARCH("18 OZ",INVENTARIO!C39)),"18OZ",
IF(ISNUMBER(SEARCH("15 OZ",INVENTARIO!C39)),"15OZ",
IF(OR(ISNUMBER(SEARCH("13 OZ",INVENTARIO!C39)),ISNUMBER(SEARCH("13 ONZAS",INVENTARIO!C39))),"13OZ",
IF(OR(ISNUMBER(SEARCH("9 OZ",INVENTARIO!C39)),ISNUMBER(SEARCH("9 ONZAS",INVENTARIO!C39))),"09OZ",
IF(ISNUMBER(SEARCH("DOBLE CARA",INVENTARIO!C39)),"DOB-CAR",
"")))))))))))))))</f>
        <v/>
      </c>
      <c r="E39" t="str">
        <f>IF(OR(ISNUMBER(SEARCH("TRANSPARENTE",INVENTARIO!C39)),ISNUMBER(SEARCH("TRANSPARENTES",INVENTARIO!C39))),"TRA",
IF(OR(ISNUMBER(SEARCH("BLANCO",INVENTARIO!C39)),ISNUMBER(SEARCH("BCO",INVENTARIO!C39))),"BLA",
IF(ISNUMBER(SEARCH("FOTOGRAFICO",INVENTARIO!C39)),"FOT",
IF(ISNUMBER(SEARCH("MARFIL",INVENTARIO!C39)),"MAR",
IF(ISNUMBER(SEARCH("VERDE",INVENTARIO!C39)),"VER",
IF(ISNUMBER(SEARCH("MORADO",INVENTARIO!C39)),"MOR",
IF(ISNUMBER(SEARCH("PLATA",INVENTARIO!C39)),"PLA",
IF(ISNUMBER(SEARCH("ORO",INVENTARIO!C39)),"ORO",
IF(ISNUMBER(SEARCH("AMARILLO",INVENTARIO!C39)),"AMA",
IF(ISNUMBER(SEARCH("NARANJA",INVENTARIO!C39)),"NAR",
IF(ISNUMBER(SEARCH("NEGRO",INVENTARIO!C39)),"NEG",
IF(ISNUMBER(SEARCH("ROJO",INVENTARIO!C39)),"ROJ",
IF(ISNUMBER(SEARCH("AZUL",INVENTARIO!C39)),"AZU","")))))))))))))</f>
        <v/>
      </c>
      <c r="F39" t="str">
        <f>IF(ISNUMBER(SEARCH("ARLON",INVENTARIO!C39)),"ARL",
IF(ISNUMBER(SEARCH("SUNTHINKS",INVENTARIO!C39)),"SUN",
IF(ISNUMBER(SEARCH("FRIO",INVENTARIO!C39)),"FRI",
IF(ISNUMBER(SEARCH("CALIDO",INVENTARIO!C39)),"CAL",
IF(ISNUMBER(SEARCH("CEPILLADO",INVENTARIO!C39)),"CEP",
IF(ISNUMBER(SEARCH("ESPEJO",INVENTARIO!C39)),"ESP",
""))))))</f>
        <v/>
      </c>
      <c r="G39" t="str">
        <f>IF(ISNUMBER(SEARCH("LATEX",INVENTARIO!C39)),"LAT",
IF(ISNUMBER(SEARCH("RESP. NEGRO",INVENTARIO!C39)),"RES-NEG",
IF(ISNUMBER(SEARCH("RESPALDO CAFE",INVENTARIO!C39)),"RES-CAF",
IF(ISNUMBER(SEARCH("RESPALDO GRIS",INVENTARIO!C39)),"RES-GRI",
IF(ISNUMBER(SEARCH("OPTICO",INVENTARIO!C39)),"OPT",
IF(ISNUMBER(SEARCH("1,2 MM",INVENTARIO!C39)),"1MM2",
IF(ISNUMBER(SEARCH("2 MM",INVENTARIO!C39)),"2MM",
IF(ISNUMBER(SEARCH("3 MM",INVENTARIO!C39)),"3MM",
IF(ISNUMBER(SEARCH("4 MM",INVENTARIO!C39)),"4MM",
IF(ISNUMBER(SEARCH("5 MM",INVENTARIO!C39)),"5MM",
IF(ISNUMBER(SEARCH("6 MM",INVENTARIO!C39)),"6MM",
IF(ISNUMBER(SEARCH("9 MM",INVENTARIO!C39)),"9MM",
IF(ISNUMBER(SEARCH("10 MM",INVENTARIO!C39)),"10MM","")))))))))))))</f>
        <v/>
      </c>
      <c r="H39" t="str">
        <f>IF(ISNUMBER(SEARCH("GAMA BAJA",INVENTARIO!C39)),"GAM-BAJ",
IF(ISNUMBER(SEARCH("OPTIMIZADOR",INVENTARIO!C39)),"OPT",
IF(ISNUMBER(SEARCH("OVERCOAT",INVENTARIO!C39)),"OVE",
IF(ISNUMBER(SEARCH("WHITE",INVENTARIO!C39)),"WHI",
IF(ISNUMBER(SEARCH("LIGHT CYAN",INVENTARIO!C39)),"LIG-CYA",
IF(ISNUMBER(SEARCH("CYAN",INVENTARIO!C39)),"CYA",
IF(ISNUMBER(SEARCH("LIGHT MAGENTA",INVENTARIO!C39)),"LIG-MAG",
IF(ISNUMBER(SEARCH("MAGENTA",INVENTARIO!C39)),"MAG",
IF(ISNUMBER(SEARCH("BLACK",INVENTARIO!C39)),"BLA",
IF(ISNUMBER(SEARCH("YELLOW",INVENTARIO!C39)),"YEL",
IF(ISNUMBER(SEARCH("2 DIODOS",INVENTARIO!C39)),"2DI",
IF(ISNUMBER(SEARCH("3 DIODOS",INVENTARIO!C39)),"3DI",
IF(OR(ISNUMBER(SEARCH("TRASLUCIDO",INVENTARIO!C39)),ISNUMBER(SEARCH("TRANSLUCIDO",INVENTARIO!C39))),"TRA",
"")))))))))))))</f>
        <v/>
      </c>
      <c r="I39" t="str">
        <f>IF(ISNUMBER(SEARCH("SILED",INVENTARIO!C41)),"SI",
IF(ISNUMBER(SEARCH("SYDEMEX",INVENTARIO!C41)),"SY",
IF(ISNUMBER(SEARCH("ROHS",INVENTARIO!C41)),"RO",
IF(ISNUMBER(SEARCH("RISHANG",INVENTARIO!C41)),"RS",
IF(ISNUMBER(SEARCH("VYG",INVENTARIO!C41)),"VYG",
IF(ISNUMBER(SEARCH("COLED",INVENTARIO!C41)),"CO",""))))))</f>
        <v/>
      </c>
    </row>
    <row r="40" spans="1:9">
      <c r="A40" t="str">
        <f>IF(ISNUMBER(SEARCH("LONA",INVENTARIO!C40)),"LON",
IF(ISNUMBER(SEARCH("VINIL",INVENTARIO!C40)),"VIN",
IF(ISNUMBER(SEARCH("KROMACOTE",INVENTARIO!C40)),"KRO",
IF(ISNUMBER(SEARCH("STARDREAM",INVENTARIO!C40)),"STA",
IF(ISNUMBER(SEARCH("DISPLAY",INVENTARIO!C40)),"DIS",
IF(ISNUMBER(SEARCH("ROLL UP",INVENTARIO!C40)),"ROL-UP",
IF(ISNUMBER(SEARCH("TRANSFER DE PAPEL",INVENTARIO!C40)),"TRA-PAP",
IF(ISNUMBER(SEARCH("TRANSFER",INVENTARIO!C40)),"TRA",IF(ISNUMBER(SEARCH("KOLA LOKA",INVENTARIO!C40)),"KOL-LOK",
IF(ISNUMBER(SEARCH("PETG",INVENTARIO!C40)),"PET",
IF(ISNUMBER(SEARCH("OJILLO",INVENTARIO!C40)),"OJI",
IF(ISNUMBER(SEARCH("COUCHE",INVENTARIO!C40)),"COU",
IF(ISNUMBER(SEARCH("PANEL DE ALUMINIO",INVENTARIO!C40)),"PAN-ALU",
IF(ISNUMBER(SEARCH("PVC",INVENTARIO!C40)),"PVC",
IF(ISNUMBER(SEARCH("PAPEL",INVENTARIO!C40)),"PAP",
IF(ISNUMBER(SEARCH("TELA",INVENTARIO!C40)),"TEL",
IF(ISNUMBER(SEARCH("CARTULINA",INVENTARIO!C40)),"CAR",
IF(OR(ISNUMBER(SEARCH("LAMINA",INVENTARIO!C40)),ISNUMBER(SEARCH("LÁMINA",INVENTARIO!C40)),ISNUMBER(SEARCH("LAMPARAS",INVENTARIO!C40))),"LAM",
IF(ISNUMBER(SEARCH("ESTIRENO",INVENTARIO!C40)),"EST",
IF(ISNUMBER(SEARCH("FOAMBOARD",INVENTARIO!C40)),"FOA",
IF(ISNUMBER(SEARCH("SOLVENTE",INVENTARIO!C40)),"SOL",
IF(ISNUMBER(SEARCH("TINTA",INVENTARIO!C40)),"TIN",
IF(ISNUMBER(SEARCH("ACRILICO",INVENTARIO!C40)),"ACR",
IF(ISNUMBER(SEARCH("MICROLED",INVENTARIO!C40)),"MIC",
IF(ISNUMBER(SEARCH("LED",INVENTARIO!C40)),"LED",
IF(ISNUMBER(SEARCH("FUENTE DE PODER",INVENTARIO!C40)),"FUE-POD",
IF(ISNUMBER(SEARCH("PETG",INVENTARIO!C40)),"PET",
IF(ISNUMBER(SEARCH("ALUMINIO",INVENTARIO!C40)),"ALU",
IF(ISNUMBER(SEARCH("CANAL",INVENTARIO!C40)),"CAN",
IF(ISNUMBER(SEARCH("ESCUADRA",INVENTARIO!C40)),"ESC",
IF(ISNUMBER(SEARCH("SOPORTE",INVENTARIO!C40)),"SOP","OTR")
))))))))))))))))))))))))))))))</f>
        <v>TEL</v>
      </c>
      <c r="B40" t="str">
        <f>IF(ISNUMBER(SEARCH("CORTE",INVENTARIO!C40)),"COR",
IF(ISNUMBER(SEARCH("CITYLIGHT",INVENTARIO!C40)),"CIT",
IF(ISNUMBER(SEARCH("LINO",INVENTARIO!C40)),"LIN",
IF(ISNUMBER(SEARCH("FABRIANO",INVENTARIO!C40)),"FAB",
IF(ISNUMBER(SEARCH("SUNDANCE",INVENTARIO!C40)),"SUN",
IF(ISNUMBER(SEARCH("SINTETICA",INVENTARIO!C40)),"SIN",
IF(ISNUMBER(SEARCH("CONTROL",INVENTARIO!C40)),"CON",
IF(ISNUMBER(SEARCH("TERMICO",INVENTARIO!C40)),"TER",
IF(ISNUMBER(SEARCH("C-15",INVENTARIO!C40)),"C15",
IF(ISNUMBER(SEARCH("C-20",INVENTARIO!C40)),"C20",
IF(ISNUMBER(SEARCH("C-30",INVENTARIO!C40)),"C30",
IF(ISNUMBER(SEARCH("C-40",INVENTARIO!C40)),"C40",
IF(ISNUMBER(SEARCH("C-60",INVENTARIO!C40)),"C60",
IF(ISNUMBER(SEARCH("C-80",INVENTARIO!C40)),"C80",
IF(ISNUMBER(SEARCH("EQUIPO",INVENTARIO!C40)),"EQU",
IF(ISNUMBER(SEARCH("FLOOR",INVENTARIO!C40)),"FLO",
IF(ISNUMBER(SEARCH("CRISTAL",INVENTARIO!C40)),"CRI",
IF(ISNUMBER(SEARCH(" SULFATADA",INVENTARIO!C51)),"SUL",
IF(ISNUMBER(SEARCH("OPALINA",INVENTARIO!C40)),"OPA",
IF(ISNUMBER(SEARCH("ADHERIBLE",INVENTARIO!C40)),"ADH",
IF(ISNUMBER(SEARCH("MICRO",INVENTARIO!C40)),"MIC","")))))))))))))))))))))</f>
        <v>SIN</v>
      </c>
      <c r="C40" t="str">
        <f>IF(ISNUMBER(SEARCH("PARED",INVENTARIO!C40)),"PAR",
IF(ISNUMBER(SEARCH("FRONT",INVENTARIO!C40)),"FRO",
IF(ISNUMBER(SEARCH("ALTA RESISTENCIA",INVENTARIO!C40)),
"ALT-RES",IF(ISNUMBER(SEARCH("BACKLITE",INVENTARIO!C40)),"BAC",
IF(ISNUMBER(SEARCH("MATE",INVENTARIO!C40)),"MAT",
IF(ISNUMBER(SEARCH("MESH",INVENTARIO!C40)),"MES",
IF(ISNUMBER(SEARCH("BRILLANTE",INVENTARIO!C40)),"BRI",
IF(ISNUMBER(SEARCH("DELGADA",INVENTARIO!C40)),"DEL",
IF(ISNUMBER(SEARCH("GRUESA",INVENTARIO!C40)),"GRU",
IF(ISNUMBER(SEARCH("ESTATICO",INVENTARIO!C40)),"EST",
IF(ISNUMBER(SEARCH("REFLECTIVO",INVENTARIO!C40)),"REF",
IF(ISNUMBER(SEARCH("LX700",INVENTARIO!C40)),"LX7",
IF(ISNUMBER(SEARCH("GRANDO",INVENTARIO!C40)),"GRA",
IF(ISNUMBER(SEARCH("FB700",INVENTARIO!C40)),"FB7",
IF(ISNUMBER(SEARCH("LX360",INVENTARIO!C40)),"LX3",
IF(ISNUMBER(SEARCH("XEROX",INVENTARIO!C40)),"XER",
IF(ISNUMBER(SEARCH("CEPILLADO",INVENTARIO!C40)),"CEP",
IF(ISNUMBER(SEARCH("ESPEJO",INVENTARIO!C40)),"ESP",
IF(ISNUMBER(SEARCH("10 PTS",INVENTARIO!C40)),"10PT",
IF(ISNUMBER(SEARCH("12 PTS",INVENTARIO!C40)),"12PT",
IF(ISNUMBER(SEARCH("14 PTS",INVENTARIO!C40)),"14PT",
IF(ISNUMBER(SEARCH("CLASICO",INVENTARIO!C40)),"CLA",
""))))))))))))))))))))))</f>
        <v>DEL</v>
      </c>
      <c r="D40" t="str">
        <f>IF(ISNUMBER(SEARCH("GRAN FORMATO",INVENTARIO!C40)),"GRA-FOR",
IF(ISNUMBER(SEARCH("CAMA PLANA",INVENTARIO!C40)),"CAM-PLA",
IF(ISNUMBER(SEARCH("GRADO INGENIERIA",INVENTARIO!C40)),"GRA-ING",
IF(ISNUMBER(SEARCH("130 GRS",INVENTARIO!C40)),"130GR",
IF(ISNUMBER(SEARCH("150 GRS",INVENTARIO!C40)),"150GR",
IF(ISNUMBER(SEARCH("185 GRS",INVENTARIO!C40)),"185GR",
IF(ISNUMBER(SEARCH("200 GRS",INVENTARIO!C40)),"200GR",
IF(ISNUMBER(SEARCH("250 GRS",INVENTARIO!C40)),"250GR",
IF(ISNUMBER(SEARCH("300 GRS",INVENTARIO!C40)),"300GR",
IF(ISNUMBER(SEARCH("350 GRS",INVENTARIO!C40)),"350GR",
IF(ISNUMBER(SEARCH("18 OZ",INVENTARIO!C40)),"18OZ",
IF(ISNUMBER(SEARCH("15 OZ",INVENTARIO!C40)),"15OZ",
IF(OR(ISNUMBER(SEARCH("13 OZ",INVENTARIO!C40)),ISNUMBER(SEARCH("13 ONZAS",INVENTARIO!C40))),"13OZ",
IF(OR(ISNUMBER(SEARCH("9 OZ",INVENTARIO!C40)),ISNUMBER(SEARCH("9 ONZAS",INVENTARIO!C40))),"09OZ",
IF(ISNUMBER(SEARCH("DOBLE CARA",INVENTARIO!C40)),"DOB-CAR",
"")))))))))))))))</f>
        <v/>
      </c>
      <c r="E40" t="str">
        <f>IF(OR(ISNUMBER(SEARCH("TRANSPARENTE",INVENTARIO!C40)),ISNUMBER(SEARCH("TRANSPARENTES",INVENTARIO!C40))),"TRA",
IF(OR(ISNUMBER(SEARCH("BLANCO",INVENTARIO!C40)),ISNUMBER(SEARCH("BCO",INVENTARIO!C40))),"BLA",
IF(ISNUMBER(SEARCH("FOTOGRAFICO",INVENTARIO!C40)),"FOT",
IF(ISNUMBER(SEARCH("MARFIL",INVENTARIO!C40)),"MAR",
IF(ISNUMBER(SEARCH("VERDE",INVENTARIO!C40)),"VER",
IF(ISNUMBER(SEARCH("MORADO",INVENTARIO!C40)),"MOR",
IF(ISNUMBER(SEARCH("PLATA",INVENTARIO!C40)),"PLA",
IF(ISNUMBER(SEARCH("ORO",INVENTARIO!C40)),"ORO",
IF(ISNUMBER(SEARCH("AMARILLO",INVENTARIO!C40)),"AMA",
IF(ISNUMBER(SEARCH("NARANJA",INVENTARIO!C40)),"NAR",
IF(ISNUMBER(SEARCH("NEGRO",INVENTARIO!C40)),"NEG",
IF(ISNUMBER(SEARCH("ROJO",INVENTARIO!C40)),"ROJ",
IF(ISNUMBER(SEARCH("AZUL",INVENTARIO!C40)),"AZU","")))))))))))))</f>
        <v/>
      </c>
      <c r="F40" t="str">
        <f>IF(ISNUMBER(SEARCH("ARLON",INVENTARIO!C40)),"ARL",
IF(ISNUMBER(SEARCH("SUNTHINKS",INVENTARIO!C40)),"SUN",
IF(ISNUMBER(SEARCH("FRIO",INVENTARIO!C40)),"FRI",
IF(ISNUMBER(SEARCH("CALIDO",INVENTARIO!C40)),"CAL",
IF(ISNUMBER(SEARCH("CEPILLADO",INVENTARIO!C40)),"CEP",
IF(ISNUMBER(SEARCH("ESPEJO",INVENTARIO!C40)),"ESP",
""))))))</f>
        <v/>
      </c>
      <c r="G40" t="str">
        <f>IF(ISNUMBER(SEARCH("LATEX",INVENTARIO!C40)),"LAT",
IF(ISNUMBER(SEARCH("RESP. NEGRO",INVENTARIO!C40)),"RES-NEG",
IF(ISNUMBER(SEARCH("RESPALDO CAFE",INVENTARIO!C40)),"RES-CAF",
IF(ISNUMBER(SEARCH("RESPALDO GRIS",INVENTARIO!C40)),"RES-GRI",
IF(ISNUMBER(SEARCH("OPTICO",INVENTARIO!C40)),"OPT",
IF(ISNUMBER(SEARCH("1,2 MM",INVENTARIO!C40)),"1MM2",
IF(ISNUMBER(SEARCH("2 MM",INVENTARIO!C40)),"2MM",
IF(ISNUMBER(SEARCH("3 MM",INVENTARIO!C40)),"3MM",
IF(ISNUMBER(SEARCH("4 MM",INVENTARIO!C40)),"4MM",
IF(ISNUMBER(SEARCH("5 MM",INVENTARIO!C40)),"5MM",
IF(ISNUMBER(SEARCH("6 MM",INVENTARIO!C40)),"6MM",
IF(ISNUMBER(SEARCH("9 MM",INVENTARIO!C40)),"9MM",
IF(ISNUMBER(SEARCH("10 MM",INVENTARIO!C40)),"10MM","")))))))))))))</f>
        <v/>
      </c>
      <c r="H40" t="str">
        <f>IF(ISNUMBER(SEARCH("GAMA BAJA",INVENTARIO!C40)),"GAM-BAJ",
IF(ISNUMBER(SEARCH("OPTIMIZADOR",INVENTARIO!C40)),"OPT",
IF(ISNUMBER(SEARCH("OVERCOAT",INVENTARIO!C40)),"OVE",
IF(ISNUMBER(SEARCH("WHITE",INVENTARIO!C40)),"WHI",
IF(ISNUMBER(SEARCH("LIGHT CYAN",INVENTARIO!C40)),"LIG-CYA",
IF(ISNUMBER(SEARCH("CYAN",INVENTARIO!C40)),"CYA",
IF(ISNUMBER(SEARCH("LIGHT MAGENTA",INVENTARIO!C40)),"LIG-MAG",
IF(ISNUMBER(SEARCH("MAGENTA",INVENTARIO!C40)),"MAG",
IF(ISNUMBER(SEARCH("BLACK",INVENTARIO!C40)),"BLA",
IF(ISNUMBER(SEARCH("YELLOW",INVENTARIO!C40)),"YEL",
IF(ISNUMBER(SEARCH("2 DIODOS",INVENTARIO!C40)),"2DI",
IF(ISNUMBER(SEARCH("3 DIODOS",INVENTARIO!C40)),"3DI",
IF(OR(ISNUMBER(SEARCH("TRASLUCIDO",INVENTARIO!C40)),ISNUMBER(SEARCH("TRANSLUCIDO",INVENTARIO!C40))),"TRA",
"")))))))))))))</f>
        <v/>
      </c>
      <c r="I40" t="str">
        <f>IF(ISNUMBER(SEARCH("SILED",INVENTARIO!C42)),"SI",
IF(ISNUMBER(SEARCH("SYDEMEX",INVENTARIO!C42)),"SY",
IF(ISNUMBER(SEARCH("ROHS",INVENTARIO!C42)),"RO",
IF(ISNUMBER(SEARCH("RISHANG",INVENTARIO!C42)),"RS",
IF(ISNUMBER(SEARCH("VYG",INVENTARIO!C42)),"VYG",
IF(ISNUMBER(SEARCH("COLED",INVENTARIO!C42)),"CO",""))))))</f>
        <v/>
      </c>
    </row>
    <row r="41" spans="1:9">
      <c r="A41" t="str">
        <f>IF(ISNUMBER(SEARCH("LONA",INVENTARIO!C41)),"LON",
IF(ISNUMBER(SEARCH("VINIL",INVENTARIO!C41)),"VIN",
IF(ISNUMBER(SEARCH("KROMACOTE",INVENTARIO!C41)),"KRO",
IF(ISNUMBER(SEARCH("STARDREAM",INVENTARIO!C41)),"STA",
IF(ISNUMBER(SEARCH("DISPLAY",INVENTARIO!C41)),"DIS",
IF(ISNUMBER(SEARCH("ROLL UP",INVENTARIO!C41)),"ROL-UP",
IF(ISNUMBER(SEARCH("TRANSFER DE PAPEL",INVENTARIO!C41)),"TRA-PAP",
IF(ISNUMBER(SEARCH("TRANSFER",INVENTARIO!C41)),"TRA",IF(ISNUMBER(SEARCH("KOLA LOKA",INVENTARIO!C41)),"KOL-LOK",
IF(ISNUMBER(SEARCH("PETG",INVENTARIO!C41)),"PET",
IF(ISNUMBER(SEARCH("OJILLO",INVENTARIO!C41)),"OJI",
IF(ISNUMBER(SEARCH("COUCHE",INVENTARIO!C41)),"COU",
IF(ISNUMBER(SEARCH("PANEL DE ALUMINIO",INVENTARIO!C41)),"PAN-ALU",
IF(ISNUMBER(SEARCH("PVC",INVENTARIO!C41)),"PVC",
IF(ISNUMBER(SEARCH("PAPEL",INVENTARIO!C41)),"PAP",
IF(ISNUMBER(SEARCH("TELA",INVENTARIO!C41)),"TEL",
IF(ISNUMBER(SEARCH("CARTULINA",INVENTARIO!C41)),"CAR",
IF(OR(ISNUMBER(SEARCH("LAMINA",INVENTARIO!C41)),ISNUMBER(SEARCH("LÁMINA",INVENTARIO!C41)),ISNUMBER(SEARCH("LAMPARAS",INVENTARIO!C41))),"LAM",
IF(ISNUMBER(SEARCH("ESTIRENO",INVENTARIO!C41)),"EST",
IF(ISNUMBER(SEARCH("FOAMBOARD",INVENTARIO!C41)),"FOA",
IF(ISNUMBER(SEARCH("SOLVENTE",INVENTARIO!C41)),"SOL",
IF(ISNUMBER(SEARCH("TINTA",INVENTARIO!C41)),"TIN",
IF(ISNUMBER(SEARCH("ACRILICO",INVENTARIO!C41)),"ACR",
IF(ISNUMBER(SEARCH("MICROLED",INVENTARIO!C41)),"MIC",
IF(ISNUMBER(SEARCH("LED",INVENTARIO!C41)),"LED",
IF(ISNUMBER(SEARCH("FUENTE DE PODER",INVENTARIO!C41)),"FUE-POD",
IF(ISNUMBER(SEARCH("PETG",INVENTARIO!C41)),"PET",
IF(ISNUMBER(SEARCH("ALUMINIO",INVENTARIO!C41)),"ALU",
IF(ISNUMBER(SEARCH("CANAL",INVENTARIO!C41)),"CAN",
IF(ISNUMBER(SEARCH("ESCUADRA",INVENTARIO!C41)),"ESC",
IF(ISNUMBER(SEARCH("SOPORTE",INVENTARIO!C41)),"SOP","OTR")
))))))))))))))))))))))))))))))</f>
        <v>TEL</v>
      </c>
      <c r="B41" t="str">
        <f>IF(ISNUMBER(SEARCH("CORTE",INVENTARIO!C41)),"COR",
IF(ISNUMBER(SEARCH("CITYLIGHT",INVENTARIO!C41)),"CIT",
IF(ISNUMBER(SEARCH("LINO",INVENTARIO!C41)),"LIN",
IF(ISNUMBER(SEARCH("FABRIANO",INVENTARIO!C41)),"FAB",
IF(ISNUMBER(SEARCH("SUNDANCE",INVENTARIO!C41)),"SUN",
IF(ISNUMBER(SEARCH("SINTETICA",INVENTARIO!C41)),"SIN",
IF(ISNUMBER(SEARCH("CONTROL",INVENTARIO!C41)),"CON",
IF(ISNUMBER(SEARCH("TERMICO",INVENTARIO!C41)),"TER",
IF(ISNUMBER(SEARCH("C-15",INVENTARIO!C41)),"C15",
IF(ISNUMBER(SEARCH("C-20",INVENTARIO!C41)),"C20",
IF(ISNUMBER(SEARCH("C-30",INVENTARIO!C41)),"C30",
IF(ISNUMBER(SEARCH("C-40",INVENTARIO!C41)),"C40",
IF(ISNUMBER(SEARCH("C-60",INVENTARIO!C41)),"C60",
IF(ISNUMBER(SEARCH("C-80",INVENTARIO!C41)),"C80",
IF(ISNUMBER(SEARCH("EQUIPO",INVENTARIO!C41)),"EQU",
IF(ISNUMBER(SEARCH("FLOOR",INVENTARIO!C41)),"FLO",
IF(ISNUMBER(SEARCH("CRISTAL",INVENTARIO!C41)),"CRI",
IF(ISNUMBER(SEARCH(" SULFATADA",INVENTARIO!C52)),"SUL",
IF(ISNUMBER(SEARCH("OPALINA",INVENTARIO!C41)),"OPA",
IF(ISNUMBER(SEARCH("ADHERIBLE",INVENTARIO!C41)),"ADH",
IF(ISNUMBER(SEARCH("MICRO",INVENTARIO!C41)),"MIC","")))))))))))))))))))))</f>
        <v/>
      </c>
      <c r="C41" t="str">
        <f>IF(ISNUMBER(SEARCH("PARED",INVENTARIO!C41)),"PAR",
IF(ISNUMBER(SEARCH("FRONT",INVENTARIO!C41)),"FRO",
IF(ISNUMBER(SEARCH("ALTA RESISTENCIA",INVENTARIO!C41)),
"ALT-RES",IF(ISNUMBER(SEARCH("BACKLITE",INVENTARIO!C41)),"BAC",
IF(ISNUMBER(SEARCH("MATE",INVENTARIO!C41)),"MAT",
IF(ISNUMBER(SEARCH("MESH",INVENTARIO!C41)),"MES",
IF(ISNUMBER(SEARCH("BRILLANTE",INVENTARIO!C41)),"BRI",
IF(ISNUMBER(SEARCH("DELGADA",INVENTARIO!C41)),"DEL",
IF(ISNUMBER(SEARCH("GRUESA",INVENTARIO!C41)),"GRU",
IF(ISNUMBER(SEARCH("ESTATICO",INVENTARIO!C41)),"EST",
IF(ISNUMBER(SEARCH("REFLECTIVO",INVENTARIO!C41)),"REF",
IF(ISNUMBER(SEARCH("LX700",INVENTARIO!C41)),"LX7",
IF(ISNUMBER(SEARCH("GRANDO",INVENTARIO!C41)),"GRA",
IF(ISNUMBER(SEARCH("FB700",INVENTARIO!C41)),"FB7",
IF(ISNUMBER(SEARCH("LX360",INVENTARIO!C41)),"LX3",
IF(ISNUMBER(SEARCH("XEROX",INVENTARIO!C41)),"XER",
IF(ISNUMBER(SEARCH("CEPILLADO",INVENTARIO!C41)),"CEP",
IF(ISNUMBER(SEARCH("ESPEJO",INVENTARIO!C41)),"ESP",
IF(ISNUMBER(SEARCH("10 PTS",INVENTARIO!C41)),"10PT",
IF(ISNUMBER(SEARCH("12 PTS",INVENTARIO!C41)),"12PT",
IF(ISNUMBER(SEARCH("14 PTS",INVENTARIO!C41)),"14PT",
IF(ISNUMBER(SEARCH("CLASICO",INVENTARIO!C41)),"CLA",
""))))))))))))))))))))))</f>
        <v/>
      </c>
      <c r="D41" t="str">
        <f>IF(ISNUMBER(SEARCH("GRAN FORMATO",INVENTARIO!C41)),"GRA-FOR",
IF(ISNUMBER(SEARCH("CAMA PLANA",INVENTARIO!C41)),"CAM-PLA",
IF(ISNUMBER(SEARCH("GRADO INGENIERIA",INVENTARIO!C41)),"GRA-ING",
IF(ISNUMBER(SEARCH("130 GRS",INVENTARIO!C41)),"130GR",
IF(ISNUMBER(SEARCH("150 GRS",INVENTARIO!C41)),"150GR",
IF(ISNUMBER(SEARCH("185 GRS",INVENTARIO!C41)),"185GR",
IF(ISNUMBER(SEARCH("200 GRS",INVENTARIO!C41)),"200GR",
IF(ISNUMBER(SEARCH("250 GRS",INVENTARIO!C41)),"250GR",
IF(ISNUMBER(SEARCH("300 GRS",INVENTARIO!C41)),"300GR",
IF(ISNUMBER(SEARCH("350 GRS",INVENTARIO!C41)),"350GR",
IF(ISNUMBER(SEARCH("18 OZ",INVENTARIO!C41)),"18OZ",
IF(ISNUMBER(SEARCH("15 OZ",INVENTARIO!C41)),"15OZ",
IF(OR(ISNUMBER(SEARCH("13 OZ",INVENTARIO!C41)),ISNUMBER(SEARCH("13 ONZAS",INVENTARIO!C41))),"13OZ",
IF(OR(ISNUMBER(SEARCH("9 OZ",INVENTARIO!C41)),ISNUMBER(SEARCH("9 ONZAS",INVENTARIO!C41))),"09OZ",
IF(ISNUMBER(SEARCH("DOBLE CARA",INVENTARIO!C41)),"DOB-CAR",
"")))))))))))))))</f>
        <v/>
      </c>
      <c r="E41" t="str">
        <f>IF(OR(ISNUMBER(SEARCH("TRANSPARENTE",INVENTARIO!C41)),ISNUMBER(SEARCH("TRANSPARENTES",INVENTARIO!C41))),"TRA",
IF(OR(ISNUMBER(SEARCH("BLANCO",INVENTARIO!C41)),ISNUMBER(SEARCH("BCO",INVENTARIO!C41))),"BLA",
IF(ISNUMBER(SEARCH("FOTOGRAFICO",INVENTARIO!C41)),"FOT",
IF(ISNUMBER(SEARCH("MARFIL",INVENTARIO!C41)),"MAR",
IF(ISNUMBER(SEARCH("VERDE",INVENTARIO!C41)),"VER",
IF(ISNUMBER(SEARCH("MORADO",INVENTARIO!C41)),"MOR",
IF(ISNUMBER(SEARCH("PLATA",INVENTARIO!C41)),"PLA",
IF(ISNUMBER(SEARCH("ORO",INVENTARIO!C41)),"ORO",
IF(ISNUMBER(SEARCH("AMARILLO",INVENTARIO!C41)),"AMA",
IF(ISNUMBER(SEARCH("NARANJA",INVENTARIO!C41)),"NAR",
IF(ISNUMBER(SEARCH("NEGRO",INVENTARIO!C41)),"NEG",
IF(ISNUMBER(SEARCH("ROJO",INVENTARIO!C41)),"ROJ",
IF(ISNUMBER(SEARCH("AZUL",INVENTARIO!C41)),"AZU","")))))))))))))</f>
        <v/>
      </c>
      <c r="F41" t="str">
        <f>IF(ISNUMBER(SEARCH("ARLON",INVENTARIO!C41)),"ARL",
IF(ISNUMBER(SEARCH("SUNTHINKS",INVENTARIO!C41)),"SUN",
IF(ISNUMBER(SEARCH("FRIO",INVENTARIO!C41)),"FRI",
IF(ISNUMBER(SEARCH("CALIDO",INVENTARIO!C41)),"CAL",
IF(ISNUMBER(SEARCH("CEPILLADO",INVENTARIO!C41)),"CEP",
IF(ISNUMBER(SEARCH("ESPEJO",INVENTARIO!C41)),"ESP",
""))))))</f>
        <v/>
      </c>
      <c r="G41" t="str">
        <f>IF(ISNUMBER(SEARCH("LATEX",INVENTARIO!C41)),"LAT",
IF(ISNUMBER(SEARCH("RESP. NEGRO",INVENTARIO!C41)),"RES-NEG",
IF(ISNUMBER(SEARCH("RESPALDO CAFE",INVENTARIO!C41)),"RES-CAF",
IF(ISNUMBER(SEARCH("RESPALDO GRIS",INVENTARIO!C41)),"RES-GRI",
IF(ISNUMBER(SEARCH("OPTICO",INVENTARIO!C41)),"OPT",
IF(ISNUMBER(SEARCH("1,2 MM",INVENTARIO!C41)),"1MM2",
IF(ISNUMBER(SEARCH("2 MM",INVENTARIO!C41)),"2MM",
IF(ISNUMBER(SEARCH("3 MM",INVENTARIO!C41)),"3MM",
IF(ISNUMBER(SEARCH("4 MM",INVENTARIO!C41)),"4MM",
IF(ISNUMBER(SEARCH("5 MM",INVENTARIO!C41)),"5MM",
IF(ISNUMBER(SEARCH("6 MM",INVENTARIO!C41)),"6MM",
IF(ISNUMBER(SEARCH("9 MM",INVENTARIO!C41)),"9MM",
IF(ISNUMBER(SEARCH("10 MM",INVENTARIO!C41)),"10MM","")))))))))))))</f>
        <v/>
      </c>
      <c r="H41" t="str">
        <f>IF(ISNUMBER(SEARCH("GAMA BAJA",INVENTARIO!C41)),"GAM-BAJ",
IF(ISNUMBER(SEARCH("OPTIMIZADOR",INVENTARIO!C41)),"OPT",
IF(ISNUMBER(SEARCH("OVERCOAT",INVENTARIO!C41)),"OVE",
IF(ISNUMBER(SEARCH("WHITE",INVENTARIO!C41)),"WHI",
IF(ISNUMBER(SEARCH("LIGHT CYAN",INVENTARIO!C41)),"LIG-CYA",
IF(ISNUMBER(SEARCH("CYAN",INVENTARIO!C41)),"CYA",
IF(ISNUMBER(SEARCH("LIGHT MAGENTA",INVENTARIO!C41)),"LIG-MAG",
IF(ISNUMBER(SEARCH("MAGENTA",INVENTARIO!C41)),"MAG",
IF(ISNUMBER(SEARCH("BLACK",INVENTARIO!C41)),"BLA",
IF(ISNUMBER(SEARCH("YELLOW",INVENTARIO!C41)),"YEL",
IF(ISNUMBER(SEARCH("2 DIODOS",INVENTARIO!C41)),"2DI",
IF(ISNUMBER(SEARCH("3 DIODOS",INVENTARIO!C41)),"3DI",
IF(OR(ISNUMBER(SEARCH("TRASLUCIDO",INVENTARIO!C41)),ISNUMBER(SEARCH("TRANSLUCIDO",INVENTARIO!C41))),"TRA",
"")))))))))))))</f>
        <v/>
      </c>
      <c r="I41" t="str">
        <f>IF(ISNUMBER(SEARCH("SILED",INVENTARIO!C43)),"SI",
IF(ISNUMBER(SEARCH("SYDEMEX",INVENTARIO!C43)),"SY",
IF(ISNUMBER(SEARCH("ROHS",INVENTARIO!C43)),"RO",
IF(ISNUMBER(SEARCH("RISHANG",INVENTARIO!C43)),"RS",
IF(ISNUMBER(SEARCH("VYG",INVENTARIO!C43)),"VYG",
IF(ISNUMBER(SEARCH("COLED",INVENTARIO!C43)),"CO",""))))))</f>
        <v/>
      </c>
    </row>
    <row r="42" spans="1:9">
      <c r="A42" t="str">
        <f>IF(ISNUMBER(SEARCH("LONA",INVENTARIO!C42)),"LON",
IF(ISNUMBER(SEARCH("VINIL",INVENTARIO!C42)),"VIN",
IF(ISNUMBER(SEARCH("KROMACOTE",INVENTARIO!C42)),"KRO",
IF(ISNUMBER(SEARCH("STARDREAM",INVENTARIO!C42)),"STA",
IF(ISNUMBER(SEARCH("DISPLAY",INVENTARIO!C42)),"DIS",
IF(ISNUMBER(SEARCH("ROLL UP",INVENTARIO!C42)),"ROL-UP",
IF(ISNUMBER(SEARCH("TRANSFER DE PAPEL",INVENTARIO!C42)),"TRA-PAP",
IF(ISNUMBER(SEARCH("TRANSFER",INVENTARIO!C42)),"TRA",IF(ISNUMBER(SEARCH("KOLA LOKA",INVENTARIO!C42)),"KOL-LOK",
IF(ISNUMBER(SEARCH("PETG",INVENTARIO!C42)),"PET",
IF(ISNUMBER(SEARCH("OJILLO",INVENTARIO!C42)),"OJI",
IF(ISNUMBER(SEARCH("COUCHE",INVENTARIO!C42)),"COU",
IF(ISNUMBER(SEARCH("PANEL DE ALUMINIO",INVENTARIO!C42)),"PAN-ALU",
IF(ISNUMBER(SEARCH("PVC",INVENTARIO!C42)),"PVC",
IF(ISNUMBER(SEARCH("PAPEL",INVENTARIO!C42)),"PAP",
IF(ISNUMBER(SEARCH("TELA",INVENTARIO!C42)),"TEL",
IF(ISNUMBER(SEARCH("CARTULINA",INVENTARIO!C42)),"CAR",
IF(OR(ISNUMBER(SEARCH("LAMINA",INVENTARIO!C42)),ISNUMBER(SEARCH("LÁMINA",INVENTARIO!C42)),ISNUMBER(SEARCH("LAMPARAS",INVENTARIO!C42))),"LAM",
IF(ISNUMBER(SEARCH("ESTIRENO",INVENTARIO!C42)),"EST",
IF(ISNUMBER(SEARCH("FOAMBOARD",INVENTARIO!C42)),"FOA",
IF(ISNUMBER(SEARCH("SOLVENTE",INVENTARIO!C42)),"SOL",
IF(ISNUMBER(SEARCH("TINTA",INVENTARIO!C42)),"TIN",
IF(ISNUMBER(SEARCH("ACRILICO",INVENTARIO!C42)),"ACR",
IF(ISNUMBER(SEARCH("MICROLED",INVENTARIO!C42)),"MIC",
IF(ISNUMBER(SEARCH("LED",INVENTARIO!C42)),"LED",
IF(ISNUMBER(SEARCH("FUENTE DE PODER",INVENTARIO!C42)),"FUE-POD",
IF(ISNUMBER(SEARCH("PETG",INVENTARIO!C42)),"PET",
IF(ISNUMBER(SEARCH("ALUMINIO",INVENTARIO!C42)),"ALU",
IF(ISNUMBER(SEARCH("CANAL",INVENTARIO!C42)),"CAN",
IF(ISNUMBER(SEARCH("ESCUADRA",INVENTARIO!C42)),"ESC",
IF(ISNUMBER(SEARCH("SOPORTE",INVENTARIO!C42)),"SOP","OTR")
))))))))))))))))))))))))))))))</f>
        <v>VIN</v>
      </c>
      <c r="B42" t="str">
        <f>IF(ISNUMBER(SEARCH("CORTE",INVENTARIO!C42)),"COR",
IF(ISNUMBER(SEARCH("CITYLIGHT",INVENTARIO!C42)),"CIT",
IF(ISNUMBER(SEARCH("LINO",INVENTARIO!C42)),"LIN",
IF(ISNUMBER(SEARCH("FABRIANO",INVENTARIO!C42)),"FAB",
IF(ISNUMBER(SEARCH("SUNDANCE",INVENTARIO!C42)),"SUN",
IF(ISNUMBER(SEARCH("SINTETICA",INVENTARIO!C42)),"SIN",
IF(ISNUMBER(SEARCH("CONTROL",INVENTARIO!C42)),"CON",
IF(ISNUMBER(SEARCH("TERMICO",INVENTARIO!C42)),"TER",
IF(ISNUMBER(SEARCH("C-15",INVENTARIO!C42)),"C15",
IF(ISNUMBER(SEARCH("C-20",INVENTARIO!C42)),"C20",
IF(ISNUMBER(SEARCH("C-30",INVENTARIO!C42)),"C30",
IF(ISNUMBER(SEARCH("C-40",INVENTARIO!C42)),"C40",
IF(ISNUMBER(SEARCH("C-60",INVENTARIO!C42)),"C60",
IF(ISNUMBER(SEARCH("C-80",INVENTARIO!C42)),"C80",
IF(ISNUMBER(SEARCH("EQUIPO",INVENTARIO!C42)),"EQU",
IF(ISNUMBER(SEARCH("FLOOR",INVENTARIO!C42)),"FLO",
IF(ISNUMBER(SEARCH("CRISTAL",INVENTARIO!C42)),"CRI",
IF(ISNUMBER(SEARCH(" SULFATADA",INVENTARIO!C53)),"SUL",
IF(ISNUMBER(SEARCH("OPALINA",INVENTARIO!C42)),"OPA",
IF(ISNUMBER(SEARCH("ADHERIBLE",INVENTARIO!C42)),"ADH",
IF(ISNUMBER(SEARCH("MICRO",INVENTARIO!C42)),"MIC","")))))))))))))))))))))</f>
        <v>CON</v>
      </c>
      <c r="C42" t="str">
        <f>IF(ISNUMBER(SEARCH("PARED",INVENTARIO!C42)),"PAR",
IF(ISNUMBER(SEARCH("FRONT",INVENTARIO!C42)),"FRO",
IF(ISNUMBER(SEARCH("ALTA RESISTENCIA",INVENTARIO!C42)),
"ALT-RES",IF(ISNUMBER(SEARCH("BACKLITE",INVENTARIO!C42)),"BAC",
IF(ISNUMBER(SEARCH("MATE",INVENTARIO!C42)),"MAT",
IF(ISNUMBER(SEARCH("MESH",INVENTARIO!C42)),"MES",
IF(ISNUMBER(SEARCH("BRILLANTE",INVENTARIO!C42)),"BRI",
IF(ISNUMBER(SEARCH("DELGADA",INVENTARIO!C42)),"DEL",
IF(ISNUMBER(SEARCH("GRUESA",INVENTARIO!C42)),"GRU",
IF(ISNUMBER(SEARCH("ESTATICO",INVENTARIO!C42)),"EST",
IF(ISNUMBER(SEARCH("REFLECTIVO",INVENTARIO!C42)),"REF",
IF(ISNUMBER(SEARCH("LX700",INVENTARIO!C42)),"LX7",
IF(ISNUMBER(SEARCH("GRANDO",INVENTARIO!C42)),"GRA",
IF(ISNUMBER(SEARCH("FB700",INVENTARIO!C42)),"FB7",
IF(ISNUMBER(SEARCH("LX360",INVENTARIO!C42)),"LX3",
IF(ISNUMBER(SEARCH("XEROX",INVENTARIO!C42)),"XER",
IF(ISNUMBER(SEARCH("CEPILLADO",INVENTARIO!C42)),"CEP",
IF(ISNUMBER(SEARCH("ESPEJO",INVENTARIO!C42)),"ESP",
IF(ISNUMBER(SEARCH("10 PTS",INVENTARIO!C42)),"10PT",
IF(ISNUMBER(SEARCH("12 PTS",INVENTARIO!C42)),"12PT",
IF(ISNUMBER(SEARCH("14 PTS",INVENTARIO!C42)),"14PT",
IF(ISNUMBER(SEARCH("CLASICO",INVENTARIO!C42)),"CLA",
""))))))))))))))))))))))</f>
        <v/>
      </c>
      <c r="D42" t="str">
        <f>IF(ISNUMBER(SEARCH("GRAN FORMATO",INVENTARIO!C42)),"GRA-FOR",
IF(ISNUMBER(SEARCH("CAMA PLANA",INVENTARIO!C42)),"CAM-PLA",
IF(ISNUMBER(SEARCH("GRADO INGENIERIA",INVENTARIO!C42)),"GRA-ING",
IF(ISNUMBER(SEARCH("130 GRS",INVENTARIO!C42)),"130GR",
IF(ISNUMBER(SEARCH("150 GRS",INVENTARIO!C42)),"150GR",
IF(ISNUMBER(SEARCH("185 GRS",INVENTARIO!C42)),"185GR",
IF(ISNUMBER(SEARCH("200 GRS",INVENTARIO!C42)),"200GR",
IF(ISNUMBER(SEARCH("250 GRS",INVENTARIO!C42)),"250GR",
IF(ISNUMBER(SEARCH("300 GRS",INVENTARIO!C42)),"300GR",
IF(ISNUMBER(SEARCH("350 GRS",INVENTARIO!C42)),"350GR",
IF(ISNUMBER(SEARCH("18 OZ",INVENTARIO!C42)),"18OZ",
IF(ISNUMBER(SEARCH("15 OZ",INVENTARIO!C42)),"15OZ",
IF(OR(ISNUMBER(SEARCH("13 OZ",INVENTARIO!C42)),ISNUMBER(SEARCH("13 ONZAS",INVENTARIO!C42))),"13OZ",
IF(OR(ISNUMBER(SEARCH("9 OZ",INVENTARIO!C42)),ISNUMBER(SEARCH("9 ONZAS",INVENTARIO!C42))),"09OZ",
IF(ISNUMBER(SEARCH("DOBLE CARA",INVENTARIO!C42)),"DOB-CAR",
"")))))))))))))))</f>
        <v/>
      </c>
      <c r="E42" t="str">
        <f>IF(OR(ISNUMBER(SEARCH("TRANSPARENTE",INVENTARIO!C42)),ISNUMBER(SEARCH("TRANSPARENTES",INVENTARIO!C42))),"TRA",
IF(OR(ISNUMBER(SEARCH("BLANCO",INVENTARIO!C42)),ISNUMBER(SEARCH("BCO",INVENTARIO!C42))),"BLA",
IF(ISNUMBER(SEARCH("FOTOGRAFICO",INVENTARIO!C42)),"FOT",
IF(ISNUMBER(SEARCH("MARFIL",INVENTARIO!C42)),"MAR",
IF(ISNUMBER(SEARCH("VERDE",INVENTARIO!C42)),"VER",
IF(ISNUMBER(SEARCH("MORADO",INVENTARIO!C42)),"MOR",
IF(ISNUMBER(SEARCH("PLATA",INVENTARIO!C42)),"PLA",
IF(ISNUMBER(SEARCH("ORO",INVENTARIO!C42)),"ORO",
IF(ISNUMBER(SEARCH("AMARILLO",INVENTARIO!C42)),"AMA",
IF(ISNUMBER(SEARCH("NARANJA",INVENTARIO!C42)),"NAR",
IF(ISNUMBER(SEARCH("NEGRO",INVENTARIO!C42)),"NEG",
IF(ISNUMBER(SEARCH("ROJO",INVENTARIO!C42)),"ROJ",
IF(ISNUMBER(SEARCH("AZUL",INVENTARIO!C42)),"AZU","")))))))))))))</f>
        <v/>
      </c>
      <c r="F42" t="str">
        <f>IF(ISNUMBER(SEARCH("ARLON",INVENTARIO!C42)),"ARL",
IF(ISNUMBER(SEARCH("SUNTHINKS",INVENTARIO!C42)),"SUN",
IF(ISNUMBER(SEARCH("FRIO",INVENTARIO!C42)),"FRI",
IF(ISNUMBER(SEARCH("CALIDO",INVENTARIO!C42)),"CAL",
IF(ISNUMBER(SEARCH("CEPILLADO",INVENTARIO!C42)),"CEP",
IF(ISNUMBER(SEARCH("ESPEJO",INVENTARIO!C42)),"ESP",
""))))))</f>
        <v/>
      </c>
      <c r="G42" t="str">
        <f>IF(ISNUMBER(SEARCH("LATEX",INVENTARIO!C42)),"LAT",
IF(ISNUMBER(SEARCH("RESP. NEGRO",INVENTARIO!C42)),"RES-NEG",
IF(ISNUMBER(SEARCH("RESPALDO CAFE",INVENTARIO!C42)),"RES-CAF",
IF(ISNUMBER(SEARCH("RESPALDO GRIS",INVENTARIO!C42)),"RES-GRI",
IF(ISNUMBER(SEARCH("OPTICO",INVENTARIO!C42)),"OPT",
IF(ISNUMBER(SEARCH("1,2 MM",INVENTARIO!C42)),"1MM2",
IF(ISNUMBER(SEARCH("2 MM",INVENTARIO!C42)),"2MM",
IF(ISNUMBER(SEARCH("3 MM",INVENTARIO!C42)),"3MM",
IF(ISNUMBER(SEARCH("4 MM",INVENTARIO!C42)),"4MM",
IF(ISNUMBER(SEARCH("5 MM",INVENTARIO!C42)),"5MM",
IF(ISNUMBER(SEARCH("6 MM",INVENTARIO!C42)),"6MM",
IF(ISNUMBER(SEARCH("9 MM",INVENTARIO!C42)),"9MM",
IF(ISNUMBER(SEARCH("10 MM",INVENTARIO!C42)),"10MM","")))))))))))))</f>
        <v/>
      </c>
      <c r="H42" t="str">
        <f>IF(ISNUMBER(SEARCH("GAMA BAJA",INVENTARIO!C42)),"GAM-BAJ",
IF(ISNUMBER(SEARCH("OPTIMIZADOR",INVENTARIO!C42)),"OPT",
IF(ISNUMBER(SEARCH("OVERCOAT",INVENTARIO!C42)),"OVE",
IF(ISNUMBER(SEARCH("WHITE",INVENTARIO!C42)),"WHI",
IF(ISNUMBER(SEARCH("LIGHT CYAN",INVENTARIO!C42)),"LIG-CYA",
IF(ISNUMBER(SEARCH("CYAN",INVENTARIO!C42)),"CYA",
IF(ISNUMBER(SEARCH("LIGHT MAGENTA",INVENTARIO!C42)),"LIG-MAG",
IF(ISNUMBER(SEARCH("MAGENTA",INVENTARIO!C42)),"MAG",
IF(ISNUMBER(SEARCH("BLACK",INVENTARIO!C42)),"BLA",
IF(ISNUMBER(SEARCH("YELLOW",INVENTARIO!C42)),"YEL",
IF(ISNUMBER(SEARCH("2 DIODOS",INVENTARIO!C42)),"2DI",
IF(ISNUMBER(SEARCH("3 DIODOS",INVENTARIO!C42)),"3DI",
IF(OR(ISNUMBER(SEARCH("TRASLUCIDO",INVENTARIO!C42)),ISNUMBER(SEARCH("TRANSLUCIDO",INVENTARIO!C42))),"TRA",
"")))))))))))))</f>
        <v/>
      </c>
      <c r="I42" t="str">
        <f>IF(ISNUMBER(SEARCH("SILED",INVENTARIO!C45)),"SI",
IF(ISNUMBER(SEARCH("SYDEMEX",INVENTARIO!C45)),"SY",
IF(ISNUMBER(SEARCH("ROHS",INVENTARIO!C45)),"RO",
IF(ISNUMBER(SEARCH("RISHANG",INVENTARIO!C45)),"RS",
IF(ISNUMBER(SEARCH("VYG",INVENTARIO!C45)),"VYG",
IF(ISNUMBER(SEARCH("COLED",INVENTARIO!C45)),"CO",""))))))</f>
        <v/>
      </c>
    </row>
    <row r="43" spans="1:9">
      <c r="A43" t="str">
        <f>IF(ISNUMBER(SEARCH("LONA",INVENTARIO!C43)),"LON",
IF(ISNUMBER(SEARCH("VINIL",INVENTARIO!C43)),"VIN",
IF(ISNUMBER(SEARCH("KROMACOTE",INVENTARIO!C43)),"KRO",
IF(ISNUMBER(SEARCH("STARDREAM",INVENTARIO!C43)),"STA",
IF(ISNUMBER(SEARCH("DISPLAY",INVENTARIO!C43)),"DIS",
IF(ISNUMBER(SEARCH("ROLL UP",INVENTARIO!C43)),"ROL-UP",
IF(ISNUMBER(SEARCH("TRANSFER DE PAPEL",INVENTARIO!C43)),"TRA-PAP",
IF(ISNUMBER(SEARCH("TRANSFER",INVENTARIO!C43)),"TRA",IF(ISNUMBER(SEARCH("KOLA LOKA",INVENTARIO!C43)),"KOL-LOK",
IF(ISNUMBER(SEARCH("PETG",INVENTARIO!C43)),"PET",
IF(ISNUMBER(SEARCH("OJILLO",INVENTARIO!C43)),"OJI",
IF(ISNUMBER(SEARCH("COUCHE",INVENTARIO!C43)),"COU",
IF(ISNUMBER(SEARCH("PANEL DE ALUMINIO",INVENTARIO!C43)),"PAN-ALU",
IF(ISNUMBER(SEARCH("PVC",INVENTARIO!C43)),"PVC",
IF(ISNUMBER(SEARCH("PAPEL",INVENTARIO!C43)),"PAP",
IF(ISNUMBER(SEARCH("TELA",INVENTARIO!C43)),"TEL",
IF(ISNUMBER(SEARCH("CARTULINA",INVENTARIO!C43)),"CAR",
IF(OR(ISNUMBER(SEARCH("LAMINA",INVENTARIO!C43)),ISNUMBER(SEARCH("LÁMINA",INVENTARIO!C43)),ISNUMBER(SEARCH("LAMPARAS",INVENTARIO!C43))),"LAM",
IF(ISNUMBER(SEARCH("ESTIRENO",INVENTARIO!C43)),"EST",
IF(ISNUMBER(SEARCH("FOAMBOARD",INVENTARIO!C43)),"FOA",
IF(ISNUMBER(SEARCH("SOLVENTE",INVENTARIO!C43)),"SOL",
IF(ISNUMBER(SEARCH("TINTA",INVENTARIO!C43)),"TIN",
IF(ISNUMBER(SEARCH("ACRILICO",INVENTARIO!C43)),"ACR",
IF(ISNUMBER(SEARCH("MICROLED",INVENTARIO!C43)),"MIC",
IF(ISNUMBER(SEARCH("LED",INVENTARIO!C43)),"LED",
IF(ISNUMBER(SEARCH("FUENTE DE PODER",INVENTARIO!C43)),"FUE-POD",
IF(ISNUMBER(SEARCH("PETG",INVENTARIO!C43)),"PET",
IF(ISNUMBER(SEARCH("ALUMINIO",INVENTARIO!C43)),"ALU",
IF(ISNUMBER(SEARCH("CANAL",INVENTARIO!C43)),"CAN",
IF(ISNUMBER(SEARCH("ESCUADRA",INVENTARIO!C43)),"ESC",
IF(ISNUMBER(SEARCH("SOPORTE",INVENTARIO!C43)),"SOP","OTR")
))))))))))))))))))))))))))))))</f>
        <v>VIN</v>
      </c>
      <c r="B43" t="str">
        <f>IF(ISNUMBER(SEARCH("CORTE",INVENTARIO!C43)),"COR",
IF(ISNUMBER(SEARCH("CITYLIGHT",INVENTARIO!C43)),"CIT",
IF(ISNUMBER(SEARCH("LINO",INVENTARIO!C43)),"LIN",
IF(ISNUMBER(SEARCH("FABRIANO",INVENTARIO!C43)),"FAB",
IF(ISNUMBER(SEARCH("SUNDANCE",INVENTARIO!C43)),"SUN",
IF(ISNUMBER(SEARCH("SINTETICA",INVENTARIO!C43)),"SIN",
IF(ISNUMBER(SEARCH("CONTROL",INVENTARIO!C43)),"CON",
IF(ISNUMBER(SEARCH("TERMICO",INVENTARIO!C43)),"TER",
IF(ISNUMBER(SEARCH("C-15",INVENTARIO!C43)),"C15",
IF(ISNUMBER(SEARCH("C-20",INVENTARIO!C43)),"C20",
IF(ISNUMBER(SEARCH("C-30",INVENTARIO!C43)),"C30",
IF(ISNUMBER(SEARCH("C-40",INVENTARIO!C43)),"C40",
IF(ISNUMBER(SEARCH("C-60",INVENTARIO!C43)),"C60",
IF(ISNUMBER(SEARCH("C-80",INVENTARIO!C43)),"C80",
IF(ISNUMBER(SEARCH("EQUIPO",INVENTARIO!C43)),"EQU",
IF(ISNUMBER(SEARCH("FLOOR",INVENTARIO!C43)),"FLO",
IF(ISNUMBER(SEARCH("CRISTAL",INVENTARIO!C43)),"CRI",
IF(ISNUMBER(SEARCH(" SULFATADA",INVENTARIO!C54)),"SUL",
IF(ISNUMBER(SEARCH("OPALINA",INVENTARIO!C43)),"OPA",
IF(ISNUMBER(SEARCH("ADHERIBLE",INVENTARIO!C43)),"ADH",
IF(ISNUMBER(SEARCH("MICRO",INVENTARIO!C43)),"MIC","")))))))))))))))))))))</f>
        <v>CON</v>
      </c>
      <c r="C43" t="str">
        <f>IF(ISNUMBER(SEARCH("PARED",INVENTARIO!C43)),"PAR",
IF(ISNUMBER(SEARCH("FRONT",INVENTARIO!C43)),"FRO",
IF(ISNUMBER(SEARCH("ALTA RESISTENCIA",INVENTARIO!C43)),
"ALT-RES",IF(ISNUMBER(SEARCH("BACKLITE",INVENTARIO!C43)),"BAC",
IF(ISNUMBER(SEARCH("MATE",INVENTARIO!C43)),"MAT",
IF(ISNUMBER(SEARCH("MESH",INVENTARIO!C43)),"MES",
IF(ISNUMBER(SEARCH("BRILLANTE",INVENTARIO!C43)),"BRI",
IF(ISNUMBER(SEARCH("DELGADA",INVENTARIO!C43)),"DEL",
IF(ISNUMBER(SEARCH("GRUESA",INVENTARIO!C43)),"GRU",
IF(ISNUMBER(SEARCH("ESTATICO",INVENTARIO!C43)),"EST",
IF(ISNUMBER(SEARCH("REFLECTIVO",INVENTARIO!C43)),"REF",
IF(ISNUMBER(SEARCH("LX700",INVENTARIO!C43)),"LX7",
IF(ISNUMBER(SEARCH("GRANDO",INVENTARIO!C43)),"GRA",
IF(ISNUMBER(SEARCH("FB700",INVENTARIO!C43)),"FB7",
IF(ISNUMBER(SEARCH("LX360",INVENTARIO!C43)),"LX3",
IF(ISNUMBER(SEARCH("XEROX",INVENTARIO!C43)),"XER",
IF(ISNUMBER(SEARCH("CEPILLADO",INVENTARIO!C43)),"CEP",
IF(ISNUMBER(SEARCH("ESPEJO",INVENTARIO!C43)),"ESP",
IF(ISNUMBER(SEARCH("10 PTS",INVENTARIO!C43)),"10PT",
IF(ISNUMBER(SEARCH("12 PTS",INVENTARIO!C43)),"12PT",
IF(ISNUMBER(SEARCH("14 PTS",INVENTARIO!C43)),"14PT",
IF(ISNUMBER(SEARCH("CLASICO",INVENTARIO!C43)),"CLA",
""))))))))))))))))))))))</f>
        <v/>
      </c>
      <c r="D43" t="str">
        <f>IF(ISNUMBER(SEARCH("GRAN FORMATO",INVENTARIO!C43)),"GRA-FOR",
IF(ISNUMBER(SEARCH("CAMA PLANA",INVENTARIO!C43)),"CAM-PLA",
IF(ISNUMBER(SEARCH("GRADO INGENIERIA",INVENTARIO!C43)),"GRA-ING",
IF(ISNUMBER(SEARCH("130 GRS",INVENTARIO!C43)),"130GR",
IF(ISNUMBER(SEARCH("150 GRS",INVENTARIO!C43)),"150GR",
IF(ISNUMBER(SEARCH("185 GRS",INVENTARIO!C43)),"185GR",
IF(ISNUMBER(SEARCH("200 GRS",INVENTARIO!C43)),"200GR",
IF(ISNUMBER(SEARCH("250 GRS",INVENTARIO!C43)),"250GR",
IF(ISNUMBER(SEARCH("300 GRS",INVENTARIO!C43)),"300GR",
IF(ISNUMBER(SEARCH("350 GRS",INVENTARIO!C43)),"350GR",
IF(ISNUMBER(SEARCH("18 OZ",INVENTARIO!C43)),"18OZ",
IF(ISNUMBER(SEARCH("15 OZ",INVENTARIO!C43)),"15OZ",
IF(OR(ISNUMBER(SEARCH("13 OZ",INVENTARIO!C43)),ISNUMBER(SEARCH("13 ONZAS",INVENTARIO!C43))),"13OZ",
IF(OR(ISNUMBER(SEARCH("9 OZ",INVENTARIO!C43)),ISNUMBER(SEARCH("9 ONZAS",INVENTARIO!C43))),"09OZ",
IF(ISNUMBER(SEARCH("DOBLE CARA",INVENTARIO!C43)),"DOB-CAR",
"")))))))))))))))</f>
        <v/>
      </c>
      <c r="E43" t="str">
        <f>IF(OR(ISNUMBER(SEARCH("TRANSPARENTE",INVENTARIO!C43)),ISNUMBER(SEARCH("TRANSPARENTES",INVENTARIO!C43))),"TRA",
IF(OR(ISNUMBER(SEARCH("BLANCO",INVENTARIO!C43)),ISNUMBER(SEARCH("BCO",INVENTARIO!C43))),"BLA",
IF(ISNUMBER(SEARCH("FOTOGRAFICO",INVENTARIO!C43)),"FOT",
IF(ISNUMBER(SEARCH("MARFIL",INVENTARIO!C43)),"MAR",
IF(ISNUMBER(SEARCH("VERDE",INVENTARIO!C43)),"VER",
IF(ISNUMBER(SEARCH("MORADO",INVENTARIO!C43)),"MOR",
IF(ISNUMBER(SEARCH("PLATA",INVENTARIO!C43)),"PLA",
IF(ISNUMBER(SEARCH("ORO",INVENTARIO!C43)),"ORO",
IF(ISNUMBER(SEARCH("AMARILLO",INVENTARIO!C43)),"AMA",
IF(ISNUMBER(SEARCH("NARANJA",INVENTARIO!C43)),"NAR",
IF(ISNUMBER(SEARCH("NEGRO",INVENTARIO!C43)),"NEG",
IF(ISNUMBER(SEARCH("ROJO",INVENTARIO!C43)),"ROJ",
IF(ISNUMBER(SEARCH("AZUL",INVENTARIO!C43)),"AZU","")))))))))))))</f>
        <v/>
      </c>
      <c r="F43" t="str">
        <f>IF(ISNUMBER(SEARCH("ARLON",INVENTARIO!C43)),"ARL",
IF(ISNUMBER(SEARCH("SUNTHINKS",INVENTARIO!C43)),"SUN",
IF(ISNUMBER(SEARCH("FRIO",INVENTARIO!C43)),"FRI",
IF(ISNUMBER(SEARCH("CALIDO",INVENTARIO!C43)),"CAL",
IF(ISNUMBER(SEARCH("CEPILLADO",INVENTARIO!C43)),"CEP",
IF(ISNUMBER(SEARCH("ESPEJO",INVENTARIO!C43)),"ESP",
""))))))</f>
        <v/>
      </c>
      <c r="G43" t="str">
        <f>IF(ISNUMBER(SEARCH("LATEX",INVENTARIO!C43)),"LAT",
IF(ISNUMBER(SEARCH("RESP. NEGRO",INVENTARIO!C43)),"RES-NEG",
IF(ISNUMBER(SEARCH("RESPALDO CAFE",INVENTARIO!C43)),"RES-CAF",
IF(ISNUMBER(SEARCH("RESPALDO GRIS",INVENTARIO!C43)),"RES-GRI",
IF(ISNUMBER(SEARCH("OPTICO",INVENTARIO!C43)),"OPT",
IF(ISNUMBER(SEARCH("1,2 MM",INVENTARIO!C43)),"1MM2",
IF(ISNUMBER(SEARCH("2 MM",INVENTARIO!C43)),"2MM",
IF(ISNUMBER(SEARCH("3 MM",INVENTARIO!C43)),"3MM",
IF(ISNUMBER(SEARCH("4 MM",INVENTARIO!C43)),"4MM",
IF(ISNUMBER(SEARCH("5 MM",INVENTARIO!C43)),"5MM",
IF(ISNUMBER(SEARCH("6 MM",INVENTARIO!C43)),"6MM",
IF(ISNUMBER(SEARCH("9 MM",INVENTARIO!C43)),"9MM",
IF(ISNUMBER(SEARCH("10 MM",INVENTARIO!C43)),"10MM","")))))))))))))</f>
        <v/>
      </c>
      <c r="H43" t="str">
        <f>IF(ISNUMBER(SEARCH("GAMA BAJA",INVENTARIO!C43)),"GAM-BAJ",
IF(ISNUMBER(SEARCH("OPTIMIZADOR",INVENTARIO!C43)),"OPT",
IF(ISNUMBER(SEARCH("OVERCOAT",INVENTARIO!C43)),"OVE",
IF(ISNUMBER(SEARCH("WHITE",INVENTARIO!C43)),"WHI",
IF(ISNUMBER(SEARCH("LIGHT CYAN",INVENTARIO!C43)),"LIG-CYA",
IF(ISNUMBER(SEARCH("CYAN",INVENTARIO!C43)),"CYA",
IF(ISNUMBER(SEARCH("LIGHT MAGENTA",INVENTARIO!C43)),"LIG-MAG",
IF(ISNUMBER(SEARCH("MAGENTA",INVENTARIO!C43)),"MAG",
IF(ISNUMBER(SEARCH("BLACK",INVENTARIO!C43)),"BLA",
IF(ISNUMBER(SEARCH("YELLOW",INVENTARIO!C43)),"YEL",
IF(ISNUMBER(SEARCH("2 DIODOS",INVENTARIO!C43)),"2DI",
IF(ISNUMBER(SEARCH("3 DIODOS",INVENTARIO!C43)),"3DI",
IF(OR(ISNUMBER(SEARCH("TRASLUCIDO",INVENTARIO!C43)),ISNUMBER(SEARCH("TRANSLUCIDO",INVENTARIO!C43))),"TRA",
"")))))))))))))</f>
        <v/>
      </c>
      <c r="I43" t="str">
        <f>IF(ISNUMBER(SEARCH("SILED",INVENTARIO!C46)),"SI",
IF(ISNUMBER(SEARCH("SYDEMEX",INVENTARIO!C46)),"SY",
IF(ISNUMBER(SEARCH("ROHS",INVENTARIO!C46)),"RO",
IF(ISNUMBER(SEARCH("RISHANG",INVENTARIO!C46)),"RS",
IF(ISNUMBER(SEARCH("VYG",INVENTARIO!C46)),"VYG",
IF(ISNUMBER(SEARCH("COLED",INVENTARIO!C46)),"CO",""))))))</f>
        <v/>
      </c>
    </row>
    <row r="44" spans="1:9">
      <c r="A44" t="str">
        <f>IF(ISNUMBER(SEARCH("LONA",INVENTARIO!C44)),"LON",
IF(ISNUMBER(SEARCH("VINIL",INVENTARIO!C44)),"VIN",
IF(ISNUMBER(SEARCH("KROMACOTE",INVENTARIO!C44)),"KRO",
IF(ISNUMBER(SEARCH("STARDREAM",INVENTARIO!C44)),"STA",
IF(ISNUMBER(SEARCH("DISPLAY",INVENTARIO!C44)),"DIS",
IF(ISNUMBER(SEARCH("ROLL UP",INVENTARIO!C44)),"ROL-UP",
IF(ISNUMBER(SEARCH("TRANSFER DE PAPEL",INVENTARIO!C44)),"TRA-PAP",
IF(ISNUMBER(SEARCH("TRANSFER",INVENTARIO!C44)),"TRA",IF(ISNUMBER(SEARCH("KOLA LOKA",INVENTARIO!C44)),"KOL-LOK",
IF(ISNUMBER(SEARCH("PETG",INVENTARIO!C44)),"PET",
IF(ISNUMBER(SEARCH("OJILLO",INVENTARIO!C44)),"OJI",
IF(ISNUMBER(SEARCH("COUCHE",INVENTARIO!C44)),"COU",
IF(ISNUMBER(SEARCH("PANEL DE ALUMINIO",INVENTARIO!C44)),"PAN-ALU",
IF(ISNUMBER(SEARCH("PVC",INVENTARIO!C44)),"PVC",
IF(ISNUMBER(SEARCH("PAPEL",INVENTARIO!C44)),"PAP",
IF(ISNUMBER(SEARCH("TELA",INVENTARIO!C44)),"TEL",
IF(ISNUMBER(SEARCH("CARTULINA",INVENTARIO!C44)),"CAR",
IF(OR(ISNUMBER(SEARCH("LAMINA",INVENTARIO!C44)),ISNUMBER(SEARCH("LÁMINA",INVENTARIO!C44)),ISNUMBER(SEARCH("LAMPARAS",INVENTARIO!C44))),"LAM",
IF(ISNUMBER(SEARCH("ESTIRENO",INVENTARIO!C44)),"EST",
IF(ISNUMBER(SEARCH("FOAMBOARD",INVENTARIO!C44)),"FOA",
IF(ISNUMBER(SEARCH("SOLVENTE",INVENTARIO!C44)),"SOL",
IF(ISNUMBER(SEARCH("TINTA",INVENTARIO!C44)),"TIN",
IF(ISNUMBER(SEARCH("ACRILICO",INVENTARIO!C44)),"ACR",
IF(ISNUMBER(SEARCH("MICROLED",INVENTARIO!C44)),"MIC",
IF(ISNUMBER(SEARCH("LED",INVENTARIO!C44)),"LED",
IF(ISNUMBER(SEARCH("FUENTE DE PODER",INVENTARIO!C44)),"FUE-POD",
IF(ISNUMBER(SEARCH("PETG",INVENTARIO!C44)),"PET",
IF(ISNUMBER(SEARCH("ALUMINIO",INVENTARIO!C44)),"ALU",
IF(ISNUMBER(SEARCH("CANAL",INVENTARIO!C44)),"CAN",
IF(ISNUMBER(SEARCH("ESCUADRA",INVENTARIO!C44)),"ESC",
IF(ISNUMBER(SEARCH("SOPORTE",INVENTARIO!C44)),"SOP","OTR")
))))))))))))))))))))))))))))))</f>
        <v>VIN</v>
      </c>
      <c r="B44" t="str">
        <f>IF(ISNUMBER(SEARCH("CORTE",INVENTARIO!C44)),"COR",
IF(ISNUMBER(SEARCH("CITYLIGHT",INVENTARIO!C44)),"CIT",
IF(ISNUMBER(SEARCH("LINO",INVENTARIO!C44)),"LIN",
IF(ISNUMBER(SEARCH("FABRIANO",INVENTARIO!C44)),"FAB",
IF(ISNUMBER(SEARCH("SUNDANCE",INVENTARIO!C44)),"SUN",
IF(ISNUMBER(SEARCH("SINTETICA",INVENTARIO!C44)),"SIN",
IF(ISNUMBER(SEARCH("CONTROL",INVENTARIO!C44)),"CON",
IF(ISNUMBER(SEARCH("TERMICO",INVENTARIO!C44)),"TER",
IF(ISNUMBER(SEARCH("C-15",INVENTARIO!C44)),"C15",
IF(ISNUMBER(SEARCH("C-20",INVENTARIO!C44)),"C20",
IF(ISNUMBER(SEARCH("C-30",INVENTARIO!C44)),"C30",
IF(ISNUMBER(SEARCH("C-40",INVENTARIO!C44)),"C40",
IF(ISNUMBER(SEARCH("C-60",INVENTARIO!C44)),"C60",
IF(ISNUMBER(SEARCH("C-80",INVENTARIO!C44)),"C80",
IF(ISNUMBER(SEARCH("EQUIPO",INVENTARIO!C44)),"EQU",
IF(ISNUMBER(SEARCH("FLOOR",INVENTARIO!C44)),"FLO",
IF(ISNUMBER(SEARCH("CRISTAL",INVENTARIO!C44)),"CRI",
IF(ISNUMBER(SEARCH(" SULFATADA",INVENTARIO!C55)),"SUL",
IF(ISNUMBER(SEARCH("OPALINA",INVENTARIO!C44)),"OPA",
IF(ISNUMBER(SEARCH("ADHERIBLE",INVENTARIO!C44)),"ADH",
IF(ISNUMBER(SEARCH("MICRO",INVENTARIO!C44)),"MIC","")))))))))))))))))))))</f>
        <v>CON</v>
      </c>
      <c r="C44" t="str">
        <f>IF(ISNUMBER(SEARCH("PARED",INVENTARIO!C44)),"PAR",
IF(ISNUMBER(SEARCH("FRONT",INVENTARIO!C44)),"FRO",
IF(ISNUMBER(SEARCH("ALTA RESISTENCIA",INVENTARIO!C44)),
"ALT-RES",IF(ISNUMBER(SEARCH("BACKLITE",INVENTARIO!C44)),"BAC",
IF(ISNUMBER(SEARCH("MATE",INVENTARIO!C44)),"MAT",
IF(ISNUMBER(SEARCH("MESH",INVENTARIO!C44)),"MES",
IF(ISNUMBER(SEARCH("BRILLANTE",INVENTARIO!C44)),"BRI",
IF(ISNUMBER(SEARCH("DELGADA",INVENTARIO!C44)),"DEL",
IF(ISNUMBER(SEARCH("GRUESA",INVENTARIO!C44)),"GRU",
IF(ISNUMBER(SEARCH("ESTATICO",INVENTARIO!C44)),"EST",
IF(ISNUMBER(SEARCH("REFLECTIVO",INVENTARIO!C44)),"REF",
IF(ISNUMBER(SEARCH("LX700",INVENTARIO!C44)),"LX7",
IF(ISNUMBER(SEARCH("GRANDO",INVENTARIO!C44)),"GRA",
IF(ISNUMBER(SEARCH("FB700",INVENTARIO!C44)),"FB7",
IF(ISNUMBER(SEARCH("LX360",INVENTARIO!C44)),"LX3",
IF(ISNUMBER(SEARCH("XEROX",INVENTARIO!C44)),"XER",
IF(ISNUMBER(SEARCH("CEPILLADO",INVENTARIO!C44)),"CEP",
IF(ISNUMBER(SEARCH("ESPEJO",INVENTARIO!C44)),"ESP",
IF(ISNUMBER(SEARCH("10 PTS",INVENTARIO!C44)),"10PT",
IF(ISNUMBER(SEARCH("12 PTS",INVENTARIO!C44)),"12PT",
IF(ISNUMBER(SEARCH("14 PTS",INVENTARIO!C44)),"14PT",
IF(ISNUMBER(SEARCH("CLASICO",INVENTARIO!C44)),"CLA",
""))))))))))))))))))))))</f>
        <v/>
      </c>
      <c r="D44" t="str">
        <f>IF(ISNUMBER(SEARCH("GRAN FORMATO",INVENTARIO!C44)),"GRA-FOR",
IF(ISNUMBER(SEARCH("CAMA PLANA",INVENTARIO!C44)),"CAM-PLA",
IF(ISNUMBER(SEARCH("GRADO INGENIERIA",INVENTARIO!C44)),"GRA-ING",
IF(ISNUMBER(SEARCH("130 GRS",INVENTARIO!C44)),"130GR",
IF(ISNUMBER(SEARCH("150 GRS",INVENTARIO!C44)),"150GR",
IF(ISNUMBER(SEARCH("185 GRS",INVENTARIO!C44)),"185GR",
IF(ISNUMBER(SEARCH("200 GRS",INVENTARIO!C44)),"200GR",
IF(ISNUMBER(SEARCH("250 GRS",INVENTARIO!C44)),"250GR",
IF(ISNUMBER(SEARCH("300 GRS",INVENTARIO!C44)),"300GR",
IF(ISNUMBER(SEARCH("350 GRS",INVENTARIO!C44)),"350GR",
IF(ISNUMBER(SEARCH("18 OZ",INVENTARIO!C44)),"18OZ",
IF(ISNUMBER(SEARCH("15 OZ",INVENTARIO!C44)),"15OZ",
IF(OR(ISNUMBER(SEARCH("13 OZ",INVENTARIO!C44)),ISNUMBER(SEARCH("13 ONZAS",INVENTARIO!C44))),"13OZ",
IF(OR(ISNUMBER(SEARCH("9 OZ",INVENTARIO!C44)),ISNUMBER(SEARCH("9 ONZAS",INVENTARIO!C44))),"09OZ",
IF(ISNUMBER(SEARCH("DOBLE CARA",INVENTARIO!C44)),"DOB-CAR",
"")))))))))))))))</f>
        <v/>
      </c>
      <c r="E44" t="str">
        <f>IF(OR(ISNUMBER(SEARCH("TRANSPARENTE",INVENTARIO!C44)),ISNUMBER(SEARCH("TRANSPARENTES",INVENTARIO!C44))),"TRA",
IF(OR(ISNUMBER(SEARCH("BLANCO",INVENTARIO!C44)),ISNUMBER(SEARCH("BCO",INVENTARIO!C44))),"BLA",
IF(ISNUMBER(SEARCH("FOTOGRAFICO",INVENTARIO!C44)),"FOT",
IF(ISNUMBER(SEARCH("MARFIL",INVENTARIO!C44)),"MAR",
IF(ISNUMBER(SEARCH("VERDE",INVENTARIO!C44)),"VER",
IF(ISNUMBER(SEARCH("MORADO",INVENTARIO!C44)),"MOR",
IF(ISNUMBER(SEARCH("PLATA",INVENTARIO!C44)),"PLA",
IF(ISNUMBER(SEARCH("ORO",INVENTARIO!C44)),"ORO",
IF(ISNUMBER(SEARCH("AMARILLO",INVENTARIO!C44)),"AMA",
IF(ISNUMBER(SEARCH("NARANJA",INVENTARIO!C44)),"NAR",
IF(ISNUMBER(SEARCH("NEGRO",INVENTARIO!C44)),"NEG",
IF(ISNUMBER(SEARCH("ROJO",INVENTARIO!C44)),"ROJ",
IF(ISNUMBER(SEARCH("AZUL",INVENTARIO!C44)),"AZU","")))))))))))))</f>
        <v/>
      </c>
      <c r="F44" t="str">
        <f>IF(ISNUMBER(SEARCH("ARLON",INVENTARIO!C44)),"ARL",
IF(ISNUMBER(SEARCH("SUNTHINKS",INVENTARIO!C44)),"SUN",
IF(ISNUMBER(SEARCH("FRIO",INVENTARIO!C44)),"FRI",
IF(ISNUMBER(SEARCH("CALIDO",INVENTARIO!C44)),"CAL",
IF(ISNUMBER(SEARCH("CEPILLADO",INVENTARIO!C44)),"CEP",
IF(ISNUMBER(SEARCH("ESPEJO",INVENTARIO!C44)),"ESP",
""))))))</f>
        <v/>
      </c>
      <c r="G44" t="str">
        <f>IF(ISNUMBER(SEARCH("LATEX",INVENTARIO!C44)),"LAT",
IF(ISNUMBER(SEARCH("RESP. NEGRO",INVENTARIO!C44)),"RES-NEG",
IF(ISNUMBER(SEARCH("RESPALDO CAFE",INVENTARIO!C44)),"RES-CAF",
IF(ISNUMBER(SEARCH("RESPALDO GRIS",INVENTARIO!C44)),"RES-GRI",
IF(ISNUMBER(SEARCH("OPTICO",INVENTARIO!C44)),"OPT",
IF(ISNUMBER(SEARCH("1,2 MM",INVENTARIO!C44)),"1MM2",
IF(ISNUMBER(SEARCH("2 MM",INVENTARIO!C44)),"2MM",
IF(ISNUMBER(SEARCH("3 MM",INVENTARIO!C44)),"3MM",
IF(ISNUMBER(SEARCH("4 MM",INVENTARIO!C44)),"4MM",
IF(ISNUMBER(SEARCH("5 MM",INVENTARIO!C44)),"5MM",
IF(ISNUMBER(SEARCH("6 MM",INVENTARIO!C44)),"6MM",
IF(ISNUMBER(SEARCH("9 MM",INVENTARIO!C44)),"9MM",
IF(ISNUMBER(SEARCH("10 MM",INVENTARIO!C44)),"10MM","")))))))))))))</f>
        <v/>
      </c>
      <c r="H44" t="str">
        <f>IF(ISNUMBER(SEARCH("GAMA BAJA",INVENTARIO!C44)),"GAM-BAJ",
IF(ISNUMBER(SEARCH("OPTIMIZADOR",INVENTARIO!C44)),"OPT",
IF(ISNUMBER(SEARCH("OVERCOAT",INVENTARIO!C44)),"OVE",
IF(ISNUMBER(SEARCH("WHITE",INVENTARIO!C44)),"WHI",
IF(ISNUMBER(SEARCH("LIGHT CYAN",INVENTARIO!C44)),"LIG-CYA",
IF(ISNUMBER(SEARCH("CYAN",INVENTARIO!C44)),"CYA",
IF(ISNUMBER(SEARCH("LIGHT MAGENTA",INVENTARIO!C44)),"LIG-MAG",
IF(ISNUMBER(SEARCH("MAGENTA",INVENTARIO!C44)),"MAG",
IF(ISNUMBER(SEARCH("BLACK",INVENTARIO!C44)),"BLA",
IF(ISNUMBER(SEARCH("YELLOW",INVENTARIO!C44)),"YEL",
IF(ISNUMBER(SEARCH("2 DIODOS",INVENTARIO!C44)),"2DI",
IF(ISNUMBER(SEARCH("3 DIODOS",INVENTARIO!C44)),"3DI",
IF(OR(ISNUMBER(SEARCH("TRASLUCIDO",INVENTARIO!C44)),ISNUMBER(SEARCH("TRANSLUCIDO",INVENTARIO!C44))),"TRA",
"")))))))))))))</f>
        <v/>
      </c>
      <c r="I44" t="str">
        <f>IF(ISNUMBER(SEARCH("SILED",INVENTARIO!C47)),"SI",
IF(ISNUMBER(SEARCH("SYDEMEX",INVENTARIO!C47)),"SY",
IF(ISNUMBER(SEARCH("ROHS",INVENTARIO!C47)),"RO",
IF(ISNUMBER(SEARCH("RISHANG",INVENTARIO!C47)),"RS",
IF(ISNUMBER(SEARCH("VYG",INVENTARIO!C47)),"VYG",
IF(ISNUMBER(SEARCH("COLED",INVENTARIO!C47)),"CO",""))))))</f>
        <v/>
      </c>
    </row>
    <row r="45" spans="1:9">
      <c r="A45" t="str">
        <f>IF(ISNUMBER(SEARCH("LONA",INVENTARIO!C45)),"LON",
IF(ISNUMBER(SEARCH("VINIL",INVENTARIO!C45)),"VIN",
IF(ISNUMBER(SEARCH("KROMACOTE",INVENTARIO!C45)),"KRO",
IF(ISNUMBER(SEARCH("STARDREAM",INVENTARIO!C45)),"STA",
IF(ISNUMBER(SEARCH("DISPLAY",INVENTARIO!C45)),"DIS",
IF(ISNUMBER(SEARCH("ROLL UP",INVENTARIO!C45)),"ROL-UP",
IF(ISNUMBER(SEARCH("TRANSFER DE PAPEL",INVENTARIO!C45)),"TRA-PAP",
IF(ISNUMBER(SEARCH("TRANSFER",INVENTARIO!C45)),"TRA",IF(ISNUMBER(SEARCH("KOLA LOKA",INVENTARIO!C45)),"KOL-LOK",
IF(ISNUMBER(SEARCH("PETG",INVENTARIO!C45)),"PET",
IF(ISNUMBER(SEARCH("OJILLO",INVENTARIO!C45)),"OJI",
IF(ISNUMBER(SEARCH("COUCHE",INVENTARIO!C45)),"COU",
IF(ISNUMBER(SEARCH("PANEL DE ALUMINIO",INVENTARIO!C45)),"PAN-ALU",
IF(ISNUMBER(SEARCH("PVC",INVENTARIO!C45)),"PVC",
IF(ISNUMBER(SEARCH("PAPEL",INVENTARIO!C45)),"PAP",
IF(ISNUMBER(SEARCH("TELA",INVENTARIO!C45)),"TEL",
IF(ISNUMBER(SEARCH("CARTULINA",INVENTARIO!C45)),"CAR",
IF(OR(ISNUMBER(SEARCH("LAMINA",INVENTARIO!C45)),ISNUMBER(SEARCH("LÁMINA",INVENTARIO!C45)),ISNUMBER(SEARCH("LAMPARAS",INVENTARIO!C45))),"LAM",
IF(ISNUMBER(SEARCH("ESTIRENO",INVENTARIO!C45)),"EST",
IF(ISNUMBER(SEARCH("FOAMBOARD",INVENTARIO!C45)),"FOA",
IF(ISNUMBER(SEARCH("SOLVENTE",INVENTARIO!C45)),"SOL",
IF(ISNUMBER(SEARCH("TINTA",INVENTARIO!C45)),"TIN",
IF(ISNUMBER(SEARCH("ACRILICO",INVENTARIO!C45)),"ACR",
IF(ISNUMBER(SEARCH("MICROLED",INVENTARIO!C45)),"MIC",
IF(ISNUMBER(SEARCH("LED",INVENTARIO!C45)),"LED",
IF(ISNUMBER(SEARCH("FUENTE DE PODER",INVENTARIO!C45)),"FUE-POD",
IF(ISNUMBER(SEARCH("PETG",INVENTARIO!C45)),"PET",
IF(ISNUMBER(SEARCH("ALUMINIO",INVENTARIO!C45)),"ALU",
IF(ISNUMBER(SEARCH("CANAL",INVENTARIO!C45)),"CAN",
IF(ISNUMBER(SEARCH("ESCUADRA",INVENTARIO!C45)),"ESC",
IF(ISNUMBER(SEARCH("SOPORTE",INVENTARIO!C45)),"SOP","OTR")
))))))))))))))))))))))))))))))</f>
        <v>VIN</v>
      </c>
      <c r="B45" t="str">
        <f>IF(ISNUMBER(SEARCH("CORTE",INVENTARIO!C45)),"COR",
IF(ISNUMBER(SEARCH("CITYLIGHT",INVENTARIO!C45)),"CIT",
IF(ISNUMBER(SEARCH("LINO",INVENTARIO!C45)),"LIN",
IF(ISNUMBER(SEARCH("FABRIANO",INVENTARIO!C45)),"FAB",
IF(ISNUMBER(SEARCH("SUNDANCE",INVENTARIO!C45)),"SUN",
IF(ISNUMBER(SEARCH("SINTETICA",INVENTARIO!C45)),"SIN",
IF(ISNUMBER(SEARCH("CONTROL",INVENTARIO!C45)),"CON",
IF(ISNUMBER(SEARCH("TERMICO",INVENTARIO!C45)),"TER",
IF(ISNUMBER(SEARCH("C-15",INVENTARIO!C45)),"C15",
IF(ISNUMBER(SEARCH("C-20",INVENTARIO!C45)),"C20",
IF(ISNUMBER(SEARCH("C-30",INVENTARIO!C45)),"C30",
IF(ISNUMBER(SEARCH("C-40",INVENTARIO!C45)),"C40",
IF(ISNUMBER(SEARCH("C-60",INVENTARIO!C45)),"C60",
IF(ISNUMBER(SEARCH("C-80",INVENTARIO!C45)),"C80",
IF(ISNUMBER(SEARCH("EQUIPO",INVENTARIO!C45)),"EQU",
IF(ISNUMBER(SEARCH("FLOOR",INVENTARIO!C45)),"FLO",
IF(ISNUMBER(SEARCH("CRISTAL",INVENTARIO!C45)),"CRI",
IF(ISNUMBER(SEARCH(" SULFATADA",INVENTARIO!C56)),"SUL",
IF(ISNUMBER(SEARCH("OPALINA",INVENTARIO!C45)),"OPA",
IF(ISNUMBER(SEARCH("ADHERIBLE",INVENTARIO!C45)),"ADH",
IF(ISNUMBER(SEARCH("MICRO",INVENTARIO!C45)),"MIC","")))))))))))))))))))))</f>
        <v>CON</v>
      </c>
      <c r="C45" t="str">
        <f>IF(ISNUMBER(SEARCH("PARED",INVENTARIO!C45)),"PAR",
IF(ISNUMBER(SEARCH("FRONT",INVENTARIO!C45)),"FRO",
IF(ISNUMBER(SEARCH("ALTA RESISTENCIA",INVENTARIO!C45)),
"ALT-RES",IF(ISNUMBER(SEARCH("BACKLITE",INVENTARIO!C45)),"BAC",
IF(ISNUMBER(SEARCH("MATE",INVENTARIO!C45)),"MAT",
IF(ISNUMBER(SEARCH("MESH",INVENTARIO!C45)),"MES",
IF(ISNUMBER(SEARCH("BRILLANTE",INVENTARIO!C45)),"BRI",
IF(ISNUMBER(SEARCH("DELGADA",INVENTARIO!C45)),"DEL",
IF(ISNUMBER(SEARCH("GRUESA",INVENTARIO!C45)),"GRU",
IF(ISNUMBER(SEARCH("ESTATICO",INVENTARIO!C45)),"EST",
IF(ISNUMBER(SEARCH("REFLECTIVO",INVENTARIO!C45)),"REF",
IF(ISNUMBER(SEARCH("LX700",INVENTARIO!C45)),"LX7",
IF(ISNUMBER(SEARCH("GRANDO",INVENTARIO!C45)),"GRA",
IF(ISNUMBER(SEARCH("FB700",INVENTARIO!C45)),"FB7",
IF(ISNUMBER(SEARCH("LX360",INVENTARIO!C45)),"LX3",
IF(ISNUMBER(SEARCH("XEROX",INVENTARIO!C45)),"XER",
IF(ISNUMBER(SEARCH("CEPILLADO",INVENTARIO!C45)),"CEP",
IF(ISNUMBER(SEARCH("ESPEJO",INVENTARIO!C45)),"ESP",
IF(ISNUMBER(SEARCH("10 PTS",INVENTARIO!C45)),"10PT",
IF(ISNUMBER(SEARCH("12 PTS",INVENTARIO!C45)),"12PT",
IF(ISNUMBER(SEARCH("14 PTS",INVENTARIO!C45)),"14PT",
IF(ISNUMBER(SEARCH("CLASICO",INVENTARIO!C45)),"CLA",
""))))))))))))))))))))))</f>
        <v/>
      </c>
      <c r="D45" t="str">
        <f>IF(ISNUMBER(SEARCH("GRAN FORMATO",INVENTARIO!C45)),"GRA-FOR",
IF(ISNUMBER(SEARCH("CAMA PLANA",INVENTARIO!C45)),"CAM-PLA",
IF(ISNUMBER(SEARCH("GRADO INGENIERIA",INVENTARIO!C45)),"GRA-ING",
IF(ISNUMBER(SEARCH("130 GRS",INVENTARIO!C45)),"130GR",
IF(ISNUMBER(SEARCH("150 GRS",INVENTARIO!C45)),"150GR",
IF(ISNUMBER(SEARCH("185 GRS",INVENTARIO!C45)),"185GR",
IF(ISNUMBER(SEARCH("200 GRS",INVENTARIO!C45)),"200GR",
IF(ISNUMBER(SEARCH("250 GRS",INVENTARIO!C45)),"250GR",
IF(ISNUMBER(SEARCH("300 GRS",INVENTARIO!C45)),"300GR",
IF(ISNUMBER(SEARCH("350 GRS",INVENTARIO!C45)),"350GR",
IF(ISNUMBER(SEARCH("18 OZ",INVENTARIO!C45)),"18OZ",
IF(ISNUMBER(SEARCH("15 OZ",INVENTARIO!C45)),"15OZ",
IF(OR(ISNUMBER(SEARCH("13 OZ",INVENTARIO!C45)),ISNUMBER(SEARCH("13 ONZAS",INVENTARIO!C45))),"13OZ",
IF(OR(ISNUMBER(SEARCH("9 OZ",INVENTARIO!C45)),ISNUMBER(SEARCH("9 ONZAS",INVENTARIO!C45))),"09OZ",
IF(ISNUMBER(SEARCH("DOBLE CARA",INVENTARIO!C45)),"DOB-CAR",
"")))))))))))))))</f>
        <v/>
      </c>
      <c r="E45" t="str">
        <f>IF(OR(ISNUMBER(SEARCH("TRANSPARENTE",INVENTARIO!C45)),ISNUMBER(SEARCH("TRANSPARENTES",INVENTARIO!C45))),"TRA",
IF(OR(ISNUMBER(SEARCH("BLANCO",INVENTARIO!C45)),ISNUMBER(SEARCH("BCO",INVENTARIO!C45))),"BLA",
IF(ISNUMBER(SEARCH("FOTOGRAFICO",INVENTARIO!C45)),"FOT",
IF(ISNUMBER(SEARCH("MARFIL",INVENTARIO!C45)),"MAR",
IF(ISNUMBER(SEARCH("VERDE",INVENTARIO!C45)),"VER",
IF(ISNUMBER(SEARCH("MORADO",INVENTARIO!C45)),"MOR",
IF(ISNUMBER(SEARCH("PLATA",INVENTARIO!C45)),"PLA",
IF(ISNUMBER(SEARCH("ORO",INVENTARIO!C45)),"ORO",
IF(ISNUMBER(SEARCH("AMARILLO",INVENTARIO!C45)),"AMA",
IF(ISNUMBER(SEARCH("NARANJA",INVENTARIO!C45)),"NAR",
IF(ISNUMBER(SEARCH("NEGRO",INVENTARIO!C45)),"NEG",
IF(ISNUMBER(SEARCH("ROJO",INVENTARIO!C45)),"ROJ",
IF(ISNUMBER(SEARCH("AZUL",INVENTARIO!C45)),"AZU","")))))))))))))</f>
        <v/>
      </c>
      <c r="F45" t="str">
        <f>IF(ISNUMBER(SEARCH("ARLON",INVENTARIO!C45)),"ARL",
IF(ISNUMBER(SEARCH("SUNTHINKS",INVENTARIO!C45)),"SUN",
IF(ISNUMBER(SEARCH("FRIO",INVENTARIO!C45)),"FRI",
IF(ISNUMBER(SEARCH("CALIDO",INVENTARIO!C45)),"CAL",
IF(ISNUMBER(SEARCH("CEPILLADO",INVENTARIO!C45)),"CEP",
IF(ISNUMBER(SEARCH("ESPEJO",INVENTARIO!C45)),"ESP",
""))))))</f>
        <v/>
      </c>
      <c r="G45" t="str">
        <f>IF(ISNUMBER(SEARCH("LATEX",INVENTARIO!C45)),"LAT",
IF(ISNUMBER(SEARCH("RESP. NEGRO",INVENTARIO!C45)),"RES-NEG",
IF(ISNUMBER(SEARCH("RESPALDO CAFE",INVENTARIO!C45)),"RES-CAF",
IF(ISNUMBER(SEARCH("RESPALDO GRIS",INVENTARIO!C45)),"RES-GRI",
IF(ISNUMBER(SEARCH("OPTICO",INVENTARIO!C45)),"OPT",
IF(ISNUMBER(SEARCH("1,2 MM",INVENTARIO!C45)),"1MM2",
IF(ISNUMBER(SEARCH("2 MM",INVENTARIO!C45)),"2MM",
IF(ISNUMBER(SEARCH("3 MM",INVENTARIO!C45)),"3MM",
IF(ISNUMBER(SEARCH("4 MM",INVENTARIO!C45)),"4MM",
IF(ISNUMBER(SEARCH("5 MM",INVENTARIO!C45)),"5MM",
IF(ISNUMBER(SEARCH("6 MM",INVENTARIO!C45)),"6MM",
IF(ISNUMBER(SEARCH("9 MM",INVENTARIO!C45)),"9MM",
IF(ISNUMBER(SEARCH("10 MM",INVENTARIO!C45)),"10MM","")))))))))))))</f>
        <v/>
      </c>
      <c r="H45" t="str">
        <f>IF(ISNUMBER(SEARCH("GAMA BAJA",INVENTARIO!C45)),"GAM-BAJ",
IF(ISNUMBER(SEARCH("OPTIMIZADOR",INVENTARIO!C45)),"OPT",
IF(ISNUMBER(SEARCH("OVERCOAT",INVENTARIO!C45)),"OVE",
IF(ISNUMBER(SEARCH("WHITE",INVENTARIO!C45)),"WHI",
IF(ISNUMBER(SEARCH("LIGHT CYAN",INVENTARIO!C45)),"LIG-CYA",
IF(ISNUMBER(SEARCH("CYAN",INVENTARIO!C45)),"CYA",
IF(ISNUMBER(SEARCH("LIGHT MAGENTA",INVENTARIO!C45)),"LIG-MAG",
IF(ISNUMBER(SEARCH("MAGENTA",INVENTARIO!C45)),"MAG",
IF(ISNUMBER(SEARCH("BLACK",INVENTARIO!C45)),"BLA",
IF(ISNUMBER(SEARCH("YELLOW",INVENTARIO!C45)),"YEL",
IF(ISNUMBER(SEARCH("2 DIODOS",INVENTARIO!C45)),"2DI",
IF(ISNUMBER(SEARCH("3 DIODOS",INVENTARIO!C45)),"3DI",
IF(OR(ISNUMBER(SEARCH("TRASLUCIDO",INVENTARIO!C45)),ISNUMBER(SEARCH("TRANSLUCIDO",INVENTARIO!C45))),"TRA",
"")))))))))))))</f>
        <v/>
      </c>
      <c r="I45" t="str">
        <f>IF(ISNUMBER(SEARCH("SILED",INVENTARIO!C48)),"SI",
IF(ISNUMBER(SEARCH("SYDEMEX",INVENTARIO!C48)),"SY",
IF(ISNUMBER(SEARCH("ROHS",INVENTARIO!C48)),"RO",
IF(ISNUMBER(SEARCH("RISHANG",INVENTARIO!C48)),"RS",
IF(ISNUMBER(SEARCH("VYG",INVENTARIO!C48)),"VYG",
IF(ISNUMBER(SEARCH("COLED",INVENTARIO!C48)),"CO",""))))))</f>
        <v/>
      </c>
    </row>
    <row r="46" spans="1:9">
      <c r="A46" t="str">
        <f>IF(ISNUMBER(SEARCH("LONA",INVENTARIO!C46)),"LON",
IF(ISNUMBER(SEARCH("VINIL",INVENTARIO!C46)),"VIN",
IF(ISNUMBER(SEARCH("KROMACOTE",INVENTARIO!C46)),"KRO",
IF(ISNUMBER(SEARCH("STARDREAM",INVENTARIO!C46)),"STA",
IF(ISNUMBER(SEARCH("DISPLAY",INVENTARIO!C46)),"DIS",
IF(ISNUMBER(SEARCH("ROLL UP",INVENTARIO!C46)),"ROL-UP",
IF(ISNUMBER(SEARCH("TRANSFER DE PAPEL",INVENTARIO!C46)),"TRA-PAP",
IF(ISNUMBER(SEARCH("TRANSFER",INVENTARIO!C46)),"TRA",IF(ISNUMBER(SEARCH("KOLA LOKA",INVENTARIO!C46)),"KOL-LOK",
IF(ISNUMBER(SEARCH("PETG",INVENTARIO!C46)),"PET",
IF(ISNUMBER(SEARCH("OJILLO",INVENTARIO!C46)),"OJI",
IF(ISNUMBER(SEARCH("COUCHE",INVENTARIO!C46)),"COU",
IF(ISNUMBER(SEARCH("PANEL DE ALUMINIO",INVENTARIO!C46)),"PAN-ALU",
IF(ISNUMBER(SEARCH("PVC",INVENTARIO!C46)),"PVC",
IF(ISNUMBER(SEARCH("PAPEL",INVENTARIO!C46)),"PAP",
IF(ISNUMBER(SEARCH("TELA",INVENTARIO!C46)),"TEL",
IF(ISNUMBER(SEARCH("CARTULINA",INVENTARIO!C46)),"CAR",
IF(OR(ISNUMBER(SEARCH("LAMINA",INVENTARIO!C46)),ISNUMBER(SEARCH("LÁMINA",INVENTARIO!C46)),ISNUMBER(SEARCH("LAMPARAS",INVENTARIO!C46))),"LAM",
IF(ISNUMBER(SEARCH("ESTIRENO",INVENTARIO!C46)),"EST",
IF(ISNUMBER(SEARCH("FOAMBOARD",INVENTARIO!C46)),"FOA",
IF(ISNUMBER(SEARCH("SOLVENTE",INVENTARIO!C46)),"SOL",
IF(ISNUMBER(SEARCH("TINTA",INVENTARIO!C46)),"TIN",
IF(ISNUMBER(SEARCH("ACRILICO",INVENTARIO!C46)),"ACR",
IF(ISNUMBER(SEARCH("MICROLED",INVENTARIO!C46)),"MIC",
IF(ISNUMBER(SEARCH("LED",INVENTARIO!C46)),"LED",
IF(ISNUMBER(SEARCH("FUENTE DE PODER",INVENTARIO!C46)),"FUE-POD",
IF(ISNUMBER(SEARCH("PETG",INVENTARIO!C46)),"PET",
IF(ISNUMBER(SEARCH("ALUMINIO",INVENTARIO!C46)),"ALU",
IF(ISNUMBER(SEARCH("CANAL",INVENTARIO!C46)),"CAN",
IF(ISNUMBER(SEARCH("ESCUADRA",INVENTARIO!C46)),"ESC",
IF(ISNUMBER(SEARCH("SOPORTE",INVENTARIO!C46)),"SOP","OTR")
))))))))))))))))))))))))))))))</f>
        <v>VIN</v>
      </c>
      <c r="B46" t="str">
        <f>IF(ISNUMBER(SEARCH("CORTE",INVENTARIO!C46)),"COR",
IF(ISNUMBER(SEARCH("CITYLIGHT",INVENTARIO!C46)),"CIT",
IF(ISNUMBER(SEARCH("LINO",INVENTARIO!C46)),"LIN",
IF(ISNUMBER(SEARCH("FABRIANO",INVENTARIO!C46)),"FAB",
IF(ISNUMBER(SEARCH("SUNDANCE",INVENTARIO!C46)),"SUN",
IF(ISNUMBER(SEARCH("SINTETICA",INVENTARIO!C46)),"SIN",
IF(ISNUMBER(SEARCH("CONTROL",INVENTARIO!C46)),"CON",
IF(ISNUMBER(SEARCH("TERMICO",INVENTARIO!C46)),"TER",
IF(ISNUMBER(SEARCH("C-15",INVENTARIO!C46)),"C15",
IF(ISNUMBER(SEARCH("C-20",INVENTARIO!C46)),"C20",
IF(ISNUMBER(SEARCH("C-30",INVENTARIO!C46)),"C30",
IF(ISNUMBER(SEARCH("C-40",INVENTARIO!C46)),"C40",
IF(ISNUMBER(SEARCH("C-60",INVENTARIO!C46)),"C60",
IF(ISNUMBER(SEARCH("C-80",INVENTARIO!C46)),"C80",
IF(ISNUMBER(SEARCH("EQUIPO",INVENTARIO!C46)),"EQU",
IF(ISNUMBER(SEARCH("FLOOR",INVENTARIO!C46)),"FLO",
IF(ISNUMBER(SEARCH("CRISTAL",INVENTARIO!C46)),"CRI",
IF(ISNUMBER(SEARCH(" SULFATADA",INVENTARIO!C57)),"SUL",
IF(ISNUMBER(SEARCH("OPALINA",INVENTARIO!C46)),"OPA",
IF(ISNUMBER(SEARCH("ADHERIBLE",INVENTARIO!C46)),"ADH",
IF(ISNUMBER(SEARCH("MICRO",INVENTARIO!C46)),"MIC","")))))))))))))))))))))</f>
        <v/>
      </c>
      <c r="C46" t="str">
        <f>IF(ISNUMBER(SEARCH("PARED",INVENTARIO!C46)),"PAR",
IF(ISNUMBER(SEARCH("FRONT",INVENTARIO!C46)),"FRO",
IF(ISNUMBER(SEARCH("ALTA RESISTENCIA",INVENTARIO!C46)),
"ALT-RES",IF(ISNUMBER(SEARCH("BACKLITE",INVENTARIO!C46)),"BAC",
IF(ISNUMBER(SEARCH("MATE",INVENTARIO!C46)),"MAT",
IF(ISNUMBER(SEARCH("MESH",INVENTARIO!C46)),"MES",
IF(ISNUMBER(SEARCH("BRILLANTE",INVENTARIO!C46)),"BRI",
IF(ISNUMBER(SEARCH("DELGADA",INVENTARIO!C46)),"DEL",
IF(ISNUMBER(SEARCH("GRUESA",INVENTARIO!C46)),"GRU",
IF(ISNUMBER(SEARCH("ESTATICO",INVENTARIO!C46)),"EST",
IF(ISNUMBER(SEARCH("REFLECTIVO",INVENTARIO!C46)),"REF",
IF(ISNUMBER(SEARCH("LX700",INVENTARIO!C46)),"LX7",
IF(ISNUMBER(SEARCH("GRANDO",INVENTARIO!C46)),"GRA",
IF(ISNUMBER(SEARCH("FB700",INVENTARIO!C46)),"FB7",
IF(ISNUMBER(SEARCH("LX360",INVENTARIO!C46)),"LX3",
IF(ISNUMBER(SEARCH("XEROX",INVENTARIO!C46)),"XER",
IF(ISNUMBER(SEARCH("CEPILLADO",INVENTARIO!C46)),"CEP",
IF(ISNUMBER(SEARCH("ESPEJO",INVENTARIO!C46)),"ESP",
IF(ISNUMBER(SEARCH("10 PTS",INVENTARIO!C46)),"10PT",
IF(ISNUMBER(SEARCH("12 PTS",INVENTARIO!C46)),"12PT",
IF(ISNUMBER(SEARCH("14 PTS",INVENTARIO!C46)),"14PT",
IF(ISNUMBER(SEARCH("CLASICO",INVENTARIO!C46)),"CLA",
""))))))))))))))))))))))</f>
        <v>EST</v>
      </c>
      <c r="D46" t="str">
        <f>IF(ISNUMBER(SEARCH("GRAN FORMATO",INVENTARIO!C46)),"GRA-FOR",
IF(ISNUMBER(SEARCH("CAMA PLANA",INVENTARIO!C46)),"CAM-PLA",
IF(ISNUMBER(SEARCH("GRADO INGENIERIA",INVENTARIO!C46)),"GRA-ING",
IF(ISNUMBER(SEARCH("130 GRS",INVENTARIO!C46)),"130GR",
IF(ISNUMBER(SEARCH("150 GRS",INVENTARIO!C46)),"150GR",
IF(ISNUMBER(SEARCH("185 GRS",INVENTARIO!C46)),"185GR",
IF(ISNUMBER(SEARCH("200 GRS",INVENTARIO!C46)),"200GR",
IF(ISNUMBER(SEARCH("250 GRS",INVENTARIO!C46)),"250GR",
IF(ISNUMBER(SEARCH("300 GRS",INVENTARIO!C46)),"300GR",
IF(ISNUMBER(SEARCH("350 GRS",INVENTARIO!C46)),"350GR",
IF(ISNUMBER(SEARCH("18 OZ",INVENTARIO!C46)),"18OZ",
IF(ISNUMBER(SEARCH("15 OZ",INVENTARIO!C46)),"15OZ",
IF(OR(ISNUMBER(SEARCH("13 OZ",INVENTARIO!C46)),ISNUMBER(SEARCH("13 ONZAS",INVENTARIO!C46))),"13OZ",
IF(OR(ISNUMBER(SEARCH("9 OZ",INVENTARIO!C46)),ISNUMBER(SEARCH("9 ONZAS",INVENTARIO!C46))),"09OZ",
IF(ISNUMBER(SEARCH("DOBLE CARA",INVENTARIO!C46)),"DOB-CAR",
"")))))))))))))))</f>
        <v/>
      </c>
      <c r="E46" t="str">
        <f>IF(OR(ISNUMBER(SEARCH("TRANSPARENTE",INVENTARIO!C46)),ISNUMBER(SEARCH("TRANSPARENTES",INVENTARIO!C46))),"TRA",
IF(OR(ISNUMBER(SEARCH("BLANCO",INVENTARIO!C46)),ISNUMBER(SEARCH("BCO",INVENTARIO!C46))),"BLA",
IF(ISNUMBER(SEARCH("FOTOGRAFICO",INVENTARIO!C46)),"FOT",
IF(ISNUMBER(SEARCH("MARFIL",INVENTARIO!C46)),"MAR",
IF(ISNUMBER(SEARCH("VERDE",INVENTARIO!C46)),"VER",
IF(ISNUMBER(SEARCH("MORADO",INVENTARIO!C46)),"MOR",
IF(ISNUMBER(SEARCH("PLATA",INVENTARIO!C46)),"PLA",
IF(ISNUMBER(SEARCH("ORO",INVENTARIO!C46)),"ORO",
IF(ISNUMBER(SEARCH("AMARILLO",INVENTARIO!C46)),"AMA",
IF(ISNUMBER(SEARCH("NARANJA",INVENTARIO!C46)),"NAR",
IF(ISNUMBER(SEARCH("NEGRO",INVENTARIO!C46)),"NEG",
IF(ISNUMBER(SEARCH("ROJO",INVENTARIO!C46)),"ROJ",
IF(ISNUMBER(SEARCH("AZUL",INVENTARIO!C46)),"AZU","")))))))))))))</f>
        <v>BLA</v>
      </c>
      <c r="F46" t="str">
        <f>IF(ISNUMBER(SEARCH("ARLON",INVENTARIO!C46)),"ARL",
IF(ISNUMBER(SEARCH("SUNTHINKS",INVENTARIO!C46)),"SUN",
IF(ISNUMBER(SEARCH("FRIO",INVENTARIO!C46)),"FRI",
IF(ISNUMBER(SEARCH("CALIDO",INVENTARIO!C46)),"CAL",
IF(ISNUMBER(SEARCH("CEPILLADO",INVENTARIO!C46)),"CEP",
IF(ISNUMBER(SEARCH("ESPEJO",INVENTARIO!C46)),"ESP",
""))))))</f>
        <v/>
      </c>
      <c r="G46" t="str">
        <f>IF(ISNUMBER(SEARCH("LATEX",INVENTARIO!C46)),"LAT",
IF(ISNUMBER(SEARCH("RESP. NEGRO",INVENTARIO!C46)),"RES-NEG",
IF(ISNUMBER(SEARCH("RESPALDO CAFE",INVENTARIO!C46)),"RES-CAF",
IF(ISNUMBER(SEARCH("RESPALDO GRIS",INVENTARIO!C46)),"RES-GRI",
IF(ISNUMBER(SEARCH("OPTICO",INVENTARIO!C46)),"OPT",
IF(ISNUMBER(SEARCH("1,2 MM",INVENTARIO!C46)),"1MM2",
IF(ISNUMBER(SEARCH("2 MM",INVENTARIO!C46)),"2MM",
IF(ISNUMBER(SEARCH("3 MM",INVENTARIO!C46)),"3MM",
IF(ISNUMBER(SEARCH("4 MM",INVENTARIO!C46)),"4MM",
IF(ISNUMBER(SEARCH("5 MM",INVENTARIO!C46)),"5MM",
IF(ISNUMBER(SEARCH("6 MM",INVENTARIO!C46)),"6MM",
IF(ISNUMBER(SEARCH("9 MM",INVENTARIO!C46)),"9MM",
IF(ISNUMBER(SEARCH("10 MM",INVENTARIO!C46)),"10MM","")))))))))))))</f>
        <v>LAT</v>
      </c>
      <c r="H46" t="str">
        <f>IF(ISNUMBER(SEARCH("GAMA BAJA",INVENTARIO!C46)),"GAM-BAJ",
IF(ISNUMBER(SEARCH("OPTIMIZADOR",INVENTARIO!C46)),"OPT",
IF(ISNUMBER(SEARCH("OVERCOAT",INVENTARIO!C46)),"OVE",
IF(ISNUMBER(SEARCH("WHITE",INVENTARIO!C46)),"WHI",
IF(ISNUMBER(SEARCH("LIGHT CYAN",INVENTARIO!C46)),"LIG-CYA",
IF(ISNUMBER(SEARCH("CYAN",INVENTARIO!C46)),"CYA",
IF(ISNUMBER(SEARCH("LIGHT MAGENTA",INVENTARIO!C46)),"LIG-MAG",
IF(ISNUMBER(SEARCH("MAGENTA",INVENTARIO!C46)),"MAG",
IF(ISNUMBER(SEARCH("BLACK",INVENTARIO!C46)),"BLA",
IF(ISNUMBER(SEARCH("YELLOW",INVENTARIO!C46)),"YEL",
IF(ISNUMBER(SEARCH("2 DIODOS",INVENTARIO!C46)),"2DI",
IF(ISNUMBER(SEARCH("3 DIODOS",INVENTARIO!C46)),"3DI",
IF(OR(ISNUMBER(SEARCH("TRASLUCIDO",INVENTARIO!C46)),ISNUMBER(SEARCH("TRANSLUCIDO",INVENTARIO!C46))),"TRA",
"")))))))))))))</f>
        <v/>
      </c>
      <c r="I46" t="str">
        <f>IF(ISNUMBER(SEARCH("SILED",INVENTARIO!C49)),"SI",
IF(ISNUMBER(SEARCH("SYDEMEX",INVENTARIO!C49)),"SY",
IF(ISNUMBER(SEARCH("ROHS",INVENTARIO!C49)),"RO",
IF(ISNUMBER(SEARCH("RISHANG",INVENTARIO!C49)),"RS",
IF(ISNUMBER(SEARCH("VYG",INVENTARIO!C49)),"VYG",
IF(ISNUMBER(SEARCH("COLED",INVENTARIO!C49)),"CO",""))))))</f>
        <v/>
      </c>
    </row>
    <row r="47" spans="1:9">
      <c r="A47" t="str">
        <f>IF(ISNUMBER(SEARCH("LONA",INVENTARIO!C47)),"LON",
IF(ISNUMBER(SEARCH("VINIL",INVENTARIO!C47)),"VIN",
IF(ISNUMBER(SEARCH("KROMACOTE",INVENTARIO!C47)),"KRO",
IF(ISNUMBER(SEARCH("STARDREAM",INVENTARIO!C47)),"STA",
IF(ISNUMBER(SEARCH("DISPLAY",INVENTARIO!C47)),"DIS",
IF(ISNUMBER(SEARCH("ROLL UP",INVENTARIO!C47)),"ROL-UP",
IF(ISNUMBER(SEARCH("TRANSFER DE PAPEL",INVENTARIO!C47)),"TRA-PAP",
IF(ISNUMBER(SEARCH("TRANSFER",INVENTARIO!C47)),"TRA",IF(ISNUMBER(SEARCH("KOLA LOKA",INVENTARIO!C47)),"KOL-LOK",
IF(ISNUMBER(SEARCH("PETG",INVENTARIO!C47)),"PET",
IF(ISNUMBER(SEARCH("OJILLO",INVENTARIO!C47)),"OJI",
IF(ISNUMBER(SEARCH("COUCHE",INVENTARIO!C47)),"COU",
IF(ISNUMBER(SEARCH("PANEL DE ALUMINIO",INVENTARIO!C47)),"PAN-ALU",
IF(ISNUMBER(SEARCH("PVC",INVENTARIO!C47)),"PVC",
IF(ISNUMBER(SEARCH("PAPEL",INVENTARIO!C47)),"PAP",
IF(ISNUMBER(SEARCH("TELA",INVENTARIO!C47)),"TEL",
IF(ISNUMBER(SEARCH("CARTULINA",INVENTARIO!C47)),"CAR",
IF(OR(ISNUMBER(SEARCH("LAMINA",INVENTARIO!C47)),ISNUMBER(SEARCH("LÁMINA",INVENTARIO!C47)),ISNUMBER(SEARCH("LAMPARAS",INVENTARIO!C47))),"LAM",
IF(ISNUMBER(SEARCH("ESTIRENO",INVENTARIO!C47)),"EST",
IF(ISNUMBER(SEARCH("FOAMBOARD",INVENTARIO!C47)),"FOA",
IF(ISNUMBER(SEARCH("SOLVENTE",INVENTARIO!C47)),"SOL",
IF(ISNUMBER(SEARCH("TINTA",INVENTARIO!C47)),"TIN",
IF(ISNUMBER(SEARCH("ACRILICO",INVENTARIO!C47)),"ACR",
IF(ISNUMBER(SEARCH("MICROLED",INVENTARIO!C47)),"MIC",
IF(ISNUMBER(SEARCH("LED",INVENTARIO!C47)),"LED",
IF(ISNUMBER(SEARCH("FUENTE DE PODER",INVENTARIO!C47)),"FUE-POD",
IF(ISNUMBER(SEARCH("PETG",INVENTARIO!C47)),"PET",
IF(ISNUMBER(SEARCH("ALUMINIO",INVENTARIO!C47)),"ALU",
IF(ISNUMBER(SEARCH("CANAL",INVENTARIO!C47)),"CAN",
IF(ISNUMBER(SEARCH("ESCUADRA",INVENTARIO!C47)),"ESC",
IF(ISNUMBER(SEARCH("SOPORTE",INVENTARIO!C47)),"SOP","OTR")
))))))))))))))))))))))))))))))</f>
        <v>VIN</v>
      </c>
      <c r="B47" t="str">
        <f>IF(ISNUMBER(SEARCH("CORTE",INVENTARIO!C47)),"COR",
IF(ISNUMBER(SEARCH("CITYLIGHT",INVENTARIO!C47)),"CIT",
IF(ISNUMBER(SEARCH("LINO",INVENTARIO!C47)),"LIN",
IF(ISNUMBER(SEARCH("FABRIANO",INVENTARIO!C47)),"FAB",
IF(ISNUMBER(SEARCH("SUNDANCE",INVENTARIO!C47)),"SUN",
IF(ISNUMBER(SEARCH("SINTETICA",INVENTARIO!C47)),"SIN",
IF(ISNUMBER(SEARCH("CONTROL",INVENTARIO!C47)),"CON",
IF(ISNUMBER(SEARCH("TERMICO",INVENTARIO!C47)),"TER",
IF(ISNUMBER(SEARCH("C-15",INVENTARIO!C47)),"C15",
IF(ISNUMBER(SEARCH("C-20",INVENTARIO!C47)),"C20",
IF(ISNUMBER(SEARCH("C-30",INVENTARIO!C47)),"C30",
IF(ISNUMBER(SEARCH("C-40",INVENTARIO!C47)),"C40",
IF(ISNUMBER(SEARCH("C-60",INVENTARIO!C47)),"C60",
IF(ISNUMBER(SEARCH("C-80",INVENTARIO!C47)),"C80",
IF(ISNUMBER(SEARCH("EQUIPO",INVENTARIO!C47)),"EQU",
IF(ISNUMBER(SEARCH("FLOOR",INVENTARIO!C47)),"FLO",
IF(ISNUMBER(SEARCH("CRISTAL",INVENTARIO!C47)),"CRI",
IF(ISNUMBER(SEARCH(" SULFATADA",INVENTARIO!C58)),"SUL",
IF(ISNUMBER(SEARCH("OPALINA",INVENTARIO!C47)),"OPA",
IF(ISNUMBER(SEARCH("ADHERIBLE",INVENTARIO!C47)),"ADH",
IF(ISNUMBER(SEARCH("MICRO",INVENTARIO!C47)),"MIC","")))))))))))))))))))))</f>
        <v/>
      </c>
      <c r="C47" t="str">
        <f>IF(ISNUMBER(SEARCH("PARED",INVENTARIO!C47)),"PAR",
IF(ISNUMBER(SEARCH("FRONT",INVENTARIO!C47)),"FRO",
IF(ISNUMBER(SEARCH("ALTA RESISTENCIA",INVENTARIO!C47)),
"ALT-RES",IF(ISNUMBER(SEARCH("BACKLITE",INVENTARIO!C47)),"BAC",
IF(ISNUMBER(SEARCH("MATE",INVENTARIO!C47)),"MAT",
IF(ISNUMBER(SEARCH("MESH",INVENTARIO!C47)),"MES",
IF(ISNUMBER(SEARCH("BRILLANTE",INVENTARIO!C47)),"BRI",
IF(ISNUMBER(SEARCH("DELGADA",INVENTARIO!C47)),"DEL",
IF(ISNUMBER(SEARCH("GRUESA",INVENTARIO!C47)),"GRU",
IF(ISNUMBER(SEARCH("ESTATICO",INVENTARIO!C47)),"EST",
IF(ISNUMBER(SEARCH("REFLECTIVO",INVENTARIO!C47)),"REF",
IF(ISNUMBER(SEARCH("LX700",INVENTARIO!C47)),"LX7",
IF(ISNUMBER(SEARCH("GRANDO",INVENTARIO!C47)),"GRA",
IF(ISNUMBER(SEARCH("FB700",INVENTARIO!C47)),"FB7",
IF(ISNUMBER(SEARCH("LX360",INVENTARIO!C47)),"LX3",
IF(ISNUMBER(SEARCH("XEROX",INVENTARIO!C47)),"XER",
IF(ISNUMBER(SEARCH("CEPILLADO",INVENTARIO!C47)),"CEP",
IF(ISNUMBER(SEARCH("ESPEJO",INVENTARIO!C47)),"ESP",
IF(ISNUMBER(SEARCH("10 PTS",INVENTARIO!C47)),"10PT",
IF(ISNUMBER(SEARCH("12 PTS",INVENTARIO!C47)),"12PT",
IF(ISNUMBER(SEARCH("14 PTS",INVENTARIO!C47)),"14PT",
IF(ISNUMBER(SEARCH("CLASICO",INVENTARIO!C47)),"CLA",
""))))))))))))))))))))))</f>
        <v>EST</v>
      </c>
      <c r="D47" t="str">
        <f>IF(ISNUMBER(SEARCH("GRAN FORMATO",INVENTARIO!C47)),"GRA-FOR",
IF(ISNUMBER(SEARCH("CAMA PLANA",INVENTARIO!C47)),"CAM-PLA",
IF(ISNUMBER(SEARCH("GRADO INGENIERIA",INVENTARIO!C47)),"GRA-ING",
IF(ISNUMBER(SEARCH("130 GRS",INVENTARIO!C47)),"130GR",
IF(ISNUMBER(SEARCH("150 GRS",INVENTARIO!C47)),"150GR",
IF(ISNUMBER(SEARCH("185 GRS",INVENTARIO!C47)),"185GR",
IF(ISNUMBER(SEARCH("200 GRS",INVENTARIO!C47)),"200GR",
IF(ISNUMBER(SEARCH("250 GRS",INVENTARIO!C47)),"250GR",
IF(ISNUMBER(SEARCH("300 GRS",INVENTARIO!C47)),"300GR",
IF(ISNUMBER(SEARCH("350 GRS",INVENTARIO!C47)),"350GR",
IF(ISNUMBER(SEARCH("18 OZ",INVENTARIO!C47)),"18OZ",
IF(ISNUMBER(SEARCH("15 OZ",INVENTARIO!C47)),"15OZ",
IF(OR(ISNUMBER(SEARCH("13 OZ",INVENTARIO!C47)),ISNUMBER(SEARCH("13 ONZAS",INVENTARIO!C47))),"13OZ",
IF(OR(ISNUMBER(SEARCH("9 OZ",INVENTARIO!C47)),ISNUMBER(SEARCH("9 ONZAS",INVENTARIO!C47))),"09OZ",
IF(ISNUMBER(SEARCH("DOBLE CARA",INVENTARIO!C47)),"DOB-CAR",
"")))))))))))))))</f>
        <v/>
      </c>
      <c r="E47" t="str">
        <f>IF(OR(ISNUMBER(SEARCH("TRANSPARENTE",INVENTARIO!C47)),ISNUMBER(SEARCH("TRANSPARENTES",INVENTARIO!C47))),"TRA",
IF(OR(ISNUMBER(SEARCH("BLANCO",INVENTARIO!C47)),ISNUMBER(SEARCH("BCO",INVENTARIO!C47))),"BLA",
IF(ISNUMBER(SEARCH("FOTOGRAFICO",INVENTARIO!C47)),"FOT",
IF(ISNUMBER(SEARCH("MARFIL",INVENTARIO!C47)),"MAR",
IF(ISNUMBER(SEARCH("VERDE",INVENTARIO!C47)),"VER",
IF(ISNUMBER(SEARCH("MORADO",INVENTARIO!C47)),"MOR",
IF(ISNUMBER(SEARCH("PLATA",INVENTARIO!C47)),"PLA",
IF(ISNUMBER(SEARCH("ORO",INVENTARIO!C47)),"ORO",
IF(ISNUMBER(SEARCH("AMARILLO",INVENTARIO!C47)),"AMA",
IF(ISNUMBER(SEARCH("NARANJA",INVENTARIO!C47)),"NAR",
IF(ISNUMBER(SEARCH("NEGRO",INVENTARIO!C47)),"NEG",
IF(ISNUMBER(SEARCH("ROJO",INVENTARIO!C47)),"ROJ",
IF(ISNUMBER(SEARCH("AZUL",INVENTARIO!C47)),"AZU","")))))))))))))</f>
        <v>BLA</v>
      </c>
      <c r="F47" t="str">
        <f>IF(ISNUMBER(SEARCH("ARLON",INVENTARIO!C47)),"ARL",
IF(ISNUMBER(SEARCH("SUNTHINKS",INVENTARIO!C47)),"SUN",
IF(ISNUMBER(SEARCH("FRIO",INVENTARIO!C47)),"FRI",
IF(ISNUMBER(SEARCH("CALIDO",INVENTARIO!C47)),"CAL",
IF(ISNUMBER(SEARCH("CEPILLADO",INVENTARIO!C47)),"CEP",
IF(ISNUMBER(SEARCH("ESPEJO",INVENTARIO!C47)),"ESP",
""))))))</f>
        <v/>
      </c>
      <c r="G47" t="str">
        <f>IF(ISNUMBER(SEARCH("LATEX",INVENTARIO!C47)),"LAT",
IF(ISNUMBER(SEARCH("RESP. NEGRO",INVENTARIO!C47)),"RES-NEG",
IF(ISNUMBER(SEARCH("RESPALDO CAFE",INVENTARIO!C47)),"RES-CAF",
IF(ISNUMBER(SEARCH("RESPALDO GRIS",INVENTARIO!C47)),"RES-GRI",
IF(ISNUMBER(SEARCH("OPTICO",INVENTARIO!C47)),"OPT",
IF(ISNUMBER(SEARCH("1,2 MM",INVENTARIO!C47)),"1MM2",
IF(ISNUMBER(SEARCH("2 MM",INVENTARIO!C47)),"2MM",
IF(ISNUMBER(SEARCH("3 MM",INVENTARIO!C47)),"3MM",
IF(ISNUMBER(SEARCH("4 MM",INVENTARIO!C47)),"4MM",
IF(ISNUMBER(SEARCH("5 MM",INVENTARIO!C47)),"5MM",
IF(ISNUMBER(SEARCH("6 MM",INVENTARIO!C47)),"6MM",
IF(ISNUMBER(SEARCH("9 MM",INVENTARIO!C47)),"9MM",
IF(ISNUMBER(SEARCH("10 MM",INVENTARIO!C47)),"10MM","")))))))))))))</f>
        <v>LAT</v>
      </c>
      <c r="H47" t="str">
        <f>IF(ISNUMBER(SEARCH("GAMA BAJA",INVENTARIO!C47)),"GAM-BAJ",
IF(ISNUMBER(SEARCH("OPTIMIZADOR",INVENTARIO!C47)),"OPT",
IF(ISNUMBER(SEARCH("OVERCOAT",INVENTARIO!C47)),"OVE",
IF(ISNUMBER(SEARCH("WHITE",INVENTARIO!C47)),"WHI",
IF(ISNUMBER(SEARCH("LIGHT CYAN",INVENTARIO!C47)),"LIG-CYA",
IF(ISNUMBER(SEARCH("CYAN",INVENTARIO!C47)),"CYA",
IF(ISNUMBER(SEARCH("LIGHT MAGENTA",INVENTARIO!C47)),"LIG-MAG",
IF(ISNUMBER(SEARCH("MAGENTA",INVENTARIO!C47)),"MAG",
IF(ISNUMBER(SEARCH("BLACK",INVENTARIO!C47)),"BLA",
IF(ISNUMBER(SEARCH("YELLOW",INVENTARIO!C47)),"YEL",
IF(ISNUMBER(SEARCH("2 DIODOS",INVENTARIO!C47)),"2DI",
IF(ISNUMBER(SEARCH("3 DIODOS",INVENTARIO!C47)),"3DI",
IF(OR(ISNUMBER(SEARCH("TRASLUCIDO",INVENTARIO!C47)),ISNUMBER(SEARCH("TRANSLUCIDO",INVENTARIO!C47))),"TRA",
"")))))))))))))</f>
        <v/>
      </c>
      <c r="I47" t="str">
        <f>IF(ISNUMBER(SEARCH("SILED",INVENTARIO!C50)),"SI",
IF(ISNUMBER(SEARCH("SYDEMEX",INVENTARIO!C50)),"SY",
IF(ISNUMBER(SEARCH("ROHS",INVENTARIO!C50)),"RO",
IF(ISNUMBER(SEARCH("RISHANG",INVENTARIO!C50)),"RS",
IF(ISNUMBER(SEARCH("VYG",INVENTARIO!C50)),"VYG",
IF(ISNUMBER(SEARCH("COLED",INVENTARIO!C50)),"CO",""))))))</f>
        <v/>
      </c>
    </row>
    <row r="48" spans="1:9">
      <c r="A48" t="str">
        <f>IF(ISNUMBER(SEARCH("LONA",INVENTARIO!C48)),"LON",
IF(ISNUMBER(SEARCH("VINIL",INVENTARIO!C48)),"VIN",
IF(ISNUMBER(SEARCH("KROMACOTE",INVENTARIO!C48)),"KRO",
IF(ISNUMBER(SEARCH("STARDREAM",INVENTARIO!C48)),"STA",
IF(ISNUMBER(SEARCH("DISPLAY",INVENTARIO!C48)),"DIS",
IF(ISNUMBER(SEARCH("ROLL UP",INVENTARIO!C48)),"ROL-UP",
IF(ISNUMBER(SEARCH("TRANSFER DE PAPEL",INVENTARIO!C48)),"TRA-PAP",
IF(ISNUMBER(SEARCH("TRANSFER",INVENTARIO!C48)),"TRA",IF(ISNUMBER(SEARCH("KOLA LOKA",INVENTARIO!C48)),"KOL-LOK",
IF(ISNUMBER(SEARCH("PETG",INVENTARIO!C48)),"PET",
IF(ISNUMBER(SEARCH("OJILLO",INVENTARIO!C48)),"OJI",
IF(ISNUMBER(SEARCH("COUCHE",INVENTARIO!C48)),"COU",
IF(ISNUMBER(SEARCH("PANEL DE ALUMINIO",INVENTARIO!C48)),"PAN-ALU",
IF(ISNUMBER(SEARCH("PVC",INVENTARIO!C48)),"PVC",
IF(ISNUMBER(SEARCH("PAPEL",INVENTARIO!C48)),"PAP",
IF(ISNUMBER(SEARCH("TELA",INVENTARIO!C48)),"TEL",
IF(ISNUMBER(SEARCH("CARTULINA",INVENTARIO!C48)),"CAR",
IF(OR(ISNUMBER(SEARCH("LAMINA",INVENTARIO!C48)),ISNUMBER(SEARCH("LÁMINA",INVENTARIO!C48)),ISNUMBER(SEARCH("LAMPARAS",INVENTARIO!C48))),"LAM",
IF(ISNUMBER(SEARCH("ESTIRENO",INVENTARIO!C48)),"EST",
IF(ISNUMBER(SEARCH("FOAMBOARD",INVENTARIO!C48)),"FOA",
IF(ISNUMBER(SEARCH("SOLVENTE",INVENTARIO!C48)),"SOL",
IF(ISNUMBER(SEARCH("TINTA",INVENTARIO!C48)),"TIN",
IF(ISNUMBER(SEARCH("ACRILICO",INVENTARIO!C48)),"ACR",
IF(ISNUMBER(SEARCH("MICROLED",INVENTARIO!C48)),"MIC",
IF(ISNUMBER(SEARCH("LED",INVENTARIO!C48)),"LED",
IF(ISNUMBER(SEARCH("FUENTE DE PODER",INVENTARIO!C48)),"FUE-POD",
IF(ISNUMBER(SEARCH("PETG",INVENTARIO!C48)),"PET",
IF(ISNUMBER(SEARCH("ALUMINIO",INVENTARIO!C48)),"ALU",
IF(ISNUMBER(SEARCH("CANAL",INVENTARIO!C48)),"CAN",
IF(ISNUMBER(SEARCH("ESCUADRA",INVENTARIO!C48)),"ESC",
IF(ISNUMBER(SEARCH("SOPORTE",INVENTARIO!C48)),"SOP","OTR")
))))))))))))))))))))))))))))))</f>
        <v>VIN</v>
      </c>
      <c r="B48" t="str">
        <f>IF(ISNUMBER(SEARCH("CORTE",INVENTARIO!C48)),"COR",
IF(ISNUMBER(SEARCH("CITYLIGHT",INVENTARIO!C48)),"CIT",
IF(ISNUMBER(SEARCH("LINO",INVENTARIO!C48)),"LIN",
IF(ISNUMBER(SEARCH("FABRIANO",INVENTARIO!C48)),"FAB",
IF(ISNUMBER(SEARCH("SUNDANCE",INVENTARIO!C48)),"SUN",
IF(ISNUMBER(SEARCH("SINTETICA",INVENTARIO!C48)),"SIN",
IF(ISNUMBER(SEARCH("CONTROL",INVENTARIO!C48)),"CON",
IF(ISNUMBER(SEARCH("TERMICO",INVENTARIO!C48)),"TER",
IF(ISNUMBER(SEARCH("C-15",INVENTARIO!C48)),"C15",
IF(ISNUMBER(SEARCH("C-20",INVENTARIO!C48)),"C20",
IF(ISNUMBER(SEARCH("C-30",INVENTARIO!C48)),"C30",
IF(ISNUMBER(SEARCH("C-40",INVENTARIO!C48)),"C40",
IF(ISNUMBER(SEARCH("C-60",INVENTARIO!C48)),"C60",
IF(ISNUMBER(SEARCH("C-80",INVENTARIO!C48)),"C80",
IF(ISNUMBER(SEARCH("EQUIPO",INVENTARIO!C48)),"EQU",
IF(ISNUMBER(SEARCH("FLOOR",INVENTARIO!C48)),"FLO",
IF(ISNUMBER(SEARCH("CRISTAL",INVENTARIO!C48)),"CRI",
IF(ISNUMBER(SEARCH(" SULFATADA",INVENTARIO!C59)),"SUL",
IF(ISNUMBER(SEARCH("OPALINA",INVENTARIO!C48)),"OPA",
IF(ISNUMBER(SEARCH("ADHERIBLE",INVENTARIO!C48)),"ADH",
IF(ISNUMBER(SEARCH("MICRO",INVENTARIO!C48)),"MIC","")))))))))))))))))))))</f>
        <v/>
      </c>
      <c r="C48" t="str">
        <f>IF(ISNUMBER(SEARCH("PARED",INVENTARIO!C48)),"PAR",
IF(ISNUMBER(SEARCH("FRONT",INVENTARIO!C48)),"FRO",
IF(ISNUMBER(SEARCH("ALTA RESISTENCIA",INVENTARIO!C48)),
"ALT-RES",IF(ISNUMBER(SEARCH("BACKLITE",INVENTARIO!C48)),"BAC",
IF(ISNUMBER(SEARCH("MATE",INVENTARIO!C48)),"MAT",
IF(ISNUMBER(SEARCH("MESH",INVENTARIO!C48)),"MES",
IF(ISNUMBER(SEARCH("BRILLANTE",INVENTARIO!C48)),"BRI",
IF(ISNUMBER(SEARCH("DELGADA",INVENTARIO!C48)),"DEL",
IF(ISNUMBER(SEARCH("GRUESA",INVENTARIO!C48)),"GRU",
IF(ISNUMBER(SEARCH("ESTATICO",INVENTARIO!C48)),"EST",
IF(ISNUMBER(SEARCH("REFLECTIVO",INVENTARIO!C48)),"REF",
IF(ISNUMBER(SEARCH("LX700",INVENTARIO!C48)),"LX7",
IF(ISNUMBER(SEARCH("GRANDO",INVENTARIO!C48)),"GRA",
IF(ISNUMBER(SEARCH("FB700",INVENTARIO!C48)),"FB7",
IF(ISNUMBER(SEARCH("LX360",INVENTARIO!C48)),"LX3",
IF(ISNUMBER(SEARCH("XEROX",INVENTARIO!C48)),"XER",
IF(ISNUMBER(SEARCH("CEPILLADO",INVENTARIO!C48)),"CEP",
IF(ISNUMBER(SEARCH("ESPEJO",INVENTARIO!C48)),"ESP",
IF(ISNUMBER(SEARCH("10 PTS",INVENTARIO!C48)),"10PT",
IF(ISNUMBER(SEARCH("12 PTS",INVENTARIO!C48)),"12PT",
IF(ISNUMBER(SEARCH("14 PTS",INVENTARIO!C48)),"14PT",
IF(ISNUMBER(SEARCH("CLASICO",INVENTARIO!C48)),"CLA",
""))))))))))))))))))))))</f>
        <v>EST</v>
      </c>
      <c r="D48" t="str">
        <f>IF(ISNUMBER(SEARCH("GRAN FORMATO",INVENTARIO!C48)),"GRA-FOR",
IF(ISNUMBER(SEARCH("CAMA PLANA",INVENTARIO!C48)),"CAM-PLA",
IF(ISNUMBER(SEARCH("GRADO INGENIERIA",INVENTARIO!C48)),"GRA-ING",
IF(ISNUMBER(SEARCH("130 GRS",INVENTARIO!C48)),"130GR",
IF(ISNUMBER(SEARCH("150 GRS",INVENTARIO!C48)),"150GR",
IF(ISNUMBER(SEARCH("185 GRS",INVENTARIO!C48)),"185GR",
IF(ISNUMBER(SEARCH("200 GRS",INVENTARIO!C48)),"200GR",
IF(ISNUMBER(SEARCH("250 GRS",INVENTARIO!C48)),"250GR",
IF(ISNUMBER(SEARCH("300 GRS",INVENTARIO!C48)),"300GR",
IF(ISNUMBER(SEARCH("350 GRS",INVENTARIO!C48)),"350GR",
IF(ISNUMBER(SEARCH("18 OZ",INVENTARIO!C48)),"18OZ",
IF(ISNUMBER(SEARCH("15 OZ",INVENTARIO!C48)),"15OZ",
IF(OR(ISNUMBER(SEARCH("13 OZ",INVENTARIO!C48)),ISNUMBER(SEARCH("13 ONZAS",INVENTARIO!C48))),"13OZ",
IF(OR(ISNUMBER(SEARCH("9 OZ",INVENTARIO!C48)),ISNUMBER(SEARCH("9 ONZAS",INVENTARIO!C48))),"09OZ",
IF(ISNUMBER(SEARCH("DOBLE CARA",INVENTARIO!C48)),"DOB-CAR",
"")))))))))))))))</f>
        <v/>
      </c>
      <c r="E48" t="str">
        <f>IF(OR(ISNUMBER(SEARCH("TRANSPARENTE",INVENTARIO!C48)),ISNUMBER(SEARCH("TRANSPARENTES",INVENTARIO!C48))),"TRA",
IF(OR(ISNUMBER(SEARCH("BLANCO",INVENTARIO!C48)),ISNUMBER(SEARCH("BCO",INVENTARIO!C48))),"BLA",
IF(ISNUMBER(SEARCH("FOTOGRAFICO",INVENTARIO!C48)),"FOT",
IF(ISNUMBER(SEARCH("MARFIL",INVENTARIO!C48)),"MAR",
IF(ISNUMBER(SEARCH("VERDE",INVENTARIO!C48)),"VER",
IF(ISNUMBER(SEARCH("MORADO",INVENTARIO!C48)),"MOR",
IF(ISNUMBER(SEARCH("PLATA",INVENTARIO!C48)),"PLA",
IF(ISNUMBER(SEARCH("ORO",INVENTARIO!C48)),"ORO",
IF(ISNUMBER(SEARCH("AMARILLO",INVENTARIO!C48)),"AMA",
IF(ISNUMBER(SEARCH("NARANJA",INVENTARIO!C48)),"NAR",
IF(ISNUMBER(SEARCH("NEGRO",INVENTARIO!C48)),"NEG",
IF(ISNUMBER(SEARCH("ROJO",INVENTARIO!C48)),"ROJ",
IF(ISNUMBER(SEARCH("AZUL",INVENTARIO!C48)),"AZU","")))))))))))))</f>
        <v>BLA</v>
      </c>
      <c r="F48" t="str">
        <f>IF(ISNUMBER(SEARCH("ARLON",INVENTARIO!C48)),"ARL",
IF(ISNUMBER(SEARCH("SUNTHINKS",INVENTARIO!C48)),"SUN",
IF(ISNUMBER(SEARCH("FRIO",INVENTARIO!C48)),"FRI",
IF(ISNUMBER(SEARCH("CALIDO",INVENTARIO!C48)),"CAL",
IF(ISNUMBER(SEARCH("CEPILLADO",INVENTARIO!C48)),"CEP",
IF(ISNUMBER(SEARCH("ESPEJO",INVENTARIO!C48)),"ESP",
""))))))</f>
        <v/>
      </c>
      <c r="G48" t="str">
        <f>IF(ISNUMBER(SEARCH("LATEX",INVENTARIO!C48)),"LAT",
IF(ISNUMBER(SEARCH("RESP. NEGRO",INVENTARIO!C48)),"RES-NEG",
IF(ISNUMBER(SEARCH("RESPALDO CAFE",INVENTARIO!C48)),"RES-CAF",
IF(ISNUMBER(SEARCH("RESPALDO GRIS",INVENTARIO!C48)),"RES-GRI",
IF(ISNUMBER(SEARCH("OPTICO",INVENTARIO!C48)),"OPT",
IF(ISNUMBER(SEARCH("1,2 MM",INVENTARIO!C48)),"1MM2",
IF(ISNUMBER(SEARCH("2 MM",INVENTARIO!C48)),"2MM",
IF(ISNUMBER(SEARCH("3 MM",INVENTARIO!C48)),"3MM",
IF(ISNUMBER(SEARCH("4 MM",INVENTARIO!C48)),"4MM",
IF(ISNUMBER(SEARCH("5 MM",INVENTARIO!C48)),"5MM",
IF(ISNUMBER(SEARCH("6 MM",INVENTARIO!C48)),"6MM",
IF(ISNUMBER(SEARCH("9 MM",INVENTARIO!C48)),"9MM",
IF(ISNUMBER(SEARCH("10 MM",INVENTARIO!C48)),"10MM","")))))))))))))</f>
        <v/>
      </c>
      <c r="H48" t="str">
        <f>IF(ISNUMBER(SEARCH("GAMA BAJA",INVENTARIO!C48)),"GAM-BAJ",
IF(ISNUMBER(SEARCH("OPTIMIZADOR",INVENTARIO!C48)),"OPT",
IF(ISNUMBER(SEARCH("OVERCOAT",INVENTARIO!C48)),"OVE",
IF(ISNUMBER(SEARCH("WHITE",INVENTARIO!C48)),"WHI",
IF(ISNUMBER(SEARCH("LIGHT CYAN",INVENTARIO!C48)),"LIG-CYA",
IF(ISNUMBER(SEARCH("CYAN",INVENTARIO!C48)),"CYA",
IF(ISNUMBER(SEARCH("LIGHT MAGENTA",INVENTARIO!C48)),"LIG-MAG",
IF(ISNUMBER(SEARCH("MAGENTA",INVENTARIO!C48)),"MAG",
IF(ISNUMBER(SEARCH("BLACK",INVENTARIO!C48)),"BLA",
IF(ISNUMBER(SEARCH("YELLOW",INVENTARIO!C48)),"YEL",
IF(ISNUMBER(SEARCH("2 DIODOS",INVENTARIO!C48)),"2DI",
IF(ISNUMBER(SEARCH("3 DIODOS",INVENTARIO!C48)),"3DI",
IF(OR(ISNUMBER(SEARCH("TRASLUCIDO",INVENTARIO!C48)),ISNUMBER(SEARCH("TRANSLUCIDO",INVENTARIO!C48))),"TRA",
"")))))))))))))</f>
        <v/>
      </c>
      <c r="I48" t="str">
        <f>IF(ISNUMBER(SEARCH("SILED",INVENTARIO!C51)),"SI",
IF(ISNUMBER(SEARCH("SYDEMEX",INVENTARIO!C51)),"SY",
IF(ISNUMBER(SEARCH("ROHS",INVENTARIO!C51)),"RO",
IF(ISNUMBER(SEARCH("RISHANG",INVENTARIO!C51)),"RS",
IF(ISNUMBER(SEARCH("VYG",INVENTARIO!C51)),"VYG",
IF(ISNUMBER(SEARCH("COLED",INVENTARIO!C51)),"CO",""))))))</f>
        <v/>
      </c>
    </row>
    <row r="49" spans="1:9">
      <c r="A49" t="str">
        <f>IF(ISNUMBER(SEARCH("LONA",INVENTARIO!C49)),"LON",
IF(ISNUMBER(SEARCH("VINIL",INVENTARIO!C49)),"VIN",
IF(ISNUMBER(SEARCH("KROMACOTE",INVENTARIO!C49)),"KRO",
IF(ISNUMBER(SEARCH("STARDREAM",INVENTARIO!C49)),"STA",
IF(ISNUMBER(SEARCH("DISPLAY",INVENTARIO!C49)),"DIS",
IF(ISNUMBER(SEARCH("ROLL UP",INVENTARIO!C49)),"ROL-UP",
IF(ISNUMBER(SEARCH("TRANSFER DE PAPEL",INVENTARIO!C49)),"TRA-PAP",
IF(ISNUMBER(SEARCH("TRANSFER",INVENTARIO!C49)),"TRA",IF(ISNUMBER(SEARCH("KOLA LOKA",INVENTARIO!C49)),"KOL-LOK",
IF(ISNUMBER(SEARCH("PETG",INVENTARIO!C49)),"PET",
IF(ISNUMBER(SEARCH("OJILLO",INVENTARIO!C49)),"OJI",
IF(ISNUMBER(SEARCH("COUCHE",INVENTARIO!C49)),"COU",
IF(ISNUMBER(SEARCH("PANEL DE ALUMINIO",INVENTARIO!C49)),"PAN-ALU",
IF(ISNUMBER(SEARCH("PVC",INVENTARIO!C49)),"PVC",
IF(ISNUMBER(SEARCH("PAPEL",INVENTARIO!C49)),"PAP",
IF(ISNUMBER(SEARCH("TELA",INVENTARIO!C49)),"TEL",
IF(ISNUMBER(SEARCH("CARTULINA",INVENTARIO!C49)),"CAR",
IF(OR(ISNUMBER(SEARCH("LAMINA",INVENTARIO!C49)),ISNUMBER(SEARCH("LÁMINA",INVENTARIO!C49)),ISNUMBER(SEARCH("LAMPARAS",INVENTARIO!C49))),"LAM",
IF(ISNUMBER(SEARCH("ESTIRENO",INVENTARIO!C49)),"EST",
IF(ISNUMBER(SEARCH("FOAMBOARD",INVENTARIO!C49)),"FOA",
IF(ISNUMBER(SEARCH("SOLVENTE",INVENTARIO!C49)),"SOL",
IF(ISNUMBER(SEARCH("TINTA",INVENTARIO!C49)),"TIN",
IF(ISNUMBER(SEARCH("ACRILICO",INVENTARIO!C49)),"ACR",
IF(ISNUMBER(SEARCH("MICROLED",INVENTARIO!C49)),"MIC",
IF(ISNUMBER(SEARCH("LED",INVENTARIO!C49)),"LED",
IF(ISNUMBER(SEARCH("FUENTE DE PODER",INVENTARIO!C49)),"FUE-POD",
IF(ISNUMBER(SEARCH("PETG",INVENTARIO!C49)),"PET",
IF(ISNUMBER(SEARCH("ALUMINIO",INVENTARIO!C49)),"ALU",
IF(ISNUMBER(SEARCH("CANAL",INVENTARIO!C49)),"CAN",
IF(ISNUMBER(SEARCH("ESCUADRA",INVENTARIO!C49)),"ESC",
IF(ISNUMBER(SEARCH("SOPORTE",INVENTARIO!C49)),"SOP","OTR")
))))))))))))))))))))))))))))))</f>
        <v>VIN</v>
      </c>
      <c r="B49" t="str">
        <f>IF(ISNUMBER(SEARCH("CORTE",INVENTARIO!C49)),"COR",
IF(ISNUMBER(SEARCH("CITYLIGHT",INVENTARIO!C49)),"CIT",
IF(ISNUMBER(SEARCH("LINO",INVENTARIO!C49)),"LIN",
IF(ISNUMBER(SEARCH("FABRIANO",INVENTARIO!C49)),"FAB",
IF(ISNUMBER(SEARCH("SUNDANCE",INVENTARIO!C49)),"SUN",
IF(ISNUMBER(SEARCH("SINTETICA",INVENTARIO!C49)),"SIN",
IF(ISNUMBER(SEARCH("CONTROL",INVENTARIO!C49)),"CON",
IF(ISNUMBER(SEARCH("TERMICO",INVENTARIO!C49)),"TER",
IF(ISNUMBER(SEARCH("C-15",INVENTARIO!C49)),"C15",
IF(ISNUMBER(SEARCH("C-20",INVENTARIO!C49)),"C20",
IF(ISNUMBER(SEARCH("C-30",INVENTARIO!C49)),"C30",
IF(ISNUMBER(SEARCH("C-40",INVENTARIO!C49)),"C40",
IF(ISNUMBER(SEARCH("C-60",INVENTARIO!C49)),"C60",
IF(ISNUMBER(SEARCH("C-80",INVENTARIO!C49)),"C80",
IF(ISNUMBER(SEARCH("EQUIPO",INVENTARIO!C49)),"EQU",
IF(ISNUMBER(SEARCH("FLOOR",INVENTARIO!C49)),"FLO",
IF(ISNUMBER(SEARCH("CRISTAL",INVENTARIO!C49)),"CRI",
IF(ISNUMBER(SEARCH(" SULFATADA",INVENTARIO!C60)),"SUL",
IF(ISNUMBER(SEARCH("OPALINA",INVENTARIO!C49)),"OPA",
IF(ISNUMBER(SEARCH("ADHERIBLE",INVENTARIO!C49)),"ADH",
IF(ISNUMBER(SEARCH("MICRO",INVENTARIO!C49)),"MIC","")))))))))))))))))))))</f>
        <v/>
      </c>
      <c r="C49" t="str">
        <f>IF(ISNUMBER(SEARCH("PARED",INVENTARIO!C49)),"PAR",
IF(ISNUMBER(SEARCH("FRONT",INVENTARIO!C49)),"FRO",
IF(ISNUMBER(SEARCH("ALTA RESISTENCIA",INVENTARIO!C49)),
"ALT-RES",IF(ISNUMBER(SEARCH("BACKLITE",INVENTARIO!C49)),"BAC",
IF(ISNUMBER(SEARCH("MATE",INVENTARIO!C49)),"MAT",
IF(ISNUMBER(SEARCH("MESH",INVENTARIO!C49)),"MES",
IF(ISNUMBER(SEARCH("BRILLANTE",INVENTARIO!C49)),"BRI",
IF(ISNUMBER(SEARCH("DELGADA",INVENTARIO!C49)),"DEL",
IF(ISNUMBER(SEARCH("GRUESA",INVENTARIO!C49)),"GRU",
IF(ISNUMBER(SEARCH("ESTATICO",INVENTARIO!C49)),"EST",
IF(ISNUMBER(SEARCH("REFLECTIVO",INVENTARIO!C49)),"REF",
IF(ISNUMBER(SEARCH("LX700",INVENTARIO!C49)),"LX7",
IF(ISNUMBER(SEARCH("GRANDO",INVENTARIO!C49)),"GRA",
IF(ISNUMBER(SEARCH("FB700",INVENTARIO!C49)),"FB7",
IF(ISNUMBER(SEARCH("LX360",INVENTARIO!C49)),"LX3",
IF(ISNUMBER(SEARCH("XEROX",INVENTARIO!C49)),"XER",
IF(ISNUMBER(SEARCH("CEPILLADO",INVENTARIO!C49)),"CEP",
IF(ISNUMBER(SEARCH("ESPEJO",INVENTARIO!C49)),"ESP",
IF(ISNUMBER(SEARCH("10 PTS",INVENTARIO!C49)),"10PT",
IF(ISNUMBER(SEARCH("12 PTS",INVENTARIO!C49)),"12PT",
IF(ISNUMBER(SEARCH("14 PTS",INVENTARIO!C49)),"14PT",
IF(ISNUMBER(SEARCH("CLASICO",INVENTARIO!C49)),"CLA",
""))))))))))))))))))))))</f>
        <v>EST</v>
      </c>
      <c r="D49" t="str">
        <f>IF(ISNUMBER(SEARCH("GRAN FORMATO",INVENTARIO!C49)),"GRA-FOR",
IF(ISNUMBER(SEARCH("CAMA PLANA",INVENTARIO!C49)),"CAM-PLA",
IF(ISNUMBER(SEARCH("GRADO INGENIERIA",INVENTARIO!C49)),"GRA-ING",
IF(ISNUMBER(SEARCH("130 GRS",INVENTARIO!C49)),"130GR",
IF(ISNUMBER(SEARCH("150 GRS",INVENTARIO!C49)),"150GR",
IF(ISNUMBER(SEARCH("185 GRS",INVENTARIO!C49)),"185GR",
IF(ISNUMBER(SEARCH("200 GRS",INVENTARIO!C49)),"200GR",
IF(ISNUMBER(SEARCH("250 GRS",INVENTARIO!C49)),"250GR",
IF(ISNUMBER(SEARCH("300 GRS",INVENTARIO!C49)),"300GR",
IF(ISNUMBER(SEARCH("350 GRS",INVENTARIO!C49)),"350GR",
IF(ISNUMBER(SEARCH("18 OZ",INVENTARIO!C49)),"18OZ",
IF(ISNUMBER(SEARCH("15 OZ",INVENTARIO!C49)),"15OZ",
IF(OR(ISNUMBER(SEARCH("13 OZ",INVENTARIO!C49)),ISNUMBER(SEARCH("13 ONZAS",INVENTARIO!C49))),"13OZ",
IF(OR(ISNUMBER(SEARCH("9 OZ",INVENTARIO!C49)),ISNUMBER(SEARCH("9 ONZAS",INVENTARIO!C49))),"09OZ",
IF(ISNUMBER(SEARCH("DOBLE CARA",INVENTARIO!C49)),"DOB-CAR",
"")))))))))))))))</f>
        <v/>
      </c>
      <c r="E49" t="str">
        <f>IF(OR(ISNUMBER(SEARCH("TRANSPARENTE",INVENTARIO!C49)),ISNUMBER(SEARCH("TRANSPARENTES",INVENTARIO!C49))),"TRA",
IF(OR(ISNUMBER(SEARCH("BLANCO",INVENTARIO!C49)),ISNUMBER(SEARCH("BCO",INVENTARIO!C49))),"BLA",
IF(ISNUMBER(SEARCH("FOTOGRAFICO",INVENTARIO!C49)),"FOT",
IF(ISNUMBER(SEARCH("MARFIL",INVENTARIO!C49)),"MAR",
IF(ISNUMBER(SEARCH("VERDE",INVENTARIO!C49)),"VER",
IF(ISNUMBER(SEARCH("MORADO",INVENTARIO!C49)),"MOR",
IF(ISNUMBER(SEARCH("PLATA",INVENTARIO!C49)),"PLA",
IF(ISNUMBER(SEARCH("ORO",INVENTARIO!C49)),"ORO",
IF(ISNUMBER(SEARCH("AMARILLO",INVENTARIO!C49)),"AMA",
IF(ISNUMBER(SEARCH("NARANJA",INVENTARIO!C49)),"NAR",
IF(ISNUMBER(SEARCH("NEGRO",INVENTARIO!C49)),"NEG",
IF(ISNUMBER(SEARCH("ROJO",INVENTARIO!C49)),"ROJ",
IF(ISNUMBER(SEARCH("AZUL",INVENTARIO!C49)),"AZU","")))))))))))))</f>
        <v>BLA</v>
      </c>
      <c r="F49" t="str">
        <f>IF(ISNUMBER(SEARCH("ARLON",INVENTARIO!C49)),"ARL",
IF(ISNUMBER(SEARCH("SUNTHINKS",INVENTARIO!C49)),"SUN",
IF(ISNUMBER(SEARCH("FRIO",INVENTARIO!C49)),"FRI",
IF(ISNUMBER(SEARCH("CALIDO",INVENTARIO!C49)),"CAL",
IF(ISNUMBER(SEARCH("CEPILLADO",INVENTARIO!C49)),"CEP",
IF(ISNUMBER(SEARCH("ESPEJO",INVENTARIO!C49)),"ESP",
""))))))</f>
        <v/>
      </c>
      <c r="G49" t="str">
        <f>IF(ISNUMBER(SEARCH("LATEX",INVENTARIO!C49)),"LAT",
IF(ISNUMBER(SEARCH("RESP. NEGRO",INVENTARIO!C49)),"RES-NEG",
IF(ISNUMBER(SEARCH("RESPALDO CAFE",INVENTARIO!C49)),"RES-CAF",
IF(ISNUMBER(SEARCH("RESPALDO GRIS",INVENTARIO!C49)),"RES-GRI",
IF(ISNUMBER(SEARCH("OPTICO",INVENTARIO!C49)),"OPT",
IF(ISNUMBER(SEARCH("1,2 MM",INVENTARIO!C49)),"1MM2",
IF(ISNUMBER(SEARCH("2 MM",INVENTARIO!C49)),"2MM",
IF(ISNUMBER(SEARCH("3 MM",INVENTARIO!C49)),"3MM",
IF(ISNUMBER(SEARCH("4 MM",INVENTARIO!C49)),"4MM",
IF(ISNUMBER(SEARCH("5 MM",INVENTARIO!C49)),"5MM",
IF(ISNUMBER(SEARCH("6 MM",INVENTARIO!C49)),"6MM",
IF(ISNUMBER(SEARCH("9 MM",INVENTARIO!C49)),"9MM",
IF(ISNUMBER(SEARCH("10 MM",INVENTARIO!C49)),"10MM","")))))))))))))</f>
        <v/>
      </c>
      <c r="H49" t="str">
        <f>IF(ISNUMBER(SEARCH("GAMA BAJA",INVENTARIO!C49)),"GAM-BAJ",
IF(ISNUMBER(SEARCH("OPTIMIZADOR",INVENTARIO!C49)),"OPT",
IF(ISNUMBER(SEARCH("OVERCOAT",INVENTARIO!C49)),"OVE",
IF(ISNUMBER(SEARCH("WHITE",INVENTARIO!C49)),"WHI",
IF(ISNUMBER(SEARCH("LIGHT CYAN",INVENTARIO!C49)),"LIG-CYA",
IF(ISNUMBER(SEARCH("CYAN",INVENTARIO!C49)),"CYA",
IF(ISNUMBER(SEARCH("LIGHT MAGENTA",INVENTARIO!C49)),"LIG-MAG",
IF(ISNUMBER(SEARCH("MAGENTA",INVENTARIO!C49)),"MAG",
IF(ISNUMBER(SEARCH("BLACK",INVENTARIO!C49)),"BLA",
IF(ISNUMBER(SEARCH("YELLOW",INVENTARIO!C49)),"YEL",
IF(ISNUMBER(SEARCH("2 DIODOS",INVENTARIO!C49)),"2DI",
IF(ISNUMBER(SEARCH("3 DIODOS",INVENTARIO!C49)),"3DI",
IF(OR(ISNUMBER(SEARCH("TRASLUCIDO",INVENTARIO!C49)),ISNUMBER(SEARCH("TRANSLUCIDO",INVENTARIO!C49))),"TRA",
"")))))))))))))</f>
        <v/>
      </c>
      <c r="I49" t="str">
        <f>IF(ISNUMBER(SEARCH("SILED",INVENTARIO!C52)),"SI",
IF(ISNUMBER(SEARCH("SYDEMEX",INVENTARIO!C52)),"SY",
IF(ISNUMBER(SEARCH("ROHS",INVENTARIO!C52)),"RO",
IF(ISNUMBER(SEARCH("RISHANG",INVENTARIO!C52)),"RS",
IF(ISNUMBER(SEARCH("VYG",INVENTARIO!C52)),"VYG",
IF(ISNUMBER(SEARCH("COLED",INVENTARIO!C52)),"CO",""))))))</f>
        <v/>
      </c>
    </row>
    <row r="50" spans="1:9">
      <c r="A50" t="str">
        <f>IF(ISNUMBER(SEARCH("LONA",INVENTARIO!C50)),"LON",
IF(ISNUMBER(SEARCH("VINIL",INVENTARIO!C50)),"VIN",
IF(ISNUMBER(SEARCH("KROMACOTE",INVENTARIO!C50)),"KRO",
IF(ISNUMBER(SEARCH("STARDREAM",INVENTARIO!C50)),"STA",
IF(ISNUMBER(SEARCH("DISPLAY",INVENTARIO!C50)),"DIS",
IF(ISNUMBER(SEARCH("ROLL UP",INVENTARIO!C50)),"ROL-UP",
IF(ISNUMBER(SEARCH("TRANSFER DE PAPEL",INVENTARIO!C50)),"TRA-PAP",
IF(ISNUMBER(SEARCH("TRANSFER",INVENTARIO!C50)),"TRA",IF(ISNUMBER(SEARCH("KOLA LOKA",INVENTARIO!C50)),"KOL-LOK",
IF(ISNUMBER(SEARCH("PETG",INVENTARIO!C50)),"PET",
IF(ISNUMBER(SEARCH("OJILLO",INVENTARIO!C50)),"OJI",
IF(ISNUMBER(SEARCH("COUCHE",INVENTARIO!C50)),"COU",
IF(ISNUMBER(SEARCH("PANEL DE ALUMINIO",INVENTARIO!C50)),"PAN-ALU",
IF(ISNUMBER(SEARCH("PVC",INVENTARIO!C50)),"PVC",
IF(ISNUMBER(SEARCH("PAPEL",INVENTARIO!C50)),"PAP",
IF(ISNUMBER(SEARCH("TELA",INVENTARIO!C50)),"TEL",
IF(ISNUMBER(SEARCH("CARTULINA",INVENTARIO!C50)),"CAR",
IF(OR(ISNUMBER(SEARCH("LAMINA",INVENTARIO!C50)),ISNUMBER(SEARCH("LÁMINA",INVENTARIO!C50)),ISNUMBER(SEARCH("LAMPARAS",INVENTARIO!C50))),"LAM",
IF(ISNUMBER(SEARCH("ESTIRENO",INVENTARIO!C50)),"EST",
IF(ISNUMBER(SEARCH("FOAMBOARD",INVENTARIO!C50)),"FOA",
IF(ISNUMBER(SEARCH("SOLVENTE",INVENTARIO!C50)),"SOL",
IF(ISNUMBER(SEARCH("TINTA",INVENTARIO!C50)),"TIN",
IF(ISNUMBER(SEARCH("ACRILICO",INVENTARIO!C50)),"ACR",
IF(ISNUMBER(SEARCH("MICROLED",INVENTARIO!C50)),"MIC",
IF(ISNUMBER(SEARCH("LED",INVENTARIO!C50)),"LED",
IF(ISNUMBER(SEARCH("FUENTE DE PODER",INVENTARIO!C50)),"FUE-POD",
IF(ISNUMBER(SEARCH("PETG",INVENTARIO!C50)),"PET",
IF(ISNUMBER(SEARCH("ALUMINIO",INVENTARIO!C50)),"ALU",
IF(ISNUMBER(SEARCH("CANAL",INVENTARIO!C50)),"CAN",
IF(ISNUMBER(SEARCH("ESCUADRA",INVENTARIO!C50)),"ESC",
IF(ISNUMBER(SEARCH("SOPORTE",INVENTARIO!C50)),"SOP","OTR")
))))))))))))))))))))))))))))))</f>
        <v>VIN</v>
      </c>
      <c r="B50" t="str">
        <f>IF(ISNUMBER(SEARCH("CORTE",INVENTARIO!C50)),"COR",
IF(ISNUMBER(SEARCH("CITYLIGHT",INVENTARIO!C50)),"CIT",
IF(ISNUMBER(SEARCH("LINO",INVENTARIO!C50)),"LIN",
IF(ISNUMBER(SEARCH("FABRIANO",INVENTARIO!C50)),"FAB",
IF(ISNUMBER(SEARCH("SUNDANCE",INVENTARIO!C50)),"SUN",
IF(ISNUMBER(SEARCH("SINTETICA",INVENTARIO!C50)),"SIN",
IF(ISNUMBER(SEARCH("CONTROL",INVENTARIO!C50)),"CON",
IF(ISNUMBER(SEARCH("TERMICO",INVENTARIO!C50)),"TER",
IF(ISNUMBER(SEARCH("C-15",INVENTARIO!C50)),"C15",
IF(ISNUMBER(SEARCH("C-20",INVENTARIO!C50)),"C20",
IF(ISNUMBER(SEARCH("C-30",INVENTARIO!C50)),"C30",
IF(ISNUMBER(SEARCH("C-40",INVENTARIO!C50)),"C40",
IF(ISNUMBER(SEARCH("C-60",INVENTARIO!C50)),"C60",
IF(ISNUMBER(SEARCH("C-80",INVENTARIO!C50)),"C80",
IF(ISNUMBER(SEARCH("EQUIPO",INVENTARIO!C50)),"EQU",
IF(ISNUMBER(SEARCH("FLOOR",INVENTARIO!C50)),"FLO",
IF(ISNUMBER(SEARCH("CRISTAL",INVENTARIO!C50)),"CRI",
IF(ISNUMBER(SEARCH(" SULFATADA",INVENTARIO!C61)),"SUL",
IF(ISNUMBER(SEARCH("OPALINA",INVENTARIO!C50)),"OPA",
IF(ISNUMBER(SEARCH("ADHERIBLE",INVENTARIO!C50)),"ADH",
IF(ISNUMBER(SEARCH("MICRO",INVENTARIO!C50)),"MIC","")))))))))))))))))))))</f>
        <v/>
      </c>
      <c r="C50" t="str">
        <f>IF(ISNUMBER(SEARCH("PARED",INVENTARIO!C50)),"PAR",
IF(ISNUMBER(SEARCH("FRONT",INVENTARIO!C50)),"FRO",
IF(ISNUMBER(SEARCH("ALTA RESISTENCIA",INVENTARIO!C50)),
"ALT-RES",IF(ISNUMBER(SEARCH("BACKLITE",INVENTARIO!C50)),"BAC",
IF(ISNUMBER(SEARCH("MATE",INVENTARIO!C50)),"MAT",
IF(ISNUMBER(SEARCH("MESH",INVENTARIO!C50)),"MES",
IF(ISNUMBER(SEARCH("BRILLANTE",INVENTARIO!C50)),"BRI",
IF(ISNUMBER(SEARCH("DELGADA",INVENTARIO!C50)),"DEL",
IF(ISNUMBER(SEARCH("GRUESA",INVENTARIO!C50)),"GRU",
IF(ISNUMBER(SEARCH("ESTATICO",INVENTARIO!C50)),"EST",
IF(ISNUMBER(SEARCH("REFLECTIVO",INVENTARIO!C50)),"REF",
IF(ISNUMBER(SEARCH("LX700",INVENTARIO!C50)),"LX7",
IF(ISNUMBER(SEARCH("GRANDO",INVENTARIO!C50)),"GRA",
IF(ISNUMBER(SEARCH("FB700",INVENTARIO!C50)),"FB7",
IF(ISNUMBER(SEARCH("LX360",INVENTARIO!C50)),"LX3",
IF(ISNUMBER(SEARCH("XEROX",INVENTARIO!C50)),"XER",
IF(ISNUMBER(SEARCH("CEPILLADO",INVENTARIO!C50)),"CEP",
IF(ISNUMBER(SEARCH("ESPEJO",INVENTARIO!C50)),"ESP",
IF(ISNUMBER(SEARCH("10 PTS",INVENTARIO!C50)),"10PT",
IF(ISNUMBER(SEARCH("12 PTS",INVENTARIO!C50)),"12PT",
IF(ISNUMBER(SEARCH("14 PTS",INVENTARIO!C50)),"14PT",
IF(ISNUMBER(SEARCH("CLASICO",INVENTARIO!C50)),"CLA",
""))))))))))))))))))))))</f>
        <v>EST</v>
      </c>
      <c r="D50" t="str">
        <f>IF(ISNUMBER(SEARCH("GRAN FORMATO",INVENTARIO!C50)),"GRA-FOR",
IF(ISNUMBER(SEARCH("CAMA PLANA",INVENTARIO!C50)),"CAM-PLA",
IF(ISNUMBER(SEARCH("GRADO INGENIERIA",INVENTARIO!C50)),"GRA-ING",
IF(ISNUMBER(SEARCH("130 GRS",INVENTARIO!C50)),"130GR",
IF(ISNUMBER(SEARCH("150 GRS",INVENTARIO!C50)),"150GR",
IF(ISNUMBER(SEARCH("185 GRS",INVENTARIO!C50)),"185GR",
IF(ISNUMBER(SEARCH("200 GRS",INVENTARIO!C50)),"200GR",
IF(ISNUMBER(SEARCH("250 GRS",INVENTARIO!C50)),"250GR",
IF(ISNUMBER(SEARCH("300 GRS",INVENTARIO!C50)),"300GR",
IF(ISNUMBER(SEARCH("350 GRS",INVENTARIO!C50)),"350GR",
IF(ISNUMBER(SEARCH("18 OZ",INVENTARIO!C50)),"18OZ",
IF(ISNUMBER(SEARCH("15 OZ",INVENTARIO!C50)),"15OZ",
IF(OR(ISNUMBER(SEARCH("13 OZ",INVENTARIO!C50)),ISNUMBER(SEARCH("13 ONZAS",INVENTARIO!C50))),"13OZ",
IF(OR(ISNUMBER(SEARCH("9 OZ",INVENTARIO!C50)),ISNUMBER(SEARCH("9 ONZAS",INVENTARIO!C50))),"09OZ",
IF(ISNUMBER(SEARCH("DOBLE CARA",INVENTARIO!C50)),"DOB-CAR",
"")))))))))))))))</f>
        <v/>
      </c>
      <c r="E50" t="str">
        <f>IF(OR(ISNUMBER(SEARCH("TRANSPARENTE",INVENTARIO!C50)),ISNUMBER(SEARCH("TRANSPARENTES",INVENTARIO!C50))),"TRA",
IF(OR(ISNUMBER(SEARCH("BLANCO",INVENTARIO!C50)),ISNUMBER(SEARCH("BCO",INVENTARIO!C50))),"BLA",
IF(ISNUMBER(SEARCH("FOTOGRAFICO",INVENTARIO!C50)),"FOT",
IF(ISNUMBER(SEARCH("MARFIL",INVENTARIO!C50)),"MAR",
IF(ISNUMBER(SEARCH("VERDE",INVENTARIO!C50)),"VER",
IF(ISNUMBER(SEARCH("MORADO",INVENTARIO!C50)),"MOR",
IF(ISNUMBER(SEARCH("PLATA",INVENTARIO!C50)),"PLA",
IF(ISNUMBER(SEARCH("ORO",INVENTARIO!C50)),"ORO",
IF(ISNUMBER(SEARCH("AMARILLO",INVENTARIO!C50)),"AMA",
IF(ISNUMBER(SEARCH("NARANJA",INVENTARIO!C50)),"NAR",
IF(ISNUMBER(SEARCH("NEGRO",INVENTARIO!C50)),"NEG",
IF(ISNUMBER(SEARCH("ROJO",INVENTARIO!C50)),"ROJ",
IF(ISNUMBER(SEARCH("AZUL",INVENTARIO!C50)),"AZU","")))))))))))))</f>
        <v>BLA</v>
      </c>
      <c r="F50" t="str">
        <f>IF(ISNUMBER(SEARCH("ARLON",INVENTARIO!C50)),"ARL",
IF(ISNUMBER(SEARCH("SUNTHINKS",INVENTARIO!C50)),"SUN",
IF(ISNUMBER(SEARCH("FRIO",INVENTARIO!C50)),"FRI",
IF(ISNUMBER(SEARCH("CALIDO",INVENTARIO!C50)),"CAL",
IF(ISNUMBER(SEARCH("CEPILLADO",INVENTARIO!C50)),"CEP",
IF(ISNUMBER(SEARCH("ESPEJO",INVENTARIO!C50)),"ESP",
""))))))</f>
        <v/>
      </c>
      <c r="G50" t="str">
        <f>IF(ISNUMBER(SEARCH("LATEX",INVENTARIO!C50)),"LAT",
IF(ISNUMBER(SEARCH("RESP. NEGRO",INVENTARIO!C50)),"RES-NEG",
IF(ISNUMBER(SEARCH("RESPALDO CAFE",INVENTARIO!C50)),"RES-CAF",
IF(ISNUMBER(SEARCH("RESPALDO GRIS",INVENTARIO!C50)),"RES-GRI",
IF(ISNUMBER(SEARCH("OPTICO",INVENTARIO!C50)),"OPT",
IF(ISNUMBER(SEARCH("1,2 MM",INVENTARIO!C50)),"1MM2",
IF(ISNUMBER(SEARCH("2 MM",INVENTARIO!C50)),"2MM",
IF(ISNUMBER(SEARCH("3 MM",INVENTARIO!C50)),"3MM",
IF(ISNUMBER(SEARCH("4 MM",INVENTARIO!C50)),"4MM",
IF(ISNUMBER(SEARCH("5 MM",INVENTARIO!C50)),"5MM",
IF(ISNUMBER(SEARCH("6 MM",INVENTARIO!C50)),"6MM",
IF(ISNUMBER(SEARCH("9 MM",INVENTARIO!C50)),"9MM",
IF(ISNUMBER(SEARCH("10 MM",INVENTARIO!C50)),"10MM","")))))))))))))</f>
        <v/>
      </c>
      <c r="H50" t="str">
        <f>IF(ISNUMBER(SEARCH("GAMA BAJA",INVENTARIO!C50)),"GAM-BAJ",
IF(ISNUMBER(SEARCH("OPTIMIZADOR",INVENTARIO!C50)),"OPT",
IF(ISNUMBER(SEARCH("OVERCOAT",INVENTARIO!C50)),"OVE",
IF(ISNUMBER(SEARCH("WHITE",INVENTARIO!C50)),"WHI",
IF(ISNUMBER(SEARCH("LIGHT CYAN",INVENTARIO!C50)),"LIG-CYA",
IF(ISNUMBER(SEARCH("CYAN",INVENTARIO!C50)),"CYA",
IF(ISNUMBER(SEARCH("LIGHT MAGENTA",INVENTARIO!C50)),"LIG-MAG",
IF(ISNUMBER(SEARCH("MAGENTA",INVENTARIO!C50)),"MAG",
IF(ISNUMBER(SEARCH("BLACK",INVENTARIO!C50)),"BLA",
IF(ISNUMBER(SEARCH("YELLOW",INVENTARIO!C50)),"YEL",
IF(ISNUMBER(SEARCH("2 DIODOS",INVENTARIO!C50)),"2DI",
IF(ISNUMBER(SEARCH("3 DIODOS",INVENTARIO!C50)),"3DI",
IF(OR(ISNUMBER(SEARCH("TRASLUCIDO",INVENTARIO!C50)),ISNUMBER(SEARCH("TRANSLUCIDO",INVENTARIO!C50))),"TRA",
"")))))))))))))</f>
        <v/>
      </c>
      <c r="I50" t="str">
        <f>IF(ISNUMBER(SEARCH("SILED",INVENTARIO!C53)),"SI",
IF(ISNUMBER(SEARCH("SYDEMEX",INVENTARIO!C53)),"SY",
IF(ISNUMBER(SEARCH("ROHS",INVENTARIO!C53)),"RO",
IF(ISNUMBER(SEARCH("RISHANG",INVENTARIO!C53)),"RS",
IF(ISNUMBER(SEARCH("VYG",INVENTARIO!C53)),"VYG",
IF(ISNUMBER(SEARCH("COLED",INVENTARIO!C53)),"CO",""))))))</f>
        <v/>
      </c>
    </row>
    <row r="51" spans="1:9">
      <c r="A51" t="str">
        <f>IF(ISNUMBER(SEARCH("LONA",INVENTARIO!C51)),"LON",
IF(ISNUMBER(SEARCH("VINIL",INVENTARIO!C51)),"VIN",
IF(ISNUMBER(SEARCH("KROMACOTE",INVENTARIO!C51)),"KRO",
IF(ISNUMBER(SEARCH("STARDREAM",INVENTARIO!C51)),"STA",
IF(ISNUMBER(SEARCH("DISPLAY",INVENTARIO!C51)),"DIS",
IF(ISNUMBER(SEARCH("ROLL UP",INVENTARIO!C51)),"ROL-UP",
IF(ISNUMBER(SEARCH("TRANSFER DE PAPEL",INVENTARIO!C51)),"TRA-PAP",
IF(ISNUMBER(SEARCH("TRANSFER",INVENTARIO!C51)),"TRA",IF(ISNUMBER(SEARCH("KOLA LOKA",INVENTARIO!C51)),"KOL-LOK",
IF(ISNUMBER(SEARCH("PETG",INVENTARIO!C51)),"PET",
IF(ISNUMBER(SEARCH("OJILLO",INVENTARIO!C51)),"OJI",
IF(ISNUMBER(SEARCH("COUCHE",INVENTARIO!C51)),"COU",
IF(ISNUMBER(SEARCH("PANEL DE ALUMINIO",INVENTARIO!C51)),"PAN-ALU",
IF(ISNUMBER(SEARCH("PVC",INVENTARIO!C51)),"PVC",
IF(ISNUMBER(SEARCH("PAPEL",INVENTARIO!C51)),"PAP",
IF(ISNUMBER(SEARCH("TELA",INVENTARIO!C51)),"TEL",
IF(ISNUMBER(SEARCH("CARTULINA",INVENTARIO!C51)),"CAR",
IF(OR(ISNUMBER(SEARCH("LAMINA",INVENTARIO!C51)),ISNUMBER(SEARCH("LÁMINA",INVENTARIO!C51)),ISNUMBER(SEARCH("LAMPARAS",INVENTARIO!C51))),"LAM",
IF(ISNUMBER(SEARCH("ESTIRENO",INVENTARIO!C51)),"EST",
IF(ISNUMBER(SEARCH("FOAMBOARD",INVENTARIO!C51)),"FOA",
IF(ISNUMBER(SEARCH("SOLVENTE",INVENTARIO!C51)),"SOL",
IF(ISNUMBER(SEARCH("TINTA",INVENTARIO!C51)),"TIN",
IF(ISNUMBER(SEARCH("ACRILICO",INVENTARIO!C51)),"ACR",
IF(ISNUMBER(SEARCH("MICROLED",INVENTARIO!C51)),"MIC",
IF(ISNUMBER(SEARCH("LED",INVENTARIO!C51)),"LED",
IF(ISNUMBER(SEARCH("FUENTE DE PODER",INVENTARIO!C51)),"FUE-POD",
IF(ISNUMBER(SEARCH("PETG",INVENTARIO!C51)),"PET",
IF(ISNUMBER(SEARCH("ALUMINIO",INVENTARIO!C51)),"ALU",
IF(ISNUMBER(SEARCH("CANAL",INVENTARIO!C51)),"CAN",
IF(ISNUMBER(SEARCH("ESCUADRA",INVENTARIO!C51)),"ESC",
IF(ISNUMBER(SEARCH("SOPORTE",INVENTARIO!C51)),"SOP","OTR")
))))))))))))))))))))))))))))))</f>
        <v>VIN</v>
      </c>
      <c r="B51" t="str">
        <f>IF(ISNUMBER(SEARCH("CORTE",INVENTARIO!C51)),"COR",
IF(ISNUMBER(SEARCH("CITYLIGHT",INVENTARIO!C51)),"CIT",
IF(ISNUMBER(SEARCH("LINO",INVENTARIO!C51)),"LIN",
IF(ISNUMBER(SEARCH("FABRIANO",INVENTARIO!C51)),"FAB",
IF(ISNUMBER(SEARCH("SUNDANCE",INVENTARIO!C51)),"SUN",
IF(ISNUMBER(SEARCH("SINTETICA",INVENTARIO!C51)),"SIN",
IF(ISNUMBER(SEARCH("CONTROL",INVENTARIO!C51)),"CON",
IF(ISNUMBER(SEARCH("TERMICO",INVENTARIO!C51)),"TER",
IF(ISNUMBER(SEARCH("C-15",INVENTARIO!C51)),"C15",
IF(ISNUMBER(SEARCH("C-20",INVENTARIO!C51)),"C20",
IF(ISNUMBER(SEARCH("C-30",INVENTARIO!C51)),"C30",
IF(ISNUMBER(SEARCH("C-40",INVENTARIO!C51)),"C40",
IF(ISNUMBER(SEARCH("C-60",INVENTARIO!C51)),"C60",
IF(ISNUMBER(SEARCH("C-80",INVENTARIO!C51)),"C80",
IF(ISNUMBER(SEARCH("EQUIPO",INVENTARIO!C51)),"EQU",
IF(ISNUMBER(SEARCH("FLOOR",INVENTARIO!C51)),"FLO",
IF(ISNUMBER(SEARCH("CRISTAL",INVENTARIO!C51)),"CRI",
IF(ISNUMBER(SEARCH(" SULFATADA",INVENTARIO!C62)),"SUL",
IF(ISNUMBER(SEARCH("OPALINA",INVENTARIO!C51)),"OPA",
IF(ISNUMBER(SEARCH("ADHERIBLE",INVENTARIO!C51)),"ADH",
IF(ISNUMBER(SEARCH("MICRO",INVENTARIO!C51)),"MIC","")))))))))))))))))))))</f>
        <v/>
      </c>
      <c r="C51" t="str">
        <f>IF(ISNUMBER(SEARCH("PARED",INVENTARIO!C51)),"PAR",
IF(ISNUMBER(SEARCH("FRONT",INVENTARIO!C51)),"FRO",
IF(ISNUMBER(SEARCH("ALTA RESISTENCIA",INVENTARIO!C51)),
"ALT-RES",IF(ISNUMBER(SEARCH("BACKLITE",INVENTARIO!C51)),"BAC",
IF(ISNUMBER(SEARCH("MATE",INVENTARIO!C51)),"MAT",
IF(ISNUMBER(SEARCH("MESH",INVENTARIO!C51)),"MES",
IF(ISNUMBER(SEARCH("BRILLANTE",INVENTARIO!C51)),"BRI",
IF(ISNUMBER(SEARCH("DELGADA",INVENTARIO!C51)),"DEL",
IF(ISNUMBER(SEARCH("GRUESA",INVENTARIO!C51)),"GRU",
IF(ISNUMBER(SEARCH("ESTATICO",INVENTARIO!C51)),"EST",
IF(ISNUMBER(SEARCH("REFLECTIVO",INVENTARIO!C51)),"REF",
IF(ISNUMBER(SEARCH("LX700",INVENTARIO!C51)),"LX7",
IF(ISNUMBER(SEARCH("GRANDO",INVENTARIO!C51)),"GRA",
IF(ISNUMBER(SEARCH("FB700",INVENTARIO!C51)),"FB7",
IF(ISNUMBER(SEARCH("LX360",INVENTARIO!C51)),"LX3",
IF(ISNUMBER(SEARCH("XEROX",INVENTARIO!C51)),"XER",
IF(ISNUMBER(SEARCH("CEPILLADO",INVENTARIO!C51)),"CEP",
IF(ISNUMBER(SEARCH("ESPEJO",INVENTARIO!C51)),"ESP",
IF(ISNUMBER(SEARCH("10 PTS",INVENTARIO!C51)),"10PT",
IF(ISNUMBER(SEARCH("12 PTS",INVENTARIO!C51)),"12PT",
IF(ISNUMBER(SEARCH("14 PTS",INVENTARIO!C51)),"14PT",
IF(ISNUMBER(SEARCH("CLASICO",INVENTARIO!C51)),"CLA",
""))))))))))))))))))))))</f>
        <v>EST</v>
      </c>
      <c r="D51" t="str">
        <f>IF(ISNUMBER(SEARCH("GRAN FORMATO",INVENTARIO!C51)),"GRA-FOR",
IF(ISNUMBER(SEARCH("CAMA PLANA",INVENTARIO!C51)),"CAM-PLA",
IF(ISNUMBER(SEARCH("GRADO INGENIERIA",INVENTARIO!C51)),"GRA-ING",
IF(ISNUMBER(SEARCH("130 GRS",INVENTARIO!C51)),"130GR",
IF(ISNUMBER(SEARCH("150 GRS",INVENTARIO!C51)),"150GR",
IF(ISNUMBER(SEARCH("185 GRS",INVENTARIO!C51)),"185GR",
IF(ISNUMBER(SEARCH("200 GRS",INVENTARIO!C51)),"200GR",
IF(ISNUMBER(SEARCH("250 GRS",INVENTARIO!C51)),"250GR",
IF(ISNUMBER(SEARCH("300 GRS",INVENTARIO!C51)),"300GR",
IF(ISNUMBER(SEARCH("350 GRS",INVENTARIO!C51)),"350GR",
IF(ISNUMBER(SEARCH("18 OZ",INVENTARIO!C51)),"18OZ",
IF(ISNUMBER(SEARCH("15 OZ",INVENTARIO!C51)),"15OZ",
IF(OR(ISNUMBER(SEARCH("13 OZ",INVENTARIO!C51)),ISNUMBER(SEARCH("13 ONZAS",INVENTARIO!C51))),"13OZ",
IF(OR(ISNUMBER(SEARCH("9 OZ",INVENTARIO!C51)),ISNUMBER(SEARCH("9 ONZAS",INVENTARIO!C51))),"09OZ",
IF(ISNUMBER(SEARCH("DOBLE CARA",INVENTARIO!C51)),"DOB-CAR",
"")))))))))))))))</f>
        <v/>
      </c>
      <c r="E51" t="str">
        <f>IF(OR(ISNUMBER(SEARCH("TRANSPARENTE",INVENTARIO!C51)),ISNUMBER(SEARCH("TRANSPARENTES",INVENTARIO!C51))),"TRA",
IF(OR(ISNUMBER(SEARCH("BLANCO",INVENTARIO!C51)),ISNUMBER(SEARCH("BCO",INVENTARIO!C51))),"BLA",
IF(ISNUMBER(SEARCH("FOTOGRAFICO",INVENTARIO!C51)),"FOT",
IF(ISNUMBER(SEARCH("MARFIL",INVENTARIO!C51)),"MAR",
IF(ISNUMBER(SEARCH("VERDE",INVENTARIO!C51)),"VER",
IF(ISNUMBER(SEARCH("MORADO",INVENTARIO!C51)),"MOR",
IF(ISNUMBER(SEARCH("PLATA",INVENTARIO!C51)),"PLA",
IF(ISNUMBER(SEARCH("ORO",INVENTARIO!C51)),"ORO",
IF(ISNUMBER(SEARCH("AMARILLO",INVENTARIO!C51)),"AMA",
IF(ISNUMBER(SEARCH("NARANJA",INVENTARIO!C51)),"NAR",
IF(ISNUMBER(SEARCH("NEGRO",INVENTARIO!C51)),"NEG",
IF(ISNUMBER(SEARCH("ROJO",INVENTARIO!C51)),"ROJ",
IF(ISNUMBER(SEARCH("AZUL",INVENTARIO!C51)),"AZU","")))))))))))))</f>
        <v>TRA</v>
      </c>
      <c r="F51" t="str">
        <f>IF(ISNUMBER(SEARCH("ARLON",INVENTARIO!C51)),"ARL",
IF(ISNUMBER(SEARCH("SUNTHINKS",INVENTARIO!C51)),"SUN",
IF(ISNUMBER(SEARCH("FRIO",INVENTARIO!C51)),"FRI",
IF(ISNUMBER(SEARCH("CALIDO",INVENTARIO!C51)),"CAL",
IF(ISNUMBER(SEARCH("CEPILLADO",INVENTARIO!C51)),"CEP",
IF(ISNUMBER(SEARCH("ESPEJO",INVENTARIO!C51)),"ESP",
""))))))</f>
        <v/>
      </c>
      <c r="G51" t="str">
        <f>IF(ISNUMBER(SEARCH("LATEX",INVENTARIO!C51)),"LAT",
IF(ISNUMBER(SEARCH("RESP. NEGRO",INVENTARIO!C51)),"RES-NEG",
IF(ISNUMBER(SEARCH("RESPALDO CAFE",INVENTARIO!C51)),"RES-CAF",
IF(ISNUMBER(SEARCH("RESPALDO GRIS",INVENTARIO!C51)),"RES-GRI",
IF(ISNUMBER(SEARCH("OPTICO",INVENTARIO!C51)),"OPT",
IF(ISNUMBER(SEARCH("1,2 MM",INVENTARIO!C51)),"1MM2",
IF(ISNUMBER(SEARCH("2 MM",INVENTARIO!C51)),"2MM",
IF(ISNUMBER(SEARCH("3 MM",INVENTARIO!C51)),"3MM",
IF(ISNUMBER(SEARCH("4 MM",INVENTARIO!C51)),"4MM",
IF(ISNUMBER(SEARCH("5 MM",INVENTARIO!C51)),"5MM",
IF(ISNUMBER(SEARCH("6 MM",INVENTARIO!C51)),"6MM",
IF(ISNUMBER(SEARCH("9 MM",INVENTARIO!C51)),"9MM",
IF(ISNUMBER(SEARCH("10 MM",INVENTARIO!C51)),"10MM","")))))))))))))</f>
        <v/>
      </c>
      <c r="H51" t="str">
        <f>IF(ISNUMBER(SEARCH("GAMA BAJA",INVENTARIO!C51)),"GAM-BAJ",
IF(ISNUMBER(SEARCH("OPTIMIZADOR",INVENTARIO!C51)),"OPT",
IF(ISNUMBER(SEARCH("OVERCOAT",INVENTARIO!C51)),"OVE",
IF(ISNUMBER(SEARCH("WHITE",INVENTARIO!C51)),"WHI",
IF(ISNUMBER(SEARCH("LIGHT CYAN",INVENTARIO!C51)),"LIG-CYA",
IF(ISNUMBER(SEARCH("CYAN",INVENTARIO!C51)),"CYA",
IF(ISNUMBER(SEARCH("LIGHT MAGENTA",INVENTARIO!C51)),"LIG-MAG",
IF(ISNUMBER(SEARCH("MAGENTA",INVENTARIO!C51)),"MAG",
IF(ISNUMBER(SEARCH("BLACK",INVENTARIO!C51)),"BLA",
IF(ISNUMBER(SEARCH("YELLOW",INVENTARIO!C51)),"YEL",
IF(ISNUMBER(SEARCH("2 DIODOS",INVENTARIO!C51)),"2DI",
IF(ISNUMBER(SEARCH("3 DIODOS",INVENTARIO!C51)),"3DI",
IF(OR(ISNUMBER(SEARCH("TRASLUCIDO",INVENTARIO!C51)),ISNUMBER(SEARCH("TRANSLUCIDO",INVENTARIO!C51))),"TRA",
"")))))))))))))</f>
        <v/>
      </c>
      <c r="I5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52" spans="1:9">
      <c r="A52" t="str">
        <f>IF(ISNUMBER(SEARCH("LONA",INVENTARIO!C52)),"LON",
IF(ISNUMBER(SEARCH("VINIL",INVENTARIO!C52)),"VIN",
IF(ISNUMBER(SEARCH("KROMACOTE",INVENTARIO!C52)),"KRO",
IF(ISNUMBER(SEARCH("STARDREAM",INVENTARIO!C52)),"STA",
IF(ISNUMBER(SEARCH("DISPLAY",INVENTARIO!C52)),"DIS",
IF(ISNUMBER(SEARCH("ROLL UP",INVENTARIO!C52)),"ROL-UP",
IF(ISNUMBER(SEARCH("TRANSFER DE PAPEL",INVENTARIO!C52)),"TRA-PAP",
IF(ISNUMBER(SEARCH("TRANSFER",INVENTARIO!C52)),"TRA",IF(ISNUMBER(SEARCH("KOLA LOKA",INVENTARIO!C52)),"KOL-LOK",
IF(ISNUMBER(SEARCH("PETG",INVENTARIO!C52)),"PET",
IF(ISNUMBER(SEARCH("OJILLO",INVENTARIO!C52)),"OJI",
IF(ISNUMBER(SEARCH("COUCHE",INVENTARIO!C52)),"COU",
IF(ISNUMBER(SEARCH("PANEL DE ALUMINIO",INVENTARIO!C52)),"PAN-ALU",
IF(ISNUMBER(SEARCH("PVC",INVENTARIO!C52)),"PVC",
IF(ISNUMBER(SEARCH("PAPEL",INVENTARIO!C52)),"PAP",
IF(ISNUMBER(SEARCH("TELA",INVENTARIO!C52)),"TEL",
IF(ISNUMBER(SEARCH("CARTULINA",INVENTARIO!C52)),"CAR",
IF(OR(ISNUMBER(SEARCH("LAMINA",INVENTARIO!C52)),ISNUMBER(SEARCH("LÁMINA",INVENTARIO!C52)),ISNUMBER(SEARCH("LAMPARAS",INVENTARIO!C52))),"LAM",
IF(ISNUMBER(SEARCH("ESTIRENO",INVENTARIO!C52)),"EST",
IF(ISNUMBER(SEARCH("FOAMBOARD",INVENTARIO!C52)),"FOA",
IF(ISNUMBER(SEARCH("SOLVENTE",INVENTARIO!C52)),"SOL",
IF(ISNUMBER(SEARCH("TINTA",INVENTARIO!C52)),"TIN",
IF(ISNUMBER(SEARCH("ACRILICO",INVENTARIO!C52)),"ACR",
IF(ISNUMBER(SEARCH("MICROLED",INVENTARIO!C52)),"MIC",
IF(ISNUMBER(SEARCH("LED",INVENTARIO!C52)),"LED",
IF(ISNUMBER(SEARCH("FUENTE DE PODER",INVENTARIO!C52)),"FUE-POD",
IF(ISNUMBER(SEARCH("PETG",INVENTARIO!C52)),"PET",
IF(ISNUMBER(SEARCH("ALUMINIO",INVENTARIO!C52)),"ALU",
IF(ISNUMBER(SEARCH("CANAL",INVENTARIO!C52)),"CAN",
IF(ISNUMBER(SEARCH("ESCUADRA",INVENTARIO!C52)),"ESC",
IF(ISNUMBER(SEARCH("SOPORTE",INVENTARIO!C52)),"SOP","OTR")
))))))))))))))))))))))))))))))</f>
        <v>VIN</v>
      </c>
      <c r="B52" t="str">
        <f>IF(ISNUMBER(SEARCH("CORTE",INVENTARIO!C52)),"COR",
IF(ISNUMBER(SEARCH("CITYLIGHT",INVENTARIO!C52)),"CIT",
IF(ISNUMBER(SEARCH("LINO",INVENTARIO!C52)),"LIN",
IF(ISNUMBER(SEARCH("FABRIANO",INVENTARIO!C52)),"FAB",
IF(ISNUMBER(SEARCH("SUNDANCE",INVENTARIO!C52)),"SUN",
IF(ISNUMBER(SEARCH("SINTETICA",INVENTARIO!C52)),"SIN",
IF(ISNUMBER(SEARCH("CONTROL",INVENTARIO!C52)),"CON",
IF(ISNUMBER(SEARCH("TERMICO",INVENTARIO!C52)),"TER",
IF(ISNUMBER(SEARCH("C-15",INVENTARIO!C52)),"C15",
IF(ISNUMBER(SEARCH("C-20",INVENTARIO!C52)),"C20",
IF(ISNUMBER(SEARCH("C-30",INVENTARIO!C52)),"C30",
IF(ISNUMBER(SEARCH("C-40",INVENTARIO!C52)),"C40",
IF(ISNUMBER(SEARCH("C-60",INVENTARIO!C52)),"C60",
IF(ISNUMBER(SEARCH("C-80",INVENTARIO!C52)),"C80",
IF(ISNUMBER(SEARCH("EQUIPO",INVENTARIO!C52)),"EQU",
IF(ISNUMBER(SEARCH("FLOOR",INVENTARIO!C52)),"FLO",
IF(ISNUMBER(SEARCH("CRISTAL",INVENTARIO!C52)),"CRI",
IF(ISNUMBER(SEARCH(" SULFATADA",INVENTARIO!C63)),"SUL",
IF(ISNUMBER(SEARCH("OPALINA",INVENTARIO!C52)),"OPA",
IF(ISNUMBER(SEARCH("ADHERIBLE",INVENTARIO!C52)),"ADH",
IF(ISNUMBER(SEARCH("MICRO",INVENTARIO!C52)),"MIC","")))))))))))))))))))))</f>
        <v/>
      </c>
      <c r="C52" t="str">
        <f>IF(ISNUMBER(SEARCH("PARED",INVENTARIO!C52)),"PAR",
IF(ISNUMBER(SEARCH("FRONT",INVENTARIO!C52)),"FRO",
IF(ISNUMBER(SEARCH("ALTA RESISTENCIA",INVENTARIO!C52)),
"ALT-RES",IF(ISNUMBER(SEARCH("BACKLITE",INVENTARIO!C52)),"BAC",
IF(ISNUMBER(SEARCH("MATE",INVENTARIO!C52)),"MAT",
IF(ISNUMBER(SEARCH("MESH",INVENTARIO!C52)),"MES",
IF(ISNUMBER(SEARCH("BRILLANTE",INVENTARIO!C52)),"BRI",
IF(ISNUMBER(SEARCH("DELGADA",INVENTARIO!C52)),"DEL",
IF(ISNUMBER(SEARCH("GRUESA",INVENTARIO!C52)),"GRU",
IF(ISNUMBER(SEARCH("ESTATICO",INVENTARIO!C52)),"EST",
IF(ISNUMBER(SEARCH("REFLECTIVO",INVENTARIO!C52)),"REF",
IF(ISNUMBER(SEARCH("LX700",INVENTARIO!C52)),"LX7",
IF(ISNUMBER(SEARCH("GRANDO",INVENTARIO!C52)),"GRA",
IF(ISNUMBER(SEARCH("FB700",INVENTARIO!C52)),"FB7",
IF(ISNUMBER(SEARCH("LX360",INVENTARIO!C52)),"LX3",
IF(ISNUMBER(SEARCH("XEROX",INVENTARIO!C52)),"XER",
IF(ISNUMBER(SEARCH("CEPILLADO",INVENTARIO!C52)),"CEP",
IF(ISNUMBER(SEARCH("ESPEJO",INVENTARIO!C52)),"ESP",
IF(ISNUMBER(SEARCH("10 PTS",INVENTARIO!C52)),"10PT",
IF(ISNUMBER(SEARCH("12 PTS",INVENTARIO!C52)),"12PT",
IF(ISNUMBER(SEARCH("14 PTS",INVENTARIO!C52)),"14PT",
IF(ISNUMBER(SEARCH("CLASICO",INVENTARIO!C52)),"CLA",
""))))))))))))))))))))))</f>
        <v>EST</v>
      </c>
      <c r="D52" t="str">
        <f>IF(ISNUMBER(SEARCH("GRAN FORMATO",INVENTARIO!C52)),"GRA-FOR",
IF(ISNUMBER(SEARCH("CAMA PLANA",INVENTARIO!C52)),"CAM-PLA",
IF(ISNUMBER(SEARCH("GRADO INGENIERIA",INVENTARIO!C52)),"GRA-ING",
IF(ISNUMBER(SEARCH("130 GRS",INVENTARIO!C52)),"130GR",
IF(ISNUMBER(SEARCH("150 GRS",INVENTARIO!C52)),"150GR",
IF(ISNUMBER(SEARCH("185 GRS",INVENTARIO!C52)),"185GR",
IF(ISNUMBER(SEARCH("200 GRS",INVENTARIO!C52)),"200GR",
IF(ISNUMBER(SEARCH("250 GRS",INVENTARIO!C52)),"250GR",
IF(ISNUMBER(SEARCH("300 GRS",INVENTARIO!C52)),"300GR",
IF(ISNUMBER(SEARCH("350 GRS",INVENTARIO!C52)),"350GR",
IF(ISNUMBER(SEARCH("18 OZ",INVENTARIO!C52)),"18OZ",
IF(ISNUMBER(SEARCH("15 OZ",INVENTARIO!C52)),"15OZ",
IF(OR(ISNUMBER(SEARCH("13 OZ",INVENTARIO!C52)),ISNUMBER(SEARCH("13 ONZAS",INVENTARIO!C52))),"13OZ",
IF(OR(ISNUMBER(SEARCH("9 OZ",INVENTARIO!C52)),ISNUMBER(SEARCH("9 ONZAS",INVENTARIO!C52))),"09OZ",
IF(ISNUMBER(SEARCH("DOBLE CARA",INVENTARIO!C52)),"DOB-CAR",
"")))))))))))))))</f>
        <v/>
      </c>
      <c r="E52" t="str">
        <f>IF(OR(ISNUMBER(SEARCH("TRANSPARENTE",INVENTARIO!C52)),ISNUMBER(SEARCH("TRANSPARENTES",INVENTARIO!C52))),"TRA",
IF(OR(ISNUMBER(SEARCH("BLANCO",INVENTARIO!C52)),ISNUMBER(SEARCH("BCO",INVENTARIO!C52))),"BLA",
IF(ISNUMBER(SEARCH("FOTOGRAFICO",INVENTARIO!C52)),"FOT",
IF(ISNUMBER(SEARCH("MARFIL",INVENTARIO!C52)),"MAR",
IF(ISNUMBER(SEARCH("VERDE",INVENTARIO!C52)),"VER",
IF(ISNUMBER(SEARCH("MORADO",INVENTARIO!C52)),"MOR",
IF(ISNUMBER(SEARCH("PLATA",INVENTARIO!C52)),"PLA",
IF(ISNUMBER(SEARCH("ORO",INVENTARIO!C52)),"ORO",
IF(ISNUMBER(SEARCH("AMARILLO",INVENTARIO!C52)),"AMA",
IF(ISNUMBER(SEARCH("NARANJA",INVENTARIO!C52)),"NAR",
IF(ISNUMBER(SEARCH("NEGRO",INVENTARIO!C52)),"NEG",
IF(ISNUMBER(SEARCH("ROJO",INVENTARIO!C52)),"ROJ",
IF(ISNUMBER(SEARCH("AZUL",INVENTARIO!C52)),"AZU","")))))))))))))</f>
        <v>TRA</v>
      </c>
      <c r="F52" t="str">
        <f>IF(ISNUMBER(SEARCH("ARLON",INVENTARIO!C52)),"ARL",
IF(ISNUMBER(SEARCH("SUNTHINKS",INVENTARIO!C52)),"SUN",
IF(ISNUMBER(SEARCH("FRIO",INVENTARIO!C52)),"FRI",
IF(ISNUMBER(SEARCH("CALIDO",INVENTARIO!C52)),"CAL",
IF(ISNUMBER(SEARCH("CEPILLADO",INVENTARIO!C52)),"CEP",
IF(ISNUMBER(SEARCH("ESPEJO",INVENTARIO!C52)),"ESP",
""))))))</f>
        <v/>
      </c>
      <c r="G52" t="str">
        <f>IF(ISNUMBER(SEARCH("LATEX",INVENTARIO!C52)),"LAT",
IF(ISNUMBER(SEARCH("RESP. NEGRO",INVENTARIO!C52)),"RES-NEG",
IF(ISNUMBER(SEARCH("RESPALDO CAFE",INVENTARIO!C52)),"RES-CAF",
IF(ISNUMBER(SEARCH("RESPALDO GRIS",INVENTARIO!C52)),"RES-GRI",
IF(ISNUMBER(SEARCH("OPTICO",INVENTARIO!C52)),"OPT",
IF(ISNUMBER(SEARCH("1,2 MM",INVENTARIO!C52)),"1MM2",
IF(ISNUMBER(SEARCH("2 MM",INVENTARIO!C52)),"2MM",
IF(ISNUMBER(SEARCH("3 MM",INVENTARIO!C52)),"3MM",
IF(ISNUMBER(SEARCH("4 MM",INVENTARIO!C52)),"4MM",
IF(ISNUMBER(SEARCH("5 MM",INVENTARIO!C52)),"5MM",
IF(ISNUMBER(SEARCH("6 MM",INVENTARIO!C52)),"6MM",
IF(ISNUMBER(SEARCH("9 MM",INVENTARIO!C52)),"9MM",
IF(ISNUMBER(SEARCH("10 MM",INVENTARIO!C52)),"10MM","")))))))))))))</f>
        <v/>
      </c>
      <c r="H52" t="str">
        <f>IF(ISNUMBER(SEARCH("GAMA BAJA",INVENTARIO!C52)),"GAM-BAJ",
IF(ISNUMBER(SEARCH("OPTIMIZADOR",INVENTARIO!C52)),"OPT",
IF(ISNUMBER(SEARCH("OVERCOAT",INVENTARIO!C52)),"OVE",
IF(ISNUMBER(SEARCH("WHITE",INVENTARIO!C52)),"WHI",
IF(ISNUMBER(SEARCH("LIGHT CYAN",INVENTARIO!C52)),"LIG-CYA",
IF(ISNUMBER(SEARCH("CYAN",INVENTARIO!C52)),"CYA",
IF(ISNUMBER(SEARCH("LIGHT MAGENTA",INVENTARIO!C52)),"LIG-MAG",
IF(ISNUMBER(SEARCH("MAGENTA",INVENTARIO!C52)),"MAG",
IF(ISNUMBER(SEARCH("BLACK",INVENTARIO!C52)),"BLA",
IF(ISNUMBER(SEARCH("YELLOW",INVENTARIO!C52)),"YEL",
IF(ISNUMBER(SEARCH("2 DIODOS",INVENTARIO!C52)),"2DI",
IF(ISNUMBER(SEARCH("3 DIODOS",INVENTARIO!C52)),"3DI",
IF(OR(ISNUMBER(SEARCH("TRASLUCIDO",INVENTARIO!C52)),ISNUMBER(SEARCH("TRANSLUCIDO",INVENTARIO!C52))),"TRA",
"")))))))))))))</f>
        <v/>
      </c>
      <c r="I52" t="str">
        <f>IF(ISNUMBER(SEARCH("SILED",INVENTARIO!C54)),"SI",
IF(ISNUMBER(SEARCH("SYDEMEX",INVENTARIO!C54)),"SY",
IF(ISNUMBER(SEARCH("ROHS",INVENTARIO!C54)),"RO",
IF(ISNUMBER(SEARCH("RISHANG",INVENTARIO!C54)),"RS",
IF(ISNUMBER(SEARCH("VYG",INVENTARIO!C54)),"VYG",
IF(ISNUMBER(SEARCH("COLED",INVENTARIO!C54)),"CO",""))))))</f>
        <v/>
      </c>
    </row>
    <row r="53" spans="1:9">
      <c r="A53" t="str">
        <f>IF(ISNUMBER(SEARCH("LONA",INVENTARIO!C53)),"LON",
IF(ISNUMBER(SEARCH("VINIL",INVENTARIO!C53)),"VIN",
IF(ISNUMBER(SEARCH("KROMACOTE",INVENTARIO!C53)),"KRO",
IF(ISNUMBER(SEARCH("STARDREAM",INVENTARIO!C53)),"STA",
IF(ISNUMBER(SEARCH("DISPLAY",INVENTARIO!C53)),"DIS",
IF(ISNUMBER(SEARCH("ROLL UP",INVENTARIO!C53)),"ROL-UP",
IF(ISNUMBER(SEARCH("TRANSFER DE PAPEL",INVENTARIO!C53)),"TRA-PAP",
IF(ISNUMBER(SEARCH("TRANSFER",INVENTARIO!C53)),"TRA",IF(ISNUMBER(SEARCH("KOLA LOKA",INVENTARIO!C53)),"KOL-LOK",
IF(ISNUMBER(SEARCH("PETG",INVENTARIO!C53)),"PET",
IF(ISNUMBER(SEARCH("OJILLO",INVENTARIO!C53)),"OJI",
IF(ISNUMBER(SEARCH("COUCHE",INVENTARIO!C53)),"COU",
IF(ISNUMBER(SEARCH("PANEL DE ALUMINIO",INVENTARIO!C53)),"PAN-ALU",
IF(ISNUMBER(SEARCH("PVC",INVENTARIO!C53)),"PVC",
IF(ISNUMBER(SEARCH("PAPEL",INVENTARIO!C53)),"PAP",
IF(ISNUMBER(SEARCH("TELA",INVENTARIO!C53)),"TEL",
IF(ISNUMBER(SEARCH("CARTULINA",INVENTARIO!C53)),"CAR",
IF(OR(ISNUMBER(SEARCH("LAMINA",INVENTARIO!C53)),ISNUMBER(SEARCH("LÁMINA",INVENTARIO!C53)),ISNUMBER(SEARCH("LAMPARAS",INVENTARIO!C53))),"LAM",
IF(ISNUMBER(SEARCH("ESTIRENO",INVENTARIO!C53)),"EST",
IF(ISNUMBER(SEARCH("FOAMBOARD",INVENTARIO!C53)),"FOA",
IF(ISNUMBER(SEARCH("SOLVENTE",INVENTARIO!C53)),"SOL",
IF(ISNUMBER(SEARCH("TINTA",INVENTARIO!C53)),"TIN",
IF(ISNUMBER(SEARCH("ACRILICO",INVENTARIO!C53)),"ACR",
IF(ISNUMBER(SEARCH("MICROLED",INVENTARIO!C53)),"MIC",
IF(ISNUMBER(SEARCH("LED",INVENTARIO!C53)),"LED",
IF(ISNUMBER(SEARCH("FUENTE DE PODER",INVENTARIO!C53)),"FUE-POD",
IF(ISNUMBER(SEARCH("PETG",INVENTARIO!C53)),"PET",
IF(ISNUMBER(SEARCH("ALUMINIO",INVENTARIO!C53)),"ALU",
IF(ISNUMBER(SEARCH("CANAL",INVENTARIO!C53)),"CAN",
IF(ISNUMBER(SEARCH("ESCUADRA",INVENTARIO!C53)),"ESC",
IF(ISNUMBER(SEARCH("SOPORTE",INVENTARIO!C53)),"SOP","OTR")
))))))))))))))))))))))))))))))</f>
        <v>VIN</v>
      </c>
      <c r="B53" t="str">
        <f>IF(ISNUMBER(SEARCH("CORTE",INVENTARIO!C53)),"COR",
IF(ISNUMBER(SEARCH("CITYLIGHT",INVENTARIO!C53)),"CIT",
IF(ISNUMBER(SEARCH("LINO",INVENTARIO!C53)),"LIN",
IF(ISNUMBER(SEARCH("FABRIANO",INVENTARIO!C53)),"FAB",
IF(ISNUMBER(SEARCH("SUNDANCE",INVENTARIO!C53)),"SUN",
IF(ISNUMBER(SEARCH("SINTETICA",INVENTARIO!C53)),"SIN",
IF(ISNUMBER(SEARCH("CONTROL",INVENTARIO!C53)),"CON",
IF(ISNUMBER(SEARCH("TERMICO",INVENTARIO!C53)),"TER",
IF(ISNUMBER(SEARCH("C-15",INVENTARIO!C53)),"C15",
IF(ISNUMBER(SEARCH("C-20",INVENTARIO!C53)),"C20",
IF(ISNUMBER(SEARCH("C-30",INVENTARIO!C53)),"C30",
IF(ISNUMBER(SEARCH("C-40",INVENTARIO!C53)),"C40",
IF(ISNUMBER(SEARCH("C-60",INVENTARIO!C53)),"C60",
IF(ISNUMBER(SEARCH("C-80",INVENTARIO!C53)),"C80",
IF(ISNUMBER(SEARCH("EQUIPO",INVENTARIO!C53)),"EQU",
IF(ISNUMBER(SEARCH("FLOOR",INVENTARIO!C53)),"FLO",
IF(ISNUMBER(SEARCH("CRISTAL",INVENTARIO!C53)),"CRI",
IF(ISNUMBER(SEARCH(" SULFATADA",INVENTARIO!C64)),"SUL",
IF(ISNUMBER(SEARCH("OPALINA",INVENTARIO!C53)),"OPA",
IF(ISNUMBER(SEARCH("ADHERIBLE",INVENTARIO!C53)),"ADH",
IF(ISNUMBER(SEARCH("MICRO",INVENTARIO!C53)),"MIC","")))))))))))))))))))))</f>
        <v>FLO</v>
      </c>
      <c r="C53" t="str">
        <f>IF(ISNUMBER(SEARCH("PARED",INVENTARIO!C53)),"PAR",
IF(ISNUMBER(SEARCH("FRONT",INVENTARIO!C53)),"FRO",
IF(ISNUMBER(SEARCH("ALTA RESISTENCIA",INVENTARIO!C53)),
"ALT-RES",IF(ISNUMBER(SEARCH("BACKLITE",INVENTARIO!C53)),"BAC",
IF(ISNUMBER(SEARCH("MATE",INVENTARIO!C53)),"MAT",
IF(ISNUMBER(SEARCH("MESH",INVENTARIO!C53)),"MES",
IF(ISNUMBER(SEARCH("BRILLANTE",INVENTARIO!C53)),"BRI",
IF(ISNUMBER(SEARCH("DELGADA",INVENTARIO!C53)),"DEL",
IF(ISNUMBER(SEARCH("GRUESA",INVENTARIO!C53)),"GRU",
IF(ISNUMBER(SEARCH("ESTATICO",INVENTARIO!C53)),"EST",
IF(ISNUMBER(SEARCH("REFLECTIVO",INVENTARIO!C53)),"REF",
IF(ISNUMBER(SEARCH("LX700",INVENTARIO!C53)),"LX7",
IF(ISNUMBER(SEARCH("GRANDO",INVENTARIO!C53)),"GRA",
IF(ISNUMBER(SEARCH("FB700",INVENTARIO!C53)),"FB7",
IF(ISNUMBER(SEARCH("LX360",INVENTARIO!C53)),"LX3",
IF(ISNUMBER(SEARCH("XEROX",INVENTARIO!C53)),"XER",
IF(ISNUMBER(SEARCH("CEPILLADO",INVENTARIO!C53)),"CEP",
IF(ISNUMBER(SEARCH("ESPEJO",INVENTARIO!C53)),"ESP",
IF(ISNUMBER(SEARCH("10 PTS",INVENTARIO!C53)),"10PT",
IF(ISNUMBER(SEARCH("12 PTS",INVENTARIO!C53)),"12PT",
IF(ISNUMBER(SEARCH("14 PTS",INVENTARIO!C53)),"14PT",
IF(ISNUMBER(SEARCH("CLASICO",INVENTARIO!C53)),"CLA",
""))))))))))))))))))))))</f>
        <v/>
      </c>
      <c r="D53" t="str">
        <f>IF(ISNUMBER(SEARCH("GRAN FORMATO",INVENTARIO!C53)),"GRA-FOR",
IF(ISNUMBER(SEARCH("CAMA PLANA",INVENTARIO!C53)),"CAM-PLA",
IF(ISNUMBER(SEARCH("GRADO INGENIERIA",INVENTARIO!C53)),"GRA-ING",
IF(ISNUMBER(SEARCH("130 GRS",INVENTARIO!C53)),"130GR",
IF(ISNUMBER(SEARCH("150 GRS",INVENTARIO!C53)),"150GR",
IF(ISNUMBER(SEARCH("185 GRS",INVENTARIO!C53)),"185GR",
IF(ISNUMBER(SEARCH("200 GRS",INVENTARIO!C53)),"200GR",
IF(ISNUMBER(SEARCH("250 GRS",INVENTARIO!C53)),"250GR",
IF(ISNUMBER(SEARCH("300 GRS",INVENTARIO!C53)),"300GR",
IF(ISNUMBER(SEARCH("350 GRS",INVENTARIO!C53)),"350GR",
IF(ISNUMBER(SEARCH("18 OZ",INVENTARIO!C53)),"18OZ",
IF(ISNUMBER(SEARCH("15 OZ",INVENTARIO!C53)),"15OZ",
IF(OR(ISNUMBER(SEARCH("13 OZ",INVENTARIO!C53)),ISNUMBER(SEARCH("13 ONZAS",INVENTARIO!C53))),"13OZ",
IF(OR(ISNUMBER(SEARCH("9 OZ",INVENTARIO!C53)),ISNUMBER(SEARCH("9 ONZAS",INVENTARIO!C53))),"09OZ",
IF(ISNUMBER(SEARCH("DOBLE CARA",INVENTARIO!C53)),"DOB-CAR",
"")))))))))))))))</f>
        <v/>
      </c>
      <c r="E53" t="str">
        <f>IF(OR(ISNUMBER(SEARCH("TRANSPARENTE",INVENTARIO!C53)),ISNUMBER(SEARCH("TRANSPARENTES",INVENTARIO!C53))),"TRA",
IF(OR(ISNUMBER(SEARCH("BLANCO",INVENTARIO!C53)),ISNUMBER(SEARCH("BCO",INVENTARIO!C53))),"BLA",
IF(ISNUMBER(SEARCH("FOTOGRAFICO",INVENTARIO!C53)),"FOT",
IF(ISNUMBER(SEARCH("MARFIL",INVENTARIO!C53)),"MAR",
IF(ISNUMBER(SEARCH("VERDE",INVENTARIO!C53)),"VER",
IF(ISNUMBER(SEARCH("MORADO",INVENTARIO!C53)),"MOR",
IF(ISNUMBER(SEARCH("PLATA",INVENTARIO!C53)),"PLA",
IF(ISNUMBER(SEARCH("ORO",INVENTARIO!C53)),"ORO",
IF(ISNUMBER(SEARCH("AMARILLO",INVENTARIO!C53)),"AMA",
IF(ISNUMBER(SEARCH("NARANJA",INVENTARIO!C53)),"NAR",
IF(ISNUMBER(SEARCH("NEGRO",INVENTARIO!C53)),"NEG",
IF(ISNUMBER(SEARCH("ROJO",INVENTARIO!C53)),"ROJ",
IF(ISNUMBER(SEARCH("AZUL",INVENTARIO!C53)),"AZU","")))))))))))))</f>
        <v/>
      </c>
      <c r="F53" t="str">
        <f>IF(ISNUMBER(SEARCH("ARLON",INVENTARIO!C53)),"ARL",
IF(ISNUMBER(SEARCH("SUNTHINKS",INVENTARIO!C53)),"SUN",
IF(ISNUMBER(SEARCH("FRIO",INVENTARIO!C53)),"FRI",
IF(ISNUMBER(SEARCH("CALIDO",INVENTARIO!C53)),"CAL",
IF(ISNUMBER(SEARCH("CEPILLADO",INVENTARIO!C53)),"CEP",
IF(ISNUMBER(SEARCH("ESPEJO",INVENTARIO!C53)),"ESP",
""))))))</f>
        <v/>
      </c>
      <c r="G53" t="str">
        <f>IF(ISNUMBER(SEARCH("LATEX",INVENTARIO!C53)),"LAT",
IF(ISNUMBER(SEARCH("RESP. NEGRO",INVENTARIO!C53)),"RES-NEG",
IF(ISNUMBER(SEARCH("RESPALDO CAFE",INVENTARIO!C53)),"RES-CAF",
IF(ISNUMBER(SEARCH("RESPALDO GRIS",INVENTARIO!C53)),"RES-GRI",
IF(ISNUMBER(SEARCH("OPTICO",INVENTARIO!C53)),"OPT",
IF(ISNUMBER(SEARCH("1,2 MM",INVENTARIO!C53)),"1MM2",
IF(ISNUMBER(SEARCH("2 MM",INVENTARIO!C53)),"2MM",
IF(ISNUMBER(SEARCH("3 MM",INVENTARIO!C53)),"3MM",
IF(ISNUMBER(SEARCH("4 MM",INVENTARIO!C53)),"4MM",
IF(ISNUMBER(SEARCH("5 MM",INVENTARIO!C53)),"5MM",
IF(ISNUMBER(SEARCH("6 MM",INVENTARIO!C53)),"6MM",
IF(ISNUMBER(SEARCH("9 MM",INVENTARIO!C53)),"9MM",
IF(ISNUMBER(SEARCH("10 MM",INVENTARIO!C53)),"10MM","")))))))))))))</f>
        <v/>
      </c>
      <c r="H53" t="str">
        <f>IF(ISNUMBER(SEARCH("GAMA BAJA",INVENTARIO!C53)),"GAM-BAJ",
IF(ISNUMBER(SEARCH("OPTIMIZADOR",INVENTARIO!C53)),"OPT",
IF(ISNUMBER(SEARCH("OVERCOAT",INVENTARIO!C53)),"OVE",
IF(ISNUMBER(SEARCH("WHITE",INVENTARIO!C53)),"WHI",
IF(ISNUMBER(SEARCH("LIGHT CYAN",INVENTARIO!C53)),"LIG-CYA",
IF(ISNUMBER(SEARCH("CYAN",INVENTARIO!C53)),"CYA",
IF(ISNUMBER(SEARCH("LIGHT MAGENTA",INVENTARIO!C53)),"LIG-MAG",
IF(ISNUMBER(SEARCH("MAGENTA",INVENTARIO!C53)),"MAG",
IF(ISNUMBER(SEARCH("BLACK",INVENTARIO!C53)),"BLA",
IF(ISNUMBER(SEARCH("YELLOW",INVENTARIO!C53)),"YEL",
IF(ISNUMBER(SEARCH("2 DIODOS",INVENTARIO!C53)),"2DI",
IF(ISNUMBER(SEARCH("3 DIODOS",INVENTARIO!C53)),"3DI",
IF(OR(ISNUMBER(SEARCH("TRASLUCIDO",INVENTARIO!C53)),ISNUMBER(SEARCH("TRANSLUCIDO",INVENTARIO!C53))),"TRA",
"")))))))))))))</f>
        <v/>
      </c>
      <c r="I53" t="str">
        <f>IF(ISNUMBER(SEARCH("SILED",INVENTARIO!C60)),"SI",
IF(ISNUMBER(SEARCH("SYDEMEX",INVENTARIO!C60)),"SY",
IF(ISNUMBER(SEARCH("ROHS",INVENTARIO!C60)),"RO",
IF(ISNUMBER(SEARCH("RISHANG",INVENTARIO!C60)),"RS",
IF(ISNUMBER(SEARCH("VYG",INVENTARIO!C60)),"VYG",
IF(ISNUMBER(SEARCH("COLED",INVENTARIO!C60)),"CO",""))))))</f>
        <v/>
      </c>
    </row>
    <row r="54" spans="1:9">
      <c r="A54" t="str">
        <f>IF(ISNUMBER(SEARCH("LONA",INVENTARIO!C54)),"LON",
IF(ISNUMBER(SEARCH("VINIL",INVENTARIO!C54)),"VIN",
IF(ISNUMBER(SEARCH("KROMACOTE",INVENTARIO!C54)),"KRO",
IF(ISNUMBER(SEARCH("STARDREAM",INVENTARIO!C54)),"STA",
IF(ISNUMBER(SEARCH("DISPLAY",INVENTARIO!C54)),"DIS",
IF(ISNUMBER(SEARCH("ROLL UP",INVENTARIO!C54)),"ROL-UP",
IF(ISNUMBER(SEARCH("TRANSFER DE PAPEL",INVENTARIO!C54)),"TRA-PAP",
IF(ISNUMBER(SEARCH("TRANSFER",INVENTARIO!C54)),"TRA",IF(ISNUMBER(SEARCH("KOLA LOKA",INVENTARIO!C54)),"KOL-LOK",
IF(ISNUMBER(SEARCH("PETG",INVENTARIO!C54)),"PET",
IF(ISNUMBER(SEARCH("OJILLO",INVENTARIO!C54)),"OJI",
IF(ISNUMBER(SEARCH("COUCHE",INVENTARIO!C54)),"COU",
IF(ISNUMBER(SEARCH("PANEL DE ALUMINIO",INVENTARIO!C54)),"PAN-ALU",
IF(ISNUMBER(SEARCH("PVC",INVENTARIO!C54)),"PVC",
IF(ISNUMBER(SEARCH("PAPEL",INVENTARIO!C54)),"PAP",
IF(ISNUMBER(SEARCH("TELA",INVENTARIO!C54)),"TEL",
IF(ISNUMBER(SEARCH("CARTULINA",INVENTARIO!C54)),"CAR",
IF(OR(ISNUMBER(SEARCH("LAMINA",INVENTARIO!C54)),ISNUMBER(SEARCH("LÁMINA",INVENTARIO!C54)),ISNUMBER(SEARCH("LAMPARAS",INVENTARIO!C54))),"LAM",
IF(ISNUMBER(SEARCH("ESTIRENO",INVENTARIO!C54)),"EST",
IF(ISNUMBER(SEARCH("FOAMBOARD",INVENTARIO!C54)),"FOA",
IF(ISNUMBER(SEARCH("SOLVENTE",INVENTARIO!C54)),"SOL",
IF(ISNUMBER(SEARCH("TINTA",INVENTARIO!C54)),"TIN",
IF(ISNUMBER(SEARCH("ACRILICO",INVENTARIO!C54)),"ACR",
IF(ISNUMBER(SEARCH("MICROLED",INVENTARIO!C54)),"MIC",
IF(ISNUMBER(SEARCH("LED",INVENTARIO!C54)),"LED",
IF(ISNUMBER(SEARCH("FUENTE DE PODER",INVENTARIO!C54)),"FUE-POD",
IF(ISNUMBER(SEARCH("PETG",INVENTARIO!C54)),"PET",
IF(ISNUMBER(SEARCH("ALUMINIO",INVENTARIO!C54)),"ALU",
IF(ISNUMBER(SEARCH("CANAL",INVENTARIO!C54)),"CAN",
IF(ISNUMBER(SEARCH("ESCUADRA",INVENTARIO!C54)),"ESC",
IF(ISNUMBER(SEARCH("SOPORTE",INVENTARIO!C54)),"SOP","OTR")
))))))))))))))))))))))))))))))</f>
        <v>VIN</v>
      </c>
      <c r="B54" t="str">
        <f>IF(ISNUMBER(SEARCH("CORTE",INVENTARIO!C54)),"COR",
IF(ISNUMBER(SEARCH("CITYLIGHT",INVENTARIO!C54)),"CIT",
IF(ISNUMBER(SEARCH("LINO",INVENTARIO!C54)),"LIN",
IF(ISNUMBER(SEARCH("FABRIANO",INVENTARIO!C54)),"FAB",
IF(ISNUMBER(SEARCH("SUNDANCE",INVENTARIO!C54)),"SUN",
IF(ISNUMBER(SEARCH("SINTETICA",INVENTARIO!C54)),"SIN",
IF(ISNUMBER(SEARCH("CONTROL",INVENTARIO!C54)),"CON",
IF(ISNUMBER(SEARCH("TERMICO",INVENTARIO!C54)),"TER",
IF(ISNUMBER(SEARCH("C-15",INVENTARIO!C54)),"C15",
IF(ISNUMBER(SEARCH("C-20",INVENTARIO!C54)),"C20",
IF(ISNUMBER(SEARCH("C-30",INVENTARIO!C54)),"C30",
IF(ISNUMBER(SEARCH("C-40",INVENTARIO!C54)),"C40",
IF(ISNUMBER(SEARCH("C-60",INVENTARIO!C54)),"C60",
IF(ISNUMBER(SEARCH("C-80",INVENTARIO!C54)),"C80",
IF(ISNUMBER(SEARCH("EQUIPO",INVENTARIO!C54)),"EQU",
IF(ISNUMBER(SEARCH("FLOOR",INVENTARIO!C54)),"FLO",
IF(ISNUMBER(SEARCH("CRISTAL",INVENTARIO!C54)),"CRI",
IF(ISNUMBER(SEARCH(" SULFATADA",INVENTARIO!C65)),"SUL",
IF(ISNUMBER(SEARCH("OPALINA",INVENTARIO!C54)),"OPA",
IF(ISNUMBER(SEARCH("ADHERIBLE",INVENTARIO!C54)),"ADH",
IF(ISNUMBER(SEARCH("MICRO",INVENTARIO!C54)),"MIC","")))))))))))))))))))))</f>
        <v/>
      </c>
      <c r="C54" t="str">
        <f>IF(ISNUMBER(SEARCH("PARED",INVENTARIO!C54)),"PAR",
IF(ISNUMBER(SEARCH("FRONT",INVENTARIO!C54)),"FRO",
IF(ISNUMBER(SEARCH("ALTA RESISTENCIA",INVENTARIO!C54)),
"ALT-RES",IF(ISNUMBER(SEARCH("BACKLITE",INVENTARIO!C54)),"BAC",
IF(ISNUMBER(SEARCH("MATE",INVENTARIO!C54)),"MAT",
IF(ISNUMBER(SEARCH("MESH",INVENTARIO!C54)),"MES",
IF(ISNUMBER(SEARCH("BRILLANTE",INVENTARIO!C54)),"BRI",
IF(ISNUMBER(SEARCH("DELGADA",INVENTARIO!C54)),"DEL",
IF(ISNUMBER(SEARCH("GRUESA",INVENTARIO!C54)),"GRU",
IF(ISNUMBER(SEARCH("ESTATICO",INVENTARIO!C54)),"EST",
IF(ISNUMBER(SEARCH("REFLECTIVO",INVENTARIO!C54)),"REF",
IF(ISNUMBER(SEARCH("LX700",INVENTARIO!C54)),"LX7",
IF(ISNUMBER(SEARCH("GRANDO",INVENTARIO!C54)),"GRA",
IF(ISNUMBER(SEARCH("FB700",INVENTARIO!C54)),"FB7",
IF(ISNUMBER(SEARCH("LX360",INVENTARIO!C54)),"LX3",
IF(ISNUMBER(SEARCH("XEROX",INVENTARIO!C54)),"XER",
IF(ISNUMBER(SEARCH("CEPILLADO",INVENTARIO!C54)),"CEP",
IF(ISNUMBER(SEARCH("ESPEJO",INVENTARIO!C54)),"ESP",
IF(ISNUMBER(SEARCH("10 PTS",INVENTARIO!C54)),"10PT",
IF(ISNUMBER(SEARCH("12 PTS",INVENTARIO!C54)),"12PT",
IF(ISNUMBER(SEARCH("14 PTS",INVENTARIO!C54)),"14PT",
IF(ISNUMBER(SEARCH("CLASICO",INVENTARIO!C54)),"CLA",
""))))))))))))))))))))))</f>
        <v>REF</v>
      </c>
      <c r="D54" t="str">
        <f>IF(ISNUMBER(SEARCH("GRAN FORMATO",INVENTARIO!C54)),"GRA-FOR",
IF(ISNUMBER(SEARCH("CAMA PLANA",INVENTARIO!C54)),"CAM-PLA",
IF(ISNUMBER(SEARCH("GRADO INGENIERIA",INVENTARIO!C54)),"GRA-ING",
IF(ISNUMBER(SEARCH("130 GRS",INVENTARIO!C54)),"130GR",
IF(ISNUMBER(SEARCH("150 GRS",INVENTARIO!C54)),"150GR",
IF(ISNUMBER(SEARCH("185 GRS",INVENTARIO!C54)),"185GR",
IF(ISNUMBER(SEARCH("200 GRS",INVENTARIO!C54)),"200GR",
IF(ISNUMBER(SEARCH("250 GRS",INVENTARIO!C54)),"250GR",
IF(ISNUMBER(SEARCH("300 GRS",INVENTARIO!C54)),"300GR",
IF(ISNUMBER(SEARCH("350 GRS",INVENTARIO!C54)),"350GR",
IF(ISNUMBER(SEARCH("18 OZ",INVENTARIO!C54)),"18OZ",
IF(ISNUMBER(SEARCH("15 OZ",INVENTARIO!C54)),"15OZ",
IF(OR(ISNUMBER(SEARCH("13 OZ",INVENTARIO!C54)),ISNUMBER(SEARCH("13 ONZAS",INVENTARIO!C54))),"13OZ",
IF(OR(ISNUMBER(SEARCH("9 OZ",INVENTARIO!C54)),ISNUMBER(SEARCH("9 ONZAS",INVENTARIO!C54))),"09OZ",
IF(ISNUMBER(SEARCH("DOBLE CARA",INVENTARIO!C54)),"DOB-CAR",
"")))))))))))))))</f>
        <v>GRA-ING</v>
      </c>
      <c r="E54" t="str">
        <f>IF(OR(ISNUMBER(SEARCH("TRANSPARENTE",INVENTARIO!C54)),ISNUMBER(SEARCH("TRANSPARENTES",INVENTARIO!C54))),"TRA",
IF(OR(ISNUMBER(SEARCH("BLANCO",INVENTARIO!C54)),ISNUMBER(SEARCH("BCO",INVENTARIO!C54))),"BLA",
IF(ISNUMBER(SEARCH("FOTOGRAFICO",INVENTARIO!C54)),"FOT",
IF(ISNUMBER(SEARCH("MARFIL",INVENTARIO!C54)),"MAR",
IF(ISNUMBER(SEARCH("VERDE",INVENTARIO!C54)),"VER",
IF(ISNUMBER(SEARCH("MORADO",INVENTARIO!C54)),"MOR",
IF(ISNUMBER(SEARCH("PLATA",INVENTARIO!C54)),"PLA",
IF(ISNUMBER(SEARCH("ORO",INVENTARIO!C54)),"ORO",
IF(ISNUMBER(SEARCH("AMARILLO",INVENTARIO!C54)),"AMA",
IF(ISNUMBER(SEARCH("NARANJA",INVENTARIO!C54)),"NAR",
IF(ISNUMBER(SEARCH("NEGRO",INVENTARIO!C54)),"NEG",
IF(ISNUMBER(SEARCH("ROJO",INVENTARIO!C54)),"ROJ",
IF(ISNUMBER(SEARCH("AZUL",INVENTARIO!C54)),"AZU","")))))))))))))</f>
        <v>BLA</v>
      </c>
      <c r="F54" t="str">
        <f>IF(ISNUMBER(SEARCH("ARLON",INVENTARIO!C54)),"ARL",
IF(ISNUMBER(SEARCH("SUNTHINKS",INVENTARIO!C54)),"SUN",
IF(ISNUMBER(SEARCH("FRIO",INVENTARIO!C54)),"FRI",
IF(ISNUMBER(SEARCH("CALIDO",INVENTARIO!C54)),"CAL",
IF(ISNUMBER(SEARCH("CEPILLADO",INVENTARIO!C54)),"CEP",
IF(ISNUMBER(SEARCH("ESPEJO",INVENTARIO!C54)),"ESP",
""))))))</f>
        <v/>
      </c>
      <c r="G54" t="str">
        <f>IF(ISNUMBER(SEARCH("LATEX",INVENTARIO!C54)),"LAT",
IF(ISNUMBER(SEARCH("RESP. NEGRO",INVENTARIO!C54)),"RES-NEG",
IF(ISNUMBER(SEARCH("RESPALDO CAFE",INVENTARIO!C54)),"RES-CAF",
IF(ISNUMBER(SEARCH("RESPALDO GRIS",INVENTARIO!C54)),"RES-GRI",
IF(ISNUMBER(SEARCH("OPTICO",INVENTARIO!C54)),"OPT",
IF(ISNUMBER(SEARCH("1,2 MM",INVENTARIO!C54)),"1MM2",
IF(ISNUMBER(SEARCH("2 MM",INVENTARIO!C54)),"2MM",
IF(ISNUMBER(SEARCH("3 MM",INVENTARIO!C54)),"3MM",
IF(ISNUMBER(SEARCH("4 MM",INVENTARIO!C54)),"4MM",
IF(ISNUMBER(SEARCH("5 MM",INVENTARIO!C54)),"5MM",
IF(ISNUMBER(SEARCH("6 MM",INVENTARIO!C54)),"6MM",
IF(ISNUMBER(SEARCH("9 MM",INVENTARIO!C54)),"9MM",
IF(ISNUMBER(SEARCH("10 MM",INVENTARIO!C54)),"10MM","")))))))))))))</f>
        <v/>
      </c>
      <c r="H54" t="str">
        <f>IF(ISNUMBER(SEARCH("GAMA BAJA",INVENTARIO!C54)),"GAM-BAJ",
IF(ISNUMBER(SEARCH("OPTIMIZADOR",INVENTARIO!C54)),"OPT",
IF(ISNUMBER(SEARCH("OVERCOAT",INVENTARIO!C54)),"OVE",
IF(ISNUMBER(SEARCH("WHITE",INVENTARIO!C54)),"WHI",
IF(ISNUMBER(SEARCH("LIGHT CYAN",INVENTARIO!C54)),"LIG-CYA",
IF(ISNUMBER(SEARCH("CYAN",INVENTARIO!C54)),"CYA",
IF(ISNUMBER(SEARCH("LIGHT MAGENTA",INVENTARIO!C54)),"LIG-MAG",
IF(ISNUMBER(SEARCH("MAGENTA",INVENTARIO!C54)),"MAG",
IF(ISNUMBER(SEARCH("BLACK",INVENTARIO!C54)),"BLA",
IF(ISNUMBER(SEARCH("YELLOW",INVENTARIO!C54)),"YEL",
IF(ISNUMBER(SEARCH("2 DIODOS",INVENTARIO!C54)),"2DI",
IF(ISNUMBER(SEARCH("3 DIODOS",INVENTARIO!C54)),"3DI",
IF(OR(ISNUMBER(SEARCH("TRASLUCIDO",INVENTARIO!C54)),ISNUMBER(SEARCH("TRANSLUCIDO",INVENTARIO!C54))),"TRA",
"")))))))))))))</f>
        <v/>
      </c>
      <c r="I54" t="str">
        <f>IF(ISNUMBER(SEARCH("SILED",INVENTARIO!C61)),"SI",
IF(ISNUMBER(SEARCH("SYDEMEX",INVENTARIO!C61)),"SY",
IF(ISNUMBER(SEARCH("ROHS",INVENTARIO!C61)),"RO",
IF(ISNUMBER(SEARCH("RISHANG",INVENTARIO!C61)),"RS",
IF(ISNUMBER(SEARCH("VYG",INVENTARIO!C61)),"VYG",
IF(ISNUMBER(SEARCH("COLED",INVENTARIO!C61)),"CO",""))))))</f>
        <v/>
      </c>
    </row>
    <row r="55" spans="1:9">
      <c r="A55" t="str">
        <f>IF(ISNUMBER(SEARCH("LONA",INVENTARIO!C55)),"LON",
IF(ISNUMBER(SEARCH("VINIL",INVENTARIO!C55)),"VIN",
IF(ISNUMBER(SEARCH("KROMACOTE",INVENTARIO!C55)),"KRO",
IF(ISNUMBER(SEARCH("STARDREAM",INVENTARIO!C55)),"STA",
IF(ISNUMBER(SEARCH("DISPLAY",INVENTARIO!C55)),"DIS",
IF(ISNUMBER(SEARCH("ROLL UP",INVENTARIO!C55)),"ROL-UP",
IF(ISNUMBER(SEARCH("TRANSFER DE PAPEL",INVENTARIO!C55)),"TRA-PAP",
IF(ISNUMBER(SEARCH("TRANSFER",INVENTARIO!C55)),"TRA",IF(ISNUMBER(SEARCH("KOLA LOKA",INVENTARIO!C55)),"KOL-LOK",
IF(ISNUMBER(SEARCH("PETG",INVENTARIO!C55)),"PET",
IF(ISNUMBER(SEARCH("OJILLO",INVENTARIO!C55)),"OJI",
IF(ISNUMBER(SEARCH("COUCHE",INVENTARIO!C55)),"COU",
IF(ISNUMBER(SEARCH("PANEL DE ALUMINIO",INVENTARIO!C55)),"PAN-ALU",
IF(ISNUMBER(SEARCH("PVC",INVENTARIO!C55)),"PVC",
IF(ISNUMBER(SEARCH("PAPEL",INVENTARIO!C55)),"PAP",
IF(ISNUMBER(SEARCH("TELA",INVENTARIO!C55)),"TEL",
IF(ISNUMBER(SEARCH("CARTULINA",INVENTARIO!C55)),"CAR",
IF(OR(ISNUMBER(SEARCH("LAMINA",INVENTARIO!C55)),ISNUMBER(SEARCH("LÁMINA",INVENTARIO!C55)),ISNUMBER(SEARCH("LAMPARAS",INVENTARIO!C55))),"LAM",
IF(ISNUMBER(SEARCH("ESTIRENO",INVENTARIO!C55)),"EST",
IF(ISNUMBER(SEARCH("FOAMBOARD",INVENTARIO!C55)),"FOA",
IF(ISNUMBER(SEARCH("SOLVENTE",INVENTARIO!C55)),"SOL",
IF(ISNUMBER(SEARCH("TINTA",INVENTARIO!C55)),"TIN",
IF(ISNUMBER(SEARCH("ACRILICO",INVENTARIO!C55)),"ACR",
IF(ISNUMBER(SEARCH("MICROLED",INVENTARIO!C55)),"MIC",
IF(ISNUMBER(SEARCH("LED",INVENTARIO!C55)),"LED",
IF(ISNUMBER(SEARCH("FUENTE DE PODER",INVENTARIO!C55)),"FUE-POD",
IF(ISNUMBER(SEARCH("PETG",INVENTARIO!C55)),"PET",
IF(ISNUMBER(SEARCH("ALUMINIO",INVENTARIO!C55)),"ALU",
IF(ISNUMBER(SEARCH("CANAL",INVENTARIO!C55)),"CAN",
IF(ISNUMBER(SEARCH("ESCUADRA",INVENTARIO!C55)),"ESC",
IF(ISNUMBER(SEARCH("SOPORTE",INVENTARIO!C55)),"SOP","OTR")
))))))))))))))))))))))))))))))</f>
        <v>VIN</v>
      </c>
      <c r="B55" t="str">
        <f>IF(ISNUMBER(SEARCH("CORTE",INVENTARIO!C55)),"COR",
IF(ISNUMBER(SEARCH("CITYLIGHT",INVENTARIO!C55)),"CIT",
IF(ISNUMBER(SEARCH("LINO",INVENTARIO!C55)),"LIN",
IF(ISNUMBER(SEARCH("FABRIANO",INVENTARIO!C55)),"FAB",
IF(ISNUMBER(SEARCH("SUNDANCE",INVENTARIO!C55)),"SUN",
IF(ISNUMBER(SEARCH("SINTETICA",INVENTARIO!C55)),"SIN",
IF(ISNUMBER(SEARCH("CONTROL",INVENTARIO!C55)),"CON",
IF(ISNUMBER(SEARCH("TERMICO",INVENTARIO!C55)),"TER",
IF(ISNUMBER(SEARCH("C-15",INVENTARIO!C55)),"C15",
IF(ISNUMBER(SEARCH("C-20",INVENTARIO!C55)),"C20",
IF(ISNUMBER(SEARCH("C-30",INVENTARIO!C55)),"C30",
IF(ISNUMBER(SEARCH("C-40",INVENTARIO!C55)),"C40",
IF(ISNUMBER(SEARCH("C-60",INVENTARIO!C55)),"C60",
IF(ISNUMBER(SEARCH("C-80",INVENTARIO!C55)),"C80",
IF(ISNUMBER(SEARCH("EQUIPO",INVENTARIO!C55)),"EQU",
IF(ISNUMBER(SEARCH("FLOOR",INVENTARIO!C55)),"FLO",
IF(ISNUMBER(SEARCH("CRISTAL",INVENTARIO!C55)),"CRI",
IF(ISNUMBER(SEARCH(" SULFATADA",INVENTARIO!C66)),"SUL",
IF(ISNUMBER(SEARCH("OPALINA",INVENTARIO!C55)),"OPA",
IF(ISNUMBER(SEARCH("ADHERIBLE",INVENTARIO!C55)),"ADH",
IF(ISNUMBER(SEARCH("MICRO",INVENTARIO!C55)),"MIC","")))))))))))))))))))))</f>
        <v/>
      </c>
      <c r="C55" t="str">
        <f>IF(ISNUMBER(SEARCH("PARED",INVENTARIO!C55)),"PAR",
IF(ISNUMBER(SEARCH("FRONT",INVENTARIO!C55)),"FRO",
IF(ISNUMBER(SEARCH("ALTA RESISTENCIA",INVENTARIO!C55)),
"ALT-RES",IF(ISNUMBER(SEARCH("BACKLITE",INVENTARIO!C55)),"BAC",
IF(ISNUMBER(SEARCH("MATE",INVENTARIO!C55)),"MAT",
IF(ISNUMBER(SEARCH("MESH",INVENTARIO!C55)),"MES",
IF(ISNUMBER(SEARCH("BRILLANTE",INVENTARIO!C55)),"BRI",
IF(ISNUMBER(SEARCH("DELGADA",INVENTARIO!C55)),"DEL",
IF(ISNUMBER(SEARCH("GRUESA",INVENTARIO!C55)),"GRU",
IF(ISNUMBER(SEARCH("ESTATICO",INVENTARIO!C55)),"EST",
IF(ISNUMBER(SEARCH("REFLECTIVO",INVENTARIO!C55)),"REF",
IF(ISNUMBER(SEARCH("LX700",INVENTARIO!C55)),"LX7",
IF(ISNUMBER(SEARCH("GRANDO",INVENTARIO!C55)),"GRA",
IF(ISNUMBER(SEARCH("FB700",INVENTARIO!C55)),"FB7",
IF(ISNUMBER(SEARCH("LX360",INVENTARIO!C55)),"LX3",
IF(ISNUMBER(SEARCH("XEROX",INVENTARIO!C55)),"XER",
IF(ISNUMBER(SEARCH("CEPILLADO",INVENTARIO!C55)),"CEP",
IF(ISNUMBER(SEARCH("ESPEJO",INVENTARIO!C55)),"ESP",
IF(ISNUMBER(SEARCH("10 PTS",INVENTARIO!C55)),"10PT",
IF(ISNUMBER(SEARCH("12 PTS",INVENTARIO!C55)),"12PT",
IF(ISNUMBER(SEARCH("14 PTS",INVENTARIO!C55)),"14PT",
IF(ISNUMBER(SEARCH("CLASICO",INVENTARIO!C55)),"CLA",
""))))))))))))))))))))))</f>
        <v>REF</v>
      </c>
      <c r="D55" t="str">
        <f>IF(ISNUMBER(SEARCH("GRAN FORMATO",INVENTARIO!C55)),"GRA-FOR",
IF(ISNUMBER(SEARCH("CAMA PLANA",INVENTARIO!C55)),"CAM-PLA",
IF(ISNUMBER(SEARCH("GRADO INGENIERIA",INVENTARIO!C55)),"GRA-ING",
IF(ISNUMBER(SEARCH("130 GRS",INVENTARIO!C55)),"130GR",
IF(ISNUMBER(SEARCH("150 GRS",INVENTARIO!C55)),"150GR",
IF(ISNUMBER(SEARCH("185 GRS",INVENTARIO!C55)),"185GR",
IF(ISNUMBER(SEARCH("200 GRS",INVENTARIO!C55)),"200GR",
IF(ISNUMBER(SEARCH("250 GRS",INVENTARIO!C55)),"250GR",
IF(ISNUMBER(SEARCH("300 GRS",INVENTARIO!C55)),"300GR",
IF(ISNUMBER(SEARCH("350 GRS",INVENTARIO!C55)),"350GR",
IF(ISNUMBER(SEARCH("18 OZ",INVENTARIO!C55)),"18OZ",
IF(ISNUMBER(SEARCH("15 OZ",INVENTARIO!C55)),"15OZ",
IF(OR(ISNUMBER(SEARCH("13 OZ",INVENTARIO!C55)),ISNUMBER(SEARCH("13 ONZAS",INVENTARIO!C55))),"13OZ",
IF(OR(ISNUMBER(SEARCH("9 OZ",INVENTARIO!C55)),ISNUMBER(SEARCH("9 ONZAS",INVENTARIO!C55))),"09OZ",
IF(ISNUMBER(SEARCH("DOBLE CARA",INVENTARIO!C55)),"DOB-CAR",
"")))))))))))))))</f>
        <v>GRA-ING</v>
      </c>
      <c r="E55" t="str">
        <f>IF(OR(ISNUMBER(SEARCH("TRANSPARENTE",INVENTARIO!C55)),ISNUMBER(SEARCH("TRANSPARENTES",INVENTARIO!C55))),"TRA",
IF(OR(ISNUMBER(SEARCH("BLANCO",INVENTARIO!C55)),ISNUMBER(SEARCH("BCO",INVENTARIO!C55))),"BLA",
IF(ISNUMBER(SEARCH("FOTOGRAFICO",INVENTARIO!C55)),"FOT",
IF(ISNUMBER(SEARCH("MARFIL",INVENTARIO!C55)),"MAR",
IF(ISNUMBER(SEARCH("VERDE",INVENTARIO!C55)),"VER",
IF(ISNUMBER(SEARCH("MORADO",INVENTARIO!C55)),"MOR",
IF(ISNUMBER(SEARCH("PLATA",INVENTARIO!C55)),"PLA",
IF(ISNUMBER(SEARCH("ORO",INVENTARIO!C55)),"ORO",
IF(ISNUMBER(SEARCH("AMARILLO",INVENTARIO!C55)),"AMA",
IF(ISNUMBER(SEARCH("NARANJA",INVENTARIO!C55)),"NAR",
IF(ISNUMBER(SEARCH("NEGRO",INVENTARIO!C55)),"NEG",
IF(ISNUMBER(SEARCH("ROJO",INVENTARIO!C55)),"ROJ",
IF(ISNUMBER(SEARCH("AZUL",INVENTARIO!C55)),"AZU","")))))))))))))</f>
        <v>AZU</v>
      </c>
      <c r="F55" t="str">
        <f>IF(ISNUMBER(SEARCH("ARLON",INVENTARIO!C55)),"ARL",
IF(ISNUMBER(SEARCH("SUNTHINKS",INVENTARIO!C55)),"SUN",
IF(ISNUMBER(SEARCH("FRIO",INVENTARIO!C55)),"FRI",
IF(ISNUMBER(SEARCH("CALIDO",INVENTARIO!C55)),"CAL",
IF(ISNUMBER(SEARCH("CEPILLADO",INVENTARIO!C55)),"CEP",
IF(ISNUMBER(SEARCH("ESPEJO",INVENTARIO!C55)),"ESP",
""))))))</f>
        <v/>
      </c>
      <c r="G55" t="str">
        <f>IF(ISNUMBER(SEARCH("LATEX",INVENTARIO!C55)),"LAT",
IF(ISNUMBER(SEARCH("RESP. NEGRO",INVENTARIO!C55)),"RES-NEG",
IF(ISNUMBER(SEARCH("RESPALDO CAFE",INVENTARIO!C55)),"RES-CAF",
IF(ISNUMBER(SEARCH("RESPALDO GRIS",INVENTARIO!C55)),"RES-GRI",
IF(ISNUMBER(SEARCH("OPTICO",INVENTARIO!C55)),"OPT",
IF(ISNUMBER(SEARCH("1,2 MM",INVENTARIO!C55)),"1MM2",
IF(ISNUMBER(SEARCH("2 MM",INVENTARIO!C55)),"2MM",
IF(ISNUMBER(SEARCH("3 MM",INVENTARIO!C55)),"3MM",
IF(ISNUMBER(SEARCH("4 MM",INVENTARIO!C55)),"4MM",
IF(ISNUMBER(SEARCH("5 MM",INVENTARIO!C55)),"5MM",
IF(ISNUMBER(SEARCH("6 MM",INVENTARIO!C55)),"6MM",
IF(ISNUMBER(SEARCH("9 MM",INVENTARIO!C55)),"9MM",
IF(ISNUMBER(SEARCH("10 MM",INVENTARIO!C55)),"10MM","")))))))))))))</f>
        <v/>
      </c>
      <c r="H55" t="str">
        <f>IF(ISNUMBER(SEARCH("GAMA BAJA",INVENTARIO!C55)),"GAM-BAJ",
IF(ISNUMBER(SEARCH("OPTIMIZADOR",INVENTARIO!C55)),"OPT",
IF(ISNUMBER(SEARCH("OVERCOAT",INVENTARIO!C55)),"OVE",
IF(ISNUMBER(SEARCH("WHITE",INVENTARIO!C55)),"WHI",
IF(ISNUMBER(SEARCH("LIGHT CYAN",INVENTARIO!C55)),"LIG-CYA",
IF(ISNUMBER(SEARCH("CYAN",INVENTARIO!C55)),"CYA",
IF(ISNUMBER(SEARCH("LIGHT MAGENTA",INVENTARIO!C55)),"LIG-MAG",
IF(ISNUMBER(SEARCH("MAGENTA",INVENTARIO!C55)),"MAG",
IF(ISNUMBER(SEARCH("BLACK",INVENTARIO!C55)),"BLA",
IF(ISNUMBER(SEARCH("YELLOW",INVENTARIO!C55)),"YEL",
IF(ISNUMBER(SEARCH("2 DIODOS",INVENTARIO!C55)),"2DI",
IF(ISNUMBER(SEARCH("3 DIODOS",INVENTARIO!C55)),"3DI",
IF(OR(ISNUMBER(SEARCH("TRASLUCIDO",INVENTARIO!C55)),ISNUMBER(SEARCH("TRANSLUCIDO",INVENTARIO!C55))),"TRA",
"")))))))))))))</f>
        <v/>
      </c>
      <c r="I55" t="str">
        <f>IF(ISNUMBER(SEARCH("SILED",INVENTARIO!C62)),"SI",
IF(ISNUMBER(SEARCH("SYDEMEX",INVENTARIO!C62)),"SY",
IF(ISNUMBER(SEARCH("ROHS",INVENTARIO!C62)),"RO",
IF(ISNUMBER(SEARCH("RISHANG",INVENTARIO!C62)),"RS",
IF(ISNUMBER(SEARCH("VYG",INVENTARIO!C62)),"VYG",
IF(ISNUMBER(SEARCH("COLED",INVENTARIO!C62)),"CO",""))))))</f>
        <v/>
      </c>
    </row>
    <row r="56" spans="1:9">
      <c r="A56" t="str">
        <f>IF(ISNUMBER(SEARCH("LONA",INVENTARIO!C56)),"LON",
IF(ISNUMBER(SEARCH("VINIL",INVENTARIO!C56)),"VIN",
IF(ISNUMBER(SEARCH("KROMACOTE",INVENTARIO!C56)),"KRO",
IF(ISNUMBER(SEARCH("STARDREAM",INVENTARIO!C56)),"STA",
IF(ISNUMBER(SEARCH("DISPLAY",INVENTARIO!C56)),"DIS",
IF(ISNUMBER(SEARCH("ROLL UP",INVENTARIO!C56)),"ROL-UP",
IF(ISNUMBER(SEARCH("TRANSFER DE PAPEL",INVENTARIO!C56)),"TRA-PAP",
IF(ISNUMBER(SEARCH("TRANSFER",INVENTARIO!C56)),"TRA",IF(ISNUMBER(SEARCH("KOLA LOKA",INVENTARIO!C56)),"KOL-LOK",
IF(ISNUMBER(SEARCH("PETG",INVENTARIO!C56)),"PET",
IF(ISNUMBER(SEARCH("OJILLO",INVENTARIO!C56)),"OJI",
IF(ISNUMBER(SEARCH("COUCHE",INVENTARIO!C56)),"COU",
IF(ISNUMBER(SEARCH("PANEL DE ALUMINIO",INVENTARIO!C56)),"PAN-ALU",
IF(ISNUMBER(SEARCH("PVC",INVENTARIO!C56)),"PVC",
IF(ISNUMBER(SEARCH("PAPEL",INVENTARIO!C56)),"PAP",
IF(ISNUMBER(SEARCH("TELA",INVENTARIO!C56)),"TEL",
IF(ISNUMBER(SEARCH("CARTULINA",INVENTARIO!C56)),"CAR",
IF(OR(ISNUMBER(SEARCH("LAMINA",INVENTARIO!C56)),ISNUMBER(SEARCH("LÁMINA",INVENTARIO!C56)),ISNUMBER(SEARCH("LAMPARAS",INVENTARIO!C56))),"LAM",
IF(ISNUMBER(SEARCH("ESTIRENO",INVENTARIO!C56)),"EST",
IF(ISNUMBER(SEARCH("FOAMBOARD",INVENTARIO!C56)),"FOA",
IF(ISNUMBER(SEARCH("SOLVENTE",INVENTARIO!C56)),"SOL",
IF(ISNUMBER(SEARCH("TINTA",INVENTARIO!C56)),"TIN",
IF(ISNUMBER(SEARCH("ACRILICO",INVENTARIO!C56)),"ACR",
IF(ISNUMBER(SEARCH("MICROLED",INVENTARIO!C56)),"MIC",
IF(ISNUMBER(SEARCH("LED",INVENTARIO!C56)),"LED",
IF(ISNUMBER(SEARCH("FUENTE DE PODER",INVENTARIO!C56)),"FUE-POD",
IF(ISNUMBER(SEARCH("PETG",INVENTARIO!C56)),"PET",
IF(ISNUMBER(SEARCH("ALUMINIO",INVENTARIO!C56)),"ALU",
IF(ISNUMBER(SEARCH("CANAL",INVENTARIO!C56)),"CAN",
IF(ISNUMBER(SEARCH("ESCUADRA",INVENTARIO!C56)),"ESC",
IF(ISNUMBER(SEARCH("SOPORTE",INVENTARIO!C56)),"SOP","OTR")
))))))))))))))))))))))))))))))</f>
        <v>VIN</v>
      </c>
      <c r="B56" t="str">
        <f>IF(ISNUMBER(SEARCH("CORTE",INVENTARIO!C56)),"COR",
IF(ISNUMBER(SEARCH("CITYLIGHT",INVENTARIO!C56)),"CIT",
IF(ISNUMBER(SEARCH("LINO",INVENTARIO!C56)),"LIN",
IF(ISNUMBER(SEARCH("FABRIANO",INVENTARIO!C56)),"FAB",
IF(ISNUMBER(SEARCH("SUNDANCE",INVENTARIO!C56)),"SUN",
IF(ISNUMBER(SEARCH("SINTETICA",INVENTARIO!C56)),"SIN",
IF(ISNUMBER(SEARCH("CONTROL",INVENTARIO!C56)),"CON",
IF(ISNUMBER(SEARCH("TERMICO",INVENTARIO!C56)),"TER",
IF(ISNUMBER(SEARCH("C-15",INVENTARIO!C56)),"C15",
IF(ISNUMBER(SEARCH("C-20",INVENTARIO!C56)),"C20",
IF(ISNUMBER(SEARCH("C-30",INVENTARIO!C56)),"C30",
IF(ISNUMBER(SEARCH("C-40",INVENTARIO!C56)),"C40",
IF(ISNUMBER(SEARCH("C-60",INVENTARIO!C56)),"C60",
IF(ISNUMBER(SEARCH("C-80",INVENTARIO!C56)),"C80",
IF(ISNUMBER(SEARCH("EQUIPO",INVENTARIO!C56)),"EQU",
IF(ISNUMBER(SEARCH("FLOOR",INVENTARIO!C56)),"FLO",
IF(ISNUMBER(SEARCH("CRISTAL",INVENTARIO!C56)),"CRI",
IF(ISNUMBER(SEARCH(" SULFATADA",INVENTARIO!C67)),"SUL",
IF(ISNUMBER(SEARCH("OPALINA",INVENTARIO!C56)),"OPA",
IF(ISNUMBER(SEARCH("ADHERIBLE",INVENTARIO!C56)),"ADH",
IF(ISNUMBER(SEARCH("MICRO",INVENTARIO!C56)),"MIC","")))))))))))))))))))))</f>
        <v/>
      </c>
      <c r="C56" t="str">
        <f>IF(ISNUMBER(SEARCH("PARED",INVENTARIO!C56)),"PAR",
IF(ISNUMBER(SEARCH("FRONT",INVENTARIO!C56)),"FRO",
IF(ISNUMBER(SEARCH("ALTA RESISTENCIA",INVENTARIO!C56)),
"ALT-RES",IF(ISNUMBER(SEARCH("BACKLITE",INVENTARIO!C56)),"BAC",
IF(ISNUMBER(SEARCH("MATE",INVENTARIO!C56)),"MAT",
IF(ISNUMBER(SEARCH("MESH",INVENTARIO!C56)),"MES",
IF(ISNUMBER(SEARCH("BRILLANTE",INVENTARIO!C56)),"BRI",
IF(ISNUMBER(SEARCH("DELGADA",INVENTARIO!C56)),"DEL",
IF(ISNUMBER(SEARCH("GRUESA",INVENTARIO!C56)),"GRU",
IF(ISNUMBER(SEARCH("ESTATICO",INVENTARIO!C56)),"EST",
IF(ISNUMBER(SEARCH("REFLECTIVO",INVENTARIO!C56)),"REF",
IF(ISNUMBER(SEARCH("LX700",INVENTARIO!C56)),"LX7",
IF(ISNUMBER(SEARCH("GRANDO",INVENTARIO!C56)),"GRA",
IF(ISNUMBER(SEARCH("FB700",INVENTARIO!C56)),"FB7",
IF(ISNUMBER(SEARCH("LX360",INVENTARIO!C56)),"LX3",
IF(ISNUMBER(SEARCH("XEROX",INVENTARIO!C56)),"XER",
IF(ISNUMBER(SEARCH("CEPILLADO",INVENTARIO!C56)),"CEP",
IF(ISNUMBER(SEARCH("ESPEJO",INVENTARIO!C56)),"ESP",
IF(ISNUMBER(SEARCH("10 PTS",INVENTARIO!C56)),"10PT",
IF(ISNUMBER(SEARCH("12 PTS",INVENTARIO!C56)),"12PT",
IF(ISNUMBER(SEARCH("14 PTS",INVENTARIO!C56)),"14PT",
IF(ISNUMBER(SEARCH("CLASICO",INVENTARIO!C56)),"CLA",
""))))))))))))))))))))))</f>
        <v>REF</v>
      </c>
      <c r="D56" t="str">
        <f>IF(ISNUMBER(SEARCH("GRAN FORMATO",INVENTARIO!C56)),"GRA-FOR",
IF(ISNUMBER(SEARCH("CAMA PLANA",INVENTARIO!C56)),"CAM-PLA",
IF(ISNUMBER(SEARCH("GRADO INGENIERIA",INVENTARIO!C56)),"GRA-ING",
IF(ISNUMBER(SEARCH("130 GRS",INVENTARIO!C56)),"130GR",
IF(ISNUMBER(SEARCH("150 GRS",INVENTARIO!C56)),"150GR",
IF(ISNUMBER(SEARCH("185 GRS",INVENTARIO!C56)),"185GR",
IF(ISNUMBER(SEARCH("200 GRS",INVENTARIO!C56)),"200GR",
IF(ISNUMBER(SEARCH("250 GRS",INVENTARIO!C56)),"250GR",
IF(ISNUMBER(SEARCH("300 GRS",INVENTARIO!C56)),"300GR",
IF(ISNUMBER(SEARCH("350 GRS",INVENTARIO!C56)),"350GR",
IF(ISNUMBER(SEARCH("18 OZ",INVENTARIO!C56)),"18OZ",
IF(ISNUMBER(SEARCH("15 OZ",INVENTARIO!C56)),"15OZ",
IF(OR(ISNUMBER(SEARCH("13 OZ",INVENTARIO!C56)),ISNUMBER(SEARCH("13 ONZAS",INVENTARIO!C56))),"13OZ",
IF(OR(ISNUMBER(SEARCH("9 OZ",INVENTARIO!C56)),ISNUMBER(SEARCH("9 ONZAS",INVENTARIO!C56))),"09OZ",
IF(ISNUMBER(SEARCH("DOBLE CARA",INVENTARIO!C56)),"DOB-CAR",
"")))))))))))))))</f>
        <v>GRA-ING</v>
      </c>
      <c r="E56" t="str">
        <f>IF(OR(ISNUMBER(SEARCH("TRANSPARENTE",INVENTARIO!C56)),ISNUMBER(SEARCH("TRANSPARENTES",INVENTARIO!C56))),"TRA",
IF(OR(ISNUMBER(SEARCH("BLANCO",INVENTARIO!C56)),ISNUMBER(SEARCH("BCO",INVENTARIO!C56))),"BLA",
IF(ISNUMBER(SEARCH("FOTOGRAFICO",INVENTARIO!C56)),"FOT",
IF(ISNUMBER(SEARCH("MARFIL",INVENTARIO!C56)),"MAR",
IF(ISNUMBER(SEARCH("VERDE",INVENTARIO!C56)),"VER",
IF(ISNUMBER(SEARCH("MORADO",INVENTARIO!C56)),"MOR",
IF(ISNUMBER(SEARCH("PLATA",INVENTARIO!C56)),"PLA",
IF(ISNUMBER(SEARCH("ORO",INVENTARIO!C56)),"ORO",
IF(ISNUMBER(SEARCH("AMARILLO",INVENTARIO!C56)),"AMA",
IF(ISNUMBER(SEARCH("NARANJA",INVENTARIO!C56)),"NAR",
IF(ISNUMBER(SEARCH("NEGRO",INVENTARIO!C56)),"NEG",
IF(ISNUMBER(SEARCH("ROJO",INVENTARIO!C56)),"ROJ",
IF(ISNUMBER(SEARCH("AZUL",INVENTARIO!C56)),"AZU","")))))))))))))</f>
        <v>ROJ</v>
      </c>
      <c r="F56" t="str">
        <f>IF(ISNUMBER(SEARCH("ARLON",INVENTARIO!C56)),"ARL",
IF(ISNUMBER(SEARCH("SUNTHINKS",INVENTARIO!C56)),"SUN",
IF(ISNUMBER(SEARCH("FRIO",INVENTARIO!C56)),"FRI",
IF(ISNUMBER(SEARCH("CALIDO",INVENTARIO!C56)),"CAL",
IF(ISNUMBER(SEARCH("CEPILLADO",INVENTARIO!C56)),"CEP",
IF(ISNUMBER(SEARCH("ESPEJO",INVENTARIO!C56)),"ESP",
""))))))</f>
        <v/>
      </c>
      <c r="G56" t="str">
        <f>IF(ISNUMBER(SEARCH("LATEX",INVENTARIO!C56)),"LAT",
IF(ISNUMBER(SEARCH("RESP. NEGRO",INVENTARIO!C56)),"RES-NEG",
IF(ISNUMBER(SEARCH("RESPALDO CAFE",INVENTARIO!C56)),"RES-CAF",
IF(ISNUMBER(SEARCH("RESPALDO GRIS",INVENTARIO!C56)),"RES-GRI",
IF(ISNUMBER(SEARCH("OPTICO",INVENTARIO!C56)),"OPT",
IF(ISNUMBER(SEARCH("1,2 MM",INVENTARIO!C56)),"1MM2",
IF(ISNUMBER(SEARCH("2 MM",INVENTARIO!C56)),"2MM",
IF(ISNUMBER(SEARCH("3 MM",INVENTARIO!C56)),"3MM",
IF(ISNUMBER(SEARCH("4 MM",INVENTARIO!C56)),"4MM",
IF(ISNUMBER(SEARCH("5 MM",INVENTARIO!C56)),"5MM",
IF(ISNUMBER(SEARCH("6 MM",INVENTARIO!C56)),"6MM",
IF(ISNUMBER(SEARCH("9 MM",INVENTARIO!C56)),"9MM",
IF(ISNUMBER(SEARCH("10 MM",INVENTARIO!C56)),"10MM","")))))))))))))</f>
        <v/>
      </c>
      <c r="H56" t="str">
        <f>IF(ISNUMBER(SEARCH("GAMA BAJA",INVENTARIO!C56)),"GAM-BAJ",
IF(ISNUMBER(SEARCH("OPTIMIZADOR",INVENTARIO!C56)),"OPT",
IF(ISNUMBER(SEARCH("OVERCOAT",INVENTARIO!C56)),"OVE",
IF(ISNUMBER(SEARCH("WHITE",INVENTARIO!C56)),"WHI",
IF(ISNUMBER(SEARCH("LIGHT CYAN",INVENTARIO!C56)),"LIG-CYA",
IF(ISNUMBER(SEARCH("CYAN",INVENTARIO!C56)),"CYA",
IF(ISNUMBER(SEARCH("LIGHT MAGENTA",INVENTARIO!C56)),"LIG-MAG",
IF(ISNUMBER(SEARCH("MAGENTA",INVENTARIO!C56)),"MAG",
IF(ISNUMBER(SEARCH("BLACK",INVENTARIO!C56)),"BLA",
IF(ISNUMBER(SEARCH("YELLOW",INVENTARIO!C56)),"YEL",
IF(ISNUMBER(SEARCH("2 DIODOS",INVENTARIO!C56)),"2DI",
IF(ISNUMBER(SEARCH("3 DIODOS",INVENTARIO!C56)),"3DI",
IF(OR(ISNUMBER(SEARCH("TRASLUCIDO",INVENTARIO!C56)),ISNUMBER(SEARCH("TRANSLUCIDO",INVENTARIO!C56))),"TRA",
"")))))))))))))</f>
        <v/>
      </c>
      <c r="I5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57" spans="1:9">
      <c r="A57" t="str">
        <f>IF(ISNUMBER(SEARCH("LONA",INVENTARIO!C57)),"LON",
IF(ISNUMBER(SEARCH("VINIL",INVENTARIO!C57)),"VIN",
IF(ISNUMBER(SEARCH("KROMACOTE",INVENTARIO!C57)),"KRO",
IF(ISNUMBER(SEARCH("STARDREAM",INVENTARIO!C57)),"STA",
IF(ISNUMBER(SEARCH("DISPLAY",INVENTARIO!C57)),"DIS",
IF(ISNUMBER(SEARCH("ROLL UP",INVENTARIO!C57)),"ROL-UP",
IF(ISNUMBER(SEARCH("TRANSFER DE PAPEL",INVENTARIO!C57)),"TRA-PAP",
IF(ISNUMBER(SEARCH("TRANSFER",INVENTARIO!C57)),"TRA",IF(ISNUMBER(SEARCH("KOLA LOKA",INVENTARIO!C57)),"KOL-LOK",
IF(ISNUMBER(SEARCH("PETG",INVENTARIO!C57)),"PET",
IF(ISNUMBER(SEARCH("OJILLO",INVENTARIO!C57)),"OJI",
IF(ISNUMBER(SEARCH("COUCHE",INVENTARIO!C57)),"COU",
IF(ISNUMBER(SEARCH("PANEL DE ALUMINIO",INVENTARIO!C57)),"PAN-ALU",
IF(ISNUMBER(SEARCH("PVC",INVENTARIO!C57)),"PVC",
IF(ISNUMBER(SEARCH("PAPEL",INVENTARIO!C57)),"PAP",
IF(ISNUMBER(SEARCH("TELA",INVENTARIO!C57)),"TEL",
IF(ISNUMBER(SEARCH("CARTULINA",INVENTARIO!C57)),"CAR",
IF(OR(ISNUMBER(SEARCH("LAMINA",INVENTARIO!C57)),ISNUMBER(SEARCH("LÁMINA",INVENTARIO!C57)),ISNUMBER(SEARCH("LAMPARAS",INVENTARIO!C57))),"LAM",
IF(ISNUMBER(SEARCH("ESTIRENO",INVENTARIO!C57)),"EST",
IF(ISNUMBER(SEARCH("FOAMBOARD",INVENTARIO!C57)),"FOA",
IF(ISNUMBER(SEARCH("SOLVENTE",INVENTARIO!C57)),"SOL",
IF(ISNUMBER(SEARCH("TINTA",INVENTARIO!C57)),"TIN",
IF(ISNUMBER(SEARCH("ACRILICO",INVENTARIO!C57)),"ACR",
IF(ISNUMBER(SEARCH("MICROLED",INVENTARIO!C57)),"MIC",
IF(ISNUMBER(SEARCH("LED",INVENTARIO!C57)),"LED",
IF(ISNUMBER(SEARCH("FUENTE DE PODER",INVENTARIO!C57)),"FUE-POD",
IF(ISNUMBER(SEARCH("PETG",INVENTARIO!C57)),"PET",
IF(ISNUMBER(SEARCH("ALUMINIO",INVENTARIO!C57)),"ALU",
IF(ISNUMBER(SEARCH("CANAL",INVENTARIO!C57)),"CAN",
IF(ISNUMBER(SEARCH("ESCUADRA",INVENTARIO!C57)),"ESC",
IF(ISNUMBER(SEARCH("SOPORTE",INVENTARIO!C57)),"SOP","OTR")
))))))))))))))))))))))))))))))</f>
        <v>VIN</v>
      </c>
      <c r="B57" t="str">
        <f>IF(ISNUMBER(SEARCH("CORTE",INVENTARIO!C57)),"COR",
IF(ISNUMBER(SEARCH("CITYLIGHT",INVENTARIO!C57)),"CIT",
IF(ISNUMBER(SEARCH("LINO",INVENTARIO!C57)),"LIN",
IF(ISNUMBER(SEARCH("FABRIANO",INVENTARIO!C57)),"FAB",
IF(ISNUMBER(SEARCH("SUNDANCE",INVENTARIO!C57)),"SUN",
IF(ISNUMBER(SEARCH("SINTETICA",INVENTARIO!C57)),"SIN",
IF(ISNUMBER(SEARCH("CONTROL",INVENTARIO!C57)),"CON",
IF(ISNUMBER(SEARCH("TERMICO",INVENTARIO!C57)),"TER",
IF(ISNUMBER(SEARCH("C-15",INVENTARIO!C57)),"C15",
IF(ISNUMBER(SEARCH("C-20",INVENTARIO!C57)),"C20",
IF(ISNUMBER(SEARCH("C-30",INVENTARIO!C57)),"C30",
IF(ISNUMBER(SEARCH("C-40",INVENTARIO!C57)),"C40",
IF(ISNUMBER(SEARCH("C-60",INVENTARIO!C57)),"C60",
IF(ISNUMBER(SEARCH("C-80",INVENTARIO!C57)),"C80",
IF(ISNUMBER(SEARCH("EQUIPO",INVENTARIO!C57)),"EQU",
IF(ISNUMBER(SEARCH("FLOOR",INVENTARIO!C57)),"FLO",
IF(ISNUMBER(SEARCH("CRISTAL",INVENTARIO!C57)),"CRI",
IF(ISNUMBER(SEARCH(" SULFATADA",INVENTARIO!C68)),"SUL",
IF(ISNUMBER(SEARCH("OPALINA",INVENTARIO!C57)),"OPA",
IF(ISNUMBER(SEARCH("ADHERIBLE",INVENTARIO!C57)),"ADH",
IF(ISNUMBER(SEARCH("MICRO",INVENTARIO!C57)),"MIC","")))))))))))))))))))))</f>
        <v/>
      </c>
      <c r="C57" t="str">
        <f>IF(ISNUMBER(SEARCH("PARED",INVENTARIO!C57)),"PAR",
IF(ISNUMBER(SEARCH("FRONT",INVENTARIO!C57)),"FRO",
IF(ISNUMBER(SEARCH("ALTA RESISTENCIA",INVENTARIO!C57)),
"ALT-RES",IF(ISNUMBER(SEARCH("BACKLITE",INVENTARIO!C57)),"BAC",
IF(ISNUMBER(SEARCH("MATE",INVENTARIO!C57)),"MAT",
IF(ISNUMBER(SEARCH("MESH",INVENTARIO!C57)),"MES",
IF(ISNUMBER(SEARCH("BRILLANTE",INVENTARIO!C57)),"BRI",
IF(ISNUMBER(SEARCH("DELGADA",INVENTARIO!C57)),"DEL",
IF(ISNUMBER(SEARCH("GRUESA",INVENTARIO!C57)),"GRU",
IF(ISNUMBER(SEARCH("ESTATICO",INVENTARIO!C57)),"EST",
IF(ISNUMBER(SEARCH("REFLECTIVO",INVENTARIO!C57)),"REF",
IF(ISNUMBER(SEARCH("LX700",INVENTARIO!C57)),"LX7",
IF(ISNUMBER(SEARCH("GRANDO",INVENTARIO!C57)),"GRA",
IF(ISNUMBER(SEARCH("FB700",INVENTARIO!C57)),"FB7",
IF(ISNUMBER(SEARCH("LX360",INVENTARIO!C57)),"LX3",
IF(ISNUMBER(SEARCH("XEROX",INVENTARIO!C57)),"XER",
IF(ISNUMBER(SEARCH("CEPILLADO",INVENTARIO!C57)),"CEP",
IF(ISNUMBER(SEARCH("ESPEJO",INVENTARIO!C57)),"ESP",
IF(ISNUMBER(SEARCH("10 PTS",INVENTARIO!C57)),"10PT",
IF(ISNUMBER(SEARCH("12 PTS",INVENTARIO!C57)),"12PT",
IF(ISNUMBER(SEARCH("14 PTS",INVENTARIO!C57)),"14PT",
IF(ISNUMBER(SEARCH("CLASICO",INVENTARIO!C57)),"CLA",
""))))))))))))))))))))))</f>
        <v>REF</v>
      </c>
      <c r="D57" t="str">
        <f>IF(ISNUMBER(SEARCH("GRAN FORMATO",INVENTARIO!C57)),"GRA-FOR",
IF(ISNUMBER(SEARCH("CAMA PLANA",INVENTARIO!C57)),"CAM-PLA",
IF(ISNUMBER(SEARCH("GRADO INGENIERIA",INVENTARIO!C57)),"GRA-ING",
IF(ISNUMBER(SEARCH("130 GRS",INVENTARIO!C57)),"130GR",
IF(ISNUMBER(SEARCH("150 GRS",INVENTARIO!C57)),"150GR",
IF(ISNUMBER(SEARCH("185 GRS",INVENTARIO!C57)),"185GR",
IF(ISNUMBER(SEARCH("200 GRS",INVENTARIO!C57)),"200GR",
IF(ISNUMBER(SEARCH("250 GRS",INVENTARIO!C57)),"250GR",
IF(ISNUMBER(SEARCH("300 GRS",INVENTARIO!C57)),"300GR",
IF(ISNUMBER(SEARCH("350 GRS",INVENTARIO!C57)),"350GR",
IF(ISNUMBER(SEARCH("18 OZ",INVENTARIO!C57)),"18OZ",
IF(ISNUMBER(SEARCH("15 OZ",INVENTARIO!C57)),"15OZ",
IF(OR(ISNUMBER(SEARCH("13 OZ",INVENTARIO!C57)),ISNUMBER(SEARCH("13 ONZAS",INVENTARIO!C57))),"13OZ",
IF(OR(ISNUMBER(SEARCH("9 OZ",INVENTARIO!C57)),ISNUMBER(SEARCH("9 ONZAS",INVENTARIO!C57))),"09OZ",
IF(ISNUMBER(SEARCH("DOBLE CARA",INVENTARIO!C57)),"DOB-CAR",
"")))))))))))))))</f>
        <v>GRA-ING</v>
      </c>
      <c r="E57" t="str">
        <f>IF(OR(ISNUMBER(SEARCH("TRANSPARENTE",INVENTARIO!C57)),ISNUMBER(SEARCH("TRANSPARENTES",INVENTARIO!C57))),"TRA",
IF(OR(ISNUMBER(SEARCH("BLANCO",INVENTARIO!C57)),ISNUMBER(SEARCH("BCO",INVENTARIO!C57))),"BLA",
IF(ISNUMBER(SEARCH("FOTOGRAFICO",INVENTARIO!C57)),"FOT",
IF(ISNUMBER(SEARCH("MARFIL",INVENTARIO!C57)),"MAR",
IF(ISNUMBER(SEARCH("VERDE",INVENTARIO!C57)),"VER",
IF(ISNUMBER(SEARCH("MORADO",INVENTARIO!C57)),"MOR",
IF(ISNUMBER(SEARCH("PLATA",INVENTARIO!C57)),"PLA",
IF(ISNUMBER(SEARCH("ORO",INVENTARIO!C57)),"ORO",
IF(ISNUMBER(SEARCH("AMARILLO",INVENTARIO!C57)),"AMA",
IF(ISNUMBER(SEARCH("NARANJA",INVENTARIO!C57)),"NAR",
IF(ISNUMBER(SEARCH("NEGRO",INVENTARIO!C57)),"NEG",
IF(ISNUMBER(SEARCH("ROJO",INVENTARIO!C57)),"ROJ",
IF(ISNUMBER(SEARCH("AZUL",INVENTARIO!C57)),"AZU","")))))))))))))</f>
        <v>AMA</v>
      </c>
      <c r="F57" t="str">
        <f>IF(ISNUMBER(SEARCH("ARLON",INVENTARIO!C57)),"ARL",
IF(ISNUMBER(SEARCH("SUNTHINKS",INVENTARIO!C57)),"SUN",
IF(ISNUMBER(SEARCH("FRIO",INVENTARIO!C57)),"FRI",
IF(ISNUMBER(SEARCH("CALIDO",INVENTARIO!C57)),"CAL",
IF(ISNUMBER(SEARCH("CEPILLADO",INVENTARIO!C57)),"CEP",
IF(ISNUMBER(SEARCH("ESPEJO",INVENTARIO!C57)),"ESP",
""))))))</f>
        <v/>
      </c>
      <c r="G57" t="str">
        <f>IF(ISNUMBER(SEARCH("LATEX",INVENTARIO!C57)),"LAT",
IF(ISNUMBER(SEARCH("RESP. NEGRO",INVENTARIO!C57)),"RES-NEG",
IF(ISNUMBER(SEARCH("RESPALDO CAFE",INVENTARIO!C57)),"RES-CAF",
IF(ISNUMBER(SEARCH("RESPALDO GRIS",INVENTARIO!C57)),"RES-GRI",
IF(ISNUMBER(SEARCH("OPTICO",INVENTARIO!C57)),"OPT",
IF(ISNUMBER(SEARCH("1,2 MM",INVENTARIO!C57)),"1MM2",
IF(ISNUMBER(SEARCH("2 MM",INVENTARIO!C57)),"2MM",
IF(ISNUMBER(SEARCH("3 MM",INVENTARIO!C57)),"3MM",
IF(ISNUMBER(SEARCH("4 MM",INVENTARIO!C57)),"4MM",
IF(ISNUMBER(SEARCH("5 MM",INVENTARIO!C57)),"5MM",
IF(ISNUMBER(SEARCH("6 MM",INVENTARIO!C57)),"6MM",
IF(ISNUMBER(SEARCH("9 MM",INVENTARIO!C57)),"9MM",
IF(ISNUMBER(SEARCH("10 MM",INVENTARIO!C57)),"10MM","")))))))))))))</f>
        <v/>
      </c>
      <c r="H57" t="str">
        <f>IF(ISNUMBER(SEARCH("GAMA BAJA",INVENTARIO!C57)),"GAM-BAJ",
IF(ISNUMBER(SEARCH("OPTIMIZADOR",INVENTARIO!C57)),"OPT",
IF(ISNUMBER(SEARCH("OVERCOAT",INVENTARIO!C57)),"OVE",
IF(ISNUMBER(SEARCH("WHITE",INVENTARIO!C57)),"WHI",
IF(ISNUMBER(SEARCH("LIGHT CYAN",INVENTARIO!C57)),"LIG-CYA",
IF(ISNUMBER(SEARCH("CYAN",INVENTARIO!C57)),"CYA",
IF(ISNUMBER(SEARCH("LIGHT MAGENTA",INVENTARIO!C57)),"LIG-MAG",
IF(ISNUMBER(SEARCH("MAGENTA",INVENTARIO!C57)),"MAG",
IF(ISNUMBER(SEARCH("BLACK",INVENTARIO!C57)),"BLA",
IF(ISNUMBER(SEARCH("YELLOW",INVENTARIO!C57)),"YEL",
IF(ISNUMBER(SEARCH("2 DIODOS",INVENTARIO!C57)),"2DI",
IF(ISNUMBER(SEARCH("3 DIODOS",INVENTARIO!C57)),"3DI",
IF(OR(ISNUMBER(SEARCH("TRASLUCIDO",INVENTARIO!C57)),ISNUMBER(SEARCH("TRANSLUCIDO",INVENTARIO!C57))),"TRA",
"")))))))))))))</f>
        <v/>
      </c>
      <c r="I5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58" spans="1:9">
      <c r="A58" t="str">
        <f>IF(ISNUMBER(SEARCH("LONA",INVENTARIO!C58)),"LON",
IF(ISNUMBER(SEARCH("VINIL",INVENTARIO!C58)),"VIN",
IF(ISNUMBER(SEARCH("KROMACOTE",INVENTARIO!C58)),"KRO",
IF(ISNUMBER(SEARCH("STARDREAM",INVENTARIO!C58)),"STA",
IF(ISNUMBER(SEARCH("DISPLAY",INVENTARIO!C58)),"DIS",
IF(ISNUMBER(SEARCH("ROLL UP",INVENTARIO!C58)),"ROL-UP",
IF(ISNUMBER(SEARCH("TRANSFER DE PAPEL",INVENTARIO!C58)),"TRA-PAP",
IF(ISNUMBER(SEARCH("TRANSFER",INVENTARIO!C58)),"TRA",IF(ISNUMBER(SEARCH("KOLA LOKA",INVENTARIO!C58)),"KOL-LOK",
IF(ISNUMBER(SEARCH("PETG",INVENTARIO!C58)),"PET",
IF(ISNUMBER(SEARCH("OJILLO",INVENTARIO!C58)),"OJI",
IF(ISNUMBER(SEARCH("COUCHE",INVENTARIO!C58)),"COU",
IF(ISNUMBER(SEARCH("PANEL DE ALUMINIO",INVENTARIO!C58)),"PAN-ALU",
IF(ISNUMBER(SEARCH("PVC",INVENTARIO!C58)),"PVC",
IF(ISNUMBER(SEARCH("PAPEL",INVENTARIO!C58)),"PAP",
IF(ISNUMBER(SEARCH("TELA",INVENTARIO!C58)),"TEL",
IF(ISNUMBER(SEARCH("CARTULINA",INVENTARIO!C58)),"CAR",
IF(OR(ISNUMBER(SEARCH("LAMINA",INVENTARIO!C58)),ISNUMBER(SEARCH("LÁMINA",INVENTARIO!C58)),ISNUMBER(SEARCH("LAMPARAS",INVENTARIO!C58))),"LAM",
IF(ISNUMBER(SEARCH("ESTIRENO",INVENTARIO!C58)),"EST",
IF(ISNUMBER(SEARCH("FOAMBOARD",INVENTARIO!C58)),"FOA",
IF(ISNUMBER(SEARCH("SOLVENTE",INVENTARIO!C58)),"SOL",
IF(ISNUMBER(SEARCH("TINTA",INVENTARIO!C58)),"TIN",
IF(ISNUMBER(SEARCH("ACRILICO",INVENTARIO!C58)),"ACR",
IF(ISNUMBER(SEARCH("MICROLED",INVENTARIO!C58)),"MIC",
IF(ISNUMBER(SEARCH("LED",INVENTARIO!C58)),"LED",
IF(ISNUMBER(SEARCH("FUENTE DE PODER",INVENTARIO!C58)),"FUE-POD",
IF(ISNUMBER(SEARCH("PETG",INVENTARIO!C58)),"PET",
IF(ISNUMBER(SEARCH("ALUMINIO",INVENTARIO!C58)),"ALU",
IF(ISNUMBER(SEARCH("CANAL",INVENTARIO!C58)),"CAN",
IF(ISNUMBER(SEARCH("ESCUADRA",INVENTARIO!C58)),"ESC",
IF(ISNUMBER(SEARCH("SOPORTE",INVENTARIO!C58)),"SOP","OTR")
))))))))))))))))))))))))))))))</f>
        <v>VIN</v>
      </c>
      <c r="B58" t="str">
        <f>IF(ISNUMBER(SEARCH("CORTE",INVENTARIO!C58)),"COR",
IF(ISNUMBER(SEARCH("CITYLIGHT",INVENTARIO!C58)),"CIT",
IF(ISNUMBER(SEARCH("LINO",INVENTARIO!C58)),"LIN",
IF(ISNUMBER(SEARCH("FABRIANO",INVENTARIO!C58)),"FAB",
IF(ISNUMBER(SEARCH("SUNDANCE",INVENTARIO!C58)),"SUN",
IF(ISNUMBER(SEARCH("SINTETICA",INVENTARIO!C58)),"SIN",
IF(ISNUMBER(SEARCH("CONTROL",INVENTARIO!C58)),"CON",
IF(ISNUMBER(SEARCH("TERMICO",INVENTARIO!C58)),"TER",
IF(ISNUMBER(SEARCH("C-15",INVENTARIO!C58)),"C15",
IF(ISNUMBER(SEARCH("C-20",INVENTARIO!C58)),"C20",
IF(ISNUMBER(SEARCH("C-30",INVENTARIO!C58)),"C30",
IF(ISNUMBER(SEARCH("C-40",INVENTARIO!C58)),"C40",
IF(ISNUMBER(SEARCH("C-60",INVENTARIO!C58)),"C60",
IF(ISNUMBER(SEARCH("C-80",INVENTARIO!C58)),"C80",
IF(ISNUMBER(SEARCH("EQUIPO",INVENTARIO!C58)),"EQU",
IF(ISNUMBER(SEARCH("FLOOR",INVENTARIO!C58)),"FLO",
IF(ISNUMBER(SEARCH("CRISTAL",INVENTARIO!C58)),"CRI",
IF(ISNUMBER(SEARCH(" SULFATADA",INVENTARIO!C69)),"SUL",
IF(ISNUMBER(SEARCH("OPALINA",INVENTARIO!C58)),"OPA",
IF(ISNUMBER(SEARCH("ADHERIBLE",INVENTARIO!C58)),"ADH",
IF(ISNUMBER(SEARCH("MICRO",INVENTARIO!C58)),"MIC","")))))))))))))))))))))</f>
        <v/>
      </c>
      <c r="C58" t="str">
        <f>IF(ISNUMBER(SEARCH("PARED",INVENTARIO!C58)),"PAR",
IF(ISNUMBER(SEARCH("FRONT",INVENTARIO!C58)),"FRO",
IF(ISNUMBER(SEARCH("ALTA RESISTENCIA",INVENTARIO!C58)),
"ALT-RES",IF(ISNUMBER(SEARCH("BACKLITE",INVENTARIO!C58)),"BAC",
IF(ISNUMBER(SEARCH("MATE",INVENTARIO!C58)),"MAT",
IF(ISNUMBER(SEARCH("MESH",INVENTARIO!C58)),"MES",
IF(ISNUMBER(SEARCH("BRILLANTE",INVENTARIO!C58)),"BRI",
IF(ISNUMBER(SEARCH("DELGADA",INVENTARIO!C58)),"DEL",
IF(ISNUMBER(SEARCH("GRUESA",INVENTARIO!C58)),"GRU",
IF(ISNUMBER(SEARCH("ESTATICO",INVENTARIO!C58)),"EST",
IF(ISNUMBER(SEARCH("REFLECTIVO",INVENTARIO!C58)),"REF",
IF(ISNUMBER(SEARCH("LX700",INVENTARIO!C58)),"LX7",
IF(ISNUMBER(SEARCH("GRANDO",INVENTARIO!C58)),"GRA",
IF(ISNUMBER(SEARCH("FB700",INVENTARIO!C58)),"FB7",
IF(ISNUMBER(SEARCH("LX360",INVENTARIO!C58)),"LX3",
IF(ISNUMBER(SEARCH("XEROX",INVENTARIO!C58)),"XER",
IF(ISNUMBER(SEARCH("CEPILLADO",INVENTARIO!C58)),"CEP",
IF(ISNUMBER(SEARCH("ESPEJO",INVENTARIO!C58)),"ESP",
IF(ISNUMBER(SEARCH("10 PTS",INVENTARIO!C58)),"10PT",
IF(ISNUMBER(SEARCH("12 PTS",INVENTARIO!C58)),"12PT",
IF(ISNUMBER(SEARCH("14 PTS",INVENTARIO!C58)),"14PT",
IF(ISNUMBER(SEARCH("CLASICO",INVENTARIO!C58)),"CLA",
""))))))))))))))))))))))</f>
        <v>REF</v>
      </c>
      <c r="D58" t="str">
        <f>IF(ISNUMBER(SEARCH("GRAN FORMATO",INVENTARIO!C58)),"GRA-FOR",
IF(ISNUMBER(SEARCH("CAMA PLANA",INVENTARIO!C58)),"CAM-PLA",
IF(ISNUMBER(SEARCH("GRADO INGENIERIA",INVENTARIO!C58)),"GRA-ING",
IF(ISNUMBER(SEARCH("130 GRS",INVENTARIO!C58)),"130GR",
IF(ISNUMBER(SEARCH("150 GRS",INVENTARIO!C58)),"150GR",
IF(ISNUMBER(SEARCH("185 GRS",INVENTARIO!C58)),"185GR",
IF(ISNUMBER(SEARCH("200 GRS",INVENTARIO!C58)),"200GR",
IF(ISNUMBER(SEARCH("250 GRS",INVENTARIO!C58)),"250GR",
IF(ISNUMBER(SEARCH("300 GRS",INVENTARIO!C58)),"300GR",
IF(ISNUMBER(SEARCH("350 GRS",INVENTARIO!C58)),"350GR",
IF(ISNUMBER(SEARCH("18 OZ",INVENTARIO!C58)),"18OZ",
IF(ISNUMBER(SEARCH("15 OZ",INVENTARIO!C58)),"15OZ",
IF(OR(ISNUMBER(SEARCH("13 OZ",INVENTARIO!C58)),ISNUMBER(SEARCH("13 ONZAS",INVENTARIO!C58))),"13OZ",
IF(OR(ISNUMBER(SEARCH("9 OZ",INVENTARIO!C58)),ISNUMBER(SEARCH("9 ONZAS",INVENTARIO!C58))),"09OZ",
IF(ISNUMBER(SEARCH("DOBLE CARA",INVENTARIO!C58)),"DOB-CAR",
"")))))))))))))))</f>
        <v>GRA-ING</v>
      </c>
      <c r="E58" t="str">
        <f>IF(OR(ISNUMBER(SEARCH("TRANSPARENTE",INVENTARIO!C58)),ISNUMBER(SEARCH("TRANSPARENTES",INVENTARIO!C58))),"TRA",
IF(OR(ISNUMBER(SEARCH("BLANCO",INVENTARIO!C58)),ISNUMBER(SEARCH("BCO",INVENTARIO!C58))),"BLA",
IF(ISNUMBER(SEARCH("FOTOGRAFICO",INVENTARIO!C58)),"FOT",
IF(ISNUMBER(SEARCH("MARFIL",INVENTARIO!C58)),"MAR",
IF(ISNUMBER(SEARCH("VERDE",INVENTARIO!C58)),"VER",
IF(ISNUMBER(SEARCH("MORADO",INVENTARIO!C58)),"MOR",
IF(ISNUMBER(SEARCH("PLATA",INVENTARIO!C58)),"PLA",
IF(ISNUMBER(SEARCH("ORO",INVENTARIO!C58)),"ORO",
IF(ISNUMBER(SEARCH("AMARILLO",INVENTARIO!C58)),"AMA",
IF(ISNUMBER(SEARCH("NARANJA",INVENTARIO!C58)),"NAR",
IF(ISNUMBER(SEARCH("NEGRO",INVENTARIO!C58)),"NEG",
IF(ISNUMBER(SEARCH("ROJO",INVENTARIO!C58)),"ROJ",
IF(ISNUMBER(SEARCH("AZUL",INVENTARIO!C58)),"AZU","")))))))))))))</f>
        <v>VER</v>
      </c>
      <c r="F58" t="str">
        <f>IF(ISNUMBER(SEARCH("ARLON",INVENTARIO!C58)),"ARL",
IF(ISNUMBER(SEARCH("SUNTHINKS",INVENTARIO!C58)),"SUN",
IF(ISNUMBER(SEARCH("FRIO",INVENTARIO!C58)),"FRI",
IF(ISNUMBER(SEARCH("CALIDO",INVENTARIO!C58)),"CAL",
IF(ISNUMBER(SEARCH("CEPILLADO",INVENTARIO!C58)),"CEP",
IF(ISNUMBER(SEARCH("ESPEJO",INVENTARIO!C58)),"ESP",
""))))))</f>
        <v/>
      </c>
      <c r="G58" t="str">
        <f>IF(ISNUMBER(SEARCH("LATEX",INVENTARIO!C58)),"LAT",
IF(ISNUMBER(SEARCH("RESP. NEGRO",INVENTARIO!C58)),"RES-NEG",
IF(ISNUMBER(SEARCH("RESPALDO CAFE",INVENTARIO!C58)),"RES-CAF",
IF(ISNUMBER(SEARCH("RESPALDO GRIS",INVENTARIO!C58)),"RES-GRI",
IF(ISNUMBER(SEARCH("OPTICO",INVENTARIO!C58)),"OPT",
IF(ISNUMBER(SEARCH("1,2 MM",INVENTARIO!C58)),"1MM2",
IF(ISNUMBER(SEARCH("2 MM",INVENTARIO!C58)),"2MM",
IF(ISNUMBER(SEARCH("3 MM",INVENTARIO!C58)),"3MM",
IF(ISNUMBER(SEARCH("4 MM",INVENTARIO!C58)),"4MM",
IF(ISNUMBER(SEARCH("5 MM",INVENTARIO!C58)),"5MM",
IF(ISNUMBER(SEARCH("6 MM",INVENTARIO!C58)),"6MM",
IF(ISNUMBER(SEARCH("9 MM",INVENTARIO!C58)),"9MM",
IF(ISNUMBER(SEARCH("10 MM",INVENTARIO!C58)),"10MM","")))))))))))))</f>
        <v/>
      </c>
      <c r="H58" t="str">
        <f>IF(ISNUMBER(SEARCH("GAMA BAJA",INVENTARIO!C58)),"GAM-BAJ",
IF(ISNUMBER(SEARCH("OPTIMIZADOR",INVENTARIO!C58)),"OPT",
IF(ISNUMBER(SEARCH("OVERCOAT",INVENTARIO!C58)),"OVE",
IF(ISNUMBER(SEARCH("WHITE",INVENTARIO!C58)),"WHI",
IF(ISNUMBER(SEARCH("LIGHT CYAN",INVENTARIO!C58)),"LIG-CYA",
IF(ISNUMBER(SEARCH("CYAN",INVENTARIO!C58)),"CYA",
IF(ISNUMBER(SEARCH("LIGHT MAGENTA",INVENTARIO!C58)),"LIG-MAG",
IF(ISNUMBER(SEARCH("MAGENTA",INVENTARIO!C58)),"MAG",
IF(ISNUMBER(SEARCH("BLACK",INVENTARIO!C58)),"BLA",
IF(ISNUMBER(SEARCH("YELLOW",INVENTARIO!C58)),"YEL",
IF(ISNUMBER(SEARCH("2 DIODOS",INVENTARIO!C58)),"2DI",
IF(ISNUMBER(SEARCH("3 DIODOS",INVENTARIO!C58)),"3DI",
IF(OR(ISNUMBER(SEARCH("TRASLUCIDO",INVENTARIO!C58)),ISNUMBER(SEARCH("TRANSLUCIDO",INVENTARIO!C58))),"TRA",
"")))))))))))))</f>
        <v/>
      </c>
      <c r="I58" t="str">
        <f>IF(ISNUMBER(SEARCH("SILED",INVENTARIO!C63)),"SI",
IF(ISNUMBER(SEARCH("SYDEMEX",INVENTARIO!C63)),"SY",
IF(ISNUMBER(SEARCH("ROHS",INVENTARIO!C63)),"RO",
IF(ISNUMBER(SEARCH("RISHANG",INVENTARIO!C63)),"RS",
IF(ISNUMBER(SEARCH("VYG",INVENTARIO!C63)),"VYG",
IF(ISNUMBER(SEARCH("COLED",INVENTARIO!C63)),"CO",""))))))</f>
        <v/>
      </c>
    </row>
    <row r="59" spans="1:9">
      <c r="A59" t="str">
        <f>IF(ISNUMBER(SEARCH("LONA",INVENTARIO!C59)),"LON",
IF(ISNUMBER(SEARCH("VINIL",INVENTARIO!C59)),"VIN",
IF(ISNUMBER(SEARCH("KROMACOTE",INVENTARIO!C59)),"KRO",
IF(ISNUMBER(SEARCH("STARDREAM",INVENTARIO!C59)),"STA",
IF(ISNUMBER(SEARCH("DISPLAY",INVENTARIO!C59)),"DIS",
IF(ISNUMBER(SEARCH("ROLL UP",INVENTARIO!C59)),"ROL-UP",
IF(ISNUMBER(SEARCH("TRANSFER DE PAPEL",INVENTARIO!C59)),"TRA-PAP",
IF(ISNUMBER(SEARCH("TRANSFER",INVENTARIO!C59)),"TRA",IF(ISNUMBER(SEARCH("KOLA LOKA",INVENTARIO!C59)),"KOL-LOK",
IF(ISNUMBER(SEARCH("PETG",INVENTARIO!C59)),"PET",
IF(ISNUMBER(SEARCH("OJILLO",INVENTARIO!C59)),"OJI",
IF(ISNUMBER(SEARCH("COUCHE",INVENTARIO!C59)),"COU",
IF(ISNUMBER(SEARCH("PANEL DE ALUMINIO",INVENTARIO!C59)),"PAN-ALU",
IF(ISNUMBER(SEARCH("PVC",INVENTARIO!C59)),"PVC",
IF(ISNUMBER(SEARCH("PAPEL",INVENTARIO!C59)),"PAP",
IF(ISNUMBER(SEARCH("TELA",INVENTARIO!C59)),"TEL",
IF(ISNUMBER(SEARCH("CARTULINA",INVENTARIO!C59)),"CAR",
IF(OR(ISNUMBER(SEARCH("LAMINA",INVENTARIO!C59)),ISNUMBER(SEARCH("LÁMINA",INVENTARIO!C59)),ISNUMBER(SEARCH("LAMPARAS",INVENTARIO!C59))),"LAM",
IF(ISNUMBER(SEARCH("ESTIRENO",INVENTARIO!C59)),"EST",
IF(ISNUMBER(SEARCH("FOAMBOARD",INVENTARIO!C59)),"FOA",
IF(ISNUMBER(SEARCH("SOLVENTE",INVENTARIO!C59)),"SOL",
IF(ISNUMBER(SEARCH("TINTA",INVENTARIO!C59)),"TIN",
IF(ISNUMBER(SEARCH("ACRILICO",INVENTARIO!C59)),"ACR",
IF(ISNUMBER(SEARCH("MICROLED",INVENTARIO!C59)),"MIC",
IF(ISNUMBER(SEARCH("LED",INVENTARIO!C59)),"LED",
IF(ISNUMBER(SEARCH("FUENTE DE PODER",INVENTARIO!C59)),"FUE-POD",
IF(ISNUMBER(SEARCH("PETG",INVENTARIO!C59)),"PET",
IF(ISNUMBER(SEARCH("ALUMINIO",INVENTARIO!C59)),"ALU",
IF(ISNUMBER(SEARCH("CANAL",INVENTARIO!C59)),"CAN",
IF(ISNUMBER(SEARCH("ESCUADRA",INVENTARIO!C59)),"ESC",
IF(ISNUMBER(SEARCH("SOPORTE",INVENTARIO!C59)),"SOP","OTR")
))))))))))))))))))))))))))))))</f>
        <v>VIN</v>
      </c>
      <c r="B59" t="str">
        <f>IF(ISNUMBER(SEARCH("CORTE",INVENTARIO!C59)),"COR",
IF(ISNUMBER(SEARCH("CITYLIGHT",INVENTARIO!C59)),"CIT",
IF(ISNUMBER(SEARCH("LINO",INVENTARIO!C59)),"LIN",
IF(ISNUMBER(SEARCH("FABRIANO",INVENTARIO!C59)),"FAB",
IF(ISNUMBER(SEARCH("SUNDANCE",INVENTARIO!C59)),"SUN",
IF(ISNUMBER(SEARCH("SINTETICA",INVENTARIO!C59)),"SIN",
IF(ISNUMBER(SEARCH("CONTROL",INVENTARIO!C59)),"CON",
IF(ISNUMBER(SEARCH("TERMICO",INVENTARIO!C59)),"TER",
IF(ISNUMBER(SEARCH("C-15",INVENTARIO!C59)),"C15",
IF(ISNUMBER(SEARCH("C-20",INVENTARIO!C59)),"C20",
IF(ISNUMBER(SEARCH("C-30",INVENTARIO!C59)),"C30",
IF(ISNUMBER(SEARCH("C-40",INVENTARIO!C59)),"C40",
IF(ISNUMBER(SEARCH("C-60",INVENTARIO!C59)),"C60",
IF(ISNUMBER(SEARCH("C-80",INVENTARIO!C59)),"C80",
IF(ISNUMBER(SEARCH("EQUIPO",INVENTARIO!C59)),"EQU",
IF(ISNUMBER(SEARCH("FLOOR",INVENTARIO!C59)),"FLO",
IF(ISNUMBER(SEARCH("CRISTAL",INVENTARIO!C59)),"CRI",
IF(ISNUMBER(SEARCH(" SULFATADA",INVENTARIO!C70)),"SUL",
IF(ISNUMBER(SEARCH("OPALINA",INVENTARIO!C59)),"OPA",
IF(ISNUMBER(SEARCH("ADHERIBLE",INVENTARIO!C59)),"ADH",
IF(ISNUMBER(SEARCH("MICRO",INVENTARIO!C59)),"MIC","")))))))))))))))))))))</f>
        <v/>
      </c>
      <c r="C59" t="str">
        <f>IF(ISNUMBER(SEARCH("PARED",INVENTARIO!C59)),"PAR",
IF(ISNUMBER(SEARCH("FRONT",INVENTARIO!C59)),"FRO",
IF(ISNUMBER(SEARCH("ALTA RESISTENCIA",INVENTARIO!C59)),
"ALT-RES",IF(ISNUMBER(SEARCH("BACKLITE",INVENTARIO!C59)),"BAC",
IF(ISNUMBER(SEARCH("MATE",INVENTARIO!C59)),"MAT",
IF(ISNUMBER(SEARCH("MESH",INVENTARIO!C59)),"MES",
IF(ISNUMBER(SEARCH("BRILLANTE",INVENTARIO!C59)),"BRI",
IF(ISNUMBER(SEARCH("DELGADA",INVENTARIO!C59)),"DEL",
IF(ISNUMBER(SEARCH("GRUESA",INVENTARIO!C59)),"GRU",
IF(ISNUMBER(SEARCH("ESTATICO",INVENTARIO!C59)),"EST",
IF(ISNUMBER(SEARCH("REFLECTIVO",INVENTARIO!C59)),"REF",
IF(ISNUMBER(SEARCH("LX700",INVENTARIO!C59)),"LX7",
IF(ISNUMBER(SEARCH("GRANDO",INVENTARIO!C59)),"GRA",
IF(ISNUMBER(SEARCH("FB700",INVENTARIO!C59)),"FB7",
IF(ISNUMBER(SEARCH("LX360",INVENTARIO!C59)),"LX3",
IF(ISNUMBER(SEARCH("XEROX",INVENTARIO!C59)),"XER",
IF(ISNUMBER(SEARCH("CEPILLADO",INVENTARIO!C59)),"CEP",
IF(ISNUMBER(SEARCH("ESPEJO",INVENTARIO!C59)),"ESP",
IF(ISNUMBER(SEARCH("10 PTS",INVENTARIO!C59)),"10PT",
IF(ISNUMBER(SEARCH("12 PTS",INVENTARIO!C59)),"12PT",
IF(ISNUMBER(SEARCH("14 PTS",INVENTARIO!C59)),"14PT",
IF(ISNUMBER(SEARCH("CLASICO",INVENTARIO!C59)),"CLA",
""))))))))))))))))))))))</f>
        <v>REF</v>
      </c>
      <c r="D59" t="str">
        <f>IF(ISNUMBER(SEARCH("GRAN FORMATO",INVENTARIO!C59)),"GRA-FOR",
IF(ISNUMBER(SEARCH("CAMA PLANA",INVENTARIO!C59)),"CAM-PLA",
IF(ISNUMBER(SEARCH("GRADO INGENIERIA",INVENTARIO!C59)),"GRA-ING",
IF(ISNUMBER(SEARCH("130 GRS",INVENTARIO!C59)),"130GR",
IF(ISNUMBER(SEARCH("150 GRS",INVENTARIO!C59)),"150GR",
IF(ISNUMBER(SEARCH("185 GRS",INVENTARIO!C59)),"185GR",
IF(ISNUMBER(SEARCH("200 GRS",INVENTARIO!C59)),"200GR",
IF(ISNUMBER(SEARCH("250 GRS",INVENTARIO!C59)),"250GR",
IF(ISNUMBER(SEARCH("300 GRS",INVENTARIO!C59)),"300GR",
IF(ISNUMBER(SEARCH("350 GRS",INVENTARIO!C59)),"350GR",
IF(ISNUMBER(SEARCH("18 OZ",INVENTARIO!C59)),"18OZ",
IF(ISNUMBER(SEARCH("15 OZ",INVENTARIO!C59)),"15OZ",
IF(OR(ISNUMBER(SEARCH("13 OZ",INVENTARIO!C59)),ISNUMBER(SEARCH("13 ONZAS",INVENTARIO!C59))),"13OZ",
IF(OR(ISNUMBER(SEARCH("9 OZ",INVENTARIO!C59)),ISNUMBER(SEARCH("9 ONZAS",INVENTARIO!C59))),"09OZ",
IF(ISNUMBER(SEARCH("DOBLE CARA",INVENTARIO!C59)),"DOB-CAR",
"")))))))))))))))</f>
        <v>GRA-ING</v>
      </c>
      <c r="E59" t="str">
        <f>IF(OR(ISNUMBER(SEARCH("TRANSPARENTE",INVENTARIO!C59)),ISNUMBER(SEARCH("TRANSPARENTES",INVENTARIO!C59))),"TRA",
IF(OR(ISNUMBER(SEARCH("BLANCO",INVENTARIO!C59)),ISNUMBER(SEARCH("BCO",INVENTARIO!C59))),"BLA",
IF(ISNUMBER(SEARCH("FOTOGRAFICO",INVENTARIO!C59)),"FOT",
IF(ISNUMBER(SEARCH("MARFIL",INVENTARIO!C59)),"MAR",
IF(ISNUMBER(SEARCH("VERDE",INVENTARIO!C59)),"VER",
IF(ISNUMBER(SEARCH("MORADO",INVENTARIO!C59)),"MOR",
IF(ISNUMBER(SEARCH("PLATA",INVENTARIO!C59)),"PLA",
IF(ISNUMBER(SEARCH("ORO",INVENTARIO!C59)),"ORO",
IF(ISNUMBER(SEARCH("AMARILLO",INVENTARIO!C59)),"AMA",
IF(ISNUMBER(SEARCH("NARANJA",INVENTARIO!C59)),"NAR",
IF(ISNUMBER(SEARCH("NEGRO",INVENTARIO!C59)),"NEG",
IF(ISNUMBER(SEARCH("ROJO",INVENTARIO!C59)),"ROJ",
IF(ISNUMBER(SEARCH("AZUL",INVENTARIO!C59)),"AZU","")))))))))))))</f>
        <v>NEG</v>
      </c>
      <c r="F59" t="str">
        <f>IF(ISNUMBER(SEARCH("ARLON",INVENTARIO!C59)),"ARL",
IF(ISNUMBER(SEARCH("SUNTHINKS",INVENTARIO!C59)),"SUN",
IF(ISNUMBER(SEARCH("FRIO",INVENTARIO!C59)),"FRI",
IF(ISNUMBER(SEARCH("CALIDO",INVENTARIO!C59)),"CAL",
IF(ISNUMBER(SEARCH("CEPILLADO",INVENTARIO!C59)),"CEP",
IF(ISNUMBER(SEARCH("ESPEJO",INVENTARIO!C59)),"ESP",
""))))))</f>
        <v/>
      </c>
      <c r="G59" t="str">
        <f>IF(ISNUMBER(SEARCH("LATEX",INVENTARIO!C59)),"LAT",
IF(ISNUMBER(SEARCH("RESP. NEGRO",INVENTARIO!C59)),"RES-NEG",
IF(ISNUMBER(SEARCH("RESPALDO CAFE",INVENTARIO!C59)),"RES-CAF",
IF(ISNUMBER(SEARCH("RESPALDO GRIS",INVENTARIO!C59)),"RES-GRI",
IF(ISNUMBER(SEARCH("OPTICO",INVENTARIO!C59)),"OPT",
IF(ISNUMBER(SEARCH("1,2 MM",INVENTARIO!C59)),"1MM2",
IF(ISNUMBER(SEARCH("2 MM",INVENTARIO!C59)),"2MM",
IF(ISNUMBER(SEARCH("3 MM",INVENTARIO!C59)),"3MM",
IF(ISNUMBER(SEARCH("4 MM",INVENTARIO!C59)),"4MM",
IF(ISNUMBER(SEARCH("5 MM",INVENTARIO!C59)),"5MM",
IF(ISNUMBER(SEARCH("6 MM",INVENTARIO!C59)),"6MM",
IF(ISNUMBER(SEARCH("9 MM",INVENTARIO!C59)),"9MM",
IF(ISNUMBER(SEARCH("10 MM",INVENTARIO!C59)),"10MM","")))))))))))))</f>
        <v/>
      </c>
      <c r="H59" t="str">
        <f>IF(ISNUMBER(SEARCH("GAMA BAJA",INVENTARIO!C59)),"GAM-BAJ",
IF(ISNUMBER(SEARCH("OPTIMIZADOR",INVENTARIO!C59)),"OPT",
IF(ISNUMBER(SEARCH("OVERCOAT",INVENTARIO!C59)),"OVE",
IF(ISNUMBER(SEARCH("WHITE",INVENTARIO!C59)),"WHI",
IF(ISNUMBER(SEARCH("LIGHT CYAN",INVENTARIO!C59)),"LIG-CYA",
IF(ISNUMBER(SEARCH("CYAN",INVENTARIO!C59)),"CYA",
IF(ISNUMBER(SEARCH("LIGHT MAGENTA",INVENTARIO!C59)),"LIG-MAG",
IF(ISNUMBER(SEARCH("MAGENTA",INVENTARIO!C59)),"MAG",
IF(ISNUMBER(SEARCH("BLACK",INVENTARIO!C59)),"BLA",
IF(ISNUMBER(SEARCH("YELLOW",INVENTARIO!C59)),"YEL",
IF(ISNUMBER(SEARCH("2 DIODOS",INVENTARIO!C59)),"2DI",
IF(ISNUMBER(SEARCH("3 DIODOS",INVENTARIO!C59)),"3DI",
IF(OR(ISNUMBER(SEARCH("TRASLUCIDO",INVENTARIO!C59)),ISNUMBER(SEARCH("TRANSLUCIDO",INVENTARIO!C59))),"TRA",
"")))))))))))))</f>
        <v/>
      </c>
      <c r="I59" t="str">
        <f>IF(ISNUMBER(SEARCH("SILED",INVENTARIO!C64)),"SI",
IF(ISNUMBER(SEARCH("SYDEMEX",INVENTARIO!C64)),"SY",
IF(ISNUMBER(SEARCH("ROHS",INVENTARIO!C64)),"RO",
IF(ISNUMBER(SEARCH("RISHANG",INVENTARIO!C64)),"RS",
IF(ISNUMBER(SEARCH("VYG",INVENTARIO!C64)),"VYG",
IF(ISNUMBER(SEARCH("COLED",INVENTARIO!C64)),"CO",""))))))</f>
        <v/>
      </c>
    </row>
    <row r="60" spans="1:9">
      <c r="A60" t="str">
        <f>IF(ISNUMBER(SEARCH("LONA",INVENTARIO!C60)),"LON",
IF(ISNUMBER(SEARCH("VINIL",INVENTARIO!C60)),"VIN",
IF(ISNUMBER(SEARCH("KROMACOTE",INVENTARIO!C60)),"KRO",
IF(ISNUMBER(SEARCH("STARDREAM",INVENTARIO!C60)),"STA",
IF(ISNUMBER(SEARCH("DISPLAY",INVENTARIO!C60)),"DIS",
IF(ISNUMBER(SEARCH("ROLL UP",INVENTARIO!C60)),"ROL-UP",
IF(ISNUMBER(SEARCH("TRANSFER DE PAPEL",INVENTARIO!C60)),"TRA-PAP",
IF(ISNUMBER(SEARCH("TRANSFER",INVENTARIO!C60)),"TRA",IF(ISNUMBER(SEARCH("KOLA LOKA",INVENTARIO!C60)),"KOL-LOK",
IF(ISNUMBER(SEARCH("PETG",INVENTARIO!C60)),"PET",
IF(ISNUMBER(SEARCH("OJILLO",INVENTARIO!C60)),"OJI",
IF(ISNUMBER(SEARCH("COUCHE",INVENTARIO!C60)),"COU",
IF(ISNUMBER(SEARCH("PANEL DE ALUMINIO",INVENTARIO!C60)),"PAN-ALU",
IF(ISNUMBER(SEARCH("PVC",INVENTARIO!C60)),"PVC",
IF(ISNUMBER(SEARCH("PAPEL",INVENTARIO!C60)),"PAP",
IF(ISNUMBER(SEARCH("TELA",INVENTARIO!C60)),"TEL",
IF(ISNUMBER(SEARCH("CARTULINA",INVENTARIO!C60)),"CAR",
IF(OR(ISNUMBER(SEARCH("LAMINA",INVENTARIO!C60)),ISNUMBER(SEARCH("LÁMINA",INVENTARIO!C60)),ISNUMBER(SEARCH("LAMPARAS",INVENTARIO!C60))),"LAM",
IF(ISNUMBER(SEARCH("ESTIRENO",INVENTARIO!C60)),"EST",
IF(ISNUMBER(SEARCH("FOAMBOARD",INVENTARIO!C60)),"FOA",
IF(ISNUMBER(SEARCH("SOLVENTE",INVENTARIO!C60)),"SOL",
IF(ISNUMBER(SEARCH("TINTA",INVENTARIO!C60)),"TIN",
IF(ISNUMBER(SEARCH("ACRILICO",INVENTARIO!C60)),"ACR",
IF(ISNUMBER(SEARCH("MICROLED",INVENTARIO!C60)),"MIC",
IF(ISNUMBER(SEARCH("LED",INVENTARIO!C60)),"LED",
IF(ISNUMBER(SEARCH("FUENTE DE PODER",INVENTARIO!C60)),"FUE-POD",
IF(ISNUMBER(SEARCH("PETG",INVENTARIO!C60)),"PET",
IF(ISNUMBER(SEARCH("ALUMINIO",INVENTARIO!C60)),"ALU",
IF(ISNUMBER(SEARCH("CANAL",INVENTARIO!C60)),"CAN",
IF(ISNUMBER(SEARCH("ESCUADRA",INVENTARIO!C60)),"ESC",
IF(ISNUMBER(SEARCH("SOPORTE",INVENTARIO!C60)),"SOP","OTR")
))))))))))))))))))))))))))))))</f>
        <v>VIN</v>
      </c>
      <c r="B60" t="str">
        <f>IF(ISNUMBER(SEARCH("CORTE",INVENTARIO!C60)),"COR",
IF(ISNUMBER(SEARCH("CITYLIGHT",INVENTARIO!C60)),"CIT",
IF(ISNUMBER(SEARCH("LINO",INVENTARIO!C60)),"LIN",
IF(ISNUMBER(SEARCH("FABRIANO",INVENTARIO!C60)),"FAB",
IF(ISNUMBER(SEARCH("SUNDANCE",INVENTARIO!C60)),"SUN",
IF(ISNUMBER(SEARCH("SINTETICA",INVENTARIO!C60)),"SIN",
IF(ISNUMBER(SEARCH("CONTROL",INVENTARIO!C60)),"CON",
IF(ISNUMBER(SEARCH("TERMICO",INVENTARIO!C60)),"TER",
IF(ISNUMBER(SEARCH("C-15",INVENTARIO!C60)),"C15",
IF(ISNUMBER(SEARCH("C-20",INVENTARIO!C60)),"C20",
IF(ISNUMBER(SEARCH("C-30",INVENTARIO!C60)),"C30",
IF(ISNUMBER(SEARCH("C-40",INVENTARIO!C60)),"C40",
IF(ISNUMBER(SEARCH("C-60",INVENTARIO!C60)),"C60",
IF(ISNUMBER(SEARCH("C-80",INVENTARIO!C60)),"C80",
IF(ISNUMBER(SEARCH("EQUIPO",INVENTARIO!C60)),"EQU",
IF(ISNUMBER(SEARCH("FLOOR",INVENTARIO!C60)),"FLO",
IF(ISNUMBER(SEARCH("CRISTAL",INVENTARIO!C60)),"CRI",
IF(ISNUMBER(SEARCH(" SULFATADA",INVENTARIO!C71)),"SUL",
IF(ISNUMBER(SEARCH("OPALINA",INVENTARIO!C60)),"OPA",
IF(ISNUMBER(SEARCH("ADHERIBLE",INVENTARIO!C60)),"ADH",
IF(ISNUMBER(SEARCH("MICRO",INVENTARIO!C60)),"MIC","")))))))))))))))))))))</f>
        <v>C30</v>
      </c>
      <c r="C60" t="str">
        <f>IF(ISNUMBER(SEARCH("PARED",INVENTARIO!C60)),"PAR",
IF(ISNUMBER(SEARCH("FRONT",INVENTARIO!C60)),"FRO",
IF(ISNUMBER(SEARCH("ALTA RESISTENCIA",INVENTARIO!C60)),
"ALT-RES",IF(ISNUMBER(SEARCH("BACKLITE",INVENTARIO!C60)),"BAC",
IF(ISNUMBER(SEARCH("MATE",INVENTARIO!C60)),"MAT",
IF(ISNUMBER(SEARCH("MESH",INVENTARIO!C60)),"MES",
IF(ISNUMBER(SEARCH("BRILLANTE",INVENTARIO!C60)),"BRI",
IF(ISNUMBER(SEARCH("DELGADA",INVENTARIO!C60)),"DEL",
IF(ISNUMBER(SEARCH("GRUESA",INVENTARIO!C60)),"GRU",
IF(ISNUMBER(SEARCH("ESTATICO",INVENTARIO!C60)),"EST",
IF(ISNUMBER(SEARCH("REFLECTIVO",INVENTARIO!C60)),"REF",
IF(ISNUMBER(SEARCH("LX700",INVENTARIO!C60)),"LX7",
IF(ISNUMBER(SEARCH("GRANDO",INVENTARIO!C60)),"GRA",
IF(ISNUMBER(SEARCH("FB700",INVENTARIO!C60)),"FB7",
IF(ISNUMBER(SEARCH("LX360",INVENTARIO!C60)),"LX3",
IF(ISNUMBER(SEARCH("XEROX",INVENTARIO!C60)),"XER",
IF(ISNUMBER(SEARCH("CEPILLADO",INVENTARIO!C60)),"CEP",
IF(ISNUMBER(SEARCH("ESPEJO",INVENTARIO!C60)),"ESP",
IF(ISNUMBER(SEARCH("10 PTS",INVENTARIO!C60)),"10PT",
IF(ISNUMBER(SEARCH("12 PTS",INVENTARIO!C60)),"12PT",
IF(ISNUMBER(SEARCH("14 PTS",INVENTARIO!C60)),"14PT",
IF(ISNUMBER(SEARCH("CLASICO",INVENTARIO!C60)),"CLA",
""))))))))))))))))))))))</f>
        <v/>
      </c>
      <c r="D60" t="str">
        <f>IF(ISNUMBER(SEARCH("GRAN FORMATO",INVENTARIO!C60)),"GRA-FOR",
IF(ISNUMBER(SEARCH("CAMA PLANA",INVENTARIO!C60)),"CAM-PLA",
IF(ISNUMBER(SEARCH("GRADO INGENIERIA",INVENTARIO!C60)),"GRA-ING",
IF(ISNUMBER(SEARCH("130 GRS",INVENTARIO!C60)),"130GR",
IF(ISNUMBER(SEARCH("150 GRS",INVENTARIO!C60)),"150GR",
IF(ISNUMBER(SEARCH("185 GRS",INVENTARIO!C60)),"185GR",
IF(ISNUMBER(SEARCH("200 GRS",INVENTARIO!C60)),"200GR",
IF(ISNUMBER(SEARCH("250 GRS",INVENTARIO!C60)),"250GR",
IF(ISNUMBER(SEARCH("300 GRS",INVENTARIO!C60)),"300GR",
IF(ISNUMBER(SEARCH("350 GRS",INVENTARIO!C60)),"350GR",
IF(ISNUMBER(SEARCH("18 OZ",INVENTARIO!C60)),"18OZ",
IF(ISNUMBER(SEARCH("15 OZ",INVENTARIO!C60)),"15OZ",
IF(OR(ISNUMBER(SEARCH("13 OZ",INVENTARIO!C60)),ISNUMBER(SEARCH("13 ONZAS",INVENTARIO!C60))),"13OZ",
IF(OR(ISNUMBER(SEARCH("9 OZ",INVENTARIO!C60)),ISNUMBER(SEARCH("9 ONZAS",INVENTARIO!C60))),"09OZ",
IF(ISNUMBER(SEARCH("DOBLE CARA",INVENTARIO!C60)),"DOB-CAR",
"")))))))))))))))</f>
        <v/>
      </c>
      <c r="E60" t="str">
        <f>IF(OR(ISNUMBER(SEARCH("TRANSPARENTE",INVENTARIO!C60)),ISNUMBER(SEARCH("TRANSPARENTES",INVENTARIO!C60))),"TRA",
IF(OR(ISNUMBER(SEARCH("BLANCO",INVENTARIO!C60)),ISNUMBER(SEARCH("BCO",INVENTARIO!C60))),"BLA",
IF(ISNUMBER(SEARCH("FOTOGRAFICO",INVENTARIO!C60)),"FOT",
IF(ISNUMBER(SEARCH("MARFIL",INVENTARIO!C60)),"MAR",
IF(ISNUMBER(SEARCH("VERDE",INVENTARIO!C60)),"VER",
IF(ISNUMBER(SEARCH("MORADO",INVENTARIO!C60)),"MOR",
IF(ISNUMBER(SEARCH("PLATA",INVENTARIO!C60)),"PLA",
IF(ISNUMBER(SEARCH("ORO",INVENTARIO!C60)),"ORO",
IF(ISNUMBER(SEARCH("AMARILLO",INVENTARIO!C60)),"AMA",
IF(ISNUMBER(SEARCH("NARANJA",INVENTARIO!C60)),"NAR",
IF(ISNUMBER(SEARCH("NEGRO",INVENTARIO!C60)),"NEG",
IF(ISNUMBER(SEARCH("ROJO",INVENTARIO!C60)),"ROJ",
IF(ISNUMBER(SEARCH("AZUL",INVENTARIO!C60)),"AZU","")))))))))))))</f>
        <v/>
      </c>
      <c r="F60" t="str">
        <f>IF(ISNUMBER(SEARCH("ARLON",INVENTARIO!C60)),"ARL",
IF(ISNUMBER(SEARCH("SUNTHINKS",INVENTARIO!C60)),"SUN",
IF(ISNUMBER(SEARCH("FRIO",INVENTARIO!C60)),"FRI",
IF(ISNUMBER(SEARCH("CALIDO",INVENTARIO!C60)),"CAL",
IF(ISNUMBER(SEARCH("CEPILLADO",INVENTARIO!C60)),"CEP",
IF(ISNUMBER(SEARCH("ESPEJO",INVENTARIO!C60)),"ESP",
""))))))</f>
        <v/>
      </c>
      <c r="G60" t="str">
        <f>IF(ISNUMBER(SEARCH("LATEX",INVENTARIO!C60)),"LAT",
IF(ISNUMBER(SEARCH("RESP. NEGRO",INVENTARIO!C60)),"RES-NEG",
IF(ISNUMBER(SEARCH("RESPALDO CAFE",INVENTARIO!C60)),"RES-CAF",
IF(ISNUMBER(SEARCH("RESPALDO GRIS",INVENTARIO!C60)),"RES-GRI",
IF(ISNUMBER(SEARCH("OPTICO",INVENTARIO!C60)),"OPT",
IF(ISNUMBER(SEARCH("1,2 MM",INVENTARIO!C60)),"1MM2",
IF(ISNUMBER(SEARCH("2 MM",INVENTARIO!C60)),"2MM",
IF(ISNUMBER(SEARCH("3 MM",INVENTARIO!C60)),"3MM",
IF(ISNUMBER(SEARCH("4 MM",INVENTARIO!C60)),"4MM",
IF(ISNUMBER(SEARCH("5 MM",INVENTARIO!C60)),"5MM",
IF(ISNUMBER(SEARCH("6 MM",INVENTARIO!C60)),"6MM",
IF(ISNUMBER(SEARCH("9 MM",INVENTARIO!C60)),"9MM",
IF(ISNUMBER(SEARCH("10 MM",INVENTARIO!C60)),"10MM","")))))))))))))</f>
        <v/>
      </c>
      <c r="H60" t="str">
        <f>IF(ISNUMBER(SEARCH("GAMA BAJA",INVENTARIO!C60)),"GAM-BAJ",
IF(ISNUMBER(SEARCH("OPTIMIZADOR",INVENTARIO!C60)),"OPT",
IF(ISNUMBER(SEARCH("OVERCOAT",INVENTARIO!C60)),"OVE",
IF(ISNUMBER(SEARCH("WHITE",INVENTARIO!C60)),"WHI",
IF(ISNUMBER(SEARCH("LIGHT CYAN",INVENTARIO!C60)),"LIG-CYA",
IF(ISNUMBER(SEARCH("CYAN",INVENTARIO!C60)),"CYA",
IF(ISNUMBER(SEARCH("LIGHT MAGENTA",INVENTARIO!C60)),"LIG-MAG",
IF(ISNUMBER(SEARCH("MAGENTA",INVENTARIO!C60)),"MAG",
IF(ISNUMBER(SEARCH("BLACK",INVENTARIO!C60)),"BLA",
IF(ISNUMBER(SEARCH("YELLOW",INVENTARIO!C60)),"YEL",
IF(ISNUMBER(SEARCH("2 DIODOS",INVENTARIO!C60)),"2DI",
IF(ISNUMBER(SEARCH("3 DIODOS",INVENTARIO!C60)),"3DI",
IF(OR(ISNUMBER(SEARCH("TRASLUCIDO",INVENTARIO!C60)),ISNUMBER(SEARCH("TRANSLUCIDO",INVENTARIO!C60))),"TRA",
"")))))))))))))</f>
        <v/>
      </c>
      <c r="I60" t="str">
        <f>IF(ISNUMBER(SEARCH("SILED",INVENTARIO!C65)),"SI",
IF(ISNUMBER(SEARCH("SYDEMEX",INVENTARIO!C65)),"SY",
IF(ISNUMBER(SEARCH("ROHS",INVENTARIO!C65)),"RO",
IF(ISNUMBER(SEARCH("RISHANG",INVENTARIO!C65)),"RS",
IF(ISNUMBER(SEARCH("VYG",INVENTARIO!C65)),"VYG",
IF(ISNUMBER(SEARCH("COLED",INVENTARIO!C65)),"CO",""))))))</f>
        <v/>
      </c>
    </row>
    <row r="61" spans="1:9">
      <c r="A61" t="str">
        <f>IF(ISNUMBER(SEARCH("LONA",INVENTARIO!C61)),"LON",
IF(ISNUMBER(SEARCH("VINIL",INVENTARIO!C61)),"VIN",
IF(ISNUMBER(SEARCH("KROMACOTE",INVENTARIO!C61)),"KRO",
IF(ISNUMBER(SEARCH("STARDREAM",INVENTARIO!C61)),"STA",
IF(ISNUMBER(SEARCH("DISPLAY",INVENTARIO!C61)),"DIS",
IF(ISNUMBER(SEARCH("ROLL UP",INVENTARIO!C61)),"ROL-UP",
IF(ISNUMBER(SEARCH("TRANSFER DE PAPEL",INVENTARIO!C61)),"TRA-PAP",
IF(ISNUMBER(SEARCH("TRANSFER",INVENTARIO!C61)),"TRA",IF(ISNUMBER(SEARCH("KOLA LOKA",INVENTARIO!C61)),"KOL-LOK",
IF(ISNUMBER(SEARCH("PETG",INVENTARIO!C61)),"PET",
IF(ISNUMBER(SEARCH("OJILLO",INVENTARIO!C61)),"OJI",
IF(ISNUMBER(SEARCH("COUCHE",INVENTARIO!C61)),"COU",
IF(ISNUMBER(SEARCH("PANEL DE ALUMINIO",INVENTARIO!C61)),"PAN-ALU",
IF(ISNUMBER(SEARCH("PVC",INVENTARIO!C61)),"PVC",
IF(ISNUMBER(SEARCH("PAPEL",INVENTARIO!C61)),"PAP",
IF(ISNUMBER(SEARCH("TELA",INVENTARIO!C61)),"TEL",
IF(ISNUMBER(SEARCH("CARTULINA",INVENTARIO!C61)),"CAR",
IF(OR(ISNUMBER(SEARCH("LAMINA",INVENTARIO!C61)),ISNUMBER(SEARCH("LÁMINA",INVENTARIO!C61)),ISNUMBER(SEARCH("LAMPARAS",INVENTARIO!C61))),"LAM",
IF(ISNUMBER(SEARCH("ESTIRENO",INVENTARIO!C61)),"EST",
IF(ISNUMBER(SEARCH("FOAMBOARD",INVENTARIO!C61)),"FOA",
IF(ISNUMBER(SEARCH("SOLVENTE",INVENTARIO!C61)),"SOL",
IF(ISNUMBER(SEARCH("TINTA",INVENTARIO!C61)),"TIN",
IF(ISNUMBER(SEARCH("ACRILICO",INVENTARIO!C61)),"ACR",
IF(ISNUMBER(SEARCH("MICROLED",INVENTARIO!C61)),"MIC",
IF(ISNUMBER(SEARCH("LED",INVENTARIO!C61)),"LED",
IF(ISNUMBER(SEARCH("FUENTE DE PODER",INVENTARIO!C61)),"FUE-POD",
IF(ISNUMBER(SEARCH("PETG",INVENTARIO!C61)),"PET",
IF(ISNUMBER(SEARCH("ALUMINIO",INVENTARIO!C61)),"ALU",
IF(ISNUMBER(SEARCH("CANAL",INVENTARIO!C61)),"CAN",
IF(ISNUMBER(SEARCH("ESCUADRA",INVENTARIO!C61)),"ESC",
IF(ISNUMBER(SEARCH("SOPORTE",INVENTARIO!C61)),"SOP","OTR")
))))))))))))))))))))))))))))))</f>
        <v>VIN</v>
      </c>
      <c r="B61" t="str">
        <f>IF(ISNUMBER(SEARCH("CORTE",INVENTARIO!C61)),"COR",
IF(ISNUMBER(SEARCH("CITYLIGHT",INVENTARIO!C61)),"CIT",
IF(ISNUMBER(SEARCH("LINO",INVENTARIO!C61)),"LIN",
IF(ISNUMBER(SEARCH("FABRIANO",INVENTARIO!C61)),"FAB",
IF(ISNUMBER(SEARCH("SUNDANCE",INVENTARIO!C61)),"SUN",
IF(ISNUMBER(SEARCH("SINTETICA",INVENTARIO!C61)),"SIN",
IF(ISNUMBER(SEARCH("CONTROL",INVENTARIO!C61)),"CON",
IF(ISNUMBER(SEARCH("TERMICO",INVENTARIO!C61)),"TER",
IF(ISNUMBER(SEARCH("C-15",INVENTARIO!C61)),"C15",
IF(ISNUMBER(SEARCH("C-20",INVENTARIO!C61)),"C20",
IF(ISNUMBER(SEARCH("C-30",INVENTARIO!C61)),"C30",
IF(ISNUMBER(SEARCH("C-40",INVENTARIO!C61)),"C40",
IF(ISNUMBER(SEARCH("C-60",INVENTARIO!C61)),"C60",
IF(ISNUMBER(SEARCH("C-80",INVENTARIO!C61)),"C80",
IF(ISNUMBER(SEARCH("EQUIPO",INVENTARIO!C61)),"EQU",
IF(ISNUMBER(SEARCH("FLOOR",INVENTARIO!C61)),"FLO",
IF(ISNUMBER(SEARCH("CRISTAL",INVENTARIO!C61)),"CRI",
IF(ISNUMBER(SEARCH(" SULFATADA",INVENTARIO!C72)),"SUL",
IF(ISNUMBER(SEARCH("OPALINA",INVENTARIO!C61)),"OPA",
IF(ISNUMBER(SEARCH("ADHERIBLE",INVENTARIO!C61)),"ADH",
IF(ISNUMBER(SEARCH("MICRO",INVENTARIO!C61)),"MIC","")))))))))))))))))))))</f>
        <v/>
      </c>
      <c r="C61" t="str">
        <f>IF(ISNUMBER(SEARCH("PARED",INVENTARIO!C61)),"PAR",
IF(ISNUMBER(SEARCH("FRONT",INVENTARIO!C61)),"FRO",
IF(ISNUMBER(SEARCH("ALTA RESISTENCIA",INVENTARIO!C61)),
"ALT-RES",IF(ISNUMBER(SEARCH("BACKLITE",INVENTARIO!C61)),"BAC",
IF(ISNUMBER(SEARCH("MATE",INVENTARIO!C61)),"MAT",
IF(ISNUMBER(SEARCH("MESH",INVENTARIO!C61)),"MES",
IF(ISNUMBER(SEARCH("BRILLANTE",INVENTARIO!C61)),"BRI",
IF(ISNUMBER(SEARCH("DELGADA",INVENTARIO!C61)),"DEL",
IF(ISNUMBER(SEARCH("GRUESA",INVENTARIO!C61)),"GRU",
IF(ISNUMBER(SEARCH("ESTATICO",INVENTARIO!C61)),"EST",
IF(ISNUMBER(SEARCH("REFLECTIVO",INVENTARIO!C61)),"REF",
IF(ISNUMBER(SEARCH("LX700",INVENTARIO!C61)),"LX7",
IF(ISNUMBER(SEARCH("GRANDO",INVENTARIO!C61)),"GRA",
IF(ISNUMBER(SEARCH("FB700",INVENTARIO!C61)),"FB7",
IF(ISNUMBER(SEARCH("LX360",INVENTARIO!C61)),"LX3",
IF(ISNUMBER(SEARCH("XEROX",INVENTARIO!C61)),"XER",
IF(ISNUMBER(SEARCH("CEPILLADO",INVENTARIO!C61)),"CEP",
IF(ISNUMBER(SEARCH("ESPEJO",INVENTARIO!C61)),"ESP",
IF(ISNUMBER(SEARCH("10 PTS",INVENTARIO!C61)),"10PT",
IF(ISNUMBER(SEARCH("12 PTS",INVENTARIO!C61)),"12PT",
IF(ISNUMBER(SEARCH("14 PTS",INVENTARIO!C61)),"14PT",
IF(ISNUMBER(SEARCH("CLASICO",INVENTARIO!C61)),"CLA",
""))))))))))))))))))))))</f>
        <v>BRI</v>
      </c>
      <c r="D61" t="str">
        <f>IF(ISNUMBER(SEARCH("GRAN FORMATO",INVENTARIO!C61)),"GRA-FOR",
IF(ISNUMBER(SEARCH("CAMA PLANA",INVENTARIO!C61)),"CAM-PLA",
IF(ISNUMBER(SEARCH("GRADO INGENIERIA",INVENTARIO!C61)),"GRA-ING",
IF(ISNUMBER(SEARCH("130 GRS",INVENTARIO!C61)),"130GR",
IF(ISNUMBER(SEARCH("150 GRS",INVENTARIO!C61)),"150GR",
IF(ISNUMBER(SEARCH("185 GRS",INVENTARIO!C61)),"185GR",
IF(ISNUMBER(SEARCH("200 GRS",INVENTARIO!C61)),"200GR",
IF(ISNUMBER(SEARCH("250 GRS",INVENTARIO!C61)),"250GR",
IF(ISNUMBER(SEARCH("300 GRS",INVENTARIO!C61)),"300GR",
IF(ISNUMBER(SEARCH("350 GRS",INVENTARIO!C61)),"350GR",
IF(ISNUMBER(SEARCH("18 OZ",INVENTARIO!C61)),"18OZ",
IF(ISNUMBER(SEARCH("15 OZ",INVENTARIO!C61)),"15OZ",
IF(OR(ISNUMBER(SEARCH("13 OZ",INVENTARIO!C61)),ISNUMBER(SEARCH("13 ONZAS",INVENTARIO!C61))),"13OZ",
IF(OR(ISNUMBER(SEARCH("9 OZ",INVENTARIO!C61)),ISNUMBER(SEARCH("9 ONZAS",INVENTARIO!C61))),"09OZ",
IF(ISNUMBER(SEARCH("DOBLE CARA",INVENTARIO!C61)),"DOB-CAR",
"")))))))))))))))</f>
        <v/>
      </c>
      <c r="E61" t="str">
        <f>IF(OR(ISNUMBER(SEARCH("TRANSPARENTE",INVENTARIO!C61)),ISNUMBER(SEARCH("TRANSPARENTES",INVENTARIO!C61))),"TRA",
IF(OR(ISNUMBER(SEARCH("BLANCO",INVENTARIO!C61)),ISNUMBER(SEARCH("BCO",INVENTARIO!C61))),"BLA",
IF(ISNUMBER(SEARCH("FOTOGRAFICO",INVENTARIO!C61)),"FOT",
IF(ISNUMBER(SEARCH("MARFIL",INVENTARIO!C61)),"MAR",
IF(ISNUMBER(SEARCH("VERDE",INVENTARIO!C61)),"VER",
IF(ISNUMBER(SEARCH("MORADO",INVENTARIO!C61)),"MOR",
IF(ISNUMBER(SEARCH("PLATA",INVENTARIO!C61)),"PLA",
IF(ISNUMBER(SEARCH("ORO",INVENTARIO!C61)),"ORO",
IF(ISNUMBER(SEARCH("AMARILLO",INVENTARIO!C61)),"AMA",
IF(ISNUMBER(SEARCH("NARANJA",INVENTARIO!C61)),"NAR",
IF(ISNUMBER(SEARCH("NEGRO",INVENTARIO!C61)),"NEG",
IF(ISNUMBER(SEARCH("ROJO",INVENTARIO!C61)),"ROJ",
IF(ISNUMBER(SEARCH("AZUL",INVENTARIO!C61)),"AZU","")))))))))))))</f>
        <v>BLA</v>
      </c>
      <c r="F61" t="str">
        <f>IF(ISNUMBER(SEARCH("ARLON",INVENTARIO!C61)),"ARL",
IF(ISNUMBER(SEARCH("SUNTHINKS",INVENTARIO!C61)),"SUN",
IF(ISNUMBER(SEARCH("FRIO",INVENTARIO!C61)),"FRI",
IF(ISNUMBER(SEARCH("CALIDO",INVENTARIO!C61)),"CAL",
IF(ISNUMBER(SEARCH("CEPILLADO",INVENTARIO!C61)),"CEP",
IF(ISNUMBER(SEARCH("ESPEJO",INVENTARIO!C61)),"ESP",
""))))))</f>
        <v/>
      </c>
      <c r="G61" t="str">
        <f>IF(ISNUMBER(SEARCH("LATEX",INVENTARIO!C61)),"LAT",
IF(ISNUMBER(SEARCH("RESP. NEGRO",INVENTARIO!C61)),"RES-NEG",
IF(ISNUMBER(SEARCH("RESPALDO CAFE",INVENTARIO!C61)),"RES-CAF",
IF(ISNUMBER(SEARCH("RESPALDO GRIS",INVENTARIO!C61)),"RES-GRI",
IF(ISNUMBER(SEARCH("OPTICO",INVENTARIO!C61)),"OPT",
IF(ISNUMBER(SEARCH("1,2 MM",INVENTARIO!C61)),"1MM2",
IF(ISNUMBER(SEARCH("2 MM",INVENTARIO!C61)),"2MM",
IF(ISNUMBER(SEARCH("3 MM",INVENTARIO!C61)),"3MM",
IF(ISNUMBER(SEARCH("4 MM",INVENTARIO!C61)),"4MM",
IF(ISNUMBER(SEARCH("5 MM",INVENTARIO!C61)),"5MM",
IF(ISNUMBER(SEARCH("6 MM",INVENTARIO!C61)),"6MM",
IF(ISNUMBER(SEARCH("9 MM",INVENTARIO!C61)),"9MM",
IF(ISNUMBER(SEARCH("10 MM",INVENTARIO!C61)),"10MM","")))))))))))))</f>
        <v/>
      </c>
      <c r="H61" t="str">
        <f>IF(ISNUMBER(SEARCH("GAMA BAJA",INVENTARIO!C61)),"GAM-BAJ",
IF(ISNUMBER(SEARCH("OPTIMIZADOR",INVENTARIO!C61)),"OPT",
IF(ISNUMBER(SEARCH("OVERCOAT",INVENTARIO!C61)),"OVE",
IF(ISNUMBER(SEARCH("WHITE",INVENTARIO!C61)),"WHI",
IF(ISNUMBER(SEARCH("LIGHT CYAN",INVENTARIO!C61)),"LIG-CYA",
IF(ISNUMBER(SEARCH("CYAN",INVENTARIO!C61)),"CYA",
IF(ISNUMBER(SEARCH("LIGHT MAGENTA",INVENTARIO!C61)),"LIG-MAG",
IF(ISNUMBER(SEARCH("MAGENTA",INVENTARIO!C61)),"MAG",
IF(ISNUMBER(SEARCH("BLACK",INVENTARIO!C61)),"BLA",
IF(ISNUMBER(SEARCH("YELLOW",INVENTARIO!C61)),"YEL",
IF(ISNUMBER(SEARCH("2 DIODOS",INVENTARIO!C61)),"2DI",
IF(ISNUMBER(SEARCH("3 DIODOS",INVENTARIO!C61)),"3DI",
IF(OR(ISNUMBER(SEARCH("TRASLUCIDO",INVENTARIO!C61)),ISNUMBER(SEARCH("TRANSLUCIDO",INVENTARIO!C61))),"TRA",
"")))))))))))))</f>
        <v/>
      </c>
      <c r="I61" t="str">
        <f>IF(ISNUMBER(SEARCH("SILED",INVENTARIO!C66)),"SI",
IF(ISNUMBER(SEARCH("SYDEMEX",INVENTARIO!C66)),"SY",
IF(ISNUMBER(SEARCH("ROHS",INVENTARIO!C66)),"RO",
IF(ISNUMBER(SEARCH("RISHANG",INVENTARIO!C66)),"RS",
IF(ISNUMBER(SEARCH("VYG",INVENTARIO!C66)),"VYG",
IF(ISNUMBER(SEARCH("COLED",INVENTARIO!C66)),"CO",""))))))</f>
        <v/>
      </c>
    </row>
    <row r="62" spans="1:9">
      <c r="A62" t="str">
        <f>IF(ISNUMBER(SEARCH("LONA",INVENTARIO!C62)),"LON",
IF(ISNUMBER(SEARCH("VINIL",INVENTARIO!C62)),"VIN",
IF(ISNUMBER(SEARCH("KROMACOTE",INVENTARIO!C62)),"KRO",
IF(ISNUMBER(SEARCH("STARDREAM",INVENTARIO!C62)),"STA",
IF(ISNUMBER(SEARCH("DISPLAY",INVENTARIO!C62)),"DIS",
IF(ISNUMBER(SEARCH("ROLL UP",INVENTARIO!C62)),"ROL-UP",
IF(ISNUMBER(SEARCH("TRANSFER DE PAPEL",INVENTARIO!C62)),"TRA-PAP",
IF(ISNUMBER(SEARCH("TRANSFER",INVENTARIO!C62)),"TRA",IF(ISNUMBER(SEARCH("KOLA LOKA",INVENTARIO!C62)),"KOL-LOK",
IF(ISNUMBER(SEARCH("PETG",INVENTARIO!C62)),"PET",
IF(ISNUMBER(SEARCH("OJILLO",INVENTARIO!C62)),"OJI",
IF(ISNUMBER(SEARCH("COUCHE",INVENTARIO!C62)),"COU",
IF(ISNUMBER(SEARCH("PANEL DE ALUMINIO",INVENTARIO!C62)),"PAN-ALU",
IF(ISNUMBER(SEARCH("PVC",INVENTARIO!C62)),"PVC",
IF(ISNUMBER(SEARCH("PAPEL",INVENTARIO!C62)),"PAP",
IF(ISNUMBER(SEARCH("TELA",INVENTARIO!C62)),"TEL",
IF(ISNUMBER(SEARCH("CARTULINA",INVENTARIO!C62)),"CAR",
IF(OR(ISNUMBER(SEARCH("LAMINA",INVENTARIO!C62)),ISNUMBER(SEARCH("LÁMINA",INVENTARIO!C62)),ISNUMBER(SEARCH("LAMPARAS",INVENTARIO!C62))),"LAM",
IF(ISNUMBER(SEARCH("ESTIRENO",INVENTARIO!C62)),"EST",
IF(ISNUMBER(SEARCH("FOAMBOARD",INVENTARIO!C62)),"FOA",
IF(ISNUMBER(SEARCH("SOLVENTE",INVENTARIO!C62)),"SOL",
IF(ISNUMBER(SEARCH("TINTA",INVENTARIO!C62)),"TIN",
IF(ISNUMBER(SEARCH("ACRILICO",INVENTARIO!C62)),"ACR",
IF(ISNUMBER(SEARCH("MICROLED",INVENTARIO!C62)),"MIC",
IF(ISNUMBER(SEARCH("LED",INVENTARIO!C62)),"LED",
IF(ISNUMBER(SEARCH("FUENTE DE PODER",INVENTARIO!C62)),"FUE-POD",
IF(ISNUMBER(SEARCH("PETG",INVENTARIO!C62)),"PET",
IF(ISNUMBER(SEARCH("ALUMINIO",INVENTARIO!C62)),"ALU",
IF(ISNUMBER(SEARCH("CANAL",INVENTARIO!C62)),"CAN",
IF(ISNUMBER(SEARCH("ESCUADRA",INVENTARIO!C62)),"ESC",
IF(ISNUMBER(SEARCH("SOPORTE",INVENTARIO!C62)),"SOP","OTR")
))))))))))))))))))))))))))))))</f>
        <v>VIN</v>
      </c>
      <c r="B62" t="str">
        <f>IF(ISNUMBER(SEARCH("CORTE",INVENTARIO!C62)),"COR",
IF(ISNUMBER(SEARCH("CITYLIGHT",INVENTARIO!C62)),"CIT",
IF(ISNUMBER(SEARCH("LINO",INVENTARIO!C62)),"LIN",
IF(ISNUMBER(SEARCH("FABRIANO",INVENTARIO!C62)),"FAB",
IF(ISNUMBER(SEARCH("SUNDANCE",INVENTARIO!C62)),"SUN",
IF(ISNUMBER(SEARCH("SINTETICA",INVENTARIO!C62)),"SIN",
IF(ISNUMBER(SEARCH("CONTROL",INVENTARIO!C62)),"CON",
IF(ISNUMBER(SEARCH("TERMICO",INVENTARIO!C62)),"TER",
IF(ISNUMBER(SEARCH("C-15",INVENTARIO!C62)),"C15",
IF(ISNUMBER(SEARCH("C-20",INVENTARIO!C62)),"C20",
IF(ISNUMBER(SEARCH("C-30",INVENTARIO!C62)),"C30",
IF(ISNUMBER(SEARCH("C-40",INVENTARIO!C62)),"C40",
IF(ISNUMBER(SEARCH("C-60",INVENTARIO!C62)),"C60",
IF(ISNUMBER(SEARCH("C-80",INVENTARIO!C62)),"C80",
IF(ISNUMBER(SEARCH("EQUIPO",INVENTARIO!C62)),"EQU",
IF(ISNUMBER(SEARCH("FLOOR",INVENTARIO!C62)),"FLO",
IF(ISNUMBER(SEARCH("CRISTAL",INVENTARIO!C62)),"CRI",
IF(ISNUMBER(SEARCH(" SULFATADA",INVENTARIO!C73)),"SUL",
IF(ISNUMBER(SEARCH("OPALINA",INVENTARIO!C62)),"OPA",
IF(ISNUMBER(SEARCH("ADHERIBLE",INVENTARIO!C62)),"ADH",
IF(ISNUMBER(SEARCH("MICRO",INVENTARIO!C62)),"MIC","")))))))))))))))))))))</f>
        <v/>
      </c>
      <c r="C62" t="str">
        <f>IF(ISNUMBER(SEARCH("PARED",INVENTARIO!C62)),"PAR",
IF(ISNUMBER(SEARCH("FRONT",INVENTARIO!C62)),"FRO",
IF(ISNUMBER(SEARCH("ALTA RESISTENCIA",INVENTARIO!C62)),
"ALT-RES",IF(ISNUMBER(SEARCH("BACKLITE",INVENTARIO!C62)),"BAC",
IF(ISNUMBER(SEARCH("MATE",INVENTARIO!C62)),"MAT",
IF(ISNUMBER(SEARCH("MESH",INVENTARIO!C62)),"MES",
IF(ISNUMBER(SEARCH("BRILLANTE",INVENTARIO!C62)),"BRI",
IF(ISNUMBER(SEARCH("DELGADA",INVENTARIO!C62)),"DEL",
IF(ISNUMBER(SEARCH("GRUESA",INVENTARIO!C62)),"GRU",
IF(ISNUMBER(SEARCH("ESTATICO",INVENTARIO!C62)),"EST",
IF(ISNUMBER(SEARCH("REFLECTIVO",INVENTARIO!C62)),"REF",
IF(ISNUMBER(SEARCH("LX700",INVENTARIO!C62)),"LX7",
IF(ISNUMBER(SEARCH("GRANDO",INVENTARIO!C62)),"GRA",
IF(ISNUMBER(SEARCH("FB700",INVENTARIO!C62)),"FB7",
IF(ISNUMBER(SEARCH("LX360",INVENTARIO!C62)),"LX3",
IF(ISNUMBER(SEARCH("XEROX",INVENTARIO!C62)),"XER",
IF(ISNUMBER(SEARCH("CEPILLADO",INVENTARIO!C62)),"CEP",
IF(ISNUMBER(SEARCH("ESPEJO",INVENTARIO!C62)),"ESP",
IF(ISNUMBER(SEARCH("10 PTS",INVENTARIO!C62)),"10PT",
IF(ISNUMBER(SEARCH("12 PTS",INVENTARIO!C62)),"12PT",
IF(ISNUMBER(SEARCH("14 PTS",INVENTARIO!C62)),"14PT",
IF(ISNUMBER(SEARCH("CLASICO",INVENTARIO!C62)),"CLA",
""))))))))))))))))))))))</f>
        <v>MAT</v>
      </c>
      <c r="D62" t="str">
        <f>IF(ISNUMBER(SEARCH("GRAN FORMATO",INVENTARIO!C62)),"GRA-FOR",
IF(ISNUMBER(SEARCH("CAMA PLANA",INVENTARIO!C62)),"CAM-PLA",
IF(ISNUMBER(SEARCH("GRADO INGENIERIA",INVENTARIO!C62)),"GRA-ING",
IF(ISNUMBER(SEARCH("130 GRS",INVENTARIO!C62)),"130GR",
IF(ISNUMBER(SEARCH("150 GRS",INVENTARIO!C62)),"150GR",
IF(ISNUMBER(SEARCH("185 GRS",INVENTARIO!C62)),"185GR",
IF(ISNUMBER(SEARCH("200 GRS",INVENTARIO!C62)),"200GR",
IF(ISNUMBER(SEARCH("250 GRS",INVENTARIO!C62)),"250GR",
IF(ISNUMBER(SEARCH("300 GRS",INVENTARIO!C62)),"300GR",
IF(ISNUMBER(SEARCH("350 GRS",INVENTARIO!C62)),"350GR",
IF(ISNUMBER(SEARCH("18 OZ",INVENTARIO!C62)),"18OZ",
IF(ISNUMBER(SEARCH("15 OZ",INVENTARIO!C62)),"15OZ",
IF(OR(ISNUMBER(SEARCH("13 OZ",INVENTARIO!C62)),ISNUMBER(SEARCH("13 ONZAS",INVENTARIO!C62))),"13OZ",
IF(OR(ISNUMBER(SEARCH("9 OZ",INVENTARIO!C62)),ISNUMBER(SEARCH("9 ONZAS",INVENTARIO!C62))),"09OZ",
IF(ISNUMBER(SEARCH("DOBLE CARA",INVENTARIO!C62)),"DOB-CAR",
"")))))))))))))))</f>
        <v/>
      </c>
      <c r="E62" t="str">
        <f>IF(OR(ISNUMBER(SEARCH("TRANSPARENTE",INVENTARIO!C62)),ISNUMBER(SEARCH("TRANSPARENTES",INVENTARIO!C62))),"TRA",
IF(OR(ISNUMBER(SEARCH("BLANCO",INVENTARIO!C62)),ISNUMBER(SEARCH("BCO",INVENTARIO!C62))),"BLA",
IF(ISNUMBER(SEARCH("FOTOGRAFICO",INVENTARIO!C62)),"FOT",
IF(ISNUMBER(SEARCH("MARFIL",INVENTARIO!C62)),"MAR",
IF(ISNUMBER(SEARCH("VERDE",INVENTARIO!C62)),"VER",
IF(ISNUMBER(SEARCH("MORADO",INVENTARIO!C62)),"MOR",
IF(ISNUMBER(SEARCH("PLATA",INVENTARIO!C62)),"PLA",
IF(ISNUMBER(SEARCH("ORO",INVENTARIO!C62)),"ORO",
IF(ISNUMBER(SEARCH("AMARILLO",INVENTARIO!C62)),"AMA",
IF(ISNUMBER(SEARCH("NARANJA",INVENTARIO!C62)),"NAR",
IF(ISNUMBER(SEARCH("NEGRO",INVENTARIO!C62)),"NEG",
IF(ISNUMBER(SEARCH("ROJO",INVENTARIO!C62)),"ROJ",
IF(ISNUMBER(SEARCH("AZUL",INVENTARIO!C62)),"AZU","")))))))))))))</f>
        <v>BLA</v>
      </c>
      <c r="F62" t="str">
        <f>IF(ISNUMBER(SEARCH("ARLON",INVENTARIO!C62)),"ARL",
IF(ISNUMBER(SEARCH("SUNTHINKS",INVENTARIO!C62)),"SUN",
IF(ISNUMBER(SEARCH("FRIO",INVENTARIO!C62)),"FRI",
IF(ISNUMBER(SEARCH("CALIDO",INVENTARIO!C62)),"CAL",
IF(ISNUMBER(SEARCH("CEPILLADO",INVENTARIO!C62)),"CEP",
IF(ISNUMBER(SEARCH("ESPEJO",INVENTARIO!C62)),"ESP",
""))))))</f>
        <v/>
      </c>
      <c r="G62" t="str">
        <f>IF(ISNUMBER(SEARCH("LATEX",INVENTARIO!C62)),"LAT",
IF(ISNUMBER(SEARCH("RESP. NEGRO",INVENTARIO!C62)),"RES-NEG",
IF(ISNUMBER(SEARCH("RESPALDO CAFE",INVENTARIO!C62)),"RES-CAF",
IF(ISNUMBER(SEARCH("RESPALDO GRIS",INVENTARIO!C62)),"RES-GRI",
IF(ISNUMBER(SEARCH("OPTICO",INVENTARIO!C62)),"OPT",
IF(ISNUMBER(SEARCH("1,2 MM",INVENTARIO!C62)),"1MM2",
IF(ISNUMBER(SEARCH("2 MM",INVENTARIO!C62)),"2MM",
IF(ISNUMBER(SEARCH("3 MM",INVENTARIO!C62)),"3MM",
IF(ISNUMBER(SEARCH("4 MM",INVENTARIO!C62)),"4MM",
IF(ISNUMBER(SEARCH("5 MM",INVENTARIO!C62)),"5MM",
IF(ISNUMBER(SEARCH("6 MM",INVENTARIO!C62)),"6MM",
IF(ISNUMBER(SEARCH("9 MM",INVENTARIO!C62)),"9MM",
IF(ISNUMBER(SEARCH("10 MM",INVENTARIO!C62)),"10MM","")))))))))))))</f>
        <v>RES-GRI</v>
      </c>
      <c r="H62" t="str">
        <f>IF(ISNUMBER(SEARCH("GAMA BAJA",INVENTARIO!C62)),"GAM-BAJ",
IF(ISNUMBER(SEARCH("OPTIMIZADOR",INVENTARIO!C62)),"OPT",
IF(ISNUMBER(SEARCH("OVERCOAT",INVENTARIO!C62)),"OVE",
IF(ISNUMBER(SEARCH("WHITE",INVENTARIO!C62)),"WHI",
IF(ISNUMBER(SEARCH("LIGHT CYAN",INVENTARIO!C62)),"LIG-CYA",
IF(ISNUMBER(SEARCH("CYAN",INVENTARIO!C62)),"CYA",
IF(ISNUMBER(SEARCH("LIGHT MAGENTA",INVENTARIO!C62)),"LIG-MAG",
IF(ISNUMBER(SEARCH("MAGENTA",INVENTARIO!C62)),"MAG",
IF(ISNUMBER(SEARCH("BLACK",INVENTARIO!C62)),"BLA",
IF(ISNUMBER(SEARCH("YELLOW",INVENTARIO!C62)),"YEL",
IF(ISNUMBER(SEARCH("2 DIODOS",INVENTARIO!C62)),"2DI",
IF(ISNUMBER(SEARCH("3 DIODOS",INVENTARIO!C62)),"3DI",
IF(OR(ISNUMBER(SEARCH("TRASLUCIDO",INVENTARIO!C62)),ISNUMBER(SEARCH("TRANSLUCIDO",INVENTARIO!C62))),"TRA",
"")))))))))))))</f>
        <v/>
      </c>
      <c r="I62" t="str">
        <f>IF(ISNUMBER(SEARCH("SILED",INVENTARIO!C67)),"SI",
IF(ISNUMBER(SEARCH("SYDEMEX",INVENTARIO!C67)),"SY",
IF(ISNUMBER(SEARCH("ROHS",INVENTARIO!C67)),"RO",
IF(ISNUMBER(SEARCH("RISHANG",INVENTARIO!C67)),"RS",
IF(ISNUMBER(SEARCH("VYG",INVENTARIO!C67)),"VYG",
IF(ISNUMBER(SEARCH("COLED",INVENTARIO!C67)),"CO",""))))))</f>
        <v/>
      </c>
    </row>
    <row r="63" spans="1:9">
      <c r="A63" t="str">
        <f>IF(ISNUMBER(SEARCH("LONA",INVENTARIO!C63)),"LON",
IF(ISNUMBER(SEARCH("VINIL",INVENTARIO!C63)),"VIN",
IF(ISNUMBER(SEARCH("KROMACOTE",INVENTARIO!C63)),"KRO",
IF(ISNUMBER(SEARCH("STARDREAM",INVENTARIO!C63)),"STA",
IF(ISNUMBER(SEARCH("DISPLAY",INVENTARIO!C63)),"DIS",
IF(ISNUMBER(SEARCH("ROLL UP",INVENTARIO!C63)),"ROL-UP",
IF(ISNUMBER(SEARCH("TRANSFER DE PAPEL",INVENTARIO!C63)),"TRA-PAP",
IF(ISNUMBER(SEARCH("TRANSFER",INVENTARIO!C63)),"TRA",IF(ISNUMBER(SEARCH("KOLA LOKA",INVENTARIO!C63)),"KOL-LOK",
IF(ISNUMBER(SEARCH("PETG",INVENTARIO!C63)),"PET",
IF(ISNUMBER(SEARCH("OJILLO",INVENTARIO!C63)),"OJI",
IF(ISNUMBER(SEARCH("COUCHE",INVENTARIO!C63)),"COU",
IF(ISNUMBER(SEARCH("PANEL DE ALUMINIO",INVENTARIO!C63)),"PAN-ALU",
IF(ISNUMBER(SEARCH("PVC",INVENTARIO!C63)),"PVC",
IF(ISNUMBER(SEARCH("PAPEL",INVENTARIO!C63)),"PAP",
IF(ISNUMBER(SEARCH("TELA",INVENTARIO!C63)),"TEL",
IF(ISNUMBER(SEARCH("CARTULINA",INVENTARIO!C63)),"CAR",
IF(OR(ISNUMBER(SEARCH("LAMINA",INVENTARIO!C63)),ISNUMBER(SEARCH("LÁMINA",INVENTARIO!C63)),ISNUMBER(SEARCH("LAMPARAS",INVENTARIO!C63))),"LAM",
IF(ISNUMBER(SEARCH("ESTIRENO",INVENTARIO!C63)),"EST",
IF(ISNUMBER(SEARCH("FOAMBOARD",INVENTARIO!C63)),"FOA",
IF(ISNUMBER(SEARCH("SOLVENTE",INVENTARIO!C63)),"SOL",
IF(ISNUMBER(SEARCH("TINTA",INVENTARIO!C63)),"TIN",
IF(ISNUMBER(SEARCH("ACRILICO",INVENTARIO!C63)),"ACR",
IF(ISNUMBER(SEARCH("MICROLED",INVENTARIO!C63)),"MIC",
IF(ISNUMBER(SEARCH("LED",INVENTARIO!C63)),"LED",
IF(ISNUMBER(SEARCH("FUENTE DE PODER",INVENTARIO!C63)),"FUE-POD",
IF(ISNUMBER(SEARCH("PETG",INVENTARIO!C63)),"PET",
IF(ISNUMBER(SEARCH("ALUMINIO",INVENTARIO!C63)),"ALU",
IF(ISNUMBER(SEARCH("CANAL",INVENTARIO!C63)),"CAN",
IF(ISNUMBER(SEARCH("ESCUADRA",INVENTARIO!C63)),"ESC",
IF(ISNUMBER(SEARCH("SOPORTE",INVENTARIO!C63)),"SOP","OTR")
))))))))))))))))))))))))))))))</f>
        <v>VIN</v>
      </c>
      <c r="B63" t="str">
        <f>IF(ISNUMBER(SEARCH("CORTE",INVENTARIO!C63)),"COR",
IF(ISNUMBER(SEARCH("CITYLIGHT",INVENTARIO!C63)),"CIT",
IF(ISNUMBER(SEARCH("LINO",INVENTARIO!C63)),"LIN",
IF(ISNUMBER(SEARCH("FABRIANO",INVENTARIO!C63)),"FAB",
IF(ISNUMBER(SEARCH("SUNDANCE",INVENTARIO!C63)),"SUN",
IF(ISNUMBER(SEARCH("SINTETICA",INVENTARIO!C63)),"SIN",
IF(ISNUMBER(SEARCH("CONTROL",INVENTARIO!C63)),"CON",
IF(ISNUMBER(SEARCH("TERMICO",INVENTARIO!C63)),"TER",
IF(ISNUMBER(SEARCH("C-15",INVENTARIO!C63)),"C15",
IF(ISNUMBER(SEARCH("C-20",INVENTARIO!C63)),"C20",
IF(ISNUMBER(SEARCH("C-30",INVENTARIO!C63)),"C30",
IF(ISNUMBER(SEARCH("C-40",INVENTARIO!C63)),"C40",
IF(ISNUMBER(SEARCH("C-60",INVENTARIO!C63)),"C60",
IF(ISNUMBER(SEARCH("C-80",INVENTARIO!C63)),"C80",
IF(ISNUMBER(SEARCH("EQUIPO",INVENTARIO!C63)),"EQU",
IF(ISNUMBER(SEARCH("FLOOR",INVENTARIO!C63)),"FLO",
IF(ISNUMBER(SEARCH("CRISTAL",INVENTARIO!C63)),"CRI",
IF(ISNUMBER(SEARCH(" SULFATADA",INVENTARIO!C74)),"SUL",
IF(ISNUMBER(SEARCH("OPALINA",INVENTARIO!C63)),"OPA",
IF(ISNUMBER(SEARCH("ADHERIBLE",INVENTARIO!C63)),"ADH",
IF(ISNUMBER(SEARCH("MICRO",INVENTARIO!C63)),"MIC","")))))))))))))))))))))</f>
        <v/>
      </c>
      <c r="C63" t="str">
        <f>IF(ISNUMBER(SEARCH("PARED",INVENTARIO!C63)),"PAR",
IF(ISNUMBER(SEARCH("FRONT",INVENTARIO!C63)),"FRO",
IF(ISNUMBER(SEARCH("ALTA RESISTENCIA",INVENTARIO!C63)),
"ALT-RES",IF(ISNUMBER(SEARCH("BACKLITE",INVENTARIO!C63)),"BAC",
IF(ISNUMBER(SEARCH("MATE",INVENTARIO!C63)),"MAT",
IF(ISNUMBER(SEARCH("MESH",INVENTARIO!C63)),"MES",
IF(ISNUMBER(SEARCH("BRILLANTE",INVENTARIO!C63)),"BRI",
IF(ISNUMBER(SEARCH("DELGADA",INVENTARIO!C63)),"DEL",
IF(ISNUMBER(SEARCH("GRUESA",INVENTARIO!C63)),"GRU",
IF(ISNUMBER(SEARCH("ESTATICO",INVENTARIO!C63)),"EST",
IF(ISNUMBER(SEARCH("REFLECTIVO",INVENTARIO!C63)),"REF",
IF(ISNUMBER(SEARCH("LX700",INVENTARIO!C63)),"LX7",
IF(ISNUMBER(SEARCH("GRANDO",INVENTARIO!C63)),"GRA",
IF(ISNUMBER(SEARCH("FB700",INVENTARIO!C63)),"FB7",
IF(ISNUMBER(SEARCH("LX360",INVENTARIO!C63)),"LX3",
IF(ISNUMBER(SEARCH("XEROX",INVENTARIO!C63)),"XER",
IF(ISNUMBER(SEARCH("CEPILLADO",INVENTARIO!C63)),"CEP",
IF(ISNUMBER(SEARCH("ESPEJO",INVENTARIO!C63)),"ESP",
IF(ISNUMBER(SEARCH("10 PTS",INVENTARIO!C63)),"10PT",
IF(ISNUMBER(SEARCH("12 PTS",INVENTARIO!C63)),"12PT",
IF(ISNUMBER(SEARCH("14 PTS",INVENTARIO!C63)),"14PT",
IF(ISNUMBER(SEARCH("CLASICO",INVENTARIO!C63)),"CLA",
""))))))))))))))))))))))</f>
        <v>MAT</v>
      </c>
      <c r="D63" t="str">
        <f>IF(ISNUMBER(SEARCH("GRAN FORMATO",INVENTARIO!C63)),"GRA-FOR",
IF(ISNUMBER(SEARCH("CAMA PLANA",INVENTARIO!C63)),"CAM-PLA",
IF(ISNUMBER(SEARCH("GRADO INGENIERIA",INVENTARIO!C63)),"GRA-ING",
IF(ISNUMBER(SEARCH("130 GRS",INVENTARIO!C63)),"130GR",
IF(ISNUMBER(SEARCH("150 GRS",INVENTARIO!C63)),"150GR",
IF(ISNUMBER(SEARCH("185 GRS",INVENTARIO!C63)),"185GR",
IF(ISNUMBER(SEARCH("200 GRS",INVENTARIO!C63)),"200GR",
IF(ISNUMBER(SEARCH("250 GRS",INVENTARIO!C63)),"250GR",
IF(ISNUMBER(SEARCH("300 GRS",INVENTARIO!C63)),"300GR",
IF(ISNUMBER(SEARCH("350 GRS",INVENTARIO!C63)),"350GR",
IF(ISNUMBER(SEARCH("18 OZ",INVENTARIO!C63)),"18OZ",
IF(ISNUMBER(SEARCH("15 OZ",INVENTARIO!C63)),"15OZ",
IF(OR(ISNUMBER(SEARCH("13 OZ",INVENTARIO!C63)),ISNUMBER(SEARCH("13 ONZAS",INVENTARIO!C63))),"13OZ",
IF(OR(ISNUMBER(SEARCH("9 OZ",INVENTARIO!C63)),ISNUMBER(SEARCH("9 ONZAS",INVENTARIO!C63))),"09OZ",
IF(ISNUMBER(SEARCH("DOBLE CARA",INVENTARIO!C63)),"DOB-CAR",
"")))))))))))))))</f>
        <v/>
      </c>
      <c r="E63" t="str">
        <f>IF(OR(ISNUMBER(SEARCH("TRANSPARENTE",INVENTARIO!C63)),ISNUMBER(SEARCH("TRANSPARENTES",INVENTARIO!C63))),"TRA",
IF(OR(ISNUMBER(SEARCH("BLANCO",INVENTARIO!C63)),ISNUMBER(SEARCH("BCO",INVENTARIO!C63))),"BLA",
IF(ISNUMBER(SEARCH("FOTOGRAFICO",INVENTARIO!C63)),"FOT",
IF(ISNUMBER(SEARCH("MARFIL",INVENTARIO!C63)),"MAR",
IF(ISNUMBER(SEARCH("VERDE",INVENTARIO!C63)),"VER",
IF(ISNUMBER(SEARCH("MORADO",INVENTARIO!C63)),"MOR",
IF(ISNUMBER(SEARCH("PLATA",INVENTARIO!C63)),"PLA",
IF(ISNUMBER(SEARCH("ORO",INVENTARIO!C63)),"ORO",
IF(ISNUMBER(SEARCH("AMARILLO",INVENTARIO!C63)),"AMA",
IF(ISNUMBER(SEARCH("NARANJA",INVENTARIO!C63)),"NAR",
IF(ISNUMBER(SEARCH("NEGRO",INVENTARIO!C63)),"NEG",
IF(ISNUMBER(SEARCH("ROJO",INVENTARIO!C63)),"ROJ",
IF(ISNUMBER(SEARCH("AZUL",INVENTARIO!C63)),"AZU","")))))))))))))</f>
        <v>BLA</v>
      </c>
      <c r="F63" t="str">
        <f>IF(ISNUMBER(SEARCH("ARLON",INVENTARIO!C63)),"ARL",
IF(ISNUMBER(SEARCH("SUNTHINKS",INVENTARIO!C63)),"SUN",
IF(ISNUMBER(SEARCH("FRIO",INVENTARIO!C63)),"FRI",
IF(ISNUMBER(SEARCH("CALIDO",INVENTARIO!C63)),"CAL",
IF(ISNUMBER(SEARCH("CEPILLADO",INVENTARIO!C63)),"CEP",
IF(ISNUMBER(SEARCH("ESPEJO",INVENTARIO!C63)),"ESP",
""))))))</f>
        <v/>
      </c>
      <c r="G63" t="str">
        <f>IF(ISNUMBER(SEARCH("LATEX",INVENTARIO!C63)),"LAT",
IF(ISNUMBER(SEARCH("RESP. NEGRO",INVENTARIO!C63)),"RES-NEG",
IF(ISNUMBER(SEARCH("RESPALDO CAFE",INVENTARIO!C63)),"RES-CAF",
IF(ISNUMBER(SEARCH("RESPALDO GRIS",INVENTARIO!C63)),"RES-GRI",
IF(ISNUMBER(SEARCH("OPTICO",INVENTARIO!C63)),"OPT",
IF(ISNUMBER(SEARCH("1,2 MM",INVENTARIO!C63)),"1MM2",
IF(ISNUMBER(SEARCH("2 MM",INVENTARIO!C63)),"2MM",
IF(ISNUMBER(SEARCH("3 MM",INVENTARIO!C63)),"3MM",
IF(ISNUMBER(SEARCH("4 MM",INVENTARIO!C63)),"4MM",
IF(ISNUMBER(SEARCH("5 MM",INVENTARIO!C63)),"5MM",
IF(ISNUMBER(SEARCH("6 MM",INVENTARIO!C63)),"6MM",
IF(ISNUMBER(SEARCH("9 MM",INVENTARIO!C63)),"9MM",
IF(ISNUMBER(SEARCH("10 MM",INVENTARIO!C63)),"10MM","")))))))))))))</f>
        <v>RES-GRI</v>
      </c>
      <c r="H63" t="str">
        <f>IF(ISNUMBER(SEARCH("GAMA BAJA",INVENTARIO!C63)),"GAM-BAJ",
IF(ISNUMBER(SEARCH("OPTIMIZADOR",INVENTARIO!C63)),"OPT",
IF(ISNUMBER(SEARCH("OVERCOAT",INVENTARIO!C63)),"OVE",
IF(ISNUMBER(SEARCH("WHITE",INVENTARIO!C63)),"WHI",
IF(ISNUMBER(SEARCH("LIGHT CYAN",INVENTARIO!C63)),"LIG-CYA",
IF(ISNUMBER(SEARCH("CYAN",INVENTARIO!C63)),"CYA",
IF(ISNUMBER(SEARCH("LIGHT MAGENTA",INVENTARIO!C63)),"LIG-MAG",
IF(ISNUMBER(SEARCH("MAGENTA",INVENTARIO!C63)),"MAG",
IF(ISNUMBER(SEARCH("BLACK",INVENTARIO!C63)),"BLA",
IF(ISNUMBER(SEARCH("YELLOW",INVENTARIO!C63)),"YEL",
IF(ISNUMBER(SEARCH("2 DIODOS",INVENTARIO!C63)),"2DI",
IF(ISNUMBER(SEARCH("3 DIODOS",INVENTARIO!C63)),"3DI",
IF(OR(ISNUMBER(SEARCH("TRASLUCIDO",INVENTARIO!C63)),ISNUMBER(SEARCH("TRANSLUCIDO",INVENTARIO!C63))),"TRA",
"")))))))))))))</f>
        <v/>
      </c>
      <c r="I63" t="str">
        <f>IF(ISNUMBER(SEARCH("SILED",INVENTARIO!C68)),"SI",
IF(ISNUMBER(SEARCH("SYDEMEX",INVENTARIO!C68)),"SY",
IF(ISNUMBER(SEARCH("ROHS",INVENTARIO!C68)),"RO",
IF(ISNUMBER(SEARCH("RISHANG",INVENTARIO!C68)),"RS",
IF(ISNUMBER(SEARCH("VYG",INVENTARIO!C68)),"VYG",
IF(ISNUMBER(SEARCH("COLED",INVENTARIO!C68)),"CO",""))))))</f>
        <v/>
      </c>
    </row>
    <row r="64" spans="1:9">
      <c r="A64" t="str">
        <f>IF(ISNUMBER(SEARCH("LONA",INVENTARIO!C64)),"LON",
IF(ISNUMBER(SEARCH("VINIL",INVENTARIO!C64)),"VIN",
IF(ISNUMBER(SEARCH("KROMACOTE",INVENTARIO!C64)),"KRO",
IF(ISNUMBER(SEARCH("STARDREAM",INVENTARIO!C64)),"STA",
IF(ISNUMBER(SEARCH("DISPLAY",INVENTARIO!C64)),"DIS",
IF(ISNUMBER(SEARCH("ROLL UP",INVENTARIO!C64)),"ROL-UP",
IF(ISNUMBER(SEARCH("TRANSFER DE PAPEL",INVENTARIO!C64)),"TRA-PAP",
IF(ISNUMBER(SEARCH("TRANSFER",INVENTARIO!C64)),"TRA",IF(ISNUMBER(SEARCH("KOLA LOKA",INVENTARIO!C64)),"KOL-LOK",
IF(ISNUMBER(SEARCH("PETG",INVENTARIO!C64)),"PET",
IF(ISNUMBER(SEARCH("OJILLO",INVENTARIO!C64)),"OJI",
IF(ISNUMBER(SEARCH("COUCHE",INVENTARIO!C64)),"COU",
IF(ISNUMBER(SEARCH("PANEL DE ALUMINIO",INVENTARIO!C64)),"PAN-ALU",
IF(ISNUMBER(SEARCH("PVC",INVENTARIO!C64)),"PVC",
IF(ISNUMBER(SEARCH("PAPEL",INVENTARIO!C64)),"PAP",
IF(ISNUMBER(SEARCH("TELA",INVENTARIO!C64)),"TEL",
IF(ISNUMBER(SEARCH("CARTULINA",INVENTARIO!C64)),"CAR",
IF(OR(ISNUMBER(SEARCH("LAMINA",INVENTARIO!C64)),ISNUMBER(SEARCH("LÁMINA",INVENTARIO!C64)),ISNUMBER(SEARCH("LAMPARAS",INVENTARIO!C64))),"LAM",
IF(ISNUMBER(SEARCH("ESTIRENO",INVENTARIO!C64)),"EST",
IF(ISNUMBER(SEARCH("FOAMBOARD",INVENTARIO!C64)),"FOA",
IF(ISNUMBER(SEARCH("SOLVENTE",INVENTARIO!C64)),"SOL",
IF(ISNUMBER(SEARCH("TINTA",INVENTARIO!C64)),"TIN",
IF(ISNUMBER(SEARCH("ACRILICO",INVENTARIO!C64)),"ACR",
IF(ISNUMBER(SEARCH("MICROLED",INVENTARIO!C64)),"MIC",
IF(ISNUMBER(SEARCH("LED",INVENTARIO!C64)),"LED",
IF(ISNUMBER(SEARCH("FUENTE DE PODER",INVENTARIO!C64)),"FUE-POD",
IF(ISNUMBER(SEARCH("PETG",INVENTARIO!C64)),"PET",
IF(ISNUMBER(SEARCH("ALUMINIO",INVENTARIO!C64)),"ALU",
IF(ISNUMBER(SEARCH("CANAL",INVENTARIO!C64)),"CAN",
IF(ISNUMBER(SEARCH("ESCUADRA",INVENTARIO!C64)),"ESC",
IF(ISNUMBER(SEARCH("SOPORTE",INVENTARIO!C64)),"SOP","OTR")
))))))))))))))))))))))))))))))</f>
        <v>VIN</v>
      </c>
      <c r="B64" t="str">
        <f>IF(ISNUMBER(SEARCH("CORTE",INVENTARIO!C64)),"COR",
IF(ISNUMBER(SEARCH("CITYLIGHT",INVENTARIO!C64)),"CIT",
IF(ISNUMBER(SEARCH("LINO",INVENTARIO!C64)),"LIN",
IF(ISNUMBER(SEARCH("FABRIANO",INVENTARIO!C64)),"FAB",
IF(ISNUMBER(SEARCH("SUNDANCE",INVENTARIO!C64)),"SUN",
IF(ISNUMBER(SEARCH("SINTETICA",INVENTARIO!C64)),"SIN",
IF(ISNUMBER(SEARCH("CONTROL",INVENTARIO!C64)),"CON",
IF(ISNUMBER(SEARCH("TERMICO",INVENTARIO!C64)),"TER",
IF(ISNUMBER(SEARCH("C-15",INVENTARIO!C64)),"C15",
IF(ISNUMBER(SEARCH("C-20",INVENTARIO!C64)),"C20",
IF(ISNUMBER(SEARCH("C-30",INVENTARIO!C64)),"C30",
IF(ISNUMBER(SEARCH("C-40",INVENTARIO!C64)),"C40",
IF(ISNUMBER(SEARCH("C-60",INVENTARIO!C64)),"C60",
IF(ISNUMBER(SEARCH("C-80",INVENTARIO!C64)),"C80",
IF(ISNUMBER(SEARCH("EQUIPO",INVENTARIO!C64)),"EQU",
IF(ISNUMBER(SEARCH("FLOOR",INVENTARIO!C64)),"FLO",
IF(ISNUMBER(SEARCH("CRISTAL",INVENTARIO!C64)),"CRI",
IF(ISNUMBER(SEARCH(" SULFATADA",INVENTARIO!C75)),"SUL",
IF(ISNUMBER(SEARCH("OPALINA",INVENTARIO!C64)),"OPA",
IF(ISNUMBER(SEARCH("ADHERIBLE",INVENTARIO!C64)),"ADH",
IF(ISNUMBER(SEARCH("MICRO",INVENTARIO!C64)),"MIC","")))))))))))))))))))))</f>
        <v/>
      </c>
      <c r="C64" t="str">
        <f>IF(ISNUMBER(SEARCH("PARED",INVENTARIO!C64)),"PAR",
IF(ISNUMBER(SEARCH("FRONT",INVENTARIO!C64)),"FRO",
IF(ISNUMBER(SEARCH("ALTA RESISTENCIA",INVENTARIO!C64)),
"ALT-RES",IF(ISNUMBER(SEARCH("BACKLITE",INVENTARIO!C64)),"BAC",
IF(ISNUMBER(SEARCH("MATE",INVENTARIO!C64)),"MAT",
IF(ISNUMBER(SEARCH("MESH",INVENTARIO!C64)),"MES",
IF(ISNUMBER(SEARCH("BRILLANTE",INVENTARIO!C64)),"BRI",
IF(ISNUMBER(SEARCH("DELGADA",INVENTARIO!C64)),"DEL",
IF(ISNUMBER(SEARCH("GRUESA",INVENTARIO!C64)),"GRU",
IF(ISNUMBER(SEARCH("ESTATICO",INVENTARIO!C64)),"EST",
IF(ISNUMBER(SEARCH("REFLECTIVO",INVENTARIO!C64)),"REF",
IF(ISNUMBER(SEARCH("LX700",INVENTARIO!C64)),"LX7",
IF(ISNUMBER(SEARCH("GRANDO",INVENTARIO!C64)),"GRA",
IF(ISNUMBER(SEARCH("FB700",INVENTARIO!C64)),"FB7",
IF(ISNUMBER(SEARCH("LX360",INVENTARIO!C64)),"LX3",
IF(ISNUMBER(SEARCH("XEROX",INVENTARIO!C64)),"XER",
IF(ISNUMBER(SEARCH("CEPILLADO",INVENTARIO!C64)),"CEP",
IF(ISNUMBER(SEARCH("ESPEJO",INVENTARIO!C64)),"ESP",
IF(ISNUMBER(SEARCH("10 PTS",INVENTARIO!C64)),"10PT",
IF(ISNUMBER(SEARCH("12 PTS",INVENTARIO!C64)),"12PT",
IF(ISNUMBER(SEARCH("14 PTS",INVENTARIO!C64)),"14PT",
IF(ISNUMBER(SEARCH("CLASICO",INVENTARIO!C64)),"CLA",
""))))))))))))))))))))))</f>
        <v>MAT</v>
      </c>
      <c r="D64" t="str">
        <f>IF(ISNUMBER(SEARCH("GRAN FORMATO",INVENTARIO!C64)),"GRA-FOR",
IF(ISNUMBER(SEARCH("CAMA PLANA",INVENTARIO!C64)),"CAM-PLA",
IF(ISNUMBER(SEARCH("GRADO INGENIERIA",INVENTARIO!C64)),"GRA-ING",
IF(ISNUMBER(SEARCH("130 GRS",INVENTARIO!C64)),"130GR",
IF(ISNUMBER(SEARCH("150 GRS",INVENTARIO!C64)),"150GR",
IF(ISNUMBER(SEARCH("185 GRS",INVENTARIO!C64)),"185GR",
IF(ISNUMBER(SEARCH("200 GRS",INVENTARIO!C64)),"200GR",
IF(ISNUMBER(SEARCH("250 GRS",INVENTARIO!C64)),"250GR",
IF(ISNUMBER(SEARCH("300 GRS",INVENTARIO!C64)),"300GR",
IF(ISNUMBER(SEARCH("350 GRS",INVENTARIO!C64)),"350GR",
IF(ISNUMBER(SEARCH("18 OZ",INVENTARIO!C64)),"18OZ",
IF(ISNUMBER(SEARCH("15 OZ",INVENTARIO!C64)),"15OZ",
IF(OR(ISNUMBER(SEARCH("13 OZ",INVENTARIO!C64)),ISNUMBER(SEARCH("13 ONZAS",INVENTARIO!C64))),"13OZ",
IF(OR(ISNUMBER(SEARCH("9 OZ",INVENTARIO!C64)),ISNUMBER(SEARCH("9 ONZAS",INVENTARIO!C64))),"09OZ",
IF(ISNUMBER(SEARCH("DOBLE CARA",INVENTARIO!C64)),"DOB-CAR",
"")))))))))))))))</f>
        <v/>
      </c>
      <c r="E64" t="str">
        <f>IF(OR(ISNUMBER(SEARCH("TRANSPARENTE",INVENTARIO!C64)),ISNUMBER(SEARCH("TRANSPARENTES",INVENTARIO!C64))),"TRA",
IF(OR(ISNUMBER(SEARCH("BLANCO",INVENTARIO!C64)),ISNUMBER(SEARCH("BCO",INVENTARIO!C64))),"BLA",
IF(ISNUMBER(SEARCH("FOTOGRAFICO",INVENTARIO!C64)),"FOT",
IF(ISNUMBER(SEARCH("MARFIL",INVENTARIO!C64)),"MAR",
IF(ISNUMBER(SEARCH("VERDE",INVENTARIO!C64)),"VER",
IF(ISNUMBER(SEARCH("MORADO",INVENTARIO!C64)),"MOR",
IF(ISNUMBER(SEARCH("PLATA",INVENTARIO!C64)),"PLA",
IF(ISNUMBER(SEARCH("ORO",INVENTARIO!C64)),"ORO",
IF(ISNUMBER(SEARCH("AMARILLO",INVENTARIO!C64)),"AMA",
IF(ISNUMBER(SEARCH("NARANJA",INVENTARIO!C64)),"NAR",
IF(ISNUMBER(SEARCH("NEGRO",INVENTARIO!C64)),"NEG",
IF(ISNUMBER(SEARCH("ROJO",INVENTARIO!C64)),"ROJ",
IF(ISNUMBER(SEARCH("AZUL",INVENTARIO!C64)),"AZU","")))))))))))))</f>
        <v>BLA</v>
      </c>
      <c r="F64" t="str">
        <f>IF(ISNUMBER(SEARCH("ARLON",INVENTARIO!C64)),"ARL",
IF(ISNUMBER(SEARCH("SUNTHINKS",INVENTARIO!C64)),"SUN",
IF(ISNUMBER(SEARCH("FRIO",INVENTARIO!C64)),"FRI",
IF(ISNUMBER(SEARCH("CALIDO",INVENTARIO!C64)),"CAL",
IF(ISNUMBER(SEARCH("CEPILLADO",INVENTARIO!C64)),"CEP",
IF(ISNUMBER(SEARCH("ESPEJO",INVENTARIO!C64)),"ESP",
""))))))</f>
        <v>ARL</v>
      </c>
      <c r="G64" t="str">
        <f>IF(ISNUMBER(SEARCH("LATEX",INVENTARIO!C64)),"LAT",
IF(ISNUMBER(SEARCH("RESP. NEGRO",INVENTARIO!C64)),"RES-NEG",
IF(ISNUMBER(SEARCH("RESPALDO CAFE",INVENTARIO!C64)),"RES-CAF",
IF(ISNUMBER(SEARCH("RESPALDO GRIS",INVENTARIO!C64)),"RES-GRI",
IF(ISNUMBER(SEARCH("OPTICO",INVENTARIO!C64)),"OPT",
IF(ISNUMBER(SEARCH("1,2 MM",INVENTARIO!C64)),"1MM2",
IF(ISNUMBER(SEARCH("2 MM",INVENTARIO!C64)),"2MM",
IF(ISNUMBER(SEARCH("3 MM",INVENTARIO!C64)),"3MM",
IF(ISNUMBER(SEARCH("4 MM",INVENTARIO!C64)),"4MM",
IF(ISNUMBER(SEARCH("5 MM",INVENTARIO!C64)),"5MM",
IF(ISNUMBER(SEARCH("6 MM",INVENTARIO!C64)),"6MM",
IF(ISNUMBER(SEARCH("9 MM",INVENTARIO!C64)),"9MM",
IF(ISNUMBER(SEARCH("10 MM",INVENTARIO!C64)),"10MM","")))))))))))))</f>
        <v>RES-GRI</v>
      </c>
      <c r="H64" t="str">
        <f>IF(ISNUMBER(SEARCH("GAMA BAJA",INVENTARIO!C64)),"GAM-BAJ",
IF(ISNUMBER(SEARCH("OPTIMIZADOR",INVENTARIO!C64)),"OPT",
IF(ISNUMBER(SEARCH("OVERCOAT",INVENTARIO!C64)),"OVE",
IF(ISNUMBER(SEARCH("WHITE",INVENTARIO!C64)),"WHI",
IF(ISNUMBER(SEARCH("LIGHT CYAN",INVENTARIO!C64)),"LIG-CYA",
IF(ISNUMBER(SEARCH("CYAN",INVENTARIO!C64)),"CYA",
IF(ISNUMBER(SEARCH("LIGHT MAGENTA",INVENTARIO!C64)),"LIG-MAG",
IF(ISNUMBER(SEARCH("MAGENTA",INVENTARIO!C64)),"MAG",
IF(ISNUMBER(SEARCH("BLACK",INVENTARIO!C64)),"BLA",
IF(ISNUMBER(SEARCH("YELLOW",INVENTARIO!C64)),"YEL",
IF(ISNUMBER(SEARCH("2 DIODOS",INVENTARIO!C64)),"2DI",
IF(ISNUMBER(SEARCH("3 DIODOS",INVENTARIO!C64)),"3DI",
IF(OR(ISNUMBER(SEARCH("TRASLUCIDO",INVENTARIO!C64)),ISNUMBER(SEARCH("TRANSLUCIDO",INVENTARIO!C64))),"TRA",
"")))))))))))))</f>
        <v/>
      </c>
      <c r="I64" t="str">
        <f>IF(ISNUMBER(SEARCH("SILED",INVENTARIO!C69)),"SI",
IF(ISNUMBER(SEARCH("SYDEMEX",INVENTARIO!C69)),"SY",
IF(ISNUMBER(SEARCH("ROHS",INVENTARIO!C69)),"RO",
IF(ISNUMBER(SEARCH("RISHANG",INVENTARIO!C69)),"RS",
IF(ISNUMBER(SEARCH("VYG",INVENTARIO!C69)),"VYG",
IF(ISNUMBER(SEARCH("COLED",INVENTARIO!C69)),"CO",""))))))</f>
        <v/>
      </c>
    </row>
    <row r="65" spans="1:9">
      <c r="A65" t="str">
        <f>IF(ISNUMBER(SEARCH("LONA",INVENTARIO!C65)),"LON",
IF(ISNUMBER(SEARCH("VINIL",INVENTARIO!C65)),"VIN",
IF(ISNUMBER(SEARCH("KROMACOTE",INVENTARIO!C65)),"KRO",
IF(ISNUMBER(SEARCH("STARDREAM",INVENTARIO!C65)),"STA",
IF(ISNUMBER(SEARCH("DISPLAY",INVENTARIO!C65)),"DIS",
IF(ISNUMBER(SEARCH("ROLL UP",INVENTARIO!C65)),"ROL-UP",
IF(ISNUMBER(SEARCH("TRANSFER DE PAPEL",INVENTARIO!C65)),"TRA-PAP",
IF(ISNUMBER(SEARCH("TRANSFER",INVENTARIO!C65)),"TRA",IF(ISNUMBER(SEARCH("KOLA LOKA",INVENTARIO!C65)),"KOL-LOK",
IF(ISNUMBER(SEARCH("PETG",INVENTARIO!C65)),"PET",
IF(ISNUMBER(SEARCH("OJILLO",INVENTARIO!C65)),"OJI",
IF(ISNUMBER(SEARCH("COUCHE",INVENTARIO!C65)),"COU",
IF(ISNUMBER(SEARCH("PANEL DE ALUMINIO",INVENTARIO!C65)),"PAN-ALU",
IF(ISNUMBER(SEARCH("PVC",INVENTARIO!C65)),"PVC",
IF(ISNUMBER(SEARCH("PAPEL",INVENTARIO!C65)),"PAP",
IF(ISNUMBER(SEARCH("TELA",INVENTARIO!C65)),"TEL",
IF(ISNUMBER(SEARCH("CARTULINA",INVENTARIO!C65)),"CAR",
IF(OR(ISNUMBER(SEARCH("LAMINA",INVENTARIO!C65)),ISNUMBER(SEARCH("LÁMINA",INVENTARIO!C65)),ISNUMBER(SEARCH("LAMPARAS",INVENTARIO!C65))),"LAM",
IF(ISNUMBER(SEARCH("ESTIRENO",INVENTARIO!C65)),"EST",
IF(ISNUMBER(SEARCH("FOAMBOARD",INVENTARIO!C65)),"FOA",
IF(ISNUMBER(SEARCH("SOLVENTE",INVENTARIO!C65)),"SOL",
IF(ISNUMBER(SEARCH("TINTA",INVENTARIO!C65)),"TIN",
IF(ISNUMBER(SEARCH("ACRILICO",INVENTARIO!C65)),"ACR",
IF(ISNUMBER(SEARCH("MICROLED",INVENTARIO!C65)),"MIC",
IF(ISNUMBER(SEARCH("LED",INVENTARIO!C65)),"LED",
IF(ISNUMBER(SEARCH("FUENTE DE PODER",INVENTARIO!C65)),"FUE-POD",
IF(ISNUMBER(SEARCH("PETG",INVENTARIO!C65)),"PET",
IF(ISNUMBER(SEARCH("ALUMINIO",INVENTARIO!C65)),"ALU",
IF(ISNUMBER(SEARCH("CANAL",INVENTARIO!C65)),"CAN",
IF(ISNUMBER(SEARCH("ESCUADRA",INVENTARIO!C65)),"ESC",
IF(ISNUMBER(SEARCH("SOPORTE",INVENTARIO!C65)),"SOP","OTR")
))))))))))))))))))))))))))))))</f>
        <v>VIN</v>
      </c>
      <c r="B65" t="str">
        <f>IF(ISNUMBER(SEARCH("CORTE",INVENTARIO!C65)),"COR",
IF(ISNUMBER(SEARCH("CITYLIGHT",INVENTARIO!C65)),"CIT",
IF(ISNUMBER(SEARCH("LINO",INVENTARIO!C65)),"LIN",
IF(ISNUMBER(SEARCH("FABRIANO",INVENTARIO!C65)),"FAB",
IF(ISNUMBER(SEARCH("SUNDANCE",INVENTARIO!C65)),"SUN",
IF(ISNUMBER(SEARCH("SINTETICA",INVENTARIO!C65)),"SIN",
IF(ISNUMBER(SEARCH("CONTROL",INVENTARIO!C65)),"CON",
IF(ISNUMBER(SEARCH("TERMICO",INVENTARIO!C65)),"TER",
IF(ISNUMBER(SEARCH("C-15",INVENTARIO!C65)),"C15",
IF(ISNUMBER(SEARCH("C-20",INVENTARIO!C65)),"C20",
IF(ISNUMBER(SEARCH("C-30",INVENTARIO!C65)),"C30",
IF(ISNUMBER(SEARCH("C-40",INVENTARIO!C65)),"C40",
IF(ISNUMBER(SEARCH("C-60",INVENTARIO!C65)),"C60",
IF(ISNUMBER(SEARCH("C-80",INVENTARIO!C65)),"C80",
IF(ISNUMBER(SEARCH("EQUIPO",INVENTARIO!C65)),"EQU",
IF(ISNUMBER(SEARCH("FLOOR",INVENTARIO!C65)),"FLO",
IF(ISNUMBER(SEARCH("CRISTAL",INVENTARIO!C65)),"CRI",
IF(ISNUMBER(SEARCH(" SULFATADA",INVENTARIO!C76)),"SUL",
IF(ISNUMBER(SEARCH("OPALINA",INVENTARIO!C65)),"OPA",
IF(ISNUMBER(SEARCH("ADHERIBLE",INVENTARIO!C65)),"ADH",
IF(ISNUMBER(SEARCH("MICRO",INVENTARIO!C65)),"MIC","")))))))))))))))))))))</f>
        <v/>
      </c>
      <c r="C65" t="str">
        <f>IF(ISNUMBER(SEARCH("PARED",INVENTARIO!C65)),"PAR",
IF(ISNUMBER(SEARCH("FRONT",INVENTARIO!C65)),"FRO",
IF(ISNUMBER(SEARCH("ALTA RESISTENCIA",INVENTARIO!C65)),
"ALT-RES",IF(ISNUMBER(SEARCH("BACKLITE",INVENTARIO!C65)),"BAC",
IF(ISNUMBER(SEARCH("MATE",INVENTARIO!C65)),"MAT",
IF(ISNUMBER(SEARCH("MESH",INVENTARIO!C65)),"MES",
IF(ISNUMBER(SEARCH("BRILLANTE",INVENTARIO!C65)),"BRI",
IF(ISNUMBER(SEARCH("DELGADA",INVENTARIO!C65)),"DEL",
IF(ISNUMBER(SEARCH("GRUESA",INVENTARIO!C65)),"GRU",
IF(ISNUMBER(SEARCH("ESTATICO",INVENTARIO!C65)),"EST",
IF(ISNUMBER(SEARCH("REFLECTIVO",INVENTARIO!C65)),"REF",
IF(ISNUMBER(SEARCH("LX700",INVENTARIO!C65)),"LX7",
IF(ISNUMBER(SEARCH("GRANDO",INVENTARIO!C65)),"GRA",
IF(ISNUMBER(SEARCH("FB700",INVENTARIO!C65)),"FB7",
IF(ISNUMBER(SEARCH("LX360",INVENTARIO!C65)),"LX3",
IF(ISNUMBER(SEARCH("XEROX",INVENTARIO!C65)),"XER",
IF(ISNUMBER(SEARCH("CEPILLADO",INVENTARIO!C65)),"CEP",
IF(ISNUMBER(SEARCH("ESPEJO",INVENTARIO!C65)),"ESP",
IF(ISNUMBER(SEARCH("10 PTS",INVENTARIO!C65)),"10PT",
IF(ISNUMBER(SEARCH("12 PTS",INVENTARIO!C65)),"12PT",
IF(ISNUMBER(SEARCH("14 PTS",INVENTARIO!C65)),"14PT",
IF(ISNUMBER(SEARCH("CLASICO",INVENTARIO!C65)),"CLA",
""))))))))))))))))))))))</f>
        <v>BRI</v>
      </c>
      <c r="D65" t="str">
        <f>IF(ISNUMBER(SEARCH("GRAN FORMATO",INVENTARIO!C65)),"GRA-FOR",
IF(ISNUMBER(SEARCH("CAMA PLANA",INVENTARIO!C65)),"CAM-PLA",
IF(ISNUMBER(SEARCH("GRADO INGENIERIA",INVENTARIO!C65)),"GRA-ING",
IF(ISNUMBER(SEARCH("130 GRS",INVENTARIO!C65)),"130GR",
IF(ISNUMBER(SEARCH("150 GRS",INVENTARIO!C65)),"150GR",
IF(ISNUMBER(SEARCH("185 GRS",INVENTARIO!C65)),"185GR",
IF(ISNUMBER(SEARCH("200 GRS",INVENTARIO!C65)),"200GR",
IF(ISNUMBER(SEARCH("250 GRS",INVENTARIO!C65)),"250GR",
IF(ISNUMBER(SEARCH("300 GRS",INVENTARIO!C65)),"300GR",
IF(ISNUMBER(SEARCH("350 GRS",INVENTARIO!C65)),"350GR",
IF(ISNUMBER(SEARCH("18 OZ",INVENTARIO!C65)),"18OZ",
IF(ISNUMBER(SEARCH("15 OZ",INVENTARIO!C65)),"15OZ",
IF(OR(ISNUMBER(SEARCH("13 OZ",INVENTARIO!C65)),ISNUMBER(SEARCH("13 ONZAS",INVENTARIO!C65))),"13OZ",
IF(OR(ISNUMBER(SEARCH("9 OZ",INVENTARIO!C65)),ISNUMBER(SEARCH("9 ONZAS",INVENTARIO!C65))),"09OZ",
IF(ISNUMBER(SEARCH("DOBLE CARA",INVENTARIO!C65)),"DOB-CAR",
"")))))))))))))))</f>
        <v/>
      </c>
      <c r="E65" t="str">
        <f>IF(OR(ISNUMBER(SEARCH("TRANSPARENTE",INVENTARIO!C65)),ISNUMBER(SEARCH("TRANSPARENTES",INVENTARIO!C65))),"TRA",
IF(OR(ISNUMBER(SEARCH("BLANCO",INVENTARIO!C65)),ISNUMBER(SEARCH("BCO",INVENTARIO!C65))),"BLA",
IF(ISNUMBER(SEARCH("FOTOGRAFICO",INVENTARIO!C65)),"FOT",
IF(ISNUMBER(SEARCH("MARFIL",INVENTARIO!C65)),"MAR",
IF(ISNUMBER(SEARCH("VERDE",INVENTARIO!C65)),"VER",
IF(ISNUMBER(SEARCH("MORADO",INVENTARIO!C65)),"MOR",
IF(ISNUMBER(SEARCH("PLATA",INVENTARIO!C65)),"PLA",
IF(ISNUMBER(SEARCH("ORO",INVENTARIO!C65)),"ORO",
IF(ISNUMBER(SEARCH("AMARILLO",INVENTARIO!C65)),"AMA",
IF(ISNUMBER(SEARCH("NARANJA",INVENTARIO!C65)),"NAR",
IF(ISNUMBER(SEARCH("NEGRO",INVENTARIO!C65)),"NEG",
IF(ISNUMBER(SEARCH("ROJO",INVENTARIO!C65)),"ROJ",
IF(ISNUMBER(SEARCH("AZUL",INVENTARIO!C65)),"AZU","")))))))))))))</f>
        <v>BLA</v>
      </c>
      <c r="F65" t="str">
        <f>IF(ISNUMBER(SEARCH("ARLON",INVENTARIO!C65)),"ARL",
IF(ISNUMBER(SEARCH("SUNTHINKS",INVENTARIO!C65)),"SUN",
IF(ISNUMBER(SEARCH("FRIO",INVENTARIO!C65)),"FRI",
IF(ISNUMBER(SEARCH("CALIDO",INVENTARIO!C65)),"CAL",
IF(ISNUMBER(SEARCH("CEPILLADO",INVENTARIO!C65)),"CEP",
IF(ISNUMBER(SEARCH("ESPEJO",INVENTARIO!C65)),"ESP",
""))))))</f>
        <v/>
      </c>
      <c r="G65" t="str">
        <f>IF(ISNUMBER(SEARCH("LATEX",INVENTARIO!C65)),"LAT",
IF(ISNUMBER(SEARCH("RESP. NEGRO",INVENTARIO!C65)),"RES-NEG",
IF(ISNUMBER(SEARCH("RESPALDO CAFE",INVENTARIO!C65)),"RES-CAF",
IF(ISNUMBER(SEARCH("RESPALDO GRIS",INVENTARIO!C65)),"RES-GRI",
IF(ISNUMBER(SEARCH("OPTICO",INVENTARIO!C65)),"OPT",
IF(ISNUMBER(SEARCH("1,2 MM",INVENTARIO!C65)),"1MM2",
IF(ISNUMBER(SEARCH("2 MM",INVENTARIO!C65)),"2MM",
IF(ISNUMBER(SEARCH("3 MM",INVENTARIO!C65)),"3MM",
IF(ISNUMBER(SEARCH("4 MM",INVENTARIO!C65)),"4MM",
IF(ISNUMBER(SEARCH("5 MM",INVENTARIO!C65)),"5MM",
IF(ISNUMBER(SEARCH("6 MM",INVENTARIO!C65)),"6MM",
IF(ISNUMBER(SEARCH("9 MM",INVENTARIO!C65)),"9MM",
IF(ISNUMBER(SEARCH("10 MM",INVENTARIO!C65)),"10MM","")))))))))))))</f>
        <v>RES-GRI</v>
      </c>
      <c r="H65" t="str">
        <f>IF(ISNUMBER(SEARCH("GAMA BAJA",INVENTARIO!C65)),"GAM-BAJ",
IF(ISNUMBER(SEARCH("OPTIMIZADOR",INVENTARIO!C65)),"OPT",
IF(ISNUMBER(SEARCH("OVERCOAT",INVENTARIO!C65)),"OVE",
IF(ISNUMBER(SEARCH("WHITE",INVENTARIO!C65)),"WHI",
IF(ISNUMBER(SEARCH("LIGHT CYAN",INVENTARIO!C65)),"LIG-CYA",
IF(ISNUMBER(SEARCH("CYAN",INVENTARIO!C65)),"CYA",
IF(ISNUMBER(SEARCH("LIGHT MAGENTA",INVENTARIO!C65)),"LIG-MAG",
IF(ISNUMBER(SEARCH("MAGENTA",INVENTARIO!C65)),"MAG",
IF(ISNUMBER(SEARCH("BLACK",INVENTARIO!C65)),"BLA",
IF(ISNUMBER(SEARCH("YELLOW",INVENTARIO!C65)),"YEL",
IF(ISNUMBER(SEARCH("2 DIODOS",INVENTARIO!C65)),"2DI",
IF(ISNUMBER(SEARCH("3 DIODOS",INVENTARIO!C65)),"3DI",
IF(OR(ISNUMBER(SEARCH("TRASLUCIDO",INVENTARIO!C65)),ISNUMBER(SEARCH("TRANSLUCIDO",INVENTARIO!C65))),"TRA",
"")))))))))))))</f>
        <v/>
      </c>
      <c r="I65" t="str">
        <f>IF(ISNUMBER(SEARCH("SILED",INVENTARIO!C70)),"SI",
IF(ISNUMBER(SEARCH("SYDEMEX",INVENTARIO!C70)),"SY",
IF(ISNUMBER(SEARCH("ROHS",INVENTARIO!C70)),"RO",
IF(ISNUMBER(SEARCH("RISHANG",INVENTARIO!C70)),"RS",
IF(ISNUMBER(SEARCH("VYG",INVENTARIO!C70)),"VYG",
IF(ISNUMBER(SEARCH("COLED",INVENTARIO!C70)),"CO",""))))))</f>
        <v/>
      </c>
    </row>
    <row r="66" spans="1:9">
      <c r="A66" t="str">
        <f>IF(ISNUMBER(SEARCH("LONA",INVENTARIO!C66)),"LON",
IF(ISNUMBER(SEARCH("VINIL",INVENTARIO!C66)),"VIN",
IF(ISNUMBER(SEARCH("KROMACOTE",INVENTARIO!C66)),"KRO",
IF(ISNUMBER(SEARCH("STARDREAM",INVENTARIO!C66)),"STA",
IF(ISNUMBER(SEARCH("DISPLAY",INVENTARIO!C66)),"DIS",
IF(ISNUMBER(SEARCH("ROLL UP",INVENTARIO!C66)),"ROL-UP",
IF(ISNUMBER(SEARCH("TRANSFER DE PAPEL",INVENTARIO!C66)),"TRA-PAP",
IF(ISNUMBER(SEARCH("TRANSFER",INVENTARIO!C66)),"TRA",IF(ISNUMBER(SEARCH("KOLA LOKA",INVENTARIO!C66)),"KOL-LOK",
IF(ISNUMBER(SEARCH("PETG",INVENTARIO!C66)),"PET",
IF(ISNUMBER(SEARCH("OJILLO",INVENTARIO!C66)),"OJI",
IF(ISNUMBER(SEARCH("COUCHE",INVENTARIO!C66)),"COU",
IF(ISNUMBER(SEARCH("PANEL DE ALUMINIO",INVENTARIO!C66)),"PAN-ALU",
IF(ISNUMBER(SEARCH("PVC",INVENTARIO!C66)),"PVC",
IF(ISNUMBER(SEARCH("PAPEL",INVENTARIO!C66)),"PAP",
IF(ISNUMBER(SEARCH("TELA",INVENTARIO!C66)),"TEL",
IF(ISNUMBER(SEARCH("CARTULINA",INVENTARIO!C66)),"CAR",
IF(OR(ISNUMBER(SEARCH("LAMINA",INVENTARIO!C66)),ISNUMBER(SEARCH("LÁMINA",INVENTARIO!C66)),ISNUMBER(SEARCH("LAMPARAS",INVENTARIO!C66))),"LAM",
IF(ISNUMBER(SEARCH("ESTIRENO",INVENTARIO!C66)),"EST",
IF(ISNUMBER(SEARCH("FOAMBOARD",INVENTARIO!C66)),"FOA",
IF(ISNUMBER(SEARCH("SOLVENTE",INVENTARIO!C66)),"SOL",
IF(ISNUMBER(SEARCH("TINTA",INVENTARIO!C66)),"TIN",
IF(ISNUMBER(SEARCH("ACRILICO",INVENTARIO!C66)),"ACR",
IF(ISNUMBER(SEARCH("MICROLED",INVENTARIO!C66)),"MIC",
IF(ISNUMBER(SEARCH("LED",INVENTARIO!C66)),"LED",
IF(ISNUMBER(SEARCH("FUENTE DE PODER",INVENTARIO!C66)),"FUE-POD",
IF(ISNUMBER(SEARCH("PETG",INVENTARIO!C66)),"PET",
IF(ISNUMBER(SEARCH("ALUMINIO",INVENTARIO!C66)),"ALU",
IF(ISNUMBER(SEARCH("CANAL",INVENTARIO!C66)),"CAN",
IF(ISNUMBER(SEARCH("ESCUADRA",INVENTARIO!C66)),"ESC",
IF(ISNUMBER(SEARCH("SOPORTE",INVENTARIO!C66)),"SOP","OTR")
))))))))))))))))))))))))))))))</f>
        <v>VIN</v>
      </c>
      <c r="B66" t="str">
        <f>IF(ISNUMBER(SEARCH("CORTE",INVENTARIO!C66)),"COR",
IF(ISNUMBER(SEARCH("CITYLIGHT",INVENTARIO!C66)),"CIT",
IF(ISNUMBER(SEARCH("LINO",INVENTARIO!C66)),"LIN",
IF(ISNUMBER(SEARCH("FABRIANO",INVENTARIO!C66)),"FAB",
IF(ISNUMBER(SEARCH("SUNDANCE",INVENTARIO!C66)),"SUN",
IF(ISNUMBER(SEARCH("SINTETICA",INVENTARIO!C66)),"SIN",
IF(ISNUMBER(SEARCH("CONTROL",INVENTARIO!C66)),"CON",
IF(ISNUMBER(SEARCH("TERMICO",INVENTARIO!C66)),"TER",
IF(ISNUMBER(SEARCH("C-15",INVENTARIO!C66)),"C15",
IF(ISNUMBER(SEARCH("C-20",INVENTARIO!C66)),"C20",
IF(ISNUMBER(SEARCH("C-30",INVENTARIO!C66)),"C30",
IF(ISNUMBER(SEARCH("C-40",INVENTARIO!C66)),"C40",
IF(ISNUMBER(SEARCH("C-60",INVENTARIO!C66)),"C60",
IF(ISNUMBER(SEARCH("C-80",INVENTARIO!C66)),"C80",
IF(ISNUMBER(SEARCH("EQUIPO",INVENTARIO!C66)),"EQU",
IF(ISNUMBER(SEARCH("FLOOR",INVENTARIO!C66)),"FLO",
IF(ISNUMBER(SEARCH("CRISTAL",INVENTARIO!C66)),"CRI",
IF(ISNUMBER(SEARCH(" SULFATADA",INVENTARIO!C77)),"SUL",
IF(ISNUMBER(SEARCH("OPALINA",INVENTARIO!C66)),"OPA",
IF(ISNUMBER(SEARCH("ADHERIBLE",INVENTARIO!C66)),"ADH",
IF(ISNUMBER(SEARCH("MICRO",INVENTARIO!C66)),"MIC","")))))))))))))))))))))</f>
        <v/>
      </c>
      <c r="C66" t="str">
        <f>IF(ISNUMBER(SEARCH("PARED",INVENTARIO!C66)),"PAR",
IF(ISNUMBER(SEARCH("FRONT",INVENTARIO!C66)),"FRO",
IF(ISNUMBER(SEARCH("ALTA RESISTENCIA",INVENTARIO!C66)),
"ALT-RES",IF(ISNUMBER(SEARCH("BACKLITE",INVENTARIO!C66)),"BAC",
IF(ISNUMBER(SEARCH("MATE",INVENTARIO!C66)),"MAT",
IF(ISNUMBER(SEARCH("MESH",INVENTARIO!C66)),"MES",
IF(ISNUMBER(SEARCH("BRILLANTE",INVENTARIO!C66)),"BRI",
IF(ISNUMBER(SEARCH("DELGADA",INVENTARIO!C66)),"DEL",
IF(ISNUMBER(SEARCH("GRUESA",INVENTARIO!C66)),"GRU",
IF(ISNUMBER(SEARCH("ESTATICO",INVENTARIO!C66)),"EST",
IF(ISNUMBER(SEARCH("REFLECTIVO",INVENTARIO!C66)),"REF",
IF(ISNUMBER(SEARCH("LX700",INVENTARIO!C66)),"LX7",
IF(ISNUMBER(SEARCH("GRANDO",INVENTARIO!C66)),"GRA",
IF(ISNUMBER(SEARCH("FB700",INVENTARIO!C66)),"FB7",
IF(ISNUMBER(SEARCH("LX360",INVENTARIO!C66)),"LX3",
IF(ISNUMBER(SEARCH("XEROX",INVENTARIO!C66)),"XER",
IF(ISNUMBER(SEARCH("CEPILLADO",INVENTARIO!C66)),"CEP",
IF(ISNUMBER(SEARCH("ESPEJO",INVENTARIO!C66)),"ESP",
IF(ISNUMBER(SEARCH("10 PTS",INVENTARIO!C66)),"10PT",
IF(ISNUMBER(SEARCH("12 PTS",INVENTARIO!C66)),"12PT",
IF(ISNUMBER(SEARCH("14 PTS",INVENTARIO!C66)),"14PT",
IF(ISNUMBER(SEARCH("CLASICO",INVENTARIO!C66)),"CLA",
""))))))))))))))))))))))</f>
        <v/>
      </c>
      <c r="D66" t="str">
        <f>IF(ISNUMBER(SEARCH("GRAN FORMATO",INVENTARIO!C66)),"GRA-FOR",
IF(ISNUMBER(SEARCH("CAMA PLANA",INVENTARIO!C66)),"CAM-PLA",
IF(ISNUMBER(SEARCH("GRADO INGENIERIA",INVENTARIO!C66)),"GRA-ING",
IF(ISNUMBER(SEARCH("130 GRS",INVENTARIO!C66)),"130GR",
IF(ISNUMBER(SEARCH("150 GRS",INVENTARIO!C66)),"150GR",
IF(ISNUMBER(SEARCH("185 GRS",INVENTARIO!C66)),"185GR",
IF(ISNUMBER(SEARCH("200 GRS",INVENTARIO!C66)),"200GR",
IF(ISNUMBER(SEARCH("250 GRS",INVENTARIO!C66)),"250GR",
IF(ISNUMBER(SEARCH("300 GRS",INVENTARIO!C66)),"300GR",
IF(ISNUMBER(SEARCH("350 GRS",INVENTARIO!C66)),"350GR",
IF(ISNUMBER(SEARCH("18 OZ",INVENTARIO!C66)),"18OZ",
IF(ISNUMBER(SEARCH("15 OZ",INVENTARIO!C66)),"15OZ",
IF(OR(ISNUMBER(SEARCH("13 OZ",INVENTARIO!C66)),ISNUMBER(SEARCH("13 ONZAS",INVENTARIO!C66))),"13OZ",
IF(OR(ISNUMBER(SEARCH("9 OZ",INVENTARIO!C66)),ISNUMBER(SEARCH("9 ONZAS",INVENTARIO!C66))),"09OZ",
IF(ISNUMBER(SEARCH("DOBLE CARA",INVENTARIO!C66)),"DOB-CAR",
"")))))))))))))))</f>
        <v/>
      </c>
      <c r="E66" t="str">
        <f>IF(OR(ISNUMBER(SEARCH("TRANSPARENTE",INVENTARIO!C66)),ISNUMBER(SEARCH("TRANSPARENTES",INVENTARIO!C66))),"TRA",
IF(OR(ISNUMBER(SEARCH("BLANCO",INVENTARIO!C66)),ISNUMBER(SEARCH("BCO",INVENTARIO!C66))),"BLA",
IF(ISNUMBER(SEARCH("FOTOGRAFICO",INVENTARIO!C66)),"FOT",
IF(ISNUMBER(SEARCH("MARFIL",INVENTARIO!C66)),"MAR",
IF(ISNUMBER(SEARCH("VERDE",INVENTARIO!C66)),"VER",
IF(ISNUMBER(SEARCH("MORADO",INVENTARIO!C66)),"MOR",
IF(ISNUMBER(SEARCH("PLATA",INVENTARIO!C66)),"PLA",
IF(ISNUMBER(SEARCH("ORO",INVENTARIO!C66)),"ORO",
IF(ISNUMBER(SEARCH("AMARILLO",INVENTARIO!C66)),"AMA",
IF(ISNUMBER(SEARCH("NARANJA",INVENTARIO!C66)),"NAR",
IF(ISNUMBER(SEARCH("NEGRO",INVENTARIO!C66)),"NEG",
IF(ISNUMBER(SEARCH("ROJO",INVENTARIO!C66)),"ROJ",
IF(ISNUMBER(SEARCH("AZUL",INVENTARIO!C66)),"AZU","")))))))))))))</f>
        <v>TRA</v>
      </c>
      <c r="F66" t="str">
        <f>IF(ISNUMBER(SEARCH("ARLON",INVENTARIO!C66)),"ARL",
IF(ISNUMBER(SEARCH("SUNTHINKS",INVENTARIO!C66)),"SUN",
IF(ISNUMBER(SEARCH("FRIO",INVENTARIO!C66)),"FRI",
IF(ISNUMBER(SEARCH("CALIDO",INVENTARIO!C66)),"CAL",
IF(ISNUMBER(SEARCH("CEPILLADO",INVENTARIO!C66)),"CEP",
IF(ISNUMBER(SEARCH("ESPEJO",INVENTARIO!C66)),"ESP",
""))))))</f>
        <v/>
      </c>
      <c r="G66" t="str">
        <f>IF(ISNUMBER(SEARCH("LATEX",INVENTARIO!C66)),"LAT",
IF(ISNUMBER(SEARCH("RESP. NEGRO",INVENTARIO!C66)),"RES-NEG",
IF(ISNUMBER(SEARCH("RESPALDO CAFE",INVENTARIO!C66)),"RES-CAF",
IF(ISNUMBER(SEARCH("RESPALDO GRIS",INVENTARIO!C66)),"RES-GRI",
IF(ISNUMBER(SEARCH("OPTICO",INVENTARIO!C66)),"OPT",
IF(ISNUMBER(SEARCH("1,2 MM",INVENTARIO!C66)),"1MM2",
IF(ISNUMBER(SEARCH("2 MM",INVENTARIO!C66)),"2MM",
IF(ISNUMBER(SEARCH("3 MM",INVENTARIO!C66)),"3MM",
IF(ISNUMBER(SEARCH("4 MM",INVENTARIO!C66)),"4MM",
IF(ISNUMBER(SEARCH("5 MM",INVENTARIO!C66)),"5MM",
IF(ISNUMBER(SEARCH("6 MM",INVENTARIO!C66)),"6MM",
IF(ISNUMBER(SEARCH("9 MM",INVENTARIO!C66)),"9MM",
IF(ISNUMBER(SEARCH("10 MM",INVENTARIO!C66)),"10MM","")))))))))))))</f>
        <v/>
      </c>
      <c r="H66" t="str">
        <f>IF(ISNUMBER(SEARCH("GAMA BAJA",INVENTARIO!C66)),"GAM-BAJ",
IF(ISNUMBER(SEARCH("OPTIMIZADOR",INVENTARIO!C66)),"OPT",
IF(ISNUMBER(SEARCH("OVERCOAT",INVENTARIO!C66)),"OVE",
IF(ISNUMBER(SEARCH("WHITE",INVENTARIO!C66)),"WHI",
IF(ISNUMBER(SEARCH("LIGHT CYAN",INVENTARIO!C66)),"LIG-CYA",
IF(ISNUMBER(SEARCH("CYAN",INVENTARIO!C66)),"CYA",
IF(ISNUMBER(SEARCH("LIGHT MAGENTA",INVENTARIO!C66)),"LIG-MAG",
IF(ISNUMBER(SEARCH("MAGENTA",INVENTARIO!C66)),"MAG",
IF(ISNUMBER(SEARCH("BLACK",INVENTARIO!C66)),"BLA",
IF(ISNUMBER(SEARCH("YELLOW",INVENTARIO!C66)),"YEL",
IF(ISNUMBER(SEARCH("2 DIODOS",INVENTARIO!C66)),"2DI",
IF(ISNUMBER(SEARCH("3 DIODOS",INVENTARIO!C66)),"3DI",
IF(OR(ISNUMBER(SEARCH("TRASLUCIDO",INVENTARIO!C66)),ISNUMBER(SEARCH("TRANSLUCIDO",INVENTARIO!C66))),"TRA",
"")))))))))))))</f>
        <v/>
      </c>
      <c r="I66" t="str">
        <f>IF(ISNUMBER(SEARCH("SILED",INVENTARIO!C71)),"SI",
IF(ISNUMBER(SEARCH("SYDEMEX",INVENTARIO!C71)),"SY",
IF(ISNUMBER(SEARCH("ROHS",INVENTARIO!C71)),"RO",
IF(ISNUMBER(SEARCH("RISHANG",INVENTARIO!C71)),"RS",
IF(ISNUMBER(SEARCH("VYG",INVENTARIO!C71)),"VYG",
IF(ISNUMBER(SEARCH("COLED",INVENTARIO!C71)),"CO",""))))))</f>
        <v/>
      </c>
    </row>
    <row r="67" spans="1:9">
      <c r="A67" t="str">
        <f>IF(ISNUMBER(SEARCH("LONA",INVENTARIO!C67)),"LON",
IF(ISNUMBER(SEARCH("VINIL",INVENTARIO!C67)),"VIN",
IF(ISNUMBER(SEARCH("KROMACOTE",INVENTARIO!C67)),"KRO",
IF(ISNUMBER(SEARCH("STARDREAM",INVENTARIO!C67)),"STA",
IF(ISNUMBER(SEARCH("DISPLAY",INVENTARIO!C67)),"DIS",
IF(ISNUMBER(SEARCH("ROLL UP",INVENTARIO!C67)),"ROL-UP",
IF(ISNUMBER(SEARCH("TRANSFER DE PAPEL",INVENTARIO!C67)),"TRA-PAP",
IF(ISNUMBER(SEARCH("TRANSFER",INVENTARIO!C67)),"TRA",IF(ISNUMBER(SEARCH("KOLA LOKA",INVENTARIO!C67)),"KOL-LOK",
IF(ISNUMBER(SEARCH("PETG",INVENTARIO!C67)),"PET",
IF(ISNUMBER(SEARCH("OJILLO",INVENTARIO!C67)),"OJI",
IF(ISNUMBER(SEARCH("COUCHE",INVENTARIO!C67)),"COU",
IF(ISNUMBER(SEARCH("PANEL DE ALUMINIO",INVENTARIO!C67)),"PAN-ALU",
IF(ISNUMBER(SEARCH("PVC",INVENTARIO!C67)),"PVC",
IF(ISNUMBER(SEARCH("PAPEL",INVENTARIO!C67)),"PAP",
IF(ISNUMBER(SEARCH("TELA",INVENTARIO!C67)),"TEL",
IF(ISNUMBER(SEARCH("CARTULINA",INVENTARIO!C67)),"CAR",
IF(OR(ISNUMBER(SEARCH("LAMINA",INVENTARIO!C67)),ISNUMBER(SEARCH("LÁMINA",INVENTARIO!C67)),ISNUMBER(SEARCH("LAMPARAS",INVENTARIO!C67))),"LAM",
IF(ISNUMBER(SEARCH("ESTIRENO",INVENTARIO!C67)),"EST",
IF(ISNUMBER(SEARCH("FOAMBOARD",INVENTARIO!C67)),"FOA",
IF(ISNUMBER(SEARCH("SOLVENTE",INVENTARIO!C67)),"SOL",
IF(ISNUMBER(SEARCH("TINTA",INVENTARIO!C67)),"TIN",
IF(ISNUMBER(SEARCH("ACRILICO",INVENTARIO!C67)),"ACR",
IF(ISNUMBER(SEARCH("MICROLED",INVENTARIO!C67)),"MIC",
IF(ISNUMBER(SEARCH("LED",INVENTARIO!C67)),"LED",
IF(ISNUMBER(SEARCH("FUENTE DE PODER",INVENTARIO!C67)),"FUE-POD",
IF(ISNUMBER(SEARCH("PETG",INVENTARIO!C67)),"PET",
IF(ISNUMBER(SEARCH("ALUMINIO",INVENTARIO!C67)),"ALU",
IF(ISNUMBER(SEARCH("CANAL",INVENTARIO!C67)),"CAN",
IF(ISNUMBER(SEARCH("ESCUADRA",INVENTARIO!C67)),"ESC",
IF(ISNUMBER(SEARCH("SOPORTE",INVENTARIO!C67)),"SOP","OTR")
))))))))))))))))))))))))))))))</f>
        <v>VIN</v>
      </c>
      <c r="B67" t="str">
        <f>IF(ISNUMBER(SEARCH("CORTE",INVENTARIO!C67)),"COR",
IF(ISNUMBER(SEARCH("CITYLIGHT",INVENTARIO!C67)),"CIT",
IF(ISNUMBER(SEARCH("LINO",INVENTARIO!C67)),"LIN",
IF(ISNUMBER(SEARCH("FABRIANO",INVENTARIO!C67)),"FAB",
IF(ISNUMBER(SEARCH("SUNDANCE",INVENTARIO!C67)),"SUN",
IF(ISNUMBER(SEARCH("SINTETICA",INVENTARIO!C67)),"SIN",
IF(ISNUMBER(SEARCH("CONTROL",INVENTARIO!C67)),"CON",
IF(ISNUMBER(SEARCH("TERMICO",INVENTARIO!C67)),"TER",
IF(ISNUMBER(SEARCH("C-15",INVENTARIO!C67)),"C15",
IF(ISNUMBER(SEARCH("C-20",INVENTARIO!C67)),"C20",
IF(ISNUMBER(SEARCH("C-30",INVENTARIO!C67)),"C30",
IF(ISNUMBER(SEARCH("C-40",INVENTARIO!C67)),"C40",
IF(ISNUMBER(SEARCH("C-60",INVENTARIO!C67)),"C60",
IF(ISNUMBER(SEARCH("C-80",INVENTARIO!C67)),"C80",
IF(ISNUMBER(SEARCH("EQUIPO",INVENTARIO!C67)),"EQU",
IF(ISNUMBER(SEARCH("FLOOR",INVENTARIO!C67)),"FLO",
IF(ISNUMBER(SEARCH("CRISTAL",INVENTARIO!C67)),"CRI",
IF(ISNUMBER(SEARCH(" SULFATADA",INVENTARIO!C78)),"SUL",
IF(ISNUMBER(SEARCH("OPALINA",INVENTARIO!C67)),"OPA",
IF(ISNUMBER(SEARCH("ADHERIBLE",INVENTARIO!C67)),"ADH",
IF(ISNUMBER(SEARCH("MICRO",INVENTARIO!C67)),"MIC","")))))))))))))))))))))</f>
        <v>MIC</v>
      </c>
      <c r="C67" t="str">
        <f>IF(ISNUMBER(SEARCH("PARED",INVENTARIO!C67)),"PAR",
IF(ISNUMBER(SEARCH("FRONT",INVENTARIO!C67)),"FRO",
IF(ISNUMBER(SEARCH("ALTA RESISTENCIA",INVENTARIO!C67)),
"ALT-RES",IF(ISNUMBER(SEARCH("BACKLITE",INVENTARIO!C67)),"BAC",
IF(ISNUMBER(SEARCH("MATE",INVENTARIO!C67)),"MAT",
IF(ISNUMBER(SEARCH("MESH",INVENTARIO!C67)),"MES",
IF(ISNUMBER(SEARCH("BRILLANTE",INVENTARIO!C67)),"BRI",
IF(ISNUMBER(SEARCH("DELGADA",INVENTARIO!C67)),"DEL",
IF(ISNUMBER(SEARCH("GRUESA",INVENTARIO!C67)),"GRU",
IF(ISNUMBER(SEARCH("ESTATICO",INVENTARIO!C67)),"EST",
IF(ISNUMBER(SEARCH("REFLECTIVO",INVENTARIO!C67)),"REF",
IF(ISNUMBER(SEARCH("LX700",INVENTARIO!C67)),"LX7",
IF(ISNUMBER(SEARCH("GRANDO",INVENTARIO!C67)),"GRA",
IF(ISNUMBER(SEARCH("FB700",INVENTARIO!C67)),"FB7",
IF(ISNUMBER(SEARCH("LX360",INVENTARIO!C67)),"LX3",
IF(ISNUMBER(SEARCH("XEROX",INVENTARIO!C67)),"XER",
IF(ISNUMBER(SEARCH("CEPILLADO",INVENTARIO!C67)),"CEP",
IF(ISNUMBER(SEARCH("ESPEJO",INVENTARIO!C67)),"ESP",
IF(ISNUMBER(SEARCH("10 PTS",INVENTARIO!C67)),"10PT",
IF(ISNUMBER(SEARCH("12 PTS",INVENTARIO!C67)),"12PT",
IF(ISNUMBER(SEARCH("14 PTS",INVENTARIO!C67)),"14PT",
IF(ISNUMBER(SEARCH("CLASICO",INVENTARIO!C67)),"CLA",
""))))))))))))))))))))))</f>
        <v/>
      </c>
      <c r="D67" t="str">
        <f>IF(ISNUMBER(SEARCH("GRAN FORMATO",INVENTARIO!C67)),"GRA-FOR",
IF(ISNUMBER(SEARCH("CAMA PLANA",INVENTARIO!C67)),"CAM-PLA",
IF(ISNUMBER(SEARCH("GRADO INGENIERIA",INVENTARIO!C67)),"GRA-ING",
IF(ISNUMBER(SEARCH("130 GRS",INVENTARIO!C67)),"130GR",
IF(ISNUMBER(SEARCH("150 GRS",INVENTARIO!C67)),"150GR",
IF(ISNUMBER(SEARCH("185 GRS",INVENTARIO!C67)),"185GR",
IF(ISNUMBER(SEARCH("200 GRS",INVENTARIO!C67)),"200GR",
IF(ISNUMBER(SEARCH("250 GRS",INVENTARIO!C67)),"250GR",
IF(ISNUMBER(SEARCH("300 GRS",INVENTARIO!C67)),"300GR",
IF(ISNUMBER(SEARCH("350 GRS",INVENTARIO!C67)),"350GR",
IF(ISNUMBER(SEARCH("18 OZ",INVENTARIO!C67)),"18OZ",
IF(ISNUMBER(SEARCH("15 OZ",INVENTARIO!C67)),"15OZ",
IF(OR(ISNUMBER(SEARCH("13 OZ",INVENTARIO!C67)),ISNUMBER(SEARCH("13 ONZAS",INVENTARIO!C67))),"13OZ",
IF(OR(ISNUMBER(SEARCH("9 OZ",INVENTARIO!C67)),ISNUMBER(SEARCH("9 ONZAS",INVENTARIO!C67))),"09OZ",
IF(ISNUMBER(SEARCH("DOBLE CARA",INVENTARIO!C67)),"DOB-CAR",
"")))))))))))))))</f>
        <v/>
      </c>
      <c r="E67" t="str">
        <f>IF(OR(ISNUMBER(SEARCH("TRANSPARENTE",INVENTARIO!C67)),ISNUMBER(SEARCH("TRANSPARENTES",INVENTARIO!C67))),"TRA",
IF(OR(ISNUMBER(SEARCH("BLANCO",INVENTARIO!C67)),ISNUMBER(SEARCH("BCO",INVENTARIO!C67))),"BLA",
IF(ISNUMBER(SEARCH("FOTOGRAFICO",INVENTARIO!C67)),"FOT",
IF(ISNUMBER(SEARCH("MARFIL",INVENTARIO!C67)),"MAR",
IF(ISNUMBER(SEARCH("VERDE",INVENTARIO!C67)),"VER",
IF(ISNUMBER(SEARCH("MORADO",INVENTARIO!C67)),"MOR",
IF(ISNUMBER(SEARCH("PLATA",INVENTARIO!C67)),"PLA",
IF(ISNUMBER(SEARCH("ORO",INVENTARIO!C67)),"ORO",
IF(ISNUMBER(SEARCH("AMARILLO",INVENTARIO!C67)),"AMA",
IF(ISNUMBER(SEARCH("NARANJA",INVENTARIO!C67)),"NAR",
IF(ISNUMBER(SEARCH("NEGRO",INVENTARIO!C67)),"NEG",
IF(ISNUMBER(SEARCH("ROJO",INVENTARIO!C67)),"ROJ",
IF(ISNUMBER(SEARCH("AZUL",INVENTARIO!C67)),"AZU","")))))))))))))</f>
        <v/>
      </c>
      <c r="F67" t="str">
        <f>IF(ISNUMBER(SEARCH("ARLON",INVENTARIO!C67)),"ARL",
IF(ISNUMBER(SEARCH("SUNTHINKS",INVENTARIO!C67)),"SUN",
IF(ISNUMBER(SEARCH("FRIO",INVENTARIO!C67)),"FRI",
IF(ISNUMBER(SEARCH("CALIDO",INVENTARIO!C67)),"CAL",
IF(ISNUMBER(SEARCH("CEPILLADO",INVENTARIO!C67)),"CEP",
IF(ISNUMBER(SEARCH("ESPEJO",INVENTARIO!C67)),"ESP",
""))))))</f>
        <v/>
      </c>
      <c r="G67" t="str">
        <f>IF(ISNUMBER(SEARCH("LATEX",INVENTARIO!C67)),"LAT",
IF(ISNUMBER(SEARCH("RESP. NEGRO",INVENTARIO!C67)),"RES-NEG",
IF(ISNUMBER(SEARCH("RESPALDO CAFE",INVENTARIO!C67)),"RES-CAF",
IF(ISNUMBER(SEARCH("RESPALDO GRIS",INVENTARIO!C67)),"RES-GRI",
IF(ISNUMBER(SEARCH("OPTICO",INVENTARIO!C67)),"OPT",
IF(ISNUMBER(SEARCH("1,2 MM",INVENTARIO!C67)),"1MM2",
IF(ISNUMBER(SEARCH("2 MM",INVENTARIO!C67)),"2MM",
IF(ISNUMBER(SEARCH("3 MM",INVENTARIO!C67)),"3MM",
IF(ISNUMBER(SEARCH("4 MM",INVENTARIO!C67)),"4MM",
IF(ISNUMBER(SEARCH("5 MM",INVENTARIO!C67)),"5MM",
IF(ISNUMBER(SEARCH("6 MM",INVENTARIO!C67)),"6MM",
IF(ISNUMBER(SEARCH("9 MM",INVENTARIO!C67)),"9MM",
IF(ISNUMBER(SEARCH("10 MM",INVENTARIO!C67)),"10MM","")))))))))))))</f>
        <v/>
      </c>
      <c r="H67" t="str">
        <f>IF(ISNUMBER(SEARCH("GAMA BAJA",INVENTARIO!C67)),"GAM-BAJ",
IF(ISNUMBER(SEARCH("OPTIMIZADOR",INVENTARIO!C67)),"OPT",
IF(ISNUMBER(SEARCH("OVERCOAT",INVENTARIO!C67)),"OVE",
IF(ISNUMBER(SEARCH("WHITE",INVENTARIO!C67)),"WHI",
IF(ISNUMBER(SEARCH("LIGHT CYAN",INVENTARIO!C67)),"LIG-CYA",
IF(ISNUMBER(SEARCH("CYAN",INVENTARIO!C67)),"CYA",
IF(ISNUMBER(SEARCH("LIGHT MAGENTA",INVENTARIO!C67)),"LIG-MAG",
IF(ISNUMBER(SEARCH("MAGENTA",INVENTARIO!C67)),"MAG",
IF(ISNUMBER(SEARCH("BLACK",INVENTARIO!C67)),"BLA",
IF(ISNUMBER(SEARCH("YELLOW",INVENTARIO!C67)),"YEL",
IF(ISNUMBER(SEARCH("2 DIODOS",INVENTARIO!C67)),"2DI",
IF(ISNUMBER(SEARCH("3 DIODOS",INVENTARIO!C67)),"3DI",
IF(OR(ISNUMBER(SEARCH("TRASLUCIDO",INVENTARIO!C67)),ISNUMBER(SEARCH("TRANSLUCIDO",INVENTARIO!C67))),"TRA",
"")))))))))))))</f>
        <v/>
      </c>
      <c r="I67" t="str">
        <f>IF(ISNUMBER(SEARCH("SILED",INVENTARIO!C72)),"SI",
IF(ISNUMBER(SEARCH("SYDEMEX",INVENTARIO!C72)),"SY",
IF(ISNUMBER(SEARCH("ROHS",INVENTARIO!C72)),"RO",
IF(ISNUMBER(SEARCH("RISHANG",INVENTARIO!C72)),"RS",
IF(ISNUMBER(SEARCH("VYG",INVENTARIO!C72)),"VYG",
IF(ISNUMBER(SEARCH("COLED",INVENTARIO!C72)),"CO",""))))))</f>
        <v/>
      </c>
    </row>
    <row r="68" spans="1:9">
      <c r="A68" t="str">
        <f>IF(ISNUMBER(SEARCH("LONA",INVENTARIO!C68)),"LON",
IF(ISNUMBER(SEARCH("VINIL",INVENTARIO!C68)),"VIN",
IF(ISNUMBER(SEARCH("KROMACOTE",INVENTARIO!C68)),"KRO",
IF(ISNUMBER(SEARCH("STARDREAM",INVENTARIO!C68)),"STA",
IF(ISNUMBER(SEARCH("DISPLAY",INVENTARIO!C68)),"DIS",
IF(ISNUMBER(SEARCH("ROLL UP",INVENTARIO!C68)),"ROL-UP",
IF(ISNUMBER(SEARCH("TRANSFER DE PAPEL",INVENTARIO!C68)),"TRA-PAP",
IF(ISNUMBER(SEARCH("TRANSFER",INVENTARIO!C68)),"TRA",IF(ISNUMBER(SEARCH("KOLA LOKA",INVENTARIO!C68)),"KOL-LOK",
IF(ISNUMBER(SEARCH("PETG",INVENTARIO!C68)),"PET",
IF(ISNUMBER(SEARCH("OJILLO",INVENTARIO!C68)),"OJI",
IF(ISNUMBER(SEARCH("COUCHE",INVENTARIO!C68)),"COU",
IF(ISNUMBER(SEARCH("PANEL DE ALUMINIO",INVENTARIO!C68)),"PAN-ALU",
IF(ISNUMBER(SEARCH("PVC",INVENTARIO!C68)),"PVC",
IF(ISNUMBER(SEARCH("PAPEL",INVENTARIO!C68)),"PAP",
IF(ISNUMBER(SEARCH("TELA",INVENTARIO!C68)),"TEL",
IF(ISNUMBER(SEARCH("CARTULINA",INVENTARIO!C68)),"CAR",
IF(OR(ISNUMBER(SEARCH("LAMINA",INVENTARIO!C68)),ISNUMBER(SEARCH("LÁMINA",INVENTARIO!C68)),ISNUMBER(SEARCH("LAMPARAS",INVENTARIO!C68))),"LAM",
IF(ISNUMBER(SEARCH("ESTIRENO",INVENTARIO!C68)),"EST",
IF(ISNUMBER(SEARCH("FOAMBOARD",INVENTARIO!C68)),"FOA",
IF(ISNUMBER(SEARCH("SOLVENTE",INVENTARIO!C68)),"SOL",
IF(ISNUMBER(SEARCH("TINTA",INVENTARIO!C68)),"TIN",
IF(ISNUMBER(SEARCH("ACRILICO",INVENTARIO!C68)),"ACR",
IF(ISNUMBER(SEARCH("MICROLED",INVENTARIO!C68)),"MIC",
IF(ISNUMBER(SEARCH("LED",INVENTARIO!C68)),"LED",
IF(ISNUMBER(SEARCH("FUENTE DE PODER",INVENTARIO!C68)),"FUE-POD",
IF(ISNUMBER(SEARCH("PETG",INVENTARIO!C68)),"PET",
IF(ISNUMBER(SEARCH("ALUMINIO",INVENTARIO!C68)),"ALU",
IF(ISNUMBER(SEARCH("CANAL",INVENTARIO!C68)),"CAN",
IF(ISNUMBER(SEARCH("ESCUADRA",INVENTARIO!C68)),"ESC",
IF(ISNUMBER(SEARCH("SOPORTE",INVENTARIO!C68)),"SOP","OTR")
))))))))))))))))))))))))))))))</f>
        <v>VIN</v>
      </c>
      <c r="B68" t="str">
        <f>IF(ISNUMBER(SEARCH("CORTE",INVENTARIO!C68)),"COR",
IF(ISNUMBER(SEARCH("CITYLIGHT",INVENTARIO!C68)),"CIT",
IF(ISNUMBER(SEARCH("LINO",INVENTARIO!C68)),"LIN",
IF(ISNUMBER(SEARCH("FABRIANO",INVENTARIO!C68)),"FAB",
IF(ISNUMBER(SEARCH("SUNDANCE",INVENTARIO!C68)),"SUN",
IF(ISNUMBER(SEARCH("SINTETICA",INVENTARIO!C68)),"SIN",
IF(ISNUMBER(SEARCH("CONTROL",INVENTARIO!C68)),"CON",
IF(ISNUMBER(SEARCH("TERMICO",INVENTARIO!C68)),"TER",
IF(ISNUMBER(SEARCH("C-15",INVENTARIO!C68)),"C15",
IF(ISNUMBER(SEARCH("C-20",INVENTARIO!C68)),"C20",
IF(ISNUMBER(SEARCH("C-30",INVENTARIO!C68)),"C30",
IF(ISNUMBER(SEARCH("C-40",INVENTARIO!C68)),"C40",
IF(ISNUMBER(SEARCH("C-60",INVENTARIO!C68)),"C60",
IF(ISNUMBER(SEARCH("C-80",INVENTARIO!C68)),"C80",
IF(ISNUMBER(SEARCH("EQUIPO",INVENTARIO!C68)),"EQU",
IF(ISNUMBER(SEARCH("FLOOR",INVENTARIO!C68)),"FLO",
IF(ISNUMBER(SEARCH("CRISTAL",INVENTARIO!C68)),"CRI",
IF(ISNUMBER(SEARCH(" SULFATADA",INVENTARIO!C79)),"SUL",
IF(ISNUMBER(SEARCH("OPALINA",INVENTARIO!C68)),"OPA",
IF(ISNUMBER(SEARCH("ADHERIBLE",INVENTARIO!C68)),"ADH",
IF(ISNUMBER(SEARCH("MICRO",INVENTARIO!C68)),"MIC","")))))))))))))))))))))</f>
        <v>MIC</v>
      </c>
      <c r="C68" t="str">
        <f>IF(ISNUMBER(SEARCH("PARED",INVENTARIO!C68)),"PAR",
IF(ISNUMBER(SEARCH("FRONT",INVENTARIO!C68)),"FRO",
IF(ISNUMBER(SEARCH("ALTA RESISTENCIA",INVENTARIO!C68)),
"ALT-RES",IF(ISNUMBER(SEARCH("BACKLITE",INVENTARIO!C68)),"BAC",
IF(ISNUMBER(SEARCH("MATE",INVENTARIO!C68)),"MAT",
IF(ISNUMBER(SEARCH("MESH",INVENTARIO!C68)),"MES",
IF(ISNUMBER(SEARCH("BRILLANTE",INVENTARIO!C68)),"BRI",
IF(ISNUMBER(SEARCH("DELGADA",INVENTARIO!C68)),"DEL",
IF(ISNUMBER(SEARCH("GRUESA",INVENTARIO!C68)),"GRU",
IF(ISNUMBER(SEARCH("ESTATICO",INVENTARIO!C68)),"EST",
IF(ISNUMBER(SEARCH("REFLECTIVO",INVENTARIO!C68)),"REF",
IF(ISNUMBER(SEARCH("LX700",INVENTARIO!C68)),"LX7",
IF(ISNUMBER(SEARCH("GRANDO",INVENTARIO!C68)),"GRA",
IF(ISNUMBER(SEARCH("FB700",INVENTARIO!C68)),"FB7",
IF(ISNUMBER(SEARCH("LX360",INVENTARIO!C68)),"LX3",
IF(ISNUMBER(SEARCH("XEROX",INVENTARIO!C68)),"XER",
IF(ISNUMBER(SEARCH("CEPILLADO",INVENTARIO!C68)),"CEP",
IF(ISNUMBER(SEARCH("ESPEJO",INVENTARIO!C68)),"ESP",
IF(ISNUMBER(SEARCH("10 PTS",INVENTARIO!C68)),"10PT",
IF(ISNUMBER(SEARCH("12 PTS",INVENTARIO!C68)),"12PT",
IF(ISNUMBER(SEARCH("14 PTS",INVENTARIO!C68)),"14PT",
IF(ISNUMBER(SEARCH("CLASICO",INVENTARIO!C68)),"CLA",
""))))))))))))))))))))))</f>
        <v/>
      </c>
      <c r="D68" t="str">
        <f>IF(ISNUMBER(SEARCH("GRAN FORMATO",INVENTARIO!C68)),"GRA-FOR",
IF(ISNUMBER(SEARCH("CAMA PLANA",INVENTARIO!C68)),"CAM-PLA",
IF(ISNUMBER(SEARCH("GRADO INGENIERIA",INVENTARIO!C68)),"GRA-ING",
IF(ISNUMBER(SEARCH("130 GRS",INVENTARIO!C68)),"130GR",
IF(ISNUMBER(SEARCH("150 GRS",INVENTARIO!C68)),"150GR",
IF(ISNUMBER(SEARCH("185 GRS",INVENTARIO!C68)),"185GR",
IF(ISNUMBER(SEARCH("200 GRS",INVENTARIO!C68)),"200GR",
IF(ISNUMBER(SEARCH("250 GRS",INVENTARIO!C68)),"250GR",
IF(ISNUMBER(SEARCH("300 GRS",INVENTARIO!C68)),"300GR",
IF(ISNUMBER(SEARCH("350 GRS",INVENTARIO!C68)),"350GR",
IF(ISNUMBER(SEARCH("18 OZ",INVENTARIO!C68)),"18OZ",
IF(ISNUMBER(SEARCH("15 OZ",INVENTARIO!C68)),"15OZ",
IF(OR(ISNUMBER(SEARCH("13 OZ",INVENTARIO!C68)),ISNUMBER(SEARCH("13 ONZAS",INVENTARIO!C68))),"13OZ",
IF(OR(ISNUMBER(SEARCH("9 OZ",INVENTARIO!C68)),ISNUMBER(SEARCH("9 ONZAS",INVENTARIO!C68))),"09OZ",
IF(ISNUMBER(SEARCH("DOBLE CARA",INVENTARIO!C68)),"DOB-CAR",
"")))))))))))))))</f>
        <v/>
      </c>
      <c r="E68" t="str">
        <f>IF(OR(ISNUMBER(SEARCH("TRANSPARENTE",INVENTARIO!C68)),ISNUMBER(SEARCH("TRANSPARENTES",INVENTARIO!C68))),"TRA",
IF(OR(ISNUMBER(SEARCH("BLANCO",INVENTARIO!C68)),ISNUMBER(SEARCH("BCO",INVENTARIO!C68))),"BLA",
IF(ISNUMBER(SEARCH("FOTOGRAFICO",INVENTARIO!C68)),"FOT",
IF(ISNUMBER(SEARCH("MARFIL",INVENTARIO!C68)),"MAR",
IF(ISNUMBER(SEARCH("VERDE",INVENTARIO!C68)),"VER",
IF(ISNUMBER(SEARCH("MORADO",INVENTARIO!C68)),"MOR",
IF(ISNUMBER(SEARCH("PLATA",INVENTARIO!C68)),"PLA",
IF(ISNUMBER(SEARCH("ORO",INVENTARIO!C68)),"ORO",
IF(ISNUMBER(SEARCH("AMARILLO",INVENTARIO!C68)),"AMA",
IF(ISNUMBER(SEARCH("NARANJA",INVENTARIO!C68)),"NAR",
IF(ISNUMBER(SEARCH("NEGRO",INVENTARIO!C68)),"NEG",
IF(ISNUMBER(SEARCH("ROJO",INVENTARIO!C68)),"ROJ",
IF(ISNUMBER(SEARCH("AZUL",INVENTARIO!C68)),"AZU","")))))))))))))</f>
        <v/>
      </c>
      <c r="F68" t="str">
        <f>IF(ISNUMBER(SEARCH("ARLON",INVENTARIO!C68)),"ARL",
IF(ISNUMBER(SEARCH("SUNTHINKS",INVENTARIO!C68)),"SUN",
IF(ISNUMBER(SEARCH("FRIO",INVENTARIO!C68)),"FRI",
IF(ISNUMBER(SEARCH("CALIDO",INVENTARIO!C68)),"CAL",
IF(ISNUMBER(SEARCH("CEPILLADO",INVENTARIO!C68)),"CEP",
IF(ISNUMBER(SEARCH("ESPEJO",INVENTARIO!C68)),"ESP",
""))))))</f>
        <v/>
      </c>
      <c r="G68" t="str">
        <f>IF(ISNUMBER(SEARCH("LATEX",INVENTARIO!C68)),"LAT",
IF(ISNUMBER(SEARCH("RESP. NEGRO",INVENTARIO!C68)),"RES-NEG",
IF(ISNUMBER(SEARCH("RESPALDO CAFE",INVENTARIO!C68)),"RES-CAF",
IF(ISNUMBER(SEARCH("RESPALDO GRIS",INVENTARIO!C68)),"RES-GRI",
IF(ISNUMBER(SEARCH("OPTICO",INVENTARIO!C68)),"OPT",
IF(ISNUMBER(SEARCH("1,2 MM",INVENTARIO!C68)),"1MM2",
IF(ISNUMBER(SEARCH("2 MM",INVENTARIO!C68)),"2MM",
IF(ISNUMBER(SEARCH("3 MM",INVENTARIO!C68)),"3MM",
IF(ISNUMBER(SEARCH("4 MM",INVENTARIO!C68)),"4MM",
IF(ISNUMBER(SEARCH("5 MM",INVENTARIO!C68)),"5MM",
IF(ISNUMBER(SEARCH("6 MM",INVENTARIO!C68)),"6MM",
IF(ISNUMBER(SEARCH("9 MM",INVENTARIO!C68)),"9MM",
IF(ISNUMBER(SEARCH("10 MM",INVENTARIO!C68)),"10MM","")))))))))))))</f>
        <v/>
      </c>
      <c r="H68" t="str">
        <f>IF(ISNUMBER(SEARCH("GAMA BAJA",INVENTARIO!C68)),"GAM-BAJ",
IF(ISNUMBER(SEARCH("OPTIMIZADOR",INVENTARIO!C68)),"OPT",
IF(ISNUMBER(SEARCH("OVERCOAT",INVENTARIO!C68)),"OVE",
IF(ISNUMBER(SEARCH("WHITE",INVENTARIO!C68)),"WHI",
IF(ISNUMBER(SEARCH("LIGHT CYAN",INVENTARIO!C68)),"LIG-CYA",
IF(ISNUMBER(SEARCH("CYAN",INVENTARIO!C68)),"CYA",
IF(ISNUMBER(SEARCH("LIGHT MAGENTA",INVENTARIO!C68)),"LIG-MAG",
IF(ISNUMBER(SEARCH("MAGENTA",INVENTARIO!C68)),"MAG",
IF(ISNUMBER(SEARCH("BLACK",INVENTARIO!C68)),"BLA",
IF(ISNUMBER(SEARCH("YELLOW",INVENTARIO!C68)),"YEL",
IF(ISNUMBER(SEARCH("2 DIODOS",INVENTARIO!C68)),"2DI",
IF(ISNUMBER(SEARCH("3 DIODOS",INVENTARIO!C68)),"3DI",
IF(OR(ISNUMBER(SEARCH("TRASLUCIDO",INVENTARIO!C68)),ISNUMBER(SEARCH("TRANSLUCIDO",INVENTARIO!C68))),"TRA",
"")))))))))))))</f>
        <v/>
      </c>
      <c r="I68" t="str">
        <f>IF(ISNUMBER(SEARCH("SILED",INVENTARIO!C73)),"SI",
IF(ISNUMBER(SEARCH("SYDEMEX",INVENTARIO!C73)),"SY",
IF(ISNUMBER(SEARCH("ROHS",INVENTARIO!C73)),"RO",
IF(ISNUMBER(SEARCH("RISHANG",INVENTARIO!C73)),"RS",
IF(ISNUMBER(SEARCH("VYG",INVENTARIO!C73)),"VYG",
IF(ISNUMBER(SEARCH("COLED",INVENTARIO!C73)),"CO",""))))))</f>
        <v/>
      </c>
    </row>
    <row r="69" spans="1:9">
      <c r="A69" t="str">
        <f>IF(ISNUMBER(SEARCH("LONA",INVENTARIO!C69)),"LON",
IF(ISNUMBER(SEARCH("VINIL",INVENTARIO!C69)),"VIN",
IF(ISNUMBER(SEARCH("KROMACOTE",INVENTARIO!C69)),"KRO",
IF(ISNUMBER(SEARCH("STARDREAM",INVENTARIO!C69)),"STA",
IF(ISNUMBER(SEARCH("DISPLAY",INVENTARIO!C69)),"DIS",
IF(ISNUMBER(SEARCH("ROLL UP",INVENTARIO!C69)),"ROL-UP",
IF(ISNUMBER(SEARCH("TRANSFER DE PAPEL",INVENTARIO!C69)),"TRA-PAP",
IF(ISNUMBER(SEARCH("TRANSFER",INVENTARIO!C69)),"TRA",IF(ISNUMBER(SEARCH("KOLA LOKA",INVENTARIO!C69)),"KOL-LOK",
IF(ISNUMBER(SEARCH("PETG",INVENTARIO!C69)),"PET",
IF(ISNUMBER(SEARCH("OJILLO",INVENTARIO!C69)),"OJI",
IF(ISNUMBER(SEARCH("COUCHE",INVENTARIO!C69)),"COU",
IF(ISNUMBER(SEARCH("PANEL DE ALUMINIO",INVENTARIO!C69)),"PAN-ALU",
IF(ISNUMBER(SEARCH("PVC",INVENTARIO!C69)),"PVC",
IF(ISNUMBER(SEARCH("PAPEL",INVENTARIO!C69)),"PAP",
IF(ISNUMBER(SEARCH("TELA",INVENTARIO!C69)),"TEL",
IF(ISNUMBER(SEARCH("CARTULINA",INVENTARIO!C69)),"CAR",
IF(OR(ISNUMBER(SEARCH("LAMINA",INVENTARIO!C69)),ISNUMBER(SEARCH("LÁMINA",INVENTARIO!C69)),ISNUMBER(SEARCH("LAMPARAS",INVENTARIO!C69))),"LAM",
IF(ISNUMBER(SEARCH("ESTIRENO",INVENTARIO!C69)),"EST",
IF(ISNUMBER(SEARCH("FOAMBOARD",INVENTARIO!C69)),"FOA",
IF(ISNUMBER(SEARCH("SOLVENTE",INVENTARIO!C69)),"SOL",
IF(ISNUMBER(SEARCH("TINTA",INVENTARIO!C69)),"TIN",
IF(ISNUMBER(SEARCH("ACRILICO",INVENTARIO!C69)),"ACR",
IF(ISNUMBER(SEARCH("MICROLED",INVENTARIO!C69)),"MIC",
IF(ISNUMBER(SEARCH("LED",INVENTARIO!C69)),"LED",
IF(ISNUMBER(SEARCH("FUENTE DE PODER",INVENTARIO!C69)),"FUE-POD",
IF(ISNUMBER(SEARCH("PETG",INVENTARIO!C69)),"PET",
IF(ISNUMBER(SEARCH("ALUMINIO",INVENTARIO!C69)),"ALU",
IF(ISNUMBER(SEARCH("CANAL",INVENTARIO!C69)),"CAN",
IF(ISNUMBER(SEARCH("ESCUADRA",INVENTARIO!C69)),"ESC",
IF(ISNUMBER(SEARCH("SOPORTE",INVENTARIO!C69)),"SOP","OTR")
))))))))))))))))))))))))))))))</f>
        <v>VIN</v>
      </c>
      <c r="B69" t="str">
        <f>IF(ISNUMBER(SEARCH("CORTE",INVENTARIO!C69)),"COR",
IF(ISNUMBER(SEARCH("CITYLIGHT",INVENTARIO!C69)),"CIT",
IF(ISNUMBER(SEARCH("LINO",INVENTARIO!C69)),"LIN",
IF(ISNUMBER(SEARCH("FABRIANO",INVENTARIO!C69)),"FAB",
IF(ISNUMBER(SEARCH("SUNDANCE",INVENTARIO!C69)),"SUN",
IF(ISNUMBER(SEARCH("SINTETICA",INVENTARIO!C69)),"SIN",
IF(ISNUMBER(SEARCH("CONTROL",INVENTARIO!C69)),"CON",
IF(ISNUMBER(SEARCH("TERMICO",INVENTARIO!C69)),"TER",
IF(ISNUMBER(SEARCH("C-15",INVENTARIO!C69)),"C15",
IF(ISNUMBER(SEARCH("C-20",INVENTARIO!C69)),"C20",
IF(ISNUMBER(SEARCH("C-30",INVENTARIO!C69)),"C30",
IF(ISNUMBER(SEARCH("C-40",INVENTARIO!C69)),"C40",
IF(ISNUMBER(SEARCH("C-60",INVENTARIO!C69)),"C60",
IF(ISNUMBER(SEARCH("C-80",INVENTARIO!C69)),"C80",
IF(ISNUMBER(SEARCH("EQUIPO",INVENTARIO!C69)),"EQU",
IF(ISNUMBER(SEARCH("FLOOR",INVENTARIO!C69)),"FLO",
IF(ISNUMBER(SEARCH("CRISTAL",INVENTARIO!C69)),"CRI",
IF(ISNUMBER(SEARCH(" SULFATADA",INVENTARIO!C80)),"SUL",
IF(ISNUMBER(SEARCH("OPALINA",INVENTARIO!C69)),"OPA",
IF(ISNUMBER(SEARCH("ADHERIBLE",INVENTARIO!C69)),"ADH",
IF(ISNUMBER(SEARCH("MICRO",INVENTARIO!C69)),"MIC","")))))))))))))))))))))</f>
        <v/>
      </c>
      <c r="C69" t="str">
        <f>IF(ISNUMBER(SEARCH("PARED",INVENTARIO!C69)),"PAR",
IF(ISNUMBER(SEARCH("FRONT",INVENTARIO!C69)),"FRO",
IF(ISNUMBER(SEARCH("ALTA RESISTENCIA",INVENTARIO!C69)),
"ALT-RES",IF(ISNUMBER(SEARCH("BACKLITE",INVENTARIO!C69)),"BAC",
IF(ISNUMBER(SEARCH("MATE",INVENTARIO!C69)),"MAT",
IF(ISNUMBER(SEARCH("MESH",INVENTARIO!C69)),"MES",
IF(ISNUMBER(SEARCH("BRILLANTE",INVENTARIO!C69)),"BRI",
IF(ISNUMBER(SEARCH("DELGADA",INVENTARIO!C69)),"DEL",
IF(ISNUMBER(SEARCH("GRUESA",INVENTARIO!C69)),"GRU",
IF(ISNUMBER(SEARCH("ESTATICO",INVENTARIO!C69)),"EST",
IF(ISNUMBER(SEARCH("REFLECTIVO",INVENTARIO!C69)),"REF",
IF(ISNUMBER(SEARCH("LX700",INVENTARIO!C69)),"LX7",
IF(ISNUMBER(SEARCH("GRANDO",INVENTARIO!C69)),"GRA",
IF(ISNUMBER(SEARCH("FB700",INVENTARIO!C69)),"FB7",
IF(ISNUMBER(SEARCH("LX360",INVENTARIO!C69)),"LX3",
IF(ISNUMBER(SEARCH("XEROX",INVENTARIO!C69)),"XER",
IF(ISNUMBER(SEARCH("CEPILLADO",INVENTARIO!C69)),"CEP",
IF(ISNUMBER(SEARCH("ESPEJO",INVENTARIO!C69)),"ESP",
IF(ISNUMBER(SEARCH("10 PTS",INVENTARIO!C69)),"10PT",
IF(ISNUMBER(SEARCH("12 PTS",INVENTARIO!C69)),"12PT",
IF(ISNUMBER(SEARCH("14 PTS",INVENTARIO!C69)),"14PT",
IF(ISNUMBER(SEARCH("CLASICO",INVENTARIO!C69)),"CLA",
""))))))))))))))))))))))</f>
        <v>BRI</v>
      </c>
      <c r="D69" t="str">
        <f>IF(ISNUMBER(SEARCH("GRAN FORMATO",INVENTARIO!C69)),"GRA-FOR",
IF(ISNUMBER(SEARCH("CAMA PLANA",INVENTARIO!C69)),"CAM-PLA",
IF(ISNUMBER(SEARCH("GRADO INGENIERIA",INVENTARIO!C69)),"GRA-ING",
IF(ISNUMBER(SEARCH("130 GRS",INVENTARIO!C69)),"130GR",
IF(ISNUMBER(SEARCH("150 GRS",INVENTARIO!C69)),"150GR",
IF(ISNUMBER(SEARCH("185 GRS",INVENTARIO!C69)),"185GR",
IF(ISNUMBER(SEARCH("200 GRS",INVENTARIO!C69)),"200GR",
IF(ISNUMBER(SEARCH("250 GRS",INVENTARIO!C69)),"250GR",
IF(ISNUMBER(SEARCH("300 GRS",INVENTARIO!C69)),"300GR",
IF(ISNUMBER(SEARCH("350 GRS",INVENTARIO!C69)),"350GR",
IF(ISNUMBER(SEARCH("18 OZ",INVENTARIO!C69)),"18OZ",
IF(ISNUMBER(SEARCH("15 OZ",INVENTARIO!C69)),"15OZ",
IF(OR(ISNUMBER(SEARCH("13 OZ",INVENTARIO!C69)),ISNUMBER(SEARCH("13 ONZAS",INVENTARIO!C69))),"13OZ",
IF(OR(ISNUMBER(SEARCH("9 OZ",INVENTARIO!C69)),ISNUMBER(SEARCH("9 ONZAS",INVENTARIO!C69))),"09OZ",
IF(ISNUMBER(SEARCH("DOBLE CARA",INVENTARIO!C69)),"DOB-CAR",
"")))))))))))))))</f>
        <v/>
      </c>
      <c r="E69" t="str">
        <f>IF(OR(ISNUMBER(SEARCH("TRANSPARENTE",INVENTARIO!C69)),ISNUMBER(SEARCH("TRANSPARENTES",INVENTARIO!C69))),"TRA",
IF(OR(ISNUMBER(SEARCH("BLANCO",INVENTARIO!C69)),ISNUMBER(SEARCH("BCO",INVENTARIO!C69))),"BLA",
IF(ISNUMBER(SEARCH("FOTOGRAFICO",INVENTARIO!C69)),"FOT",
IF(ISNUMBER(SEARCH("MARFIL",INVENTARIO!C69)),"MAR",
IF(ISNUMBER(SEARCH("VERDE",INVENTARIO!C69)),"VER",
IF(ISNUMBER(SEARCH("MORADO",INVENTARIO!C69)),"MOR",
IF(ISNUMBER(SEARCH("PLATA",INVENTARIO!C69)),"PLA",
IF(ISNUMBER(SEARCH("ORO",INVENTARIO!C69)),"ORO",
IF(ISNUMBER(SEARCH("AMARILLO",INVENTARIO!C69)),"AMA",
IF(ISNUMBER(SEARCH("NARANJA",INVENTARIO!C69)),"NAR",
IF(ISNUMBER(SEARCH("NEGRO",INVENTARIO!C69)),"NEG",
IF(ISNUMBER(SEARCH("ROJO",INVENTARIO!C69)),"ROJ",
IF(ISNUMBER(SEARCH("AZUL",INVENTARIO!C69)),"AZU","")))))))))))))</f>
        <v>BLA</v>
      </c>
      <c r="F69" t="str">
        <f>IF(ISNUMBER(SEARCH("ARLON",INVENTARIO!C69)),"ARL",
IF(ISNUMBER(SEARCH("SUNTHINKS",INVENTARIO!C69)),"SUN",
IF(ISNUMBER(SEARCH("FRIO",INVENTARIO!C69)),"FRI",
IF(ISNUMBER(SEARCH("CALIDO",INVENTARIO!C69)),"CAL",
IF(ISNUMBER(SEARCH("CEPILLADO",INVENTARIO!C69)),"CEP",
IF(ISNUMBER(SEARCH("ESPEJO",INVENTARIO!C69)),"ESP",
""))))))</f>
        <v/>
      </c>
      <c r="G69" t="str">
        <f>IF(ISNUMBER(SEARCH("LATEX",INVENTARIO!C69)),"LAT",
IF(ISNUMBER(SEARCH("RESP. NEGRO",INVENTARIO!C69)),"RES-NEG",
IF(ISNUMBER(SEARCH("RESPALDO CAFE",INVENTARIO!C69)),"RES-CAF",
IF(ISNUMBER(SEARCH("RESPALDO GRIS",INVENTARIO!C69)),"RES-GRI",
IF(ISNUMBER(SEARCH("OPTICO",INVENTARIO!C69)),"OPT",
IF(ISNUMBER(SEARCH("1,2 MM",INVENTARIO!C69)),"1MM2",
IF(ISNUMBER(SEARCH("2 MM",INVENTARIO!C69)),"2MM",
IF(ISNUMBER(SEARCH("3 MM",INVENTARIO!C69)),"3MM",
IF(ISNUMBER(SEARCH("4 MM",INVENTARIO!C69)),"4MM",
IF(ISNUMBER(SEARCH("5 MM",INVENTARIO!C69)),"5MM",
IF(ISNUMBER(SEARCH("6 MM",INVENTARIO!C69)),"6MM",
IF(ISNUMBER(SEARCH("9 MM",INVENTARIO!C69)),"9MM",
IF(ISNUMBER(SEARCH("10 MM",INVENTARIO!C69)),"10MM","")))))))))))))</f>
        <v/>
      </c>
      <c r="H69" t="str">
        <f>IF(ISNUMBER(SEARCH("GAMA BAJA",INVENTARIO!C69)),"GAM-BAJ",
IF(ISNUMBER(SEARCH("OPTIMIZADOR",INVENTARIO!C69)),"OPT",
IF(ISNUMBER(SEARCH("OVERCOAT",INVENTARIO!C69)),"OVE",
IF(ISNUMBER(SEARCH("WHITE",INVENTARIO!C69)),"WHI",
IF(ISNUMBER(SEARCH("LIGHT CYAN",INVENTARIO!C69)),"LIG-CYA",
IF(ISNUMBER(SEARCH("CYAN",INVENTARIO!C69)),"CYA",
IF(ISNUMBER(SEARCH("LIGHT MAGENTA",INVENTARIO!C69)),"LIG-MAG",
IF(ISNUMBER(SEARCH("MAGENTA",INVENTARIO!C69)),"MAG",
IF(ISNUMBER(SEARCH("BLACK",INVENTARIO!C69)),"BLA",
IF(ISNUMBER(SEARCH("YELLOW",INVENTARIO!C69)),"YEL",
IF(ISNUMBER(SEARCH("2 DIODOS",INVENTARIO!C69)),"2DI",
IF(ISNUMBER(SEARCH("3 DIODOS",INVENTARIO!C69)),"3DI",
IF(OR(ISNUMBER(SEARCH("TRASLUCIDO",INVENTARIO!C69)),ISNUMBER(SEARCH("TRANSLUCIDO",INVENTARIO!C69))),"TRA",
"")))))))))))))</f>
        <v/>
      </c>
      <c r="I6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70" spans="1:9">
      <c r="A70" t="str">
        <f>IF(ISNUMBER(SEARCH("LONA",INVENTARIO!C70)),"LON",
IF(ISNUMBER(SEARCH("VINIL",INVENTARIO!C70)),"VIN",
IF(ISNUMBER(SEARCH("KROMACOTE",INVENTARIO!C70)),"KRO",
IF(ISNUMBER(SEARCH("STARDREAM",INVENTARIO!C70)),"STA",
IF(ISNUMBER(SEARCH("DISPLAY",INVENTARIO!C70)),"DIS",
IF(ISNUMBER(SEARCH("ROLL UP",INVENTARIO!C70)),"ROL-UP",
IF(ISNUMBER(SEARCH("TRANSFER DE PAPEL",INVENTARIO!C70)),"TRA-PAP",
IF(ISNUMBER(SEARCH("TRANSFER",INVENTARIO!C70)),"TRA",IF(ISNUMBER(SEARCH("KOLA LOKA",INVENTARIO!C70)),"KOL-LOK",
IF(ISNUMBER(SEARCH("PETG",INVENTARIO!C70)),"PET",
IF(ISNUMBER(SEARCH("OJILLO",INVENTARIO!C70)),"OJI",
IF(ISNUMBER(SEARCH("COUCHE",INVENTARIO!C70)),"COU",
IF(ISNUMBER(SEARCH("PANEL DE ALUMINIO",INVENTARIO!C70)),"PAN-ALU",
IF(ISNUMBER(SEARCH("PVC",INVENTARIO!C70)),"PVC",
IF(ISNUMBER(SEARCH("PAPEL",INVENTARIO!C70)),"PAP",
IF(ISNUMBER(SEARCH("TELA",INVENTARIO!C70)),"TEL",
IF(ISNUMBER(SEARCH("CARTULINA",INVENTARIO!C70)),"CAR",
IF(OR(ISNUMBER(SEARCH("LAMINA",INVENTARIO!C70)),ISNUMBER(SEARCH("LÁMINA",INVENTARIO!C70)),ISNUMBER(SEARCH("LAMPARAS",INVENTARIO!C70))),"LAM",
IF(ISNUMBER(SEARCH("ESTIRENO",INVENTARIO!C70)),"EST",
IF(ISNUMBER(SEARCH("FOAMBOARD",INVENTARIO!C70)),"FOA",
IF(ISNUMBER(SEARCH("SOLVENTE",INVENTARIO!C70)),"SOL",
IF(ISNUMBER(SEARCH("TINTA",INVENTARIO!C70)),"TIN",
IF(ISNUMBER(SEARCH("ACRILICO",INVENTARIO!C70)),"ACR",
IF(ISNUMBER(SEARCH("MICROLED",INVENTARIO!C70)),"MIC",
IF(ISNUMBER(SEARCH("LED",INVENTARIO!C70)),"LED",
IF(ISNUMBER(SEARCH("FUENTE DE PODER",INVENTARIO!C70)),"FUE-POD",
IF(ISNUMBER(SEARCH("PETG",INVENTARIO!C70)),"PET",
IF(ISNUMBER(SEARCH("ALUMINIO",INVENTARIO!C70)),"ALU",
IF(ISNUMBER(SEARCH("CANAL",INVENTARIO!C70)),"CAN",
IF(ISNUMBER(SEARCH("ESCUADRA",INVENTARIO!C70)),"ESC",
IF(ISNUMBER(SEARCH("SOPORTE",INVENTARIO!C70)),"SOP","OTR")
))))))))))))))))))))))))))))))</f>
        <v>VIN</v>
      </c>
      <c r="B70" t="str">
        <f>IF(ISNUMBER(SEARCH("CORTE",INVENTARIO!C70)),"COR",
IF(ISNUMBER(SEARCH("CITYLIGHT",INVENTARIO!C70)),"CIT",
IF(ISNUMBER(SEARCH("LINO",INVENTARIO!C70)),"LIN",
IF(ISNUMBER(SEARCH("FABRIANO",INVENTARIO!C70)),"FAB",
IF(ISNUMBER(SEARCH("SUNDANCE",INVENTARIO!C70)),"SUN",
IF(ISNUMBER(SEARCH("SINTETICA",INVENTARIO!C70)),"SIN",
IF(ISNUMBER(SEARCH("CONTROL",INVENTARIO!C70)),"CON",
IF(ISNUMBER(SEARCH("TERMICO",INVENTARIO!C70)),"TER",
IF(ISNUMBER(SEARCH("C-15",INVENTARIO!C70)),"C15",
IF(ISNUMBER(SEARCH("C-20",INVENTARIO!C70)),"C20",
IF(ISNUMBER(SEARCH("C-30",INVENTARIO!C70)),"C30",
IF(ISNUMBER(SEARCH("C-40",INVENTARIO!C70)),"C40",
IF(ISNUMBER(SEARCH("C-60",INVENTARIO!C70)),"C60",
IF(ISNUMBER(SEARCH("C-80",INVENTARIO!C70)),"C80",
IF(ISNUMBER(SEARCH("EQUIPO",INVENTARIO!C70)),"EQU",
IF(ISNUMBER(SEARCH("FLOOR",INVENTARIO!C70)),"FLO",
IF(ISNUMBER(SEARCH("CRISTAL",INVENTARIO!C70)),"CRI",
IF(ISNUMBER(SEARCH(" SULFATADA",INVENTARIO!C81)),"SUL",
IF(ISNUMBER(SEARCH("OPALINA",INVENTARIO!C70)),"OPA",
IF(ISNUMBER(SEARCH("ADHERIBLE",INVENTARIO!C70)),"ADH",
IF(ISNUMBER(SEARCH("MICRO",INVENTARIO!C70)),"MIC","")))))))))))))))))))))</f>
        <v/>
      </c>
      <c r="C70" t="str">
        <f>IF(ISNUMBER(SEARCH("PARED",INVENTARIO!C70)),"PAR",
IF(ISNUMBER(SEARCH("FRONT",INVENTARIO!C70)),"FRO",
IF(ISNUMBER(SEARCH("ALTA RESISTENCIA",INVENTARIO!C70)),
"ALT-RES",IF(ISNUMBER(SEARCH("BACKLITE",INVENTARIO!C70)),"BAC",
IF(ISNUMBER(SEARCH("MATE",INVENTARIO!C70)),"MAT",
IF(ISNUMBER(SEARCH("MESH",INVENTARIO!C70)),"MES",
IF(ISNUMBER(SEARCH("BRILLANTE",INVENTARIO!C70)),"BRI",
IF(ISNUMBER(SEARCH("DELGADA",INVENTARIO!C70)),"DEL",
IF(ISNUMBER(SEARCH("GRUESA",INVENTARIO!C70)),"GRU",
IF(ISNUMBER(SEARCH("ESTATICO",INVENTARIO!C70)),"EST",
IF(ISNUMBER(SEARCH("REFLECTIVO",INVENTARIO!C70)),"REF",
IF(ISNUMBER(SEARCH("LX700",INVENTARIO!C70)),"LX7",
IF(ISNUMBER(SEARCH("GRANDO",INVENTARIO!C70)),"GRA",
IF(ISNUMBER(SEARCH("FB700",INVENTARIO!C70)),"FB7",
IF(ISNUMBER(SEARCH("LX360",INVENTARIO!C70)),"LX3",
IF(ISNUMBER(SEARCH("XEROX",INVENTARIO!C70)),"XER",
IF(ISNUMBER(SEARCH("CEPILLADO",INVENTARIO!C70)),"CEP",
IF(ISNUMBER(SEARCH("ESPEJO",INVENTARIO!C70)),"ESP",
IF(ISNUMBER(SEARCH("10 PTS",INVENTARIO!C70)),"10PT",
IF(ISNUMBER(SEARCH("12 PTS",INVENTARIO!C70)),"12PT",
IF(ISNUMBER(SEARCH("14 PTS",INVENTARIO!C70)),"14PT",
IF(ISNUMBER(SEARCH("CLASICO",INVENTARIO!C70)),"CLA",
""))))))))))))))))))))))</f>
        <v>BRI</v>
      </c>
      <c r="D70" t="str">
        <f>IF(ISNUMBER(SEARCH("GRAN FORMATO",INVENTARIO!C70)),"GRA-FOR",
IF(ISNUMBER(SEARCH("CAMA PLANA",INVENTARIO!C70)),"CAM-PLA",
IF(ISNUMBER(SEARCH("GRADO INGENIERIA",INVENTARIO!C70)),"GRA-ING",
IF(ISNUMBER(SEARCH("130 GRS",INVENTARIO!C70)),"130GR",
IF(ISNUMBER(SEARCH("150 GRS",INVENTARIO!C70)),"150GR",
IF(ISNUMBER(SEARCH("185 GRS",INVENTARIO!C70)),"185GR",
IF(ISNUMBER(SEARCH("200 GRS",INVENTARIO!C70)),"200GR",
IF(ISNUMBER(SEARCH("250 GRS",INVENTARIO!C70)),"250GR",
IF(ISNUMBER(SEARCH("300 GRS",INVENTARIO!C70)),"300GR",
IF(ISNUMBER(SEARCH("350 GRS",INVENTARIO!C70)),"350GR",
IF(ISNUMBER(SEARCH("18 OZ",INVENTARIO!C70)),"18OZ",
IF(ISNUMBER(SEARCH("15 OZ",INVENTARIO!C70)),"15OZ",
IF(OR(ISNUMBER(SEARCH("13 OZ",INVENTARIO!C70)),ISNUMBER(SEARCH("13 ONZAS",INVENTARIO!C70))),"13OZ",
IF(OR(ISNUMBER(SEARCH("9 OZ",INVENTARIO!C70)),ISNUMBER(SEARCH("9 ONZAS",INVENTARIO!C70))),"09OZ",
IF(ISNUMBER(SEARCH("DOBLE CARA",INVENTARIO!C70)),"DOB-CAR",
"")))))))))))))))</f>
        <v/>
      </c>
      <c r="E70" t="str">
        <f>IF(OR(ISNUMBER(SEARCH("TRANSPARENTE",INVENTARIO!C70)),ISNUMBER(SEARCH("TRANSPARENTES",INVENTARIO!C70))),"TRA",
IF(OR(ISNUMBER(SEARCH("BLANCO",INVENTARIO!C70)),ISNUMBER(SEARCH("BCO",INVENTARIO!C70))),"BLA",
IF(ISNUMBER(SEARCH("FOTOGRAFICO",INVENTARIO!C70)),"FOT",
IF(ISNUMBER(SEARCH("MARFIL",INVENTARIO!C70)),"MAR",
IF(ISNUMBER(SEARCH("VERDE",INVENTARIO!C70)),"VER",
IF(ISNUMBER(SEARCH("MORADO",INVENTARIO!C70)),"MOR",
IF(ISNUMBER(SEARCH("PLATA",INVENTARIO!C70)),"PLA",
IF(ISNUMBER(SEARCH("ORO",INVENTARIO!C70)),"ORO",
IF(ISNUMBER(SEARCH("AMARILLO",INVENTARIO!C70)),"AMA",
IF(ISNUMBER(SEARCH("NARANJA",INVENTARIO!C70)),"NAR",
IF(ISNUMBER(SEARCH("NEGRO",INVENTARIO!C70)),"NEG",
IF(ISNUMBER(SEARCH("ROJO",INVENTARIO!C70)),"ROJ",
IF(ISNUMBER(SEARCH("AZUL",INVENTARIO!C70)),"AZU","")))))))))))))</f>
        <v>BLA</v>
      </c>
      <c r="F70" t="str">
        <f>IF(ISNUMBER(SEARCH("ARLON",INVENTARIO!C70)),"ARL",
IF(ISNUMBER(SEARCH("SUNTHINKS",INVENTARIO!C70)),"SUN",
IF(ISNUMBER(SEARCH("FRIO",INVENTARIO!C70)),"FRI",
IF(ISNUMBER(SEARCH("CALIDO",INVENTARIO!C70)),"CAL",
IF(ISNUMBER(SEARCH("CEPILLADO",INVENTARIO!C70)),"CEP",
IF(ISNUMBER(SEARCH("ESPEJO",INVENTARIO!C70)),"ESP",
""))))))</f>
        <v/>
      </c>
      <c r="G70" t="str">
        <f>IF(ISNUMBER(SEARCH("LATEX",INVENTARIO!C70)),"LAT",
IF(ISNUMBER(SEARCH("RESP. NEGRO",INVENTARIO!C70)),"RES-NEG",
IF(ISNUMBER(SEARCH("RESPALDO CAFE",INVENTARIO!C70)),"RES-CAF",
IF(ISNUMBER(SEARCH("RESPALDO GRIS",INVENTARIO!C70)),"RES-GRI",
IF(ISNUMBER(SEARCH("OPTICO",INVENTARIO!C70)),"OPT",
IF(ISNUMBER(SEARCH("1,2 MM",INVENTARIO!C70)),"1MM2",
IF(ISNUMBER(SEARCH("2 MM",INVENTARIO!C70)),"2MM",
IF(ISNUMBER(SEARCH("3 MM",INVENTARIO!C70)),"3MM",
IF(ISNUMBER(SEARCH("4 MM",INVENTARIO!C70)),"4MM",
IF(ISNUMBER(SEARCH("5 MM",INVENTARIO!C70)),"5MM",
IF(ISNUMBER(SEARCH("6 MM",INVENTARIO!C70)),"6MM",
IF(ISNUMBER(SEARCH("9 MM",INVENTARIO!C70)),"9MM",
IF(ISNUMBER(SEARCH("10 MM",INVENTARIO!C70)),"10MM","")))))))))))))</f>
        <v/>
      </c>
      <c r="H70" t="str">
        <f>IF(ISNUMBER(SEARCH("GAMA BAJA",INVENTARIO!C70)),"GAM-BAJ",
IF(ISNUMBER(SEARCH("OPTIMIZADOR",INVENTARIO!C70)),"OPT",
IF(ISNUMBER(SEARCH("OVERCOAT",INVENTARIO!C70)),"OVE",
IF(ISNUMBER(SEARCH("WHITE",INVENTARIO!C70)),"WHI",
IF(ISNUMBER(SEARCH("LIGHT CYAN",INVENTARIO!C70)),"LIG-CYA",
IF(ISNUMBER(SEARCH("CYAN",INVENTARIO!C70)),"CYA",
IF(ISNUMBER(SEARCH("LIGHT MAGENTA",INVENTARIO!C70)),"LIG-MAG",
IF(ISNUMBER(SEARCH("MAGENTA",INVENTARIO!C70)),"MAG",
IF(ISNUMBER(SEARCH("BLACK",INVENTARIO!C70)),"BLA",
IF(ISNUMBER(SEARCH("YELLOW",INVENTARIO!C70)),"YEL",
IF(ISNUMBER(SEARCH("2 DIODOS",INVENTARIO!C70)),"2DI",
IF(ISNUMBER(SEARCH("3 DIODOS",INVENTARIO!C70)),"3DI",
IF(OR(ISNUMBER(SEARCH("TRASLUCIDO",INVENTARIO!C70)),ISNUMBER(SEARCH("TRANSLUCIDO",INVENTARIO!C70))),"TRA",
"")))))))))))))</f>
        <v/>
      </c>
      <c r="I70" t="str">
        <f>IF(ISNUMBER(SEARCH("SILED",INVENTARIO!C74)),"SI",
IF(ISNUMBER(SEARCH("SYDEMEX",INVENTARIO!C74)),"SY",
IF(ISNUMBER(SEARCH("ROHS",INVENTARIO!C74)),"RO",
IF(ISNUMBER(SEARCH("RISHANG",INVENTARIO!C74)),"RS",
IF(ISNUMBER(SEARCH("VYG",INVENTARIO!C74)),"VYG",
IF(ISNUMBER(SEARCH("COLED",INVENTARIO!C74)),"CO",""))))))</f>
        <v/>
      </c>
    </row>
    <row r="71" spans="1:9">
      <c r="A71" t="str">
        <f>IF(ISNUMBER(SEARCH("LONA",INVENTARIO!C71)),"LON",
IF(ISNUMBER(SEARCH("VINIL",INVENTARIO!C71)),"VIN",
IF(ISNUMBER(SEARCH("KROMACOTE",INVENTARIO!C71)),"KRO",
IF(ISNUMBER(SEARCH("STARDREAM",INVENTARIO!C71)),"STA",
IF(ISNUMBER(SEARCH("DISPLAY",INVENTARIO!C71)),"DIS",
IF(ISNUMBER(SEARCH("ROLL UP",INVENTARIO!C71)),"ROL-UP",
IF(ISNUMBER(SEARCH("TRANSFER DE PAPEL",INVENTARIO!C71)),"TRA-PAP",
IF(ISNUMBER(SEARCH("TRANSFER",INVENTARIO!C71)),"TRA",IF(ISNUMBER(SEARCH("KOLA LOKA",INVENTARIO!C71)),"KOL-LOK",
IF(ISNUMBER(SEARCH("PETG",INVENTARIO!C71)),"PET",
IF(ISNUMBER(SEARCH("OJILLO",INVENTARIO!C71)),"OJI",
IF(ISNUMBER(SEARCH("COUCHE",INVENTARIO!C71)),"COU",
IF(ISNUMBER(SEARCH("PANEL DE ALUMINIO",INVENTARIO!C71)),"PAN-ALU",
IF(ISNUMBER(SEARCH("PVC",INVENTARIO!C71)),"PVC",
IF(ISNUMBER(SEARCH("PAPEL",INVENTARIO!C71)),"PAP",
IF(ISNUMBER(SEARCH("TELA",INVENTARIO!C71)),"TEL",
IF(ISNUMBER(SEARCH("CARTULINA",INVENTARIO!C71)),"CAR",
IF(OR(ISNUMBER(SEARCH("LAMINA",INVENTARIO!C71)),ISNUMBER(SEARCH("LÁMINA",INVENTARIO!C71)),ISNUMBER(SEARCH("LAMPARAS",INVENTARIO!C71))),"LAM",
IF(ISNUMBER(SEARCH("ESTIRENO",INVENTARIO!C71)),"EST",
IF(ISNUMBER(SEARCH("FOAMBOARD",INVENTARIO!C71)),"FOA",
IF(ISNUMBER(SEARCH("SOLVENTE",INVENTARIO!C71)),"SOL",
IF(ISNUMBER(SEARCH("TINTA",INVENTARIO!C71)),"TIN",
IF(ISNUMBER(SEARCH("ACRILICO",INVENTARIO!C71)),"ACR",
IF(ISNUMBER(SEARCH("MICROLED",INVENTARIO!C71)),"MIC",
IF(ISNUMBER(SEARCH("LED",INVENTARIO!C71)),"LED",
IF(ISNUMBER(SEARCH("FUENTE DE PODER",INVENTARIO!C71)),"FUE-POD",
IF(ISNUMBER(SEARCH("PETG",INVENTARIO!C71)),"PET",
IF(ISNUMBER(SEARCH("ALUMINIO",INVENTARIO!C71)),"ALU",
IF(ISNUMBER(SEARCH("CANAL",INVENTARIO!C71)),"CAN",
IF(ISNUMBER(SEARCH("ESCUADRA",INVENTARIO!C71)),"ESC",
IF(ISNUMBER(SEARCH("SOPORTE",INVENTARIO!C71)),"SOP","OTR")
))))))))))))))))))))))))))))))</f>
        <v>VIN</v>
      </c>
      <c r="B71" t="str">
        <f>IF(ISNUMBER(SEARCH("CORTE",INVENTARIO!C71)),"COR",
IF(ISNUMBER(SEARCH("CITYLIGHT",INVENTARIO!C71)),"CIT",
IF(ISNUMBER(SEARCH("LINO",INVENTARIO!C71)),"LIN",
IF(ISNUMBER(SEARCH("FABRIANO",INVENTARIO!C71)),"FAB",
IF(ISNUMBER(SEARCH("SUNDANCE",INVENTARIO!C71)),"SUN",
IF(ISNUMBER(SEARCH("SINTETICA",INVENTARIO!C71)),"SIN",
IF(ISNUMBER(SEARCH("CONTROL",INVENTARIO!C71)),"CON",
IF(ISNUMBER(SEARCH("TERMICO",INVENTARIO!C71)),"TER",
IF(ISNUMBER(SEARCH("C-15",INVENTARIO!C71)),"C15",
IF(ISNUMBER(SEARCH("C-20",INVENTARIO!C71)),"C20",
IF(ISNUMBER(SEARCH("C-30",INVENTARIO!C71)),"C30",
IF(ISNUMBER(SEARCH("C-40",INVENTARIO!C71)),"C40",
IF(ISNUMBER(SEARCH("C-60",INVENTARIO!C71)),"C60",
IF(ISNUMBER(SEARCH("C-80",INVENTARIO!C71)),"C80",
IF(ISNUMBER(SEARCH("EQUIPO",INVENTARIO!C71)),"EQU",
IF(ISNUMBER(SEARCH("FLOOR",INVENTARIO!C71)),"FLO",
IF(ISNUMBER(SEARCH("CRISTAL",INVENTARIO!C71)),"CRI",
IF(ISNUMBER(SEARCH(" SULFATADA",INVENTARIO!C82)),"SUL",
IF(ISNUMBER(SEARCH("OPALINA",INVENTARIO!C71)),"OPA",
IF(ISNUMBER(SEARCH("ADHERIBLE",INVENTARIO!C71)),"ADH",
IF(ISNUMBER(SEARCH("MICRO",INVENTARIO!C71)),"MIC","")))))))))))))))))))))</f>
        <v/>
      </c>
      <c r="C71" t="str">
        <f>IF(ISNUMBER(SEARCH("PARED",INVENTARIO!C71)),"PAR",
IF(ISNUMBER(SEARCH("FRONT",INVENTARIO!C71)),"FRO",
IF(ISNUMBER(SEARCH("ALTA RESISTENCIA",INVENTARIO!C71)),
"ALT-RES",IF(ISNUMBER(SEARCH("BACKLITE",INVENTARIO!C71)),"BAC",
IF(ISNUMBER(SEARCH("MATE",INVENTARIO!C71)),"MAT",
IF(ISNUMBER(SEARCH("MESH",INVENTARIO!C71)),"MES",
IF(ISNUMBER(SEARCH("BRILLANTE",INVENTARIO!C71)),"BRI",
IF(ISNUMBER(SEARCH("DELGADA",INVENTARIO!C71)),"DEL",
IF(ISNUMBER(SEARCH("GRUESA",INVENTARIO!C71)),"GRU",
IF(ISNUMBER(SEARCH("ESTATICO",INVENTARIO!C71)),"EST",
IF(ISNUMBER(SEARCH("REFLECTIVO",INVENTARIO!C71)),"REF",
IF(ISNUMBER(SEARCH("LX700",INVENTARIO!C71)),"LX7",
IF(ISNUMBER(SEARCH("GRANDO",INVENTARIO!C71)),"GRA",
IF(ISNUMBER(SEARCH("FB700",INVENTARIO!C71)),"FB7",
IF(ISNUMBER(SEARCH("LX360",INVENTARIO!C71)),"LX3",
IF(ISNUMBER(SEARCH("XEROX",INVENTARIO!C71)),"XER",
IF(ISNUMBER(SEARCH("CEPILLADO",INVENTARIO!C71)),"CEP",
IF(ISNUMBER(SEARCH("ESPEJO",INVENTARIO!C71)),"ESP",
IF(ISNUMBER(SEARCH("10 PTS",INVENTARIO!C71)),"10PT",
IF(ISNUMBER(SEARCH("12 PTS",INVENTARIO!C71)),"12PT",
IF(ISNUMBER(SEARCH("14 PTS",INVENTARIO!C71)),"14PT",
IF(ISNUMBER(SEARCH("CLASICO",INVENTARIO!C71)),"CLA",
""))))))))))))))))))))))</f>
        <v>BRI</v>
      </c>
      <c r="D71" t="str">
        <f>IF(ISNUMBER(SEARCH("GRAN FORMATO",INVENTARIO!C71)),"GRA-FOR",
IF(ISNUMBER(SEARCH("CAMA PLANA",INVENTARIO!C71)),"CAM-PLA",
IF(ISNUMBER(SEARCH("GRADO INGENIERIA",INVENTARIO!C71)),"GRA-ING",
IF(ISNUMBER(SEARCH("130 GRS",INVENTARIO!C71)),"130GR",
IF(ISNUMBER(SEARCH("150 GRS",INVENTARIO!C71)),"150GR",
IF(ISNUMBER(SEARCH("185 GRS",INVENTARIO!C71)),"185GR",
IF(ISNUMBER(SEARCH("200 GRS",INVENTARIO!C71)),"200GR",
IF(ISNUMBER(SEARCH("250 GRS",INVENTARIO!C71)),"250GR",
IF(ISNUMBER(SEARCH("300 GRS",INVENTARIO!C71)),"300GR",
IF(ISNUMBER(SEARCH("350 GRS",INVENTARIO!C71)),"350GR",
IF(ISNUMBER(SEARCH("18 OZ",INVENTARIO!C71)),"18OZ",
IF(ISNUMBER(SEARCH("15 OZ",INVENTARIO!C71)),"15OZ",
IF(OR(ISNUMBER(SEARCH("13 OZ",INVENTARIO!C71)),ISNUMBER(SEARCH("13 ONZAS",INVENTARIO!C71))),"13OZ",
IF(OR(ISNUMBER(SEARCH("9 OZ",INVENTARIO!C71)),ISNUMBER(SEARCH("9 ONZAS",INVENTARIO!C71))),"09OZ",
IF(ISNUMBER(SEARCH("DOBLE CARA",INVENTARIO!C71)),"DOB-CAR",
"")))))))))))))))</f>
        <v/>
      </c>
      <c r="E71" t="str">
        <f>IF(OR(ISNUMBER(SEARCH("TRANSPARENTE",INVENTARIO!C71)),ISNUMBER(SEARCH("TRANSPARENTES",INVENTARIO!C71))),"TRA",
IF(OR(ISNUMBER(SEARCH("BLANCO",INVENTARIO!C71)),ISNUMBER(SEARCH("BCO",INVENTARIO!C71))),"BLA",
IF(ISNUMBER(SEARCH("FOTOGRAFICO",INVENTARIO!C71)),"FOT",
IF(ISNUMBER(SEARCH("MARFIL",INVENTARIO!C71)),"MAR",
IF(ISNUMBER(SEARCH("VERDE",INVENTARIO!C71)),"VER",
IF(ISNUMBER(SEARCH("MORADO",INVENTARIO!C71)),"MOR",
IF(ISNUMBER(SEARCH("PLATA",INVENTARIO!C71)),"PLA",
IF(ISNUMBER(SEARCH("ORO",INVENTARIO!C71)),"ORO",
IF(ISNUMBER(SEARCH("AMARILLO",INVENTARIO!C71)),"AMA",
IF(ISNUMBER(SEARCH("NARANJA",INVENTARIO!C71)),"NAR",
IF(ISNUMBER(SEARCH("NEGRO",INVENTARIO!C71)),"NEG",
IF(ISNUMBER(SEARCH("ROJO",INVENTARIO!C71)),"ROJ",
IF(ISNUMBER(SEARCH("AZUL",INVENTARIO!C71)),"AZU","")))))))))))))</f>
        <v>BLA</v>
      </c>
      <c r="F71" t="str">
        <f>IF(ISNUMBER(SEARCH("ARLON",INVENTARIO!C71)),"ARL",
IF(ISNUMBER(SEARCH("SUNTHINKS",INVENTARIO!C71)),"SUN",
IF(ISNUMBER(SEARCH("FRIO",INVENTARIO!C71)),"FRI",
IF(ISNUMBER(SEARCH("CALIDO",INVENTARIO!C71)),"CAL",
IF(ISNUMBER(SEARCH("CEPILLADO",INVENTARIO!C71)),"CEP",
IF(ISNUMBER(SEARCH("ESPEJO",INVENTARIO!C71)),"ESP",
""))))))</f>
        <v/>
      </c>
      <c r="G71" t="str">
        <f>IF(ISNUMBER(SEARCH("LATEX",INVENTARIO!C71)),"LAT",
IF(ISNUMBER(SEARCH("RESP. NEGRO",INVENTARIO!C71)),"RES-NEG",
IF(ISNUMBER(SEARCH("RESPALDO CAFE",INVENTARIO!C71)),"RES-CAF",
IF(ISNUMBER(SEARCH("RESPALDO GRIS",INVENTARIO!C71)),"RES-GRI",
IF(ISNUMBER(SEARCH("OPTICO",INVENTARIO!C71)),"OPT",
IF(ISNUMBER(SEARCH("1,2 MM",INVENTARIO!C71)),"1MM2",
IF(ISNUMBER(SEARCH("2 MM",INVENTARIO!C71)),"2MM",
IF(ISNUMBER(SEARCH("3 MM",INVENTARIO!C71)),"3MM",
IF(ISNUMBER(SEARCH("4 MM",INVENTARIO!C71)),"4MM",
IF(ISNUMBER(SEARCH("5 MM",INVENTARIO!C71)),"5MM",
IF(ISNUMBER(SEARCH("6 MM",INVENTARIO!C71)),"6MM",
IF(ISNUMBER(SEARCH("9 MM",INVENTARIO!C71)),"9MM",
IF(ISNUMBER(SEARCH("10 MM",INVENTARIO!C71)),"10MM","")))))))))))))</f>
        <v/>
      </c>
      <c r="H71" t="str">
        <f>IF(ISNUMBER(SEARCH("GAMA BAJA",INVENTARIO!C71)),"GAM-BAJ",
IF(ISNUMBER(SEARCH("OPTIMIZADOR",INVENTARIO!C71)),"OPT",
IF(ISNUMBER(SEARCH("OVERCOAT",INVENTARIO!C71)),"OVE",
IF(ISNUMBER(SEARCH("WHITE",INVENTARIO!C71)),"WHI",
IF(ISNUMBER(SEARCH("LIGHT CYAN",INVENTARIO!C71)),"LIG-CYA",
IF(ISNUMBER(SEARCH("CYAN",INVENTARIO!C71)),"CYA",
IF(ISNUMBER(SEARCH("LIGHT MAGENTA",INVENTARIO!C71)),"LIG-MAG",
IF(ISNUMBER(SEARCH("MAGENTA",INVENTARIO!C71)),"MAG",
IF(ISNUMBER(SEARCH("BLACK",INVENTARIO!C71)),"BLA",
IF(ISNUMBER(SEARCH("YELLOW",INVENTARIO!C71)),"YEL",
IF(ISNUMBER(SEARCH("2 DIODOS",INVENTARIO!C71)),"2DI",
IF(ISNUMBER(SEARCH("3 DIODOS",INVENTARIO!C71)),"3DI",
IF(OR(ISNUMBER(SEARCH("TRASLUCIDO",INVENTARIO!C71)),ISNUMBER(SEARCH("TRANSLUCIDO",INVENTARIO!C71))),"TRA",
"")))))))))))))</f>
        <v/>
      </c>
      <c r="I71" t="str">
        <f>IF(ISNUMBER(SEARCH("SILED",INVENTARIO!C75)),"SI",
IF(ISNUMBER(SEARCH("SYDEMEX",INVENTARIO!C75)),"SY",
IF(ISNUMBER(SEARCH("ROHS",INVENTARIO!C75)),"RO",
IF(ISNUMBER(SEARCH("RISHANG",INVENTARIO!C75)),"RS",
IF(ISNUMBER(SEARCH("VYG",INVENTARIO!C75)),"VYG",
IF(ISNUMBER(SEARCH("COLED",INVENTARIO!C75)),"CO",""))))))</f>
        <v/>
      </c>
    </row>
    <row r="72" spans="1:9">
      <c r="A72" t="str">
        <f>IF(ISNUMBER(SEARCH("LONA",INVENTARIO!C72)),"LON",
IF(ISNUMBER(SEARCH("VINIL",INVENTARIO!C72)),"VIN",
IF(ISNUMBER(SEARCH("KROMACOTE",INVENTARIO!C72)),"KRO",
IF(ISNUMBER(SEARCH("STARDREAM",INVENTARIO!C72)),"STA",
IF(ISNUMBER(SEARCH("DISPLAY",INVENTARIO!C72)),"DIS",
IF(ISNUMBER(SEARCH("ROLL UP",INVENTARIO!C72)),"ROL-UP",
IF(ISNUMBER(SEARCH("TRANSFER DE PAPEL",INVENTARIO!C72)),"TRA-PAP",
IF(ISNUMBER(SEARCH("TRANSFER",INVENTARIO!C72)),"TRA",IF(ISNUMBER(SEARCH("KOLA LOKA",INVENTARIO!C72)),"KOL-LOK",
IF(ISNUMBER(SEARCH("PETG",INVENTARIO!C72)),"PET",
IF(ISNUMBER(SEARCH("OJILLO",INVENTARIO!C72)),"OJI",
IF(ISNUMBER(SEARCH("COUCHE",INVENTARIO!C72)),"COU",
IF(ISNUMBER(SEARCH("PANEL DE ALUMINIO",INVENTARIO!C72)),"PAN-ALU",
IF(ISNUMBER(SEARCH("PVC",INVENTARIO!C72)),"PVC",
IF(ISNUMBER(SEARCH("PAPEL",INVENTARIO!C72)),"PAP",
IF(ISNUMBER(SEARCH("TELA",INVENTARIO!C72)),"TEL",
IF(ISNUMBER(SEARCH("CARTULINA",INVENTARIO!C72)),"CAR",
IF(OR(ISNUMBER(SEARCH("LAMINA",INVENTARIO!C72)),ISNUMBER(SEARCH("LÁMINA",INVENTARIO!C72)),ISNUMBER(SEARCH("LAMPARAS",INVENTARIO!C72))),"LAM",
IF(ISNUMBER(SEARCH("ESTIRENO",INVENTARIO!C72)),"EST",
IF(ISNUMBER(SEARCH("FOAMBOARD",INVENTARIO!C72)),"FOA",
IF(ISNUMBER(SEARCH("SOLVENTE",INVENTARIO!C72)),"SOL",
IF(ISNUMBER(SEARCH("TINTA",INVENTARIO!C72)),"TIN",
IF(ISNUMBER(SEARCH("ACRILICO",INVENTARIO!C72)),"ACR",
IF(ISNUMBER(SEARCH("MICROLED",INVENTARIO!C72)),"MIC",
IF(ISNUMBER(SEARCH("LED",INVENTARIO!C72)),"LED",
IF(ISNUMBER(SEARCH("FUENTE DE PODER",INVENTARIO!C72)),"FUE-POD",
IF(ISNUMBER(SEARCH("PETG",INVENTARIO!C72)),"PET",
IF(ISNUMBER(SEARCH("ALUMINIO",INVENTARIO!C72)),"ALU",
IF(ISNUMBER(SEARCH("CANAL",INVENTARIO!C72)),"CAN",
IF(ISNUMBER(SEARCH("ESCUADRA",INVENTARIO!C72)),"ESC",
IF(ISNUMBER(SEARCH("SOPORTE",INVENTARIO!C72)),"SOP","OTR")
))))))))))))))))))))))))))))))</f>
        <v>VIN</v>
      </c>
      <c r="B72" t="str">
        <f>IF(ISNUMBER(SEARCH("CORTE",INVENTARIO!C72)),"COR",
IF(ISNUMBER(SEARCH("CITYLIGHT",INVENTARIO!C72)),"CIT",
IF(ISNUMBER(SEARCH("LINO",INVENTARIO!C72)),"LIN",
IF(ISNUMBER(SEARCH("FABRIANO",INVENTARIO!C72)),"FAB",
IF(ISNUMBER(SEARCH("SUNDANCE",INVENTARIO!C72)),"SUN",
IF(ISNUMBER(SEARCH("SINTETICA",INVENTARIO!C72)),"SIN",
IF(ISNUMBER(SEARCH("CONTROL",INVENTARIO!C72)),"CON",
IF(ISNUMBER(SEARCH("TERMICO",INVENTARIO!C72)),"TER",
IF(ISNUMBER(SEARCH("C-15",INVENTARIO!C72)),"C15",
IF(ISNUMBER(SEARCH("C-20",INVENTARIO!C72)),"C20",
IF(ISNUMBER(SEARCH("C-30",INVENTARIO!C72)),"C30",
IF(ISNUMBER(SEARCH("C-40",INVENTARIO!C72)),"C40",
IF(ISNUMBER(SEARCH("C-60",INVENTARIO!C72)),"C60",
IF(ISNUMBER(SEARCH("C-80",INVENTARIO!C72)),"C80",
IF(ISNUMBER(SEARCH("EQUIPO",INVENTARIO!C72)),"EQU",
IF(ISNUMBER(SEARCH("FLOOR",INVENTARIO!C72)),"FLO",
IF(ISNUMBER(SEARCH("CRISTAL",INVENTARIO!C72)),"CRI",
IF(ISNUMBER(SEARCH(" SULFATADA",INVENTARIO!C83)),"SUL",
IF(ISNUMBER(SEARCH("OPALINA",INVENTARIO!C72)),"OPA",
IF(ISNUMBER(SEARCH("ADHERIBLE",INVENTARIO!C72)),"ADH",
IF(ISNUMBER(SEARCH("MICRO",INVENTARIO!C72)),"MIC","")))))))))))))))))))))</f>
        <v/>
      </c>
      <c r="C72" t="str">
        <f>IF(ISNUMBER(SEARCH("PARED",INVENTARIO!C72)),"PAR",
IF(ISNUMBER(SEARCH("FRONT",INVENTARIO!C72)),"FRO",
IF(ISNUMBER(SEARCH("ALTA RESISTENCIA",INVENTARIO!C72)),
"ALT-RES",IF(ISNUMBER(SEARCH("BACKLITE",INVENTARIO!C72)),"BAC",
IF(ISNUMBER(SEARCH("MATE",INVENTARIO!C72)),"MAT",
IF(ISNUMBER(SEARCH("MESH",INVENTARIO!C72)),"MES",
IF(ISNUMBER(SEARCH("BRILLANTE",INVENTARIO!C72)),"BRI",
IF(ISNUMBER(SEARCH("DELGADA",INVENTARIO!C72)),"DEL",
IF(ISNUMBER(SEARCH("GRUESA",INVENTARIO!C72)),"GRU",
IF(ISNUMBER(SEARCH("ESTATICO",INVENTARIO!C72)),"EST",
IF(ISNUMBER(SEARCH("REFLECTIVO",INVENTARIO!C72)),"REF",
IF(ISNUMBER(SEARCH("LX700",INVENTARIO!C72)),"LX7",
IF(ISNUMBER(SEARCH("GRANDO",INVENTARIO!C72)),"GRA",
IF(ISNUMBER(SEARCH("FB700",INVENTARIO!C72)),"FB7",
IF(ISNUMBER(SEARCH("LX360",INVENTARIO!C72)),"LX3",
IF(ISNUMBER(SEARCH("XEROX",INVENTARIO!C72)),"XER",
IF(ISNUMBER(SEARCH("CEPILLADO",INVENTARIO!C72)),"CEP",
IF(ISNUMBER(SEARCH("ESPEJO",INVENTARIO!C72)),"ESP",
IF(ISNUMBER(SEARCH("10 PTS",INVENTARIO!C72)),"10PT",
IF(ISNUMBER(SEARCH("12 PTS",INVENTARIO!C72)),"12PT",
IF(ISNUMBER(SEARCH("14 PTS",INVENTARIO!C72)),"14PT",
IF(ISNUMBER(SEARCH("CLASICO",INVENTARIO!C72)),"CLA",
""))))))))))))))))))))))</f>
        <v>MAT</v>
      </c>
      <c r="D72" t="str">
        <f>IF(ISNUMBER(SEARCH("GRAN FORMATO",INVENTARIO!C72)),"GRA-FOR",
IF(ISNUMBER(SEARCH("CAMA PLANA",INVENTARIO!C72)),"CAM-PLA",
IF(ISNUMBER(SEARCH("GRADO INGENIERIA",INVENTARIO!C72)),"GRA-ING",
IF(ISNUMBER(SEARCH("130 GRS",INVENTARIO!C72)),"130GR",
IF(ISNUMBER(SEARCH("150 GRS",INVENTARIO!C72)),"150GR",
IF(ISNUMBER(SEARCH("185 GRS",INVENTARIO!C72)),"185GR",
IF(ISNUMBER(SEARCH("200 GRS",INVENTARIO!C72)),"200GR",
IF(ISNUMBER(SEARCH("250 GRS",INVENTARIO!C72)),"250GR",
IF(ISNUMBER(SEARCH("300 GRS",INVENTARIO!C72)),"300GR",
IF(ISNUMBER(SEARCH("350 GRS",INVENTARIO!C72)),"350GR",
IF(ISNUMBER(SEARCH("18 OZ",INVENTARIO!C72)),"18OZ",
IF(ISNUMBER(SEARCH("15 OZ",INVENTARIO!C72)),"15OZ",
IF(OR(ISNUMBER(SEARCH("13 OZ",INVENTARIO!C72)),ISNUMBER(SEARCH("13 ONZAS",INVENTARIO!C72))),"13OZ",
IF(OR(ISNUMBER(SEARCH("9 OZ",INVENTARIO!C72)),ISNUMBER(SEARCH("9 ONZAS",INVENTARIO!C72))),"09OZ",
IF(ISNUMBER(SEARCH("DOBLE CARA",INVENTARIO!C72)),"DOB-CAR",
"")))))))))))))))</f>
        <v/>
      </c>
      <c r="E72" t="str">
        <f>IF(OR(ISNUMBER(SEARCH("TRANSPARENTE",INVENTARIO!C72)),ISNUMBER(SEARCH("TRANSPARENTES",INVENTARIO!C72))),"TRA",
IF(OR(ISNUMBER(SEARCH("BLANCO",INVENTARIO!C72)),ISNUMBER(SEARCH("BCO",INVENTARIO!C72))),"BLA",
IF(ISNUMBER(SEARCH("FOTOGRAFICO",INVENTARIO!C72)),"FOT",
IF(ISNUMBER(SEARCH("MARFIL",INVENTARIO!C72)),"MAR",
IF(ISNUMBER(SEARCH("VERDE",INVENTARIO!C72)),"VER",
IF(ISNUMBER(SEARCH("MORADO",INVENTARIO!C72)),"MOR",
IF(ISNUMBER(SEARCH("PLATA",INVENTARIO!C72)),"PLA",
IF(ISNUMBER(SEARCH("ORO",INVENTARIO!C72)),"ORO",
IF(ISNUMBER(SEARCH("AMARILLO",INVENTARIO!C72)),"AMA",
IF(ISNUMBER(SEARCH("NARANJA",INVENTARIO!C72)),"NAR",
IF(ISNUMBER(SEARCH("NEGRO",INVENTARIO!C72)),"NEG",
IF(ISNUMBER(SEARCH("ROJO",INVENTARIO!C72)),"ROJ",
IF(ISNUMBER(SEARCH("AZUL",INVENTARIO!C72)),"AZU","")))))))))))))</f>
        <v>BLA</v>
      </c>
      <c r="F72" t="str">
        <f>IF(ISNUMBER(SEARCH("ARLON",INVENTARIO!C72)),"ARL",
IF(ISNUMBER(SEARCH("SUNTHINKS",INVENTARIO!C72)),"SUN",
IF(ISNUMBER(SEARCH("FRIO",INVENTARIO!C72)),"FRI",
IF(ISNUMBER(SEARCH("CALIDO",INVENTARIO!C72)),"CAL",
IF(ISNUMBER(SEARCH("CEPILLADO",INVENTARIO!C72)),"CEP",
IF(ISNUMBER(SEARCH("ESPEJO",INVENTARIO!C72)),"ESP",
""))))))</f>
        <v/>
      </c>
      <c r="G72" t="str">
        <f>IF(ISNUMBER(SEARCH("LATEX",INVENTARIO!C72)),"LAT",
IF(ISNUMBER(SEARCH("RESP. NEGRO",INVENTARIO!C72)),"RES-NEG",
IF(ISNUMBER(SEARCH("RESPALDO CAFE",INVENTARIO!C72)),"RES-CAF",
IF(ISNUMBER(SEARCH("RESPALDO GRIS",INVENTARIO!C72)),"RES-GRI",
IF(ISNUMBER(SEARCH("OPTICO",INVENTARIO!C72)),"OPT",
IF(ISNUMBER(SEARCH("1,2 MM",INVENTARIO!C72)),"1MM2",
IF(ISNUMBER(SEARCH("2 MM",INVENTARIO!C72)),"2MM",
IF(ISNUMBER(SEARCH("3 MM",INVENTARIO!C72)),"3MM",
IF(ISNUMBER(SEARCH("4 MM",INVENTARIO!C72)),"4MM",
IF(ISNUMBER(SEARCH("5 MM",INVENTARIO!C72)),"5MM",
IF(ISNUMBER(SEARCH("6 MM",INVENTARIO!C72)),"6MM",
IF(ISNUMBER(SEARCH("9 MM",INVENTARIO!C72)),"9MM",
IF(ISNUMBER(SEARCH("10 MM",INVENTARIO!C72)),"10MM","")))))))))))))</f>
        <v/>
      </c>
      <c r="H72" t="str">
        <f>IF(ISNUMBER(SEARCH("GAMA BAJA",INVENTARIO!C72)),"GAM-BAJ",
IF(ISNUMBER(SEARCH("OPTIMIZADOR",INVENTARIO!C72)),"OPT",
IF(ISNUMBER(SEARCH("OVERCOAT",INVENTARIO!C72)),"OVE",
IF(ISNUMBER(SEARCH("WHITE",INVENTARIO!C72)),"WHI",
IF(ISNUMBER(SEARCH("LIGHT CYAN",INVENTARIO!C72)),"LIG-CYA",
IF(ISNUMBER(SEARCH("CYAN",INVENTARIO!C72)),"CYA",
IF(ISNUMBER(SEARCH("LIGHT MAGENTA",INVENTARIO!C72)),"LIG-MAG",
IF(ISNUMBER(SEARCH("MAGENTA",INVENTARIO!C72)),"MAG",
IF(ISNUMBER(SEARCH("BLACK",INVENTARIO!C72)),"BLA",
IF(ISNUMBER(SEARCH("YELLOW",INVENTARIO!C72)),"YEL",
IF(ISNUMBER(SEARCH("2 DIODOS",INVENTARIO!C72)),"2DI",
IF(ISNUMBER(SEARCH("3 DIODOS",INVENTARIO!C72)),"3DI",
IF(OR(ISNUMBER(SEARCH("TRASLUCIDO",INVENTARIO!C72)),ISNUMBER(SEARCH("TRANSLUCIDO",INVENTARIO!C72))),"TRA",
"")))))))))))))</f>
        <v/>
      </c>
      <c r="I72" t="str">
        <f>IF(ISNUMBER(SEARCH("SILED",INVENTARIO!C76)),"SI",
IF(ISNUMBER(SEARCH("SYDEMEX",INVENTARIO!C76)),"SY",
IF(ISNUMBER(SEARCH("ROHS",INVENTARIO!C76)),"RO",
IF(ISNUMBER(SEARCH("RISHANG",INVENTARIO!C76)),"RS",
IF(ISNUMBER(SEARCH("VYG",INVENTARIO!C76)),"VYG",
IF(ISNUMBER(SEARCH("COLED",INVENTARIO!C76)),"CO",""))))))</f>
        <v/>
      </c>
    </row>
    <row r="73" spans="1:9">
      <c r="A73" t="str">
        <f>IF(ISNUMBER(SEARCH("LONA",INVENTARIO!C73)),"LON",
IF(ISNUMBER(SEARCH("VINIL",INVENTARIO!C73)),"VIN",
IF(ISNUMBER(SEARCH("KROMACOTE",INVENTARIO!C73)),"KRO",
IF(ISNUMBER(SEARCH("STARDREAM",INVENTARIO!C73)),"STA",
IF(ISNUMBER(SEARCH("DISPLAY",INVENTARIO!C73)),"DIS",
IF(ISNUMBER(SEARCH("ROLL UP",INVENTARIO!C73)),"ROL-UP",
IF(ISNUMBER(SEARCH("TRANSFER DE PAPEL",INVENTARIO!C73)),"TRA-PAP",
IF(ISNUMBER(SEARCH("TRANSFER",INVENTARIO!C73)),"TRA",IF(ISNUMBER(SEARCH("KOLA LOKA",INVENTARIO!C73)),"KOL-LOK",
IF(ISNUMBER(SEARCH("PETG",INVENTARIO!C73)),"PET",
IF(ISNUMBER(SEARCH("OJILLO",INVENTARIO!C73)),"OJI",
IF(ISNUMBER(SEARCH("COUCHE",INVENTARIO!C73)),"COU",
IF(ISNUMBER(SEARCH("PANEL DE ALUMINIO",INVENTARIO!C73)),"PAN-ALU",
IF(ISNUMBER(SEARCH("PVC",INVENTARIO!C73)),"PVC",
IF(ISNUMBER(SEARCH("PAPEL",INVENTARIO!C73)),"PAP",
IF(ISNUMBER(SEARCH("TELA",INVENTARIO!C73)),"TEL",
IF(ISNUMBER(SEARCH("CARTULINA",INVENTARIO!C73)),"CAR",
IF(OR(ISNUMBER(SEARCH("LAMINA",INVENTARIO!C73)),ISNUMBER(SEARCH("LÁMINA",INVENTARIO!C73)),ISNUMBER(SEARCH("LAMPARAS",INVENTARIO!C73))),"LAM",
IF(ISNUMBER(SEARCH("ESTIRENO",INVENTARIO!C73)),"EST",
IF(ISNUMBER(SEARCH("FOAMBOARD",INVENTARIO!C73)),"FOA",
IF(ISNUMBER(SEARCH("SOLVENTE",INVENTARIO!C73)),"SOL",
IF(ISNUMBER(SEARCH("TINTA",INVENTARIO!C73)),"TIN",
IF(ISNUMBER(SEARCH("ACRILICO",INVENTARIO!C73)),"ACR",
IF(ISNUMBER(SEARCH("MICROLED",INVENTARIO!C73)),"MIC",
IF(ISNUMBER(SEARCH("LED",INVENTARIO!C73)),"LED",
IF(ISNUMBER(SEARCH("FUENTE DE PODER",INVENTARIO!C73)),"FUE-POD",
IF(ISNUMBER(SEARCH("PETG",INVENTARIO!C73)),"PET",
IF(ISNUMBER(SEARCH("ALUMINIO",INVENTARIO!C73)),"ALU",
IF(ISNUMBER(SEARCH("CANAL",INVENTARIO!C73)),"CAN",
IF(ISNUMBER(SEARCH("ESCUADRA",INVENTARIO!C73)),"ESC",
IF(ISNUMBER(SEARCH("SOPORTE",INVENTARIO!C73)),"SOP","OTR")
))))))))))))))))))))))))))))))</f>
        <v>VIN</v>
      </c>
      <c r="B73" t="str">
        <f>IF(ISNUMBER(SEARCH("CORTE",INVENTARIO!C73)),"COR",
IF(ISNUMBER(SEARCH("CITYLIGHT",INVENTARIO!C73)),"CIT",
IF(ISNUMBER(SEARCH("LINO",INVENTARIO!C73)),"LIN",
IF(ISNUMBER(SEARCH("FABRIANO",INVENTARIO!C73)),"FAB",
IF(ISNUMBER(SEARCH("SUNDANCE",INVENTARIO!C73)),"SUN",
IF(ISNUMBER(SEARCH("SINTETICA",INVENTARIO!C73)),"SIN",
IF(ISNUMBER(SEARCH("CONTROL",INVENTARIO!C73)),"CON",
IF(ISNUMBER(SEARCH("TERMICO",INVENTARIO!C73)),"TER",
IF(ISNUMBER(SEARCH("C-15",INVENTARIO!C73)),"C15",
IF(ISNUMBER(SEARCH("C-20",INVENTARIO!C73)),"C20",
IF(ISNUMBER(SEARCH("C-30",INVENTARIO!C73)),"C30",
IF(ISNUMBER(SEARCH("C-40",INVENTARIO!C73)),"C40",
IF(ISNUMBER(SEARCH("C-60",INVENTARIO!C73)),"C60",
IF(ISNUMBER(SEARCH("C-80",INVENTARIO!C73)),"C80",
IF(ISNUMBER(SEARCH("EQUIPO",INVENTARIO!C73)),"EQU",
IF(ISNUMBER(SEARCH("FLOOR",INVENTARIO!C73)),"FLO",
IF(ISNUMBER(SEARCH("CRISTAL",INVENTARIO!C73)),"CRI",
IF(ISNUMBER(SEARCH(" SULFATADA",INVENTARIO!C84)),"SUL",
IF(ISNUMBER(SEARCH("OPALINA",INVENTARIO!C73)),"OPA",
IF(ISNUMBER(SEARCH("ADHERIBLE",INVENTARIO!C73)),"ADH",
IF(ISNUMBER(SEARCH("MICRO",INVENTARIO!C73)),"MIC","")))))))))))))))))))))</f>
        <v/>
      </c>
      <c r="C73" t="str">
        <f>IF(ISNUMBER(SEARCH("PARED",INVENTARIO!C73)),"PAR",
IF(ISNUMBER(SEARCH("FRONT",INVENTARIO!C73)),"FRO",
IF(ISNUMBER(SEARCH("ALTA RESISTENCIA",INVENTARIO!C73)),
"ALT-RES",IF(ISNUMBER(SEARCH("BACKLITE",INVENTARIO!C73)),"BAC",
IF(ISNUMBER(SEARCH("MATE",INVENTARIO!C73)),"MAT",
IF(ISNUMBER(SEARCH("MESH",INVENTARIO!C73)),"MES",
IF(ISNUMBER(SEARCH("BRILLANTE",INVENTARIO!C73)),"BRI",
IF(ISNUMBER(SEARCH("DELGADA",INVENTARIO!C73)),"DEL",
IF(ISNUMBER(SEARCH("GRUESA",INVENTARIO!C73)),"GRU",
IF(ISNUMBER(SEARCH("ESTATICO",INVENTARIO!C73)),"EST",
IF(ISNUMBER(SEARCH("REFLECTIVO",INVENTARIO!C73)),"REF",
IF(ISNUMBER(SEARCH("LX700",INVENTARIO!C73)),"LX7",
IF(ISNUMBER(SEARCH("GRANDO",INVENTARIO!C73)),"GRA",
IF(ISNUMBER(SEARCH("FB700",INVENTARIO!C73)),"FB7",
IF(ISNUMBER(SEARCH("LX360",INVENTARIO!C73)),"LX3",
IF(ISNUMBER(SEARCH("XEROX",INVENTARIO!C73)),"XER",
IF(ISNUMBER(SEARCH("CEPILLADO",INVENTARIO!C73)),"CEP",
IF(ISNUMBER(SEARCH("ESPEJO",INVENTARIO!C73)),"ESP",
IF(ISNUMBER(SEARCH("10 PTS",INVENTARIO!C73)),"10PT",
IF(ISNUMBER(SEARCH("12 PTS",INVENTARIO!C73)),"12PT",
IF(ISNUMBER(SEARCH("14 PTS",INVENTARIO!C73)),"14PT",
IF(ISNUMBER(SEARCH("CLASICO",INVENTARIO!C73)),"CLA",
""))))))))))))))))))))))</f>
        <v>MAT</v>
      </c>
      <c r="D73" t="str">
        <f>IF(ISNUMBER(SEARCH("GRAN FORMATO",INVENTARIO!C73)),"GRA-FOR",
IF(ISNUMBER(SEARCH("CAMA PLANA",INVENTARIO!C73)),"CAM-PLA",
IF(ISNUMBER(SEARCH("GRADO INGENIERIA",INVENTARIO!C73)),"GRA-ING",
IF(ISNUMBER(SEARCH("130 GRS",INVENTARIO!C73)),"130GR",
IF(ISNUMBER(SEARCH("150 GRS",INVENTARIO!C73)),"150GR",
IF(ISNUMBER(SEARCH("185 GRS",INVENTARIO!C73)),"185GR",
IF(ISNUMBER(SEARCH("200 GRS",INVENTARIO!C73)),"200GR",
IF(ISNUMBER(SEARCH("250 GRS",INVENTARIO!C73)),"250GR",
IF(ISNUMBER(SEARCH("300 GRS",INVENTARIO!C73)),"300GR",
IF(ISNUMBER(SEARCH("350 GRS",INVENTARIO!C73)),"350GR",
IF(ISNUMBER(SEARCH("18 OZ",INVENTARIO!C73)),"18OZ",
IF(ISNUMBER(SEARCH("15 OZ",INVENTARIO!C73)),"15OZ",
IF(OR(ISNUMBER(SEARCH("13 OZ",INVENTARIO!C73)),ISNUMBER(SEARCH("13 ONZAS",INVENTARIO!C73))),"13OZ",
IF(OR(ISNUMBER(SEARCH("9 OZ",INVENTARIO!C73)),ISNUMBER(SEARCH("9 ONZAS",INVENTARIO!C73))),"09OZ",
IF(ISNUMBER(SEARCH("DOBLE CARA",INVENTARIO!C73)),"DOB-CAR",
"")))))))))))))))</f>
        <v/>
      </c>
      <c r="E73" t="str">
        <f>IF(OR(ISNUMBER(SEARCH("TRANSPARENTE",INVENTARIO!C73)),ISNUMBER(SEARCH("TRANSPARENTES",INVENTARIO!C73))),"TRA",
IF(OR(ISNUMBER(SEARCH("BLANCO",INVENTARIO!C73)),ISNUMBER(SEARCH("BCO",INVENTARIO!C73))),"BLA",
IF(ISNUMBER(SEARCH("FOTOGRAFICO",INVENTARIO!C73)),"FOT",
IF(ISNUMBER(SEARCH("MARFIL",INVENTARIO!C73)),"MAR",
IF(ISNUMBER(SEARCH("VERDE",INVENTARIO!C73)),"VER",
IF(ISNUMBER(SEARCH("MORADO",INVENTARIO!C73)),"MOR",
IF(ISNUMBER(SEARCH("PLATA",INVENTARIO!C73)),"PLA",
IF(ISNUMBER(SEARCH("ORO",INVENTARIO!C73)),"ORO",
IF(ISNUMBER(SEARCH("AMARILLO",INVENTARIO!C73)),"AMA",
IF(ISNUMBER(SEARCH("NARANJA",INVENTARIO!C73)),"NAR",
IF(ISNUMBER(SEARCH("NEGRO",INVENTARIO!C73)),"NEG",
IF(ISNUMBER(SEARCH("ROJO",INVENTARIO!C73)),"ROJ",
IF(ISNUMBER(SEARCH("AZUL",INVENTARIO!C73)),"AZU","")))))))))))))</f>
        <v>BLA</v>
      </c>
      <c r="F73" t="str">
        <f>IF(ISNUMBER(SEARCH("ARLON",INVENTARIO!C73)),"ARL",
IF(ISNUMBER(SEARCH("SUNTHINKS",INVENTARIO!C73)),"SUN",
IF(ISNUMBER(SEARCH("FRIO",INVENTARIO!C73)),"FRI",
IF(ISNUMBER(SEARCH("CALIDO",INVENTARIO!C73)),"CAL",
IF(ISNUMBER(SEARCH("CEPILLADO",INVENTARIO!C73)),"CEP",
IF(ISNUMBER(SEARCH("ESPEJO",INVENTARIO!C73)),"ESP",
""))))))</f>
        <v/>
      </c>
      <c r="G73" t="str">
        <f>IF(ISNUMBER(SEARCH("LATEX",INVENTARIO!C73)),"LAT",
IF(ISNUMBER(SEARCH("RESP. NEGRO",INVENTARIO!C73)),"RES-NEG",
IF(ISNUMBER(SEARCH("RESPALDO CAFE",INVENTARIO!C73)),"RES-CAF",
IF(ISNUMBER(SEARCH("RESPALDO GRIS",INVENTARIO!C73)),"RES-GRI",
IF(ISNUMBER(SEARCH("OPTICO",INVENTARIO!C73)),"OPT",
IF(ISNUMBER(SEARCH("1,2 MM",INVENTARIO!C73)),"1MM2",
IF(ISNUMBER(SEARCH("2 MM",INVENTARIO!C73)),"2MM",
IF(ISNUMBER(SEARCH("3 MM",INVENTARIO!C73)),"3MM",
IF(ISNUMBER(SEARCH("4 MM",INVENTARIO!C73)),"4MM",
IF(ISNUMBER(SEARCH("5 MM",INVENTARIO!C73)),"5MM",
IF(ISNUMBER(SEARCH("6 MM",INVENTARIO!C73)),"6MM",
IF(ISNUMBER(SEARCH("9 MM",INVENTARIO!C73)),"9MM",
IF(ISNUMBER(SEARCH("10 MM",INVENTARIO!C73)),"10MM","")))))))))))))</f>
        <v/>
      </c>
      <c r="H73" t="str">
        <f>IF(ISNUMBER(SEARCH("GAMA BAJA",INVENTARIO!C73)),"GAM-BAJ",
IF(ISNUMBER(SEARCH("OPTIMIZADOR",INVENTARIO!C73)),"OPT",
IF(ISNUMBER(SEARCH("OVERCOAT",INVENTARIO!C73)),"OVE",
IF(ISNUMBER(SEARCH("WHITE",INVENTARIO!C73)),"WHI",
IF(ISNUMBER(SEARCH("LIGHT CYAN",INVENTARIO!C73)),"LIG-CYA",
IF(ISNUMBER(SEARCH("CYAN",INVENTARIO!C73)),"CYA",
IF(ISNUMBER(SEARCH("LIGHT MAGENTA",INVENTARIO!C73)),"LIG-MAG",
IF(ISNUMBER(SEARCH("MAGENTA",INVENTARIO!C73)),"MAG",
IF(ISNUMBER(SEARCH("BLACK",INVENTARIO!C73)),"BLA",
IF(ISNUMBER(SEARCH("YELLOW",INVENTARIO!C73)),"YEL",
IF(ISNUMBER(SEARCH("2 DIODOS",INVENTARIO!C73)),"2DI",
IF(ISNUMBER(SEARCH("3 DIODOS",INVENTARIO!C73)),"3DI",
IF(OR(ISNUMBER(SEARCH("TRASLUCIDO",INVENTARIO!C73)),ISNUMBER(SEARCH("TRANSLUCIDO",INVENTARIO!C73))),"TRA",
"")))))))))))))</f>
        <v/>
      </c>
      <c r="I73" t="str">
        <f>IF(ISNUMBER(SEARCH("SILED",INVENTARIO!C77)),"SI",
IF(ISNUMBER(SEARCH("SYDEMEX",INVENTARIO!C77)),"SY",
IF(ISNUMBER(SEARCH("ROHS",INVENTARIO!C77)),"RO",
IF(ISNUMBER(SEARCH("RISHANG",INVENTARIO!C77)),"RS",
IF(ISNUMBER(SEARCH("VYG",INVENTARIO!C77)),"VYG",
IF(ISNUMBER(SEARCH("COLED",INVENTARIO!C77)),"CO",""))))))</f>
        <v/>
      </c>
    </row>
    <row r="74" spans="1:9">
      <c r="A74" t="str">
        <f>IF(ISNUMBER(SEARCH("LONA",INVENTARIO!C74)),"LON",
IF(ISNUMBER(SEARCH("VINIL",INVENTARIO!C74)),"VIN",
IF(ISNUMBER(SEARCH("KROMACOTE",INVENTARIO!C74)),"KRO",
IF(ISNUMBER(SEARCH("STARDREAM",INVENTARIO!C74)),"STA",
IF(ISNUMBER(SEARCH("DISPLAY",INVENTARIO!C74)),"DIS",
IF(ISNUMBER(SEARCH("ROLL UP",INVENTARIO!C74)),"ROL-UP",
IF(ISNUMBER(SEARCH("TRANSFER DE PAPEL",INVENTARIO!C74)),"TRA-PAP",
IF(ISNUMBER(SEARCH("TRANSFER",INVENTARIO!C74)),"TRA",IF(ISNUMBER(SEARCH("KOLA LOKA",INVENTARIO!C74)),"KOL-LOK",
IF(ISNUMBER(SEARCH("PETG",INVENTARIO!C74)),"PET",
IF(ISNUMBER(SEARCH("OJILLO",INVENTARIO!C74)),"OJI",
IF(ISNUMBER(SEARCH("COUCHE",INVENTARIO!C74)),"COU",
IF(ISNUMBER(SEARCH("PANEL DE ALUMINIO",INVENTARIO!C74)),"PAN-ALU",
IF(ISNUMBER(SEARCH("PVC",INVENTARIO!C74)),"PVC",
IF(ISNUMBER(SEARCH("PAPEL",INVENTARIO!C74)),"PAP",
IF(ISNUMBER(SEARCH("TELA",INVENTARIO!C74)),"TEL",
IF(ISNUMBER(SEARCH("CARTULINA",INVENTARIO!C74)),"CAR",
IF(OR(ISNUMBER(SEARCH("LAMINA",INVENTARIO!C74)),ISNUMBER(SEARCH("LÁMINA",INVENTARIO!C74)),ISNUMBER(SEARCH("LAMPARAS",INVENTARIO!C74))),"LAM",
IF(ISNUMBER(SEARCH("ESTIRENO",INVENTARIO!C74)),"EST",
IF(ISNUMBER(SEARCH("FOAMBOARD",INVENTARIO!C74)),"FOA",
IF(ISNUMBER(SEARCH("SOLVENTE",INVENTARIO!C74)),"SOL",
IF(ISNUMBER(SEARCH("TINTA",INVENTARIO!C74)),"TIN",
IF(ISNUMBER(SEARCH("ACRILICO",INVENTARIO!C74)),"ACR",
IF(ISNUMBER(SEARCH("MICROLED",INVENTARIO!C74)),"MIC",
IF(ISNUMBER(SEARCH("LED",INVENTARIO!C74)),"LED",
IF(ISNUMBER(SEARCH("FUENTE DE PODER",INVENTARIO!C74)),"FUE-POD",
IF(ISNUMBER(SEARCH("PETG",INVENTARIO!C74)),"PET",
IF(ISNUMBER(SEARCH("ALUMINIO",INVENTARIO!C74)),"ALU",
IF(ISNUMBER(SEARCH("CANAL",INVENTARIO!C74)),"CAN",
IF(ISNUMBER(SEARCH("ESCUADRA",INVENTARIO!C74)),"ESC",
IF(ISNUMBER(SEARCH("SOPORTE",INVENTARIO!C74)),"SOP","OTR")
))))))))))))))))))))))))))))))</f>
        <v>VIN</v>
      </c>
      <c r="B74" t="str">
        <f>IF(ISNUMBER(SEARCH("CORTE",INVENTARIO!C74)),"COR",
IF(ISNUMBER(SEARCH("CITYLIGHT",INVENTARIO!C74)),"CIT",
IF(ISNUMBER(SEARCH("LINO",INVENTARIO!C74)),"LIN",
IF(ISNUMBER(SEARCH("FABRIANO",INVENTARIO!C74)),"FAB",
IF(ISNUMBER(SEARCH("SUNDANCE",INVENTARIO!C74)),"SUN",
IF(ISNUMBER(SEARCH("SINTETICA",INVENTARIO!C74)),"SIN",
IF(ISNUMBER(SEARCH("CONTROL",INVENTARIO!C74)),"CON",
IF(ISNUMBER(SEARCH("TERMICO",INVENTARIO!C74)),"TER",
IF(ISNUMBER(SEARCH("C-15",INVENTARIO!C74)),"C15",
IF(ISNUMBER(SEARCH("C-20",INVENTARIO!C74)),"C20",
IF(ISNUMBER(SEARCH("C-30",INVENTARIO!C74)),"C30",
IF(ISNUMBER(SEARCH("C-40",INVENTARIO!C74)),"C40",
IF(ISNUMBER(SEARCH("C-60",INVENTARIO!C74)),"C60",
IF(ISNUMBER(SEARCH("C-80",INVENTARIO!C74)),"C80",
IF(ISNUMBER(SEARCH("EQUIPO",INVENTARIO!C74)),"EQU",
IF(ISNUMBER(SEARCH("FLOOR",INVENTARIO!C74)),"FLO",
IF(ISNUMBER(SEARCH("CRISTAL",INVENTARIO!C74)),"CRI",
IF(ISNUMBER(SEARCH(" SULFATADA",INVENTARIO!C85)),"SUL",
IF(ISNUMBER(SEARCH("OPALINA",INVENTARIO!C74)),"OPA",
IF(ISNUMBER(SEARCH("ADHERIBLE",INVENTARIO!C74)),"ADH",
IF(ISNUMBER(SEARCH("MICRO",INVENTARIO!C74)),"MIC","")))))))))))))))))))))</f>
        <v/>
      </c>
      <c r="C74" t="str">
        <f>IF(ISNUMBER(SEARCH("PARED",INVENTARIO!C74)),"PAR",
IF(ISNUMBER(SEARCH("FRONT",INVENTARIO!C74)),"FRO",
IF(ISNUMBER(SEARCH("ALTA RESISTENCIA",INVENTARIO!C74)),
"ALT-RES",IF(ISNUMBER(SEARCH("BACKLITE",INVENTARIO!C74)),"BAC",
IF(ISNUMBER(SEARCH("MATE",INVENTARIO!C74)),"MAT",
IF(ISNUMBER(SEARCH("MESH",INVENTARIO!C74)),"MES",
IF(ISNUMBER(SEARCH("BRILLANTE",INVENTARIO!C74)),"BRI",
IF(ISNUMBER(SEARCH("DELGADA",INVENTARIO!C74)),"DEL",
IF(ISNUMBER(SEARCH("GRUESA",INVENTARIO!C74)),"GRU",
IF(ISNUMBER(SEARCH("ESTATICO",INVENTARIO!C74)),"EST",
IF(ISNUMBER(SEARCH("REFLECTIVO",INVENTARIO!C74)),"REF",
IF(ISNUMBER(SEARCH("LX700",INVENTARIO!C74)),"LX7",
IF(ISNUMBER(SEARCH("GRANDO",INVENTARIO!C74)),"GRA",
IF(ISNUMBER(SEARCH("FB700",INVENTARIO!C74)),"FB7",
IF(ISNUMBER(SEARCH("LX360",INVENTARIO!C74)),"LX3",
IF(ISNUMBER(SEARCH("XEROX",INVENTARIO!C74)),"XER",
IF(ISNUMBER(SEARCH("CEPILLADO",INVENTARIO!C74)),"CEP",
IF(ISNUMBER(SEARCH("ESPEJO",INVENTARIO!C74)),"ESP",
IF(ISNUMBER(SEARCH("10 PTS",INVENTARIO!C74)),"10PT",
IF(ISNUMBER(SEARCH("12 PTS",INVENTARIO!C74)),"12PT",
IF(ISNUMBER(SEARCH("14 PTS",INVENTARIO!C74)),"14PT",
IF(ISNUMBER(SEARCH("CLASICO",INVENTARIO!C74)),"CLA",
""))))))))))))))))))))))</f>
        <v>MAT</v>
      </c>
      <c r="D74" t="str">
        <f>IF(ISNUMBER(SEARCH("GRAN FORMATO",INVENTARIO!C74)),"GRA-FOR",
IF(ISNUMBER(SEARCH("CAMA PLANA",INVENTARIO!C74)),"CAM-PLA",
IF(ISNUMBER(SEARCH("GRADO INGENIERIA",INVENTARIO!C74)),"GRA-ING",
IF(ISNUMBER(SEARCH("130 GRS",INVENTARIO!C74)),"130GR",
IF(ISNUMBER(SEARCH("150 GRS",INVENTARIO!C74)),"150GR",
IF(ISNUMBER(SEARCH("185 GRS",INVENTARIO!C74)),"185GR",
IF(ISNUMBER(SEARCH("200 GRS",INVENTARIO!C74)),"200GR",
IF(ISNUMBER(SEARCH("250 GRS",INVENTARIO!C74)),"250GR",
IF(ISNUMBER(SEARCH("300 GRS",INVENTARIO!C74)),"300GR",
IF(ISNUMBER(SEARCH("350 GRS",INVENTARIO!C74)),"350GR",
IF(ISNUMBER(SEARCH("18 OZ",INVENTARIO!C74)),"18OZ",
IF(ISNUMBER(SEARCH("15 OZ",INVENTARIO!C74)),"15OZ",
IF(OR(ISNUMBER(SEARCH("13 OZ",INVENTARIO!C74)),ISNUMBER(SEARCH("13 ONZAS",INVENTARIO!C74))),"13OZ",
IF(OR(ISNUMBER(SEARCH("9 OZ",INVENTARIO!C74)),ISNUMBER(SEARCH("9 ONZAS",INVENTARIO!C74))),"09OZ",
IF(ISNUMBER(SEARCH("DOBLE CARA",INVENTARIO!C74)),"DOB-CAR",
"")))))))))))))))</f>
        <v/>
      </c>
      <c r="E74" t="str">
        <f>IF(OR(ISNUMBER(SEARCH("TRANSPARENTE",INVENTARIO!C74)),ISNUMBER(SEARCH("TRANSPARENTES",INVENTARIO!C74))),"TRA",
IF(OR(ISNUMBER(SEARCH("BLANCO",INVENTARIO!C74)),ISNUMBER(SEARCH("BCO",INVENTARIO!C74))),"BLA",
IF(ISNUMBER(SEARCH("FOTOGRAFICO",INVENTARIO!C74)),"FOT",
IF(ISNUMBER(SEARCH("MARFIL",INVENTARIO!C74)),"MAR",
IF(ISNUMBER(SEARCH("VERDE",INVENTARIO!C74)),"VER",
IF(ISNUMBER(SEARCH("MORADO",INVENTARIO!C74)),"MOR",
IF(ISNUMBER(SEARCH("PLATA",INVENTARIO!C74)),"PLA",
IF(ISNUMBER(SEARCH("ORO",INVENTARIO!C74)),"ORO",
IF(ISNUMBER(SEARCH("AMARILLO",INVENTARIO!C74)),"AMA",
IF(ISNUMBER(SEARCH("NARANJA",INVENTARIO!C74)),"NAR",
IF(ISNUMBER(SEARCH("NEGRO",INVENTARIO!C74)),"NEG",
IF(ISNUMBER(SEARCH("ROJO",INVENTARIO!C74)),"ROJ",
IF(ISNUMBER(SEARCH("AZUL",INVENTARIO!C74)),"AZU","")))))))))))))</f>
        <v>BLA</v>
      </c>
      <c r="F74" t="str">
        <f>IF(ISNUMBER(SEARCH("ARLON",INVENTARIO!C74)),"ARL",
IF(ISNUMBER(SEARCH("SUNTHINKS",INVENTARIO!C74)),"SUN",
IF(ISNUMBER(SEARCH("FRIO",INVENTARIO!C74)),"FRI",
IF(ISNUMBER(SEARCH("CALIDO",INVENTARIO!C74)),"CAL",
IF(ISNUMBER(SEARCH("CEPILLADO",INVENTARIO!C74)),"CEP",
IF(ISNUMBER(SEARCH("ESPEJO",INVENTARIO!C74)),"ESP",
""))))))</f>
        <v/>
      </c>
      <c r="G74" t="str">
        <f>IF(ISNUMBER(SEARCH("LATEX",INVENTARIO!C74)),"LAT",
IF(ISNUMBER(SEARCH("RESP. NEGRO",INVENTARIO!C74)),"RES-NEG",
IF(ISNUMBER(SEARCH("RESPALDO CAFE",INVENTARIO!C74)),"RES-CAF",
IF(ISNUMBER(SEARCH("RESPALDO GRIS",INVENTARIO!C74)),"RES-GRI",
IF(ISNUMBER(SEARCH("OPTICO",INVENTARIO!C74)),"OPT",
IF(ISNUMBER(SEARCH("1,2 MM",INVENTARIO!C74)),"1MM2",
IF(ISNUMBER(SEARCH("2 MM",INVENTARIO!C74)),"2MM",
IF(ISNUMBER(SEARCH("3 MM",INVENTARIO!C74)),"3MM",
IF(ISNUMBER(SEARCH("4 MM",INVENTARIO!C74)),"4MM",
IF(ISNUMBER(SEARCH("5 MM",INVENTARIO!C74)),"5MM",
IF(ISNUMBER(SEARCH("6 MM",INVENTARIO!C74)),"6MM",
IF(ISNUMBER(SEARCH("9 MM",INVENTARIO!C74)),"9MM",
IF(ISNUMBER(SEARCH("10 MM",INVENTARIO!C74)),"10MM","")))))))))))))</f>
        <v/>
      </c>
      <c r="H74" t="str">
        <f>IF(ISNUMBER(SEARCH("GAMA BAJA",INVENTARIO!C74)),"GAM-BAJ",
IF(ISNUMBER(SEARCH("OPTIMIZADOR",INVENTARIO!C74)),"OPT",
IF(ISNUMBER(SEARCH("OVERCOAT",INVENTARIO!C74)),"OVE",
IF(ISNUMBER(SEARCH("WHITE",INVENTARIO!C74)),"WHI",
IF(ISNUMBER(SEARCH("LIGHT CYAN",INVENTARIO!C74)),"LIG-CYA",
IF(ISNUMBER(SEARCH("CYAN",INVENTARIO!C74)),"CYA",
IF(ISNUMBER(SEARCH("LIGHT MAGENTA",INVENTARIO!C74)),"LIG-MAG",
IF(ISNUMBER(SEARCH("MAGENTA",INVENTARIO!C74)),"MAG",
IF(ISNUMBER(SEARCH("BLACK",INVENTARIO!C74)),"BLA",
IF(ISNUMBER(SEARCH("YELLOW",INVENTARIO!C74)),"YEL",
IF(ISNUMBER(SEARCH("2 DIODOS",INVENTARIO!C74)),"2DI",
IF(ISNUMBER(SEARCH("3 DIODOS",INVENTARIO!C74)),"3DI",
IF(OR(ISNUMBER(SEARCH("TRASLUCIDO",INVENTARIO!C74)),ISNUMBER(SEARCH("TRANSLUCIDO",INVENTARIO!C74))),"TRA",
"")))))))))))))</f>
        <v/>
      </c>
      <c r="I7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75" spans="1:9">
      <c r="A75" t="str">
        <f>IF(ISNUMBER(SEARCH("LONA",INVENTARIO!C75)),"LON",
IF(ISNUMBER(SEARCH("VINIL",INVENTARIO!C75)),"VIN",
IF(ISNUMBER(SEARCH("KROMACOTE",INVENTARIO!C75)),"KRO",
IF(ISNUMBER(SEARCH("STARDREAM",INVENTARIO!C75)),"STA",
IF(ISNUMBER(SEARCH("DISPLAY",INVENTARIO!C75)),"DIS",
IF(ISNUMBER(SEARCH("ROLL UP",INVENTARIO!C75)),"ROL-UP",
IF(ISNUMBER(SEARCH("TRANSFER DE PAPEL",INVENTARIO!C75)),"TRA-PAP",
IF(ISNUMBER(SEARCH("TRANSFER",INVENTARIO!C75)),"TRA",IF(ISNUMBER(SEARCH("KOLA LOKA",INVENTARIO!C75)),"KOL-LOK",
IF(ISNUMBER(SEARCH("PETG",INVENTARIO!C75)),"PET",
IF(ISNUMBER(SEARCH("OJILLO",INVENTARIO!C75)),"OJI",
IF(ISNUMBER(SEARCH("COUCHE",INVENTARIO!C75)),"COU",
IF(ISNUMBER(SEARCH("PANEL DE ALUMINIO",INVENTARIO!C75)),"PAN-ALU",
IF(ISNUMBER(SEARCH("PVC",INVENTARIO!C75)),"PVC",
IF(ISNUMBER(SEARCH("PAPEL",INVENTARIO!C75)),"PAP",
IF(ISNUMBER(SEARCH("TELA",INVENTARIO!C75)),"TEL",
IF(ISNUMBER(SEARCH("CARTULINA",INVENTARIO!C75)),"CAR",
IF(OR(ISNUMBER(SEARCH("LAMINA",INVENTARIO!C75)),ISNUMBER(SEARCH("LÁMINA",INVENTARIO!C75)),ISNUMBER(SEARCH("LAMPARAS",INVENTARIO!C75))),"LAM",
IF(ISNUMBER(SEARCH("ESTIRENO",INVENTARIO!C75)),"EST",
IF(ISNUMBER(SEARCH("FOAMBOARD",INVENTARIO!C75)),"FOA",
IF(ISNUMBER(SEARCH("SOLVENTE",INVENTARIO!C75)),"SOL",
IF(ISNUMBER(SEARCH("TINTA",INVENTARIO!C75)),"TIN",
IF(ISNUMBER(SEARCH("ACRILICO",INVENTARIO!C75)),"ACR",
IF(ISNUMBER(SEARCH("MICROLED",INVENTARIO!C75)),"MIC",
IF(ISNUMBER(SEARCH("LED",INVENTARIO!C75)),"LED",
IF(ISNUMBER(SEARCH("FUENTE DE PODER",INVENTARIO!C75)),"FUE-POD",
IF(ISNUMBER(SEARCH("PETG",INVENTARIO!C75)),"PET",
IF(ISNUMBER(SEARCH("ALUMINIO",INVENTARIO!C75)),"ALU",
IF(ISNUMBER(SEARCH("CANAL",INVENTARIO!C75)),"CAN",
IF(ISNUMBER(SEARCH("ESCUADRA",INVENTARIO!C75)),"ESC",
IF(ISNUMBER(SEARCH("SOPORTE",INVENTARIO!C75)),"SOP","OTR")
))))))))))))))))))))))))))))))</f>
        <v>VIN</v>
      </c>
      <c r="B75" t="str">
        <f>IF(ISNUMBER(SEARCH("CORTE",INVENTARIO!C75)),"COR",
IF(ISNUMBER(SEARCH("CITYLIGHT",INVENTARIO!C75)),"CIT",
IF(ISNUMBER(SEARCH("LINO",INVENTARIO!C75)),"LIN",
IF(ISNUMBER(SEARCH("FABRIANO",INVENTARIO!C75)),"FAB",
IF(ISNUMBER(SEARCH("SUNDANCE",INVENTARIO!C75)),"SUN",
IF(ISNUMBER(SEARCH("SINTETICA",INVENTARIO!C75)),"SIN",
IF(ISNUMBER(SEARCH("CONTROL",INVENTARIO!C75)),"CON",
IF(ISNUMBER(SEARCH("TERMICO",INVENTARIO!C75)),"TER",
IF(ISNUMBER(SEARCH("C-15",INVENTARIO!C75)),"C15",
IF(ISNUMBER(SEARCH("C-20",INVENTARIO!C75)),"C20",
IF(ISNUMBER(SEARCH("C-30",INVENTARIO!C75)),"C30",
IF(ISNUMBER(SEARCH("C-40",INVENTARIO!C75)),"C40",
IF(ISNUMBER(SEARCH("C-60",INVENTARIO!C75)),"C60",
IF(ISNUMBER(SEARCH("C-80",INVENTARIO!C75)),"C80",
IF(ISNUMBER(SEARCH("EQUIPO",INVENTARIO!C75)),"EQU",
IF(ISNUMBER(SEARCH("FLOOR",INVENTARIO!C75)),"FLO",
IF(ISNUMBER(SEARCH("CRISTAL",INVENTARIO!C75)),"CRI",
IF(ISNUMBER(SEARCH(" SULFATADA",INVENTARIO!C86)),"SUL",
IF(ISNUMBER(SEARCH("OPALINA",INVENTARIO!C75)),"OPA",
IF(ISNUMBER(SEARCH("ADHERIBLE",INVENTARIO!C75)),"ADH",
IF(ISNUMBER(SEARCH("MICRO",INVENTARIO!C75)),"MIC","")))))))))))))))))))))</f>
        <v/>
      </c>
      <c r="C75" t="str">
        <f>IF(ISNUMBER(SEARCH("PARED",INVENTARIO!C75)),"PAR",
IF(ISNUMBER(SEARCH("FRONT",INVENTARIO!C75)),"FRO",
IF(ISNUMBER(SEARCH("ALTA RESISTENCIA",INVENTARIO!C75)),
"ALT-RES",IF(ISNUMBER(SEARCH("BACKLITE",INVENTARIO!C75)),"BAC",
IF(ISNUMBER(SEARCH("MATE",INVENTARIO!C75)),"MAT",
IF(ISNUMBER(SEARCH("MESH",INVENTARIO!C75)),"MES",
IF(ISNUMBER(SEARCH("BRILLANTE",INVENTARIO!C75)),"BRI",
IF(ISNUMBER(SEARCH("DELGADA",INVENTARIO!C75)),"DEL",
IF(ISNUMBER(SEARCH("GRUESA",INVENTARIO!C75)),"GRU",
IF(ISNUMBER(SEARCH("ESTATICO",INVENTARIO!C75)),"EST",
IF(ISNUMBER(SEARCH("REFLECTIVO",INVENTARIO!C75)),"REF",
IF(ISNUMBER(SEARCH("LX700",INVENTARIO!C75)),"LX7",
IF(ISNUMBER(SEARCH("GRANDO",INVENTARIO!C75)),"GRA",
IF(ISNUMBER(SEARCH("FB700",INVENTARIO!C75)),"FB7",
IF(ISNUMBER(SEARCH("LX360",INVENTARIO!C75)),"LX3",
IF(ISNUMBER(SEARCH("XEROX",INVENTARIO!C75)),"XER",
IF(ISNUMBER(SEARCH("CEPILLADO",INVENTARIO!C75)),"CEP",
IF(ISNUMBER(SEARCH("ESPEJO",INVENTARIO!C75)),"ESP",
IF(ISNUMBER(SEARCH("10 PTS",INVENTARIO!C75)),"10PT",
IF(ISNUMBER(SEARCH("12 PTS",INVENTARIO!C75)),"12PT",
IF(ISNUMBER(SEARCH("14 PTS",INVENTARIO!C75)),"14PT",
IF(ISNUMBER(SEARCH("CLASICO",INVENTARIO!C75)),"CLA",
""))))))))))))))))))))))</f>
        <v>MAT</v>
      </c>
      <c r="D75" t="str">
        <f>IF(ISNUMBER(SEARCH("GRAN FORMATO",INVENTARIO!C75)),"GRA-FOR",
IF(ISNUMBER(SEARCH("CAMA PLANA",INVENTARIO!C75)),"CAM-PLA",
IF(ISNUMBER(SEARCH("GRADO INGENIERIA",INVENTARIO!C75)),"GRA-ING",
IF(ISNUMBER(SEARCH("130 GRS",INVENTARIO!C75)),"130GR",
IF(ISNUMBER(SEARCH("150 GRS",INVENTARIO!C75)),"150GR",
IF(ISNUMBER(SEARCH("185 GRS",INVENTARIO!C75)),"185GR",
IF(ISNUMBER(SEARCH("200 GRS",INVENTARIO!C75)),"200GR",
IF(ISNUMBER(SEARCH("250 GRS",INVENTARIO!C75)),"250GR",
IF(ISNUMBER(SEARCH("300 GRS",INVENTARIO!C75)),"300GR",
IF(ISNUMBER(SEARCH("350 GRS",INVENTARIO!C75)),"350GR",
IF(ISNUMBER(SEARCH("18 OZ",INVENTARIO!C75)),"18OZ",
IF(ISNUMBER(SEARCH("15 OZ",INVENTARIO!C75)),"15OZ",
IF(OR(ISNUMBER(SEARCH("13 OZ",INVENTARIO!C75)),ISNUMBER(SEARCH("13 ONZAS",INVENTARIO!C75))),"13OZ",
IF(OR(ISNUMBER(SEARCH("9 OZ",INVENTARIO!C75)),ISNUMBER(SEARCH("9 ONZAS",INVENTARIO!C75))),"09OZ",
IF(ISNUMBER(SEARCH("DOBLE CARA",INVENTARIO!C75)),"DOB-CAR",
"")))))))))))))))</f>
        <v/>
      </c>
      <c r="E75" t="str">
        <f>IF(OR(ISNUMBER(SEARCH("TRANSPARENTE",INVENTARIO!C75)),ISNUMBER(SEARCH("TRANSPARENTES",INVENTARIO!C75))),"TRA",
IF(OR(ISNUMBER(SEARCH("BLANCO",INVENTARIO!C75)),ISNUMBER(SEARCH("BCO",INVENTARIO!C75))),"BLA",
IF(ISNUMBER(SEARCH("FOTOGRAFICO",INVENTARIO!C75)),"FOT",
IF(ISNUMBER(SEARCH("MARFIL",INVENTARIO!C75)),"MAR",
IF(ISNUMBER(SEARCH("VERDE",INVENTARIO!C75)),"VER",
IF(ISNUMBER(SEARCH("MORADO",INVENTARIO!C75)),"MOR",
IF(ISNUMBER(SEARCH("PLATA",INVENTARIO!C75)),"PLA",
IF(ISNUMBER(SEARCH("ORO",INVENTARIO!C75)),"ORO",
IF(ISNUMBER(SEARCH("AMARILLO",INVENTARIO!C75)),"AMA",
IF(ISNUMBER(SEARCH("NARANJA",INVENTARIO!C75)),"NAR",
IF(ISNUMBER(SEARCH("NEGRO",INVENTARIO!C75)),"NEG",
IF(ISNUMBER(SEARCH("ROJO",INVENTARIO!C75)),"ROJ",
IF(ISNUMBER(SEARCH("AZUL",INVENTARIO!C75)),"AZU","")))))))))))))</f>
        <v>BLA</v>
      </c>
      <c r="F75" t="str">
        <f>IF(ISNUMBER(SEARCH("ARLON",INVENTARIO!C75)),"ARL",
IF(ISNUMBER(SEARCH("SUNTHINKS",INVENTARIO!C75)),"SUN",
IF(ISNUMBER(SEARCH("FRIO",INVENTARIO!C75)),"FRI",
IF(ISNUMBER(SEARCH("CALIDO",INVENTARIO!C75)),"CAL",
IF(ISNUMBER(SEARCH("CEPILLADO",INVENTARIO!C75)),"CEP",
IF(ISNUMBER(SEARCH("ESPEJO",INVENTARIO!C75)),"ESP",
""))))))</f>
        <v/>
      </c>
      <c r="G75" t="str">
        <f>IF(ISNUMBER(SEARCH("LATEX",INVENTARIO!C75)),"LAT",
IF(ISNUMBER(SEARCH("RESP. NEGRO",INVENTARIO!C75)),"RES-NEG",
IF(ISNUMBER(SEARCH("RESPALDO CAFE",INVENTARIO!C75)),"RES-CAF",
IF(ISNUMBER(SEARCH("RESPALDO GRIS",INVENTARIO!C75)),"RES-GRI",
IF(ISNUMBER(SEARCH("OPTICO",INVENTARIO!C75)),"OPT",
IF(ISNUMBER(SEARCH("1,2 MM",INVENTARIO!C75)),"1MM2",
IF(ISNUMBER(SEARCH("2 MM",INVENTARIO!C75)),"2MM",
IF(ISNUMBER(SEARCH("3 MM",INVENTARIO!C75)),"3MM",
IF(ISNUMBER(SEARCH("4 MM",INVENTARIO!C75)),"4MM",
IF(ISNUMBER(SEARCH("5 MM",INVENTARIO!C75)),"5MM",
IF(ISNUMBER(SEARCH("6 MM",INVENTARIO!C75)),"6MM",
IF(ISNUMBER(SEARCH("9 MM",INVENTARIO!C75)),"9MM",
IF(ISNUMBER(SEARCH("10 MM",INVENTARIO!C75)),"10MM","")))))))))))))</f>
        <v/>
      </c>
      <c r="H75" t="str">
        <f>IF(ISNUMBER(SEARCH("GAMA BAJA",INVENTARIO!C75)),"GAM-BAJ",
IF(ISNUMBER(SEARCH("OPTIMIZADOR",INVENTARIO!C75)),"OPT",
IF(ISNUMBER(SEARCH("OVERCOAT",INVENTARIO!C75)),"OVE",
IF(ISNUMBER(SEARCH("WHITE",INVENTARIO!C75)),"WHI",
IF(ISNUMBER(SEARCH("LIGHT CYAN",INVENTARIO!C75)),"LIG-CYA",
IF(ISNUMBER(SEARCH("CYAN",INVENTARIO!C75)),"CYA",
IF(ISNUMBER(SEARCH("LIGHT MAGENTA",INVENTARIO!C75)),"LIG-MAG",
IF(ISNUMBER(SEARCH("MAGENTA",INVENTARIO!C75)),"MAG",
IF(ISNUMBER(SEARCH("BLACK",INVENTARIO!C75)),"BLA",
IF(ISNUMBER(SEARCH("YELLOW",INVENTARIO!C75)),"YEL",
IF(ISNUMBER(SEARCH("2 DIODOS",INVENTARIO!C75)),"2DI",
IF(ISNUMBER(SEARCH("3 DIODOS",INVENTARIO!C75)),"3DI",
IF(OR(ISNUMBER(SEARCH("TRASLUCIDO",INVENTARIO!C75)),ISNUMBER(SEARCH("TRANSLUCIDO",INVENTARIO!C75))),"TRA",
"")))))))))))))</f>
        <v/>
      </c>
      <c r="I75" t="str">
        <f>IF(ISNUMBER(SEARCH("SILED",INVENTARIO!C78)),"SI",
IF(ISNUMBER(SEARCH("SYDEMEX",INVENTARIO!C78)),"SY",
IF(ISNUMBER(SEARCH("ROHS",INVENTARIO!C78)),"RO",
IF(ISNUMBER(SEARCH("RISHANG",INVENTARIO!C78)),"RS",
IF(ISNUMBER(SEARCH("VYG",INVENTARIO!C78)),"VYG",
IF(ISNUMBER(SEARCH("COLED",INVENTARIO!C78)),"CO",""))))))</f>
        <v/>
      </c>
    </row>
    <row r="76" spans="1:9">
      <c r="A76" t="str">
        <f>IF(ISNUMBER(SEARCH("LONA",INVENTARIO!C76)),"LON",
IF(ISNUMBER(SEARCH("VINIL",INVENTARIO!C76)),"VIN",
IF(ISNUMBER(SEARCH("KROMACOTE",INVENTARIO!C76)),"KRO",
IF(ISNUMBER(SEARCH("STARDREAM",INVENTARIO!C76)),"STA",
IF(ISNUMBER(SEARCH("DISPLAY",INVENTARIO!C76)),"DIS",
IF(ISNUMBER(SEARCH("ROLL UP",INVENTARIO!C76)),"ROL-UP",
IF(ISNUMBER(SEARCH("TRANSFER DE PAPEL",INVENTARIO!C76)),"TRA-PAP",
IF(ISNUMBER(SEARCH("TRANSFER",INVENTARIO!C76)),"TRA",IF(ISNUMBER(SEARCH("KOLA LOKA",INVENTARIO!C76)),"KOL-LOK",
IF(ISNUMBER(SEARCH("PETG",INVENTARIO!C76)),"PET",
IF(ISNUMBER(SEARCH("OJILLO",INVENTARIO!C76)),"OJI",
IF(ISNUMBER(SEARCH("COUCHE",INVENTARIO!C76)),"COU",
IF(ISNUMBER(SEARCH("PANEL DE ALUMINIO",INVENTARIO!C76)),"PAN-ALU",
IF(ISNUMBER(SEARCH("PVC",INVENTARIO!C76)),"PVC",
IF(ISNUMBER(SEARCH("PAPEL",INVENTARIO!C76)),"PAP",
IF(ISNUMBER(SEARCH("TELA",INVENTARIO!C76)),"TEL",
IF(ISNUMBER(SEARCH("CARTULINA",INVENTARIO!C76)),"CAR",
IF(OR(ISNUMBER(SEARCH("LAMINA",INVENTARIO!C76)),ISNUMBER(SEARCH("LÁMINA",INVENTARIO!C76)),ISNUMBER(SEARCH("LAMPARAS",INVENTARIO!C76))),"LAM",
IF(ISNUMBER(SEARCH("ESTIRENO",INVENTARIO!C76)),"EST",
IF(ISNUMBER(SEARCH("FOAMBOARD",INVENTARIO!C76)),"FOA",
IF(ISNUMBER(SEARCH("SOLVENTE",INVENTARIO!C76)),"SOL",
IF(ISNUMBER(SEARCH("TINTA",INVENTARIO!C76)),"TIN",
IF(ISNUMBER(SEARCH("ACRILICO",INVENTARIO!C76)),"ACR",
IF(ISNUMBER(SEARCH("MICROLED",INVENTARIO!C76)),"MIC",
IF(ISNUMBER(SEARCH("LED",INVENTARIO!C76)),"LED",
IF(ISNUMBER(SEARCH("FUENTE DE PODER",INVENTARIO!C76)),"FUE-POD",
IF(ISNUMBER(SEARCH("PETG",INVENTARIO!C76)),"PET",
IF(ISNUMBER(SEARCH("ALUMINIO",INVENTARIO!C76)),"ALU",
IF(ISNUMBER(SEARCH("CANAL",INVENTARIO!C76)),"CAN",
IF(ISNUMBER(SEARCH("ESCUADRA",INVENTARIO!C76)),"ESC",
IF(ISNUMBER(SEARCH("SOPORTE",INVENTARIO!C76)),"SOP","OTR")
))))))))))))))))))))))))))))))</f>
        <v>VIN</v>
      </c>
      <c r="B76" t="str">
        <f>IF(ISNUMBER(SEARCH("CORTE",INVENTARIO!C76)),"COR",
IF(ISNUMBER(SEARCH("CITYLIGHT",INVENTARIO!C76)),"CIT",
IF(ISNUMBER(SEARCH("LINO",INVENTARIO!C76)),"LIN",
IF(ISNUMBER(SEARCH("FABRIANO",INVENTARIO!C76)),"FAB",
IF(ISNUMBER(SEARCH("SUNDANCE",INVENTARIO!C76)),"SUN",
IF(ISNUMBER(SEARCH("SINTETICA",INVENTARIO!C76)),"SIN",
IF(ISNUMBER(SEARCH("CONTROL",INVENTARIO!C76)),"CON",
IF(ISNUMBER(SEARCH("TERMICO",INVENTARIO!C76)),"TER",
IF(ISNUMBER(SEARCH("C-15",INVENTARIO!C76)),"C15",
IF(ISNUMBER(SEARCH("C-20",INVENTARIO!C76)),"C20",
IF(ISNUMBER(SEARCH("C-30",INVENTARIO!C76)),"C30",
IF(ISNUMBER(SEARCH("C-40",INVENTARIO!C76)),"C40",
IF(ISNUMBER(SEARCH("C-60",INVENTARIO!C76)),"C60",
IF(ISNUMBER(SEARCH("C-80",INVENTARIO!C76)),"C80",
IF(ISNUMBER(SEARCH("EQUIPO",INVENTARIO!C76)),"EQU",
IF(ISNUMBER(SEARCH("FLOOR",INVENTARIO!C76)),"FLO",
IF(ISNUMBER(SEARCH("CRISTAL",INVENTARIO!C76)),"CRI",
IF(ISNUMBER(SEARCH(" SULFATADA",INVENTARIO!C87)),"SUL",
IF(ISNUMBER(SEARCH("OPALINA",INVENTARIO!C76)),"OPA",
IF(ISNUMBER(SEARCH("ADHERIBLE",INVENTARIO!C76)),"ADH",
IF(ISNUMBER(SEARCH("MICRO",INVENTARIO!C76)),"MIC","")))))))))))))))))))))</f>
        <v/>
      </c>
      <c r="C76" t="str">
        <f>IF(ISNUMBER(SEARCH("PARED",INVENTARIO!C76)),"PAR",
IF(ISNUMBER(SEARCH("FRONT",INVENTARIO!C76)),"FRO",
IF(ISNUMBER(SEARCH("ALTA RESISTENCIA",INVENTARIO!C76)),
"ALT-RES",IF(ISNUMBER(SEARCH("BACKLITE",INVENTARIO!C76)),"BAC",
IF(ISNUMBER(SEARCH("MATE",INVENTARIO!C76)),"MAT",
IF(ISNUMBER(SEARCH("MESH",INVENTARIO!C76)),"MES",
IF(ISNUMBER(SEARCH("BRILLANTE",INVENTARIO!C76)),"BRI",
IF(ISNUMBER(SEARCH("DELGADA",INVENTARIO!C76)),"DEL",
IF(ISNUMBER(SEARCH("GRUESA",INVENTARIO!C76)),"GRU",
IF(ISNUMBER(SEARCH("ESTATICO",INVENTARIO!C76)),"EST",
IF(ISNUMBER(SEARCH("REFLECTIVO",INVENTARIO!C76)),"REF",
IF(ISNUMBER(SEARCH("LX700",INVENTARIO!C76)),"LX7",
IF(ISNUMBER(SEARCH("GRANDO",INVENTARIO!C76)),"GRA",
IF(ISNUMBER(SEARCH("FB700",INVENTARIO!C76)),"FB7",
IF(ISNUMBER(SEARCH("LX360",INVENTARIO!C76)),"LX3",
IF(ISNUMBER(SEARCH("XEROX",INVENTARIO!C76)),"XER",
IF(ISNUMBER(SEARCH("CEPILLADO",INVENTARIO!C76)),"CEP",
IF(ISNUMBER(SEARCH("ESPEJO",INVENTARIO!C76)),"ESP",
IF(ISNUMBER(SEARCH("10 PTS",INVENTARIO!C76)),"10PT",
IF(ISNUMBER(SEARCH("12 PTS",INVENTARIO!C76)),"12PT",
IF(ISNUMBER(SEARCH("14 PTS",INVENTARIO!C76)),"14PT",
IF(ISNUMBER(SEARCH("CLASICO",INVENTARIO!C76)),"CLA",
""))))))))))))))))))))))</f>
        <v>MAT</v>
      </c>
      <c r="D76" t="str">
        <f>IF(ISNUMBER(SEARCH("GRAN FORMATO",INVENTARIO!C76)),"GRA-FOR",
IF(ISNUMBER(SEARCH("CAMA PLANA",INVENTARIO!C76)),"CAM-PLA",
IF(ISNUMBER(SEARCH("GRADO INGENIERIA",INVENTARIO!C76)),"GRA-ING",
IF(ISNUMBER(SEARCH("130 GRS",INVENTARIO!C76)),"130GR",
IF(ISNUMBER(SEARCH("150 GRS",INVENTARIO!C76)),"150GR",
IF(ISNUMBER(SEARCH("185 GRS",INVENTARIO!C76)),"185GR",
IF(ISNUMBER(SEARCH("200 GRS",INVENTARIO!C76)),"200GR",
IF(ISNUMBER(SEARCH("250 GRS",INVENTARIO!C76)),"250GR",
IF(ISNUMBER(SEARCH("300 GRS",INVENTARIO!C76)),"300GR",
IF(ISNUMBER(SEARCH("350 GRS",INVENTARIO!C76)),"350GR",
IF(ISNUMBER(SEARCH("18 OZ",INVENTARIO!C76)),"18OZ",
IF(ISNUMBER(SEARCH("15 OZ",INVENTARIO!C76)),"15OZ",
IF(OR(ISNUMBER(SEARCH("13 OZ",INVENTARIO!C76)),ISNUMBER(SEARCH("13 ONZAS",INVENTARIO!C76))),"13OZ",
IF(OR(ISNUMBER(SEARCH("9 OZ",INVENTARIO!C76)),ISNUMBER(SEARCH("9 ONZAS",INVENTARIO!C76))),"09OZ",
IF(ISNUMBER(SEARCH("DOBLE CARA",INVENTARIO!C76)),"DOB-CAR",
"")))))))))))))))</f>
        <v/>
      </c>
      <c r="E76" t="str">
        <f>IF(OR(ISNUMBER(SEARCH("TRANSPARENTE",INVENTARIO!C76)),ISNUMBER(SEARCH("TRANSPARENTES",INVENTARIO!C76))),"TRA",
IF(OR(ISNUMBER(SEARCH("BLANCO",INVENTARIO!C76)),ISNUMBER(SEARCH("BCO",INVENTARIO!C76))),"BLA",
IF(ISNUMBER(SEARCH("FOTOGRAFICO",INVENTARIO!C76)),"FOT",
IF(ISNUMBER(SEARCH("MARFIL",INVENTARIO!C76)),"MAR",
IF(ISNUMBER(SEARCH("VERDE",INVENTARIO!C76)),"VER",
IF(ISNUMBER(SEARCH("MORADO",INVENTARIO!C76)),"MOR",
IF(ISNUMBER(SEARCH("PLATA",INVENTARIO!C76)),"PLA",
IF(ISNUMBER(SEARCH("ORO",INVENTARIO!C76)),"ORO",
IF(ISNUMBER(SEARCH("AMARILLO",INVENTARIO!C76)),"AMA",
IF(ISNUMBER(SEARCH("NARANJA",INVENTARIO!C76)),"NAR",
IF(ISNUMBER(SEARCH("NEGRO",INVENTARIO!C76)),"NEG",
IF(ISNUMBER(SEARCH("ROJO",INVENTARIO!C76)),"ROJ",
IF(ISNUMBER(SEARCH("AZUL",INVENTARIO!C76)),"AZU","")))))))))))))</f>
        <v>BLA</v>
      </c>
      <c r="F76" t="str">
        <f>IF(ISNUMBER(SEARCH("ARLON",INVENTARIO!C76)),"ARL",
IF(ISNUMBER(SEARCH("SUNTHINKS",INVENTARIO!C76)),"SUN",
IF(ISNUMBER(SEARCH("FRIO",INVENTARIO!C76)),"FRI",
IF(ISNUMBER(SEARCH("CALIDO",INVENTARIO!C76)),"CAL",
IF(ISNUMBER(SEARCH("CEPILLADO",INVENTARIO!C76)),"CEP",
IF(ISNUMBER(SEARCH("ESPEJO",INVENTARIO!C76)),"ESP",
""))))))</f>
        <v/>
      </c>
      <c r="G76" t="str">
        <f>IF(ISNUMBER(SEARCH("LATEX",INVENTARIO!C76)),"LAT",
IF(ISNUMBER(SEARCH("RESP. NEGRO",INVENTARIO!C76)),"RES-NEG",
IF(ISNUMBER(SEARCH("RESPALDO CAFE",INVENTARIO!C76)),"RES-CAF",
IF(ISNUMBER(SEARCH("RESPALDO GRIS",INVENTARIO!C76)),"RES-GRI",
IF(ISNUMBER(SEARCH("OPTICO",INVENTARIO!C76)),"OPT",
IF(ISNUMBER(SEARCH("1,2 MM",INVENTARIO!C76)),"1MM2",
IF(ISNUMBER(SEARCH("2 MM",INVENTARIO!C76)),"2MM",
IF(ISNUMBER(SEARCH("3 MM",INVENTARIO!C76)),"3MM",
IF(ISNUMBER(SEARCH("4 MM",INVENTARIO!C76)),"4MM",
IF(ISNUMBER(SEARCH("5 MM",INVENTARIO!C76)),"5MM",
IF(ISNUMBER(SEARCH("6 MM",INVENTARIO!C76)),"6MM",
IF(ISNUMBER(SEARCH("9 MM",INVENTARIO!C76)),"9MM",
IF(ISNUMBER(SEARCH("10 MM",INVENTARIO!C76)),"10MM","")))))))))))))</f>
        <v/>
      </c>
      <c r="H76" t="str">
        <f>IF(ISNUMBER(SEARCH("GAMA BAJA",INVENTARIO!C76)),"GAM-BAJ",
IF(ISNUMBER(SEARCH("OPTIMIZADOR",INVENTARIO!C76)),"OPT",
IF(ISNUMBER(SEARCH("OVERCOAT",INVENTARIO!C76)),"OVE",
IF(ISNUMBER(SEARCH("WHITE",INVENTARIO!C76)),"WHI",
IF(ISNUMBER(SEARCH("LIGHT CYAN",INVENTARIO!C76)),"LIG-CYA",
IF(ISNUMBER(SEARCH("CYAN",INVENTARIO!C76)),"CYA",
IF(ISNUMBER(SEARCH("LIGHT MAGENTA",INVENTARIO!C76)),"LIG-MAG",
IF(ISNUMBER(SEARCH("MAGENTA",INVENTARIO!C76)),"MAG",
IF(ISNUMBER(SEARCH("BLACK",INVENTARIO!C76)),"BLA",
IF(ISNUMBER(SEARCH("YELLOW",INVENTARIO!C76)),"YEL",
IF(ISNUMBER(SEARCH("2 DIODOS",INVENTARIO!C76)),"2DI",
IF(ISNUMBER(SEARCH("3 DIODOS",INVENTARIO!C76)),"3DI",
IF(OR(ISNUMBER(SEARCH("TRASLUCIDO",INVENTARIO!C76)),ISNUMBER(SEARCH("TRANSLUCIDO",INVENTARIO!C76))),"TRA",
"")))))))))))))</f>
        <v/>
      </c>
      <c r="I76" t="str">
        <f>IF(ISNUMBER(SEARCH("SILED",INVENTARIO!C79)),"SI",
IF(ISNUMBER(SEARCH("SYDEMEX",INVENTARIO!C79)),"SY",
IF(ISNUMBER(SEARCH("ROHS",INVENTARIO!C79)),"RO",
IF(ISNUMBER(SEARCH("RISHANG",INVENTARIO!C79)),"RS",
IF(ISNUMBER(SEARCH("VYG",INVENTARIO!C79)),"VYG",
IF(ISNUMBER(SEARCH("COLED",INVENTARIO!C79)),"CO",""))))))</f>
        <v/>
      </c>
    </row>
    <row r="77" spans="1:9">
      <c r="A77" t="str">
        <f>IF(ISNUMBER(SEARCH("LONA",INVENTARIO!C77)),"LON",
IF(ISNUMBER(SEARCH("VINIL",INVENTARIO!C77)),"VIN",
IF(ISNUMBER(SEARCH("KROMACOTE",INVENTARIO!C77)),"KRO",
IF(ISNUMBER(SEARCH("STARDREAM",INVENTARIO!C77)),"STA",
IF(ISNUMBER(SEARCH("DISPLAY",INVENTARIO!C77)),"DIS",
IF(ISNUMBER(SEARCH("ROLL UP",INVENTARIO!C77)),"ROL-UP",
IF(ISNUMBER(SEARCH("TRANSFER DE PAPEL",INVENTARIO!C77)),"TRA-PAP",
IF(ISNUMBER(SEARCH("TRANSFER",INVENTARIO!C77)),"TRA",IF(ISNUMBER(SEARCH("KOLA LOKA",INVENTARIO!C77)),"KOL-LOK",
IF(ISNUMBER(SEARCH("PETG",INVENTARIO!C77)),"PET",
IF(ISNUMBER(SEARCH("OJILLO",INVENTARIO!C77)),"OJI",
IF(ISNUMBER(SEARCH("COUCHE",INVENTARIO!C77)),"COU",
IF(ISNUMBER(SEARCH("PANEL DE ALUMINIO",INVENTARIO!C77)),"PAN-ALU",
IF(ISNUMBER(SEARCH("PVC",INVENTARIO!C77)),"PVC",
IF(ISNUMBER(SEARCH("PAPEL",INVENTARIO!C77)),"PAP",
IF(ISNUMBER(SEARCH("TELA",INVENTARIO!C77)),"TEL",
IF(ISNUMBER(SEARCH("CARTULINA",INVENTARIO!C77)),"CAR",
IF(OR(ISNUMBER(SEARCH("LAMINA",INVENTARIO!C77)),ISNUMBER(SEARCH("LÁMINA",INVENTARIO!C77)),ISNUMBER(SEARCH("LAMPARAS",INVENTARIO!C77))),"LAM",
IF(ISNUMBER(SEARCH("ESTIRENO",INVENTARIO!C77)),"EST",
IF(ISNUMBER(SEARCH("FOAMBOARD",INVENTARIO!C77)),"FOA",
IF(ISNUMBER(SEARCH("SOLVENTE",INVENTARIO!C77)),"SOL",
IF(ISNUMBER(SEARCH("TINTA",INVENTARIO!C77)),"TIN",
IF(ISNUMBER(SEARCH("ACRILICO",INVENTARIO!C77)),"ACR",
IF(ISNUMBER(SEARCH("MICROLED",INVENTARIO!C77)),"MIC",
IF(ISNUMBER(SEARCH("LED",INVENTARIO!C77)),"LED",
IF(ISNUMBER(SEARCH("FUENTE DE PODER",INVENTARIO!C77)),"FUE-POD",
IF(ISNUMBER(SEARCH("PETG",INVENTARIO!C77)),"PET",
IF(ISNUMBER(SEARCH("ALUMINIO",INVENTARIO!C77)),"ALU",
IF(ISNUMBER(SEARCH("CANAL",INVENTARIO!C77)),"CAN",
IF(ISNUMBER(SEARCH("ESCUADRA",INVENTARIO!C77)),"ESC",
IF(ISNUMBER(SEARCH("SOPORTE",INVENTARIO!C77)),"SOP","OTR")
))))))))))))))))))))))))))))))</f>
        <v>VIN</v>
      </c>
      <c r="B77" t="str">
        <f>IF(ISNUMBER(SEARCH("CORTE",INVENTARIO!C77)),"COR",
IF(ISNUMBER(SEARCH("CITYLIGHT",INVENTARIO!C77)),"CIT",
IF(ISNUMBER(SEARCH("LINO",INVENTARIO!C77)),"LIN",
IF(ISNUMBER(SEARCH("FABRIANO",INVENTARIO!C77)),"FAB",
IF(ISNUMBER(SEARCH("SUNDANCE",INVENTARIO!C77)),"SUN",
IF(ISNUMBER(SEARCH("SINTETICA",INVENTARIO!C77)),"SIN",
IF(ISNUMBER(SEARCH("CONTROL",INVENTARIO!C77)),"CON",
IF(ISNUMBER(SEARCH("TERMICO",INVENTARIO!C77)),"TER",
IF(ISNUMBER(SEARCH("C-15",INVENTARIO!C77)),"C15",
IF(ISNUMBER(SEARCH("C-20",INVENTARIO!C77)),"C20",
IF(ISNUMBER(SEARCH("C-30",INVENTARIO!C77)),"C30",
IF(ISNUMBER(SEARCH("C-40",INVENTARIO!C77)),"C40",
IF(ISNUMBER(SEARCH("C-60",INVENTARIO!C77)),"C60",
IF(ISNUMBER(SEARCH("C-80",INVENTARIO!C77)),"C80",
IF(ISNUMBER(SEARCH("EQUIPO",INVENTARIO!C77)),"EQU",
IF(ISNUMBER(SEARCH("FLOOR",INVENTARIO!C77)),"FLO",
IF(ISNUMBER(SEARCH("CRISTAL",INVENTARIO!C77)),"CRI",
IF(ISNUMBER(SEARCH(" SULFATADA",INVENTARIO!C88)),"SUL",
IF(ISNUMBER(SEARCH("OPALINA",INVENTARIO!C77)),"OPA",
IF(ISNUMBER(SEARCH("ADHERIBLE",INVENTARIO!C77)),"ADH",
IF(ISNUMBER(SEARCH("MICRO",INVENTARIO!C77)),"MIC","")))))))))))))))))))))</f>
        <v/>
      </c>
      <c r="C77" t="str">
        <f>IF(ISNUMBER(SEARCH("PARED",INVENTARIO!C77)),"PAR",
IF(ISNUMBER(SEARCH("FRONT",INVENTARIO!C77)),"FRO",
IF(ISNUMBER(SEARCH("ALTA RESISTENCIA",INVENTARIO!C77)),
"ALT-RES",IF(ISNUMBER(SEARCH("BACKLITE",INVENTARIO!C77)),"BAC",
IF(ISNUMBER(SEARCH("MATE",INVENTARIO!C77)),"MAT",
IF(ISNUMBER(SEARCH("MESH",INVENTARIO!C77)),"MES",
IF(ISNUMBER(SEARCH("BRILLANTE",INVENTARIO!C77)),"BRI",
IF(ISNUMBER(SEARCH("DELGADA",INVENTARIO!C77)),"DEL",
IF(ISNUMBER(SEARCH("GRUESA",INVENTARIO!C77)),"GRU",
IF(ISNUMBER(SEARCH("ESTATICO",INVENTARIO!C77)),"EST",
IF(ISNUMBER(SEARCH("REFLECTIVO",INVENTARIO!C77)),"REF",
IF(ISNUMBER(SEARCH("LX700",INVENTARIO!C77)),"LX7",
IF(ISNUMBER(SEARCH("GRANDO",INVENTARIO!C77)),"GRA",
IF(ISNUMBER(SEARCH("FB700",INVENTARIO!C77)),"FB7",
IF(ISNUMBER(SEARCH("LX360",INVENTARIO!C77)),"LX3",
IF(ISNUMBER(SEARCH("XEROX",INVENTARIO!C77)),"XER",
IF(ISNUMBER(SEARCH("CEPILLADO",INVENTARIO!C77)),"CEP",
IF(ISNUMBER(SEARCH("ESPEJO",INVENTARIO!C77)),"ESP",
IF(ISNUMBER(SEARCH("10 PTS",INVENTARIO!C77)),"10PT",
IF(ISNUMBER(SEARCH("12 PTS",INVENTARIO!C77)),"12PT",
IF(ISNUMBER(SEARCH("14 PTS",INVENTARIO!C77)),"14PT",
IF(ISNUMBER(SEARCH("CLASICO",INVENTARIO!C77)),"CLA",
""))))))))))))))))))))))</f>
        <v>PAR</v>
      </c>
      <c r="D77" t="str">
        <f>IF(ISNUMBER(SEARCH("GRAN FORMATO",INVENTARIO!C77)),"GRA-FOR",
IF(ISNUMBER(SEARCH("CAMA PLANA",INVENTARIO!C77)),"CAM-PLA",
IF(ISNUMBER(SEARCH("GRADO INGENIERIA",INVENTARIO!C77)),"GRA-ING",
IF(ISNUMBER(SEARCH("130 GRS",INVENTARIO!C77)),"130GR",
IF(ISNUMBER(SEARCH("150 GRS",INVENTARIO!C77)),"150GR",
IF(ISNUMBER(SEARCH("185 GRS",INVENTARIO!C77)),"185GR",
IF(ISNUMBER(SEARCH("200 GRS",INVENTARIO!C77)),"200GR",
IF(ISNUMBER(SEARCH("250 GRS",INVENTARIO!C77)),"250GR",
IF(ISNUMBER(SEARCH("300 GRS",INVENTARIO!C77)),"300GR",
IF(ISNUMBER(SEARCH("350 GRS",INVENTARIO!C77)),"350GR",
IF(ISNUMBER(SEARCH("18 OZ",INVENTARIO!C77)),"18OZ",
IF(ISNUMBER(SEARCH("15 OZ",INVENTARIO!C77)),"15OZ",
IF(OR(ISNUMBER(SEARCH("13 OZ",INVENTARIO!C77)),ISNUMBER(SEARCH("13 ONZAS",INVENTARIO!C77))),"13OZ",
IF(OR(ISNUMBER(SEARCH("9 OZ",INVENTARIO!C77)),ISNUMBER(SEARCH("9 ONZAS",INVENTARIO!C77))),"09OZ",
IF(ISNUMBER(SEARCH("DOBLE CARA",INVENTARIO!C77)),"DOB-CAR",
"")))))))))))))))</f>
        <v/>
      </c>
      <c r="E77" t="str">
        <f>IF(OR(ISNUMBER(SEARCH("TRANSPARENTE",INVENTARIO!C77)),ISNUMBER(SEARCH("TRANSPARENTES",INVENTARIO!C77))),"TRA",
IF(OR(ISNUMBER(SEARCH("BLANCO",INVENTARIO!C77)),ISNUMBER(SEARCH("BCO",INVENTARIO!C77))),"BLA",
IF(ISNUMBER(SEARCH("FOTOGRAFICO",INVENTARIO!C77)),"FOT",
IF(ISNUMBER(SEARCH("MARFIL",INVENTARIO!C77)),"MAR",
IF(ISNUMBER(SEARCH("VERDE",INVENTARIO!C77)),"VER",
IF(ISNUMBER(SEARCH("MORADO",INVENTARIO!C77)),"MOR",
IF(ISNUMBER(SEARCH("PLATA",INVENTARIO!C77)),"PLA",
IF(ISNUMBER(SEARCH("ORO",INVENTARIO!C77)),"ORO",
IF(ISNUMBER(SEARCH("AMARILLO",INVENTARIO!C77)),"AMA",
IF(ISNUMBER(SEARCH("NARANJA",INVENTARIO!C77)),"NAR",
IF(ISNUMBER(SEARCH("NEGRO",INVENTARIO!C77)),"NEG",
IF(ISNUMBER(SEARCH("ROJO",INVENTARIO!C77)),"ROJ",
IF(ISNUMBER(SEARCH("AZUL",INVENTARIO!C77)),"AZU","")))))))))))))</f>
        <v/>
      </c>
      <c r="F77" t="str">
        <f>IF(ISNUMBER(SEARCH("ARLON",INVENTARIO!C77)),"ARL",
IF(ISNUMBER(SEARCH("SUNTHINKS",INVENTARIO!C77)),"SUN",
IF(ISNUMBER(SEARCH("FRIO",INVENTARIO!C77)),"FRI",
IF(ISNUMBER(SEARCH("CALIDO",INVENTARIO!C77)),"CAL",
IF(ISNUMBER(SEARCH("CEPILLADO",INVENTARIO!C77)),"CEP",
IF(ISNUMBER(SEARCH("ESPEJO",INVENTARIO!C77)),"ESP",
""))))))</f>
        <v/>
      </c>
      <c r="G77" t="str">
        <f>IF(ISNUMBER(SEARCH("LATEX",INVENTARIO!C77)),"LAT",
IF(ISNUMBER(SEARCH("RESP. NEGRO",INVENTARIO!C77)),"RES-NEG",
IF(ISNUMBER(SEARCH("RESPALDO CAFE",INVENTARIO!C77)),"RES-CAF",
IF(ISNUMBER(SEARCH("RESPALDO GRIS",INVENTARIO!C77)),"RES-GRI",
IF(ISNUMBER(SEARCH("OPTICO",INVENTARIO!C77)),"OPT",
IF(ISNUMBER(SEARCH("1,2 MM",INVENTARIO!C77)),"1MM2",
IF(ISNUMBER(SEARCH("2 MM",INVENTARIO!C77)),"2MM",
IF(ISNUMBER(SEARCH("3 MM",INVENTARIO!C77)),"3MM",
IF(ISNUMBER(SEARCH("4 MM",INVENTARIO!C77)),"4MM",
IF(ISNUMBER(SEARCH("5 MM",INVENTARIO!C77)),"5MM",
IF(ISNUMBER(SEARCH("6 MM",INVENTARIO!C77)),"6MM",
IF(ISNUMBER(SEARCH("9 MM",INVENTARIO!C77)),"9MM",
IF(ISNUMBER(SEARCH("10 MM",INVENTARIO!C77)),"10MM","")))))))))))))</f>
        <v/>
      </c>
      <c r="H77" t="str">
        <f>IF(ISNUMBER(SEARCH("GAMA BAJA",INVENTARIO!C77)),"GAM-BAJ",
IF(ISNUMBER(SEARCH("OPTIMIZADOR",INVENTARIO!C77)),"OPT",
IF(ISNUMBER(SEARCH("OVERCOAT",INVENTARIO!C77)),"OVE",
IF(ISNUMBER(SEARCH("WHITE",INVENTARIO!C77)),"WHI",
IF(ISNUMBER(SEARCH("LIGHT CYAN",INVENTARIO!C77)),"LIG-CYA",
IF(ISNUMBER(SEARCH("CYAN",INVENTARIO!C77)),"CYA",
IF(ISNUMBER(SEARCH("LIGHT MAGENTA",INVENTARIO!C77)),"LIG-MAG",
IF(ISNUMBER(SEARCH("MAGENTA",INVENTARIO!C77)),"MAG",
IF(ISNUMBER(SEARCH("BLACK",INVENTARIO!C77)),"BLA",
IF(ISNUMBER(SEARCH("YELLOW",INVENTARIO!C77)),"YEL",
IF(ISNUMBER(SEARCH("2 DIODOS",INVENTARIO!C77)),"2DI",
IF(ISNUMBER(SEARCH("3 DIODOS",INVENTARIO!C77)),"3DI",
IF(OR(ISNUMBER(SEARCH("TRASLUCIDO",INVENTARIO!C77)),ISNUMBER(SEARCH("TRANSLUCIDO",INVENTARIO!C77))),"TRA",
"")))))))))))))</f>
        <v/>
      </c>
      <c r="I77" t="str">
        <f>IF(ISNUMBER(SEARCH("SILED",INVENTARIO!C80)),"SI",
IF(ISNUMBER(SEARCH("SYDEMEX",INVENTARIO!C80)),"SY",
IF(ISNUMBER(SEARCH("ROHS",INVENTARIO!C80)),"RO",
IF(ISNUMBER(SEARCH("RISHANG",INVENTARIO!C80)),"RS",
IF(ISNUMBER(SEARCH("VYG",INVENTARIO!C80)),"VYG",
IF(ISNUMBER(SEARCH("COLED",INVENTARIO!C80)),"CO",""))))))</f>
        <v/>
      </c>
    </row>
    <row r="78" spans="1:9">
      <c r="A78" t="str">
        <f>IF(ISNUMBER(SEARCH("LONA",INVENTARIO!C78)),"LON",
IF(ISNUMBER(SEARCH("VINIL",INVENTARIO!C78)),"VIN",
IF(ISNUMBER(SEARCH("KROMACOTE",INVENTARIO!C78)),"KRO",
IF(ISNUMBER(SEARCH("STARDREAM",INVENTARIO!C78)),"STA",
IF(ISNUMBER(SEARCH("DISPLAY",INVENTARIO!C78)),"DIS",
IF(ISNUMBER(SEARCH("ROLL UP",INVENTARIO!C78)),"ROL-UP",
IF(ISNUMBER(SEARCH("TRANSFER DE PAPEL",INVENTARIO!C78)),"TRA-PAP",
IF(ISNUMBER(SEARCH("TRANSFER",INVENTARIO!C78)),"TRA",IF(ISNUMBER(SEARCH("KOLA LOKA",INVENTARIO!C78)),"KOL-LOK",
IF(ISNUMBER(SEARCH("PETG",INVENTARIO!C78)),"PET",
IF(ISNUMBER(SEARCH("OJILLO",INVENTARIO!C78)),"OJI",
IF(ISNUMBER(SEARCH("COUCHE",INVENTARIO!C78)),"COU",
IF(ISNUMBER(SEARCH("PANEL DE ALUMINIO",INVENTARIO!C78)),"PAN-ALU",
IF(ISNUMBER(SEARCH("PVC",INVENTARIO!C78)),"PVC",
IF(ISNUMBER(SEARCH("PAPEL",INVENTARIO!C78)),"PAP",
IF(ISNUMBER(SEARCH("TELA",INVENTARIO!C78)),"TEL",
IF(ISNUMBER(SEARCH("CARTULINA",INVENTARIO!C78)),"CAR",
IF(OR(ISNUMBER(SEARCH("LAMINA",INVENTARIO!C78)),ISNUMBER(SEARCH("LÁMINA",INVENTARIO!C78)),ISNUMBER(SEARCH("LAMPARAS",INVENTARIO!C78))),"LAM",
IF(ISNUMBER(SEARCH("ESTIRENO",INVENTARIO!C78)),"EST",
IF(ISNUMBER(SEARCH("FOAMBOARD",INVENTARIO!C78)),"FOA",
IF(ISNUMBER(SEARCH("SOLVENTE",INVENTARIO!C78)),"SOL",
IF(ISNUMBER(SEARCH("TINTA",INVENTARIO!C78)),"TIN",
IF(ISNUMBER(SEARCH("ACRILICO",INVENTARIO!C78)),"ACR",
IF(ISNUMBER(SEARCH("MICROLED",INVENTARIO!C78)),"MIC",
IF(ISNUMBER(SEARCH("LED",INVENTARIO!C78)),"LED",
IF(ISNUMBER(SEARCH("FUENTE DE PODER",INVENTARIO!C78)),"FUE-POD",
IF(ISNUMBER(SEARCH("PETG",INVENTARIO!C78)),"PET",
IF(ISNUMBER(SEARCH("ALUMINIO",INVENTARIO!C78)),"ALU",
IF(ISNUMBER(SEARCH("CANAL",INVENTARIO!C78)),"CAN",
IF(ISNUMBER(SEARCH("ESCUADRA",INVENTARIO!C78)),"ESC",
IF(ISNUMBER(SEARCH("SOPORTE",INVENTARIO!C78)),"SOP","OTR")
))))))))))))))))))))))))))))))</f>
        <v>VIN</v>
      </c>
      <c r="B78" t="str">
        <f>IF(ISNUMBER(SEARCH("CORTE",INVENTARIO!C78)),"COR",
IF(ISNUMBER(SEARCH("CITYLIGHT",INVENTARIO!C78)),"CIT",
IF(ISNUMBER(SEARCH("LINO",INVENTARIO!C78)),"LIN",
IF(ISNUMBER(SEARCH("FABRIANO",INVENTARIO!C78)),"FAB",
IF(ISNUMBER(SEARCH("SUNDANCE",INVENTARIO!C78)),"SUN",
IF(ISNUMBER(SEARCH("SINTETICA",INVENTARIO!C78)),"SIN",
IF(ISNUMBER(SEARCH("CONTROL",INVENTARIO!C78)),"CON",
IF(ISNUMBER(SEARCH("TERMICO",INVENTARIO!C78)),"TER",
IF(ISNUMBER(SEARCH("C-15",INVENTARIO!C78)),"C15",
IF(ISNUMBER(SEARCH("C-20",INVENTARIO!C78)),"C20",
IF(ISNUMBER(SEARCH("C-30",INVENTARIO!C78)),"C30",
IF(ISNUMBER(SEARCH("C-40",INVENTARIO!C78)),"C40",
IF(ISNUMBER(SEARCH("C-60",INVENTARIO!C78)),"C60",
IF(ISNUMBER(SEARCH("C-80",INVENTARIO!C78)),"C80",
IF(ISNUMBER(SEARCH("EQUIPO",INVENTARIO!C78)),"EQU",
IF(ISNUMBER(SEARCH("FLOOR",INVENTARIO!C78)),"FLO",
IF(ISNUMBER(SEARCH("CRISTAL",INVENTARIO!C78)),"CRI",
IF(ISNUMBER(SEARCH(" SULFATADA",INVENTARIO!C89)),"SUL",
IF(ISNUMBER(SEARCH("OPALINA",INVENTARIO!C78)),"OPA",
IF(ISNUMBER(SEARCH("ADHERIBLE",INVENTARIO!C78)),"ADH",
IF(ISNUMBER(SEARCH("MICRO",INVENTARIO!C78)),"MIC","")))))))))))))))))))))</f>
        <v/>
      </c>
      <c r="C78" t="str">
        <f>IF(ISNUMBER(SEARCH("PARED",INVENTARIO!C78)),"PAR",
IF(ISNUMBER(SEARCH("FRONT",INVENTARIO!C78)),"FRO",
IF(ISNUMBER(SEARCH("ALTA RESISTENCIA",INVENTARIO!C78)),
"ALT-RES",IF(ISNUMBER(SEARCH("BACKLITE",INVENTARIO!C78)),"BAC",
IF(ISNUMBER(SEARCH("MATE",INVENTARIO!C78)),"MAT",
IF(ISNUMBER(SEARCH("MESH",INVENTARIO!C78)),"MES",
IF(ISNUMBER(SEARCH("BRILLANTE",INVENTARIO!C78)),"BRI",
IF(ISNUMBER(SEARCH("DELGADA",INVENTARIO!C78)),"DEL",
IF(ISNUMBER(SEARCH("GRUESA",INVENTARIO!C78)),"GRU",
IF(ISNUMBER(SEARCH("ESTATICO",INVENTARIO!C78)),"EST",
IF(ISNUMBER(SEARCH("REFLECTIVO",INVENTARIO!C78)),"REF",
IF(ISNUMBER(SEARCH("LX700",INVENTARIO!C78)),"LX7",
IF(ISNUMBER(SEARCH("GRANDO",INVENTARIO!C78)),"GRA",
IF(ISNUMBER(SEARCH("FB700",INVENTARIO!C78)),"FB7",
IF(ISNUMBER(SEARCH("LX360",INVENTARIO!C78)),"LX3",
IF(ISNUMBER(SEARCH("XEROX",INVENTARIO!C78)),"XER",
IF(ISNUMBER(SEARCH("CEPILLADO",INVENTARIO!C78)),"CEP",
IF(ISNUMBER(SEARCH("ESPEJO",INVENTARIO!C78)),"ESP",
IF(ISNUMBER(SEARCH("10 PTS",INVENTARIO!C78)),"10PT",
IF(ISNUMBER(SEARCH("12 PTS",INVENTARIO!C78)),"12PT",
IF(ISNUMBER(SEARCH("14 PTS",INVENTARIO!C78)),"14PT",
IF(ISNUMBER(SEARCH("CLASICO",INVENTARIO!C78)),"CLA",
""))))))))))))))))))))))</f>
        <v/>
      </c>
      <c r="D78" t="str">
        <f>IF(ISNUMBER(SEARCH("GRAN FORMATO",INVENTARIO!C78)),"GRA-FOR",
IF(ISNUMBER(SEARCH("CAMA PLANA",INVENTARIO!C78)),"CAM-PLA",
IF(ISNUMBER(SEARCH("GRADO INGENIERIA",INVENTARIO!C78)),"GRA-ING",
IF(ISNUMBER(SEARCH("130 GRS",INVENTARIO!C78)),"130GR",
IF(ISNUMBER(SEARCH("150 GRS",INVENTARIO!C78)),"150GR",
IF(ISNUMBER(SEARCH("185 GRS",INVENTARIO!C78)),"185GR",
IF(ISNUMBER(SEARCH("200 GRS",INVENTARIO!C78)),"200GR",
IF(ISNUMBER(SEARCH("250 GRS",INVENTARIO!C78)),"250GR",
IF(ISNUMBER(SEARCH("300 GRS",INVENTARIO!C78)),"300GR",
IF(ISNUMBER(SEARCH("350 GRS",INVENTARIO!C78)),"350GR",
IF(ISNUMBER(SEARCH("18 OZ",INVENTARIO!C78)),"18OZ",
IF(ISNUMBER(SEARCH("15 OZ",INVENTARIO!C78)),"15OZ",
IF(OR(ISNUMBER(SEARCH("13 OZ",INVENTARIO!C78)),ISNUMBER(SEARCH("13 ONZAS",INVENTARIO!C78))),"13OZ",
IF(OR(ISNUMBER(SEARCH("9 OZ",INVENTARIO!C78)),ISNUMBER(SEARCH("9 ONZAS",INVENTARIO!C78))),"09OZ",
IF(ISNUMBER(SEARCH("DOBLE CARA",INVENTARIO!C78)),"DOB-CAR",
"")))))))))))))))</f>
        <v/>
      </c>
      <c r="E78" t="str">
        <f>IF(OR(ISNUMBER(SEARCH("TRANSPARENTE",INVENTARIO!C78)),ISNUMBER(SEARCH("TRANSPARENTES",INVENTARIO!C78))),"TRA",
IF(OR(ISNUMBER(SEARCH("BLANCO",INVENTARIO!C78)),ISNUMBER(SEARCH("BCO",INVENTARIO!C78))),"BLA",
IF(ISNUMBER(SEARCH("FOTOGRAFICO",INVENTARIO!C78)),"FOT",
IF(ISNUMBER(SEARCH("MARFIL",INVENTARIO!C78)),"MAR",
IF(ISNUMBER(SEARCH("VERDE",INVENTARIO!C78)),"VER",
IF(ISNUMBER(SEARCH("MORADO",INVENTARIO!C78)),"MOR",
IF(ISNUMBER(SEARCH("PLATA",INVENTARIO!C78)),"PLA",
IF(ISNUMBER(SEARCH("ORO",INVENTARIO!C78)),"ORO",
IF(ISNUMBER(SEARCH("AMARILLO",INVENTARIO!C78)),"AMA",
IF(ISNUMBER(SEARCH("NARANJA",INVENTARIO!C78)),"NAR",
IF(ISNUMBER(SEARCH("NEGRO",INVENTARIO!C78)),"NEG",
IF(ISNUMBER(SEARCH("ROJO",INVENTARIO!C78)),"ROJ",
IF(ISNUMBER(SEARCH("AZUL",INVENTARIO!C78)),"AZU","")))))))))))))</f>
        <v/>
      </c>
      <c r="F78" t="str">
        <f>IF(ISNUMBER(SEARCH("ARLON",INVENTARIO!C78)),"ARL",
IF(ISNUMBER(SEARCH("SUNTHINKS",INVENTARIO!C78)),"SUN",
IF(ISNUMBER(SEARCH("FRIO",INVENTARIO!C78)),"FRI",
IF(ISNUMBER(SEARCH("CALIDO",INVENTARIO!C78)),"CAL",
IF(ISNUMBER(SEARCH("CEPILLADO",INVENTARIO!C78)),"CEP",
IF(ISNUMBER(SEARCH("ESPEJO",INVENTARIO!C78)),"ESP",
""))))))</f>
        <v/>
      </c>
      <c r="G78" t="str">
        <f>IF(ISNUMBER(SEARCH("LATEX",INVENTARIO!C78)),"LAT",
IF(ISNUMBER(SEARCH("RESP. NEGRO",INVENTARIO!C78)),"RES-NEG",
IF(ISNUMBER(SEARCH("RESPALDO CAFE",INVENTARIO!C78)),"RES-CAF",
IF(ISNUMBER(SEARCH("RESPALDO GRIS",INVENTARIO!C78)),"RES-GRI",
IF(ISNUMBER(SEARCH("OPTICO",INVENTARIO!C78)),"OPT",
IF(ISNUMBER(SEARCH("1,2 MM",INVENTARIO!C78)),"1MM2",
IF(ISNUMBER(SEARCH("2 MM",INVENTARIO!C78)),"2MM",
IF(ISNUMBER(SEARCH("3 MM",INVENTARIO!C78)),"3MM",
IF(ISNUMBER(SEARCH("4 MM",INVENTARIO!C78)),"4MM",
IF(ISNUMBER(SEARCH("5 MM",INVENTARIO!C78)),"5MM",
IF(ISNUMBER(SEARCH("6 MM",INVENTARIO!C78)),"6MM",
IF(ISNUMBER(SEARCH("9 MM",INVENTARIO!C78)),"9MM",
IF(ISNUMBER(SEARCH("10 MM",INVENTARIO!C78)),"10MM","")))))))))))))</f>
        <v/>
      </c>
      <c r="H78" t="str">
        <f>IF(ISNUMBER(SEARCH("GAMA BAJA",INVENTARIO!C78)),"GAM-BAJ",
IF(ISNUMBER(SEARCH("OPTIMIZADOR",INVENTARIO!C78)),"OPT",
IF(ISNUMBER(SEARCH("OVERCOAT",INVENTARIO!C78)),"OVE",
IF(ISNUMBER(SEARCH("WHITE",INVENTARIO!C78)),"WHI",
IF(ISNUMBER(SEARCH("LIGHT CYAN",INVENTARIO!C78)),"LIG-CYA",
IF(ISNUMBER(SEARCH("CYAN",INVENTARIO!C78)),"CYA",
IF(ISNUMBER(SEARCH("LIGHT MAGENTA",INVENTARIO!C78)),"LIG-MAG",
IF(ISNUMBER(SEARCH("MAGENTA",INVENTARIO!C78)),"MAG",
IF(ISNUMBER(SEARCH("BLACK",INVENTARIO!C78)),"BLA",
IF(ISNUMBER(SEARCH("YELLOW",INVENTARIO!C78)),"YEL",
IF(ISNUMBER(SEARCH("2 DIODOS",INVENTARIO!C78)),"2DI",
IF(ISNUMBER(SEARCH("3 DIODOS",INVENTARIO!C78)),"3DI",
IF(OR(ISNUMBER(SEARCH("TRASLUCIDO",INVENTARIO!C78)),ISNUMBER(SEARCH("TRANSLUCIDO",INVENTARIO!C78))),"TRA",
"")))))))))))))</f>
        <v/>
      </c>
      <c r="I78" t="str">
        <f>IF(ISNUMBER(SEARCH("SILED",INVENTARIO!C81)),"SI",
IF(ISNUMBER(SEARCH("SYDEMEX",INVENTARIO!C81)),"SY",
IF(ISNUMBER(SEARCH("ROHS",INVENTARIO!C81)),"RO",
IF(ISNUMBER(SEARCH("RISHANG",INVENTARIO!C81)),"RS",
IF(ISNUMBER(SEARCH("VYG",INVENTARIO!C81)),"VYG",
IF(ISNUMBER(SEARCH("COLED",INVENTARIO!C81)),"CO",""))))))</f>
        <v/>
      </c>
    </row>
    <row r="79" spans="1:9">
      <c r="A79" t="str">
        <f>IF(ISNUMBER(SEARCH("LONA",INVENTARIO!C79)),"LON",
IF(ISNUMBER(SEARCH("VINIL",INVENTARIO!C79)),"VIN",
IF(ISNUMBER(SEARCH("KROMACOTE",INVENTARIO!C79)),"KRO",
IF(ISNUMBER(SEARCH("STARDREAM",INVENTARIO!C79)),"STA",
IF(ISNUMBER(SEARCH("DISPLAY",INVENTARIO!C79)),"DIS",
IF(ISNUMBER(SEARCH("ROLL UP",INVENTARIO!C79)),"ROL-UP",
IF(ISNUMBER(SEARCH("TRANSFER DE PAPEL",INVENTARIO!C79)),"TRA-PAP",
IF(ISNUMBER(SEARCH("TRANSFER",INVENTARIO!C79)),"TRA",IF(ISNUMBER(SEARCH("KOLA LOKA",INVENTARIO!C79)),"KOL-LOK",
IF(ISNUMBER(SEARCH("PETG",INVENTARIO!C79)),"PET",
IF(ISNUMBER(SEARCH("OJILLO",INVENTARIO!C79)),"OJI",
IF(ISNUMBER(SEARCH("COUCHE",INVENTARIO!C79)),"COU",
IF(ISNUMBER(SEARCH("PANEL DE ALUMINIO",INVENTARIO!C79)),"PAN-ALU",
IF(ISNUMBER(SEARCH("PVC",INVENTARIO!C79)),"PVC",
IF(ISNUMBER(SEARCH("PAPEL",INVENTARIO!C79)),"PAP",
IF(ISNUMBER(SEARCH("TELA",INVENTARIO!C79)),"TEL",
IF(ISNUMBER(SEARCH("CARTULINA",INVENTARIO!C79)),"CAR",
IF(OR(ISNUMBER(SEARCH("LAMINA",INVENTARIO!C79)),ISNUMBER(SEARCH("LÁMINA",INVENTARIO!C79)),ISNUMBER(SEARCH("LAMPARAS",INVENTARIO!C79))),"LAM",
IF(ISNUMBER(SEARCH("ESTIRENO",INVENTARIO!C79)),"EST",
IF(ISNUMBER(SEARCH("FOAMBOARD",INVENTARIO!C79)),"FOA",
IF(ISNUMBER(SEARCH("SOLVENTE",INVENTARIO!C79)),"SOL",
IF(ISNUMBER(SEARCH("TINTA",INVENTARIO!C79)),"TIN",
IF(ISNUMBER(SEARCH("ACRILICO",INVENTARIO!C79)),"ACR",
IF(ISNUMBER(SEARCH("MICROLED",INVENTARIO!C79)),"MIC",
IF(ISNUMBER(SEARCH("LED",INVENTARIO!C79)),"LED",
IF(ISNUMBER(SEARCH("FUENTE DE PODER",INVENTARIO!C79)),"FUE-POD",
IF(ISNUMBER(SEARCH("PETG",INVENTARIO!C79)),"PET",
IF(ISNUMBER(SEARCH("ALUMINIO",INVENTARIO!C79)),"ALU",
IF(ISNUMBER(SEARCH("CANAL",INVENTARIO!C79)),"CAN",
IF(ISNUMBER(SEARCH("ESCUADRA",INVENTARIO!C79)),"ESC",
IF(ISNUMBER(SEARCH("SOPORTE",INVENTARIO!C79)),"SOP","OTR")
))))))))))))))))))))))))))))))</f>
        <v>VIN</v>
      </c>
      <c r="B79" t="str">
        <f>IF(ISNUMBER(SEARCH("CORTE",INVENTARIO!C79)),"COR",
IF(ISNUMBER(SEARCH("CITYLIGHT",INVENTARIO!C79)),"CIT",
IF(ISNUMBER(SEARCH("LINO",INVENTARIO!C79)),"LIN",
IF(ISNUMBER(SEARCH("FABRIANO",INVENTARIO!C79)),"FAB",
IF(ISNUMBER(SEARCH("SUNDANCE",INVENTARIO!C79)),"SUN",
IF(ISNUMBER(SEARCH("SINTETICA",INVENTARIO!C79)),"SIN",
IF(ISNUMBER(SEARCH("CONTROL",INVENTARIO!C79)),"CON",
IF(ISNUMBER(SEARCH("TERMICO",INVENTARIO!C79)),"TER",
IF(ISNUMBER(SEARCH("C-15",INVENTARIO!C79)),"C15",
IF(ISNUMBER(SEARCH("C-20",INVENTARIO!C79)),"C20",
IF(ISNUMBER(SEARCH("C-30",INVENTARIO!C79)),"C30",
IF(ISNUMBER(SEARCH("C-40",INVENTARIO!C79)),"C40",
IF(ISNUMBER(SEARCH("C-60",INVENTARIO!C79)),"C60",
IF(ISNUMBER(SEARCH("C-80",INVENTARIO!C79)),"C80",
IF(ISNUMBER(SEARCH("EQUIPO",INVENTARIO!C79)),"EQU",
IF(ISNUMBER(SEARCH("FLOOR",INVENTARIO!C79)),"FLO",
IF(ISNUMBER(SEARCH("CRISTAL",INVENTARIO!C79)),"CRI",
IF(ISNUMBER(SEARCH(" SULFATADA",INVENTARIO!C90)),"SUL",
IF(ISNUMBER(SEARCH("OPALINA",INVENTARIO!C79)),"OPA",
IF(ISNUMBER(SEARCH("ADHERIBLE",INVENTARIO!C79)),"ADH",
IF(ISNUMBER(SEARCH("MICRO",INVENTARIO!C79)),"MIC","")))))))))))))))))))))</f>
        <v/>
      </c>
      <c r="C79" t="str">
        <f>IF(ISNUMBER(SEARCH("PARED",INVENTARIO!C79)),"PAR",
IF(ISNUMBER(SEARCH("FRONT",INVENTARIO!C79)),"FRO",
IF(ISNUMBER(SEARCH("ALTA RESISTENCIA",INVENTARIO!C79)),
"ALT-RES",IF(ISNUMBER(SEARCH("BACKLITE",INVENTARIO!C79)),"BAC",
IF(ISNUMBER(SEARCH("MATE",INVENTARIO!C79)),"MAT",
IF(ISNUMBER(SEARCH("MESH",INVENTARIO!C79)),"MES",
IF(ISNUMBER(SEARCH("BRILLANTE",INVENTARIO!C79)),"BRI",
IF(ISNUMBER(SEARCH("DELGADA",INVENTARIO!C79)),"DEL",
IF(ISNUMBER(SEARCH("GRUESA",INVENTARIO!C79)),"GRU",
IF(ISNUMBER(SEARCH("ESTATICO",INVENTARIO!C79)),"EST",
IF(ISNUMBER(SEARCH("REFLECTIVO",INVENTARIO!C79)),"REF",
IF(ISNUMBER(SEARCH("LX700",INVENTARIO!C79)),"LX7",
IF(ISNUMBER(SEARCH("GRANDO",INVENTARIO!C79)),"GRA",
IF(ISNUMBER(SEARCH("FB700",INVENTARIO!C79)),"FB7",
IF(ISNUMBER(SEARCH("LX360",INVENTARIO!C79)),"LX3",
IF(ISNUMBER(SEARCH("XEROX",INVENTARIO!C79)),"XER",
IF(ISNUMBER(SEARCH("CEPILLADO",INVENTARIO!C79)),"CEP",
IF(ISNUMBER(SEARCH("ESPEJO",INVENTARIO!C79)),"ESP",
IF(ISNUMBER(SEARCH("10 PTS",INVENTARIO!C79)),"10PT",
IF(ISNUMBER(SEARCH("12 PTS",INVENTARIO!C79)),"12PT",
IF(ISNUMBER(SEARCH("14 PTS",INVENTARIO!C79)),"14PT",
IF(ISNUMBER(SEARCH("CLASICO",INVENTARIO!C79)),"CLA",
""))))))))))))))))))))))</f>
        <v/>
      </c>
      <c r="D79" t="str">
        <f>IF(ISNUMBER(SEARCH("GRAN FORMATO",INVENTARIO!C79)),"GRA-FOR",
IF(ISNUMBER(SEARCH("CAMA PLANA",INVENTARIO!C79)),"CAM-PLA",
IF(ISNUMBER(SEARCH("GRADO INGENIERIA",INVENTARIO!C79)),"GRA-ING",
IF(ISNUMBER(SEARCH("130 GRS",INVENTARIO!C79)),"130GR",
IF(ISNUMBER(SEARCH("150 GRS",INVENTARIO!C79)),"150GR",
IF(ISNUMBER(SEARCH("185 GRS",INVENTARIO!C79)),"185GR",
IF(ISNUMBER(SEARCH("200 GRS",INVENTARIO!C79)),"200GR",
IF(ISNUMBER(SEARCH("250 GRS",INVENTARIO!C79)),"250GR",
IF(ISNUMBER(SEARCH("300 GRS",INVENTARIO!C79)),"300GR",
IF(ISNUMBER(SEARCH("350 GRS",INVENTARIO!C79)),"350GR",
IF(ISNUMBER(SEARCH("18 OZ",INVENTARIO!C79)),"18OZ",
IF(ISNUMBER(SEARCH("15 OZ",INVENTARIO!C79)),"15OZ",
IF(OR(ISNUMBER(SEARCH("13 OZ",INVENTARIO!C79)),ISNUMBER(SEARCH("13 ONZAS",INVENTARIO!C79))),"13OZ",
IF(OR(ISNUMBER(SEARCH("9 OZ",INVENTARIO!C79)),ISNUMBER(SEARCH("9 ONZAS",INVENTARIO!C79))),"09OZ",
IF(ISNUMBER(SEARCH("DOBLE CARA",INVENTARIO!C79)),"DOB-CAR",
"")))))))))))))))</f>
        <v/>
      </c>
      <c r="E79" t="str">
        <f>IF(OR(ISNUMBER(SEARCH("TRANSPARENTE",INVENTARIO!C79)),ISNUMBER(SEARCH("TRANSPARENTES",INVENTARIO!C79))),"TRA",
IF(OR(ISNUMBER(SEARCH("BLANCO",INVENTARIO!C79)),ISNUMBER(SEARCH("BCO",INVENTARIO!C79))),"BLA",
IF(ISNUMBER(SEARCH("FOTOGRAFICO",INVENTARIO!C79)),"FOT",
IF(ISNUMBER(SEARCH("MARFIL",INVENTARIO!C79)),"MAR",
IF(ISNUMBER(SEARCH("VERDE",INVENTARIO!C79)),"VER",
IF(ISNUMBER(SEARCH("MORADO",INVENTARIO!C79)),"MOR",
IF(ISNUMBER(SEARCH("PLATA",INVENTARIO!C79)),"PLA",
IF(ISNUMBER(SEARCH("ORO",INVENTARIO!C79)),"ORO",
IF(ISNUMBER(SEARCH("AMARILLO",INVENTARIO!C79)),"AMA",
IF(ISNUMBER(SEARCH("NARANJA",INVENTARIO!C79)),"NAR",
IF(ISNUMBER(SEARCH("NEGRO",INVENTARIO!C79)),"NEG",
IF(ISNUMBER(SEARCH("ROJO",INVENTARIO!C79)),"ROJ",
IF(ISNUMBER(SEARCH("AZUL",INVENTARIO!C79)),"AZU","")))))))))))))</f>
        <v/>
      </c>
      <c r="F79" t="str">
        <f>IF(ISNUMBER(SEARCH("ARLON",INVENTARIO!C79)),"ARL",
IF(ISNUMBER(SEARCH("SUNTHINKS",INVENTARIO!C79)),"SUN",
IF(ISNUMBER(SEARCH("FRIO",INVENTARIO!C79)),"FRI",
IF(ISNUMBER(SEARCH("CALIDO",INVENTARIO!C79)),"CAL",
IF(ISNUMBER(SEARCH("CEPILLADO",INVENTARIO!C79)),"CEP",
IF(ISNUMBER(SEARCH("ESPEJO",INVENTARIO!C79)),"ESP",
""))))))</f>
        <v/>
      </c>
      <c r="G79" t="str">
        <f>IF(ISNUMBER(SEARCH("LATEX",INVENTARIO!C79)),"LAT",
IF(ISNUMBER(SEARCH("RESP. NEGRO",INVENTARIO!C79)),"RES-NEG",
IF(ISNUMBER(SEARCH("RESPALDO CAFE",INVENTARIO!C79)),"RES-CAF",
IF(ISNUMBER(SEARCH("RESPALDO GRIS",INVENTARIO!C79)),"RES-GRI",
IF(ISNUMBER(SEARCH("OPTICO",INVENTARIO!C79)),"OPT",
IF(ISNUMBER(SEARCH("1,2 MM",INVENTARIO!C79)),"1MM2",
IF(ISNUMBER(SEARCH("2 MM",INVENTARIO!C79)),"2MM",
IF(ISNUMBER(SEARCH("3 MM",INVENTARIO!C79)),"3MM",
IF(ISNUMBER(SEARCH("4 MM",INVENTARIO!C79)),"4MM",
IF(ISNUMBER(SEARCH("5 MM",INVENTARIO!C79)),"5MM",
IF(ISNUMBER(SEARCH("6 MM",INVENTARIO!C79)),"6MM",
IF(ISNUMBER(SEARCH("9 MM",INVENTARIO!C79)),"9MM",
IF(ISNUMBER(SEARCH("10 MM",INVENTARIO!C79)),"10MM","")))))))))))))</f>
        <v/>
      </c>
      <c r="H79" t="str">
        <f>IF(ISNUMBER(SEARCH("GAMA BAJA",INVENTARIO!C79)),"GAM-BAJ",
IF(ISNUMBER(SEARCH("OPTIMIZADOR",INVENTARIO!C79)),"OPT",
IF(ISNUMBER(SEARCH("OVERCOAT",INVENTARIO!C79)),"OVE",
IF(ISNUMBER(SEARCH("WHITE",INVENTARIO!C79)),"WHI",
IF(ISNUMBER(SEARCH("LIGHT CYAN",INVENTARIO!C79)),"LIG-CYA",
IF(ISNUMBER(SEARCH("CYAN",INVENTARIO!C79)),"CYA",
IF(ISNUMBER(SEARCH("LIGHT MAGENTA",INVENTARIO!C79)),"LIG-MAG",
IF(ISNUMBER(SEARCH("MAGENTA",INVENTARIO!C79)),"MAG",
IF(ISNUMBER(SEARCH("BLACK",INVENTARIO!C79)),"BLA",
IF(ISNUMBER(SEARCH("YELLOW",INVENTARIO!C79)),"YEL",
IF(ISNUMBER(SEARCH("2 DIODOS",INVENTARIO!C79)),"2DI",
IF(ISNUMBER(SEARCH("3 DIODOS",INVENTARIO!C79)),"3DI",
IF(OR(ISNUMBER(SEARCH("TRASLUCIDO",INVENTARIO!C79)),ISNUMBER(SEARCH("TRANSLUCIDO",INVENTARIO!C79))),"TRA",
"")))))))))))))</f>
        <v/>
      </c>
      <c r="I79" t="str">
        <f>IF(ISNUMBER(SEARCH("SILED",INVENTARIO!C82)),"SI",
IF(ISNUMBER(SEARCH("SYDEMEX",INVENTARIO!C82)),"SY",
IF(ISNUMBER(SEARCH("ROHS",INVENTARIO!C82)),"RO",
IF(ISNUMBER(SEARCH("RISHANG",INVENTARIO!C82)),"RS",
IF(ISNUMBER(SEARCH("VYG",INVENTARIO!C82)),"VYG",
IF(ISNUMBER(SEARCH("COLED",INVENTARIO!C82)),"CO",""))))))</f>
        <v/>
      </c>
    </row>
    <row r="80" spans="1:9">
      <c r="A80" t="str">
        <f>IF(ISNUMBER(SEARCH("LONA",INVENTARIO!C80)),"LON",
IF(ISNUMBER(SEARCH("VINIL",INVENTARIO!C80)),"VIN",
IF(ISNUMBER(SEARCH("KROMACOTE",INVENTARIO!C80)),"KRO",
IF(ISNUMBER(SEARCH("STARDREAM",INVENTARIO!C80)),"STA",
IF(ISNUMBER(SEARCH("DISPLAY",INVENTARIO!C80)),"DIS",
IF(ISNUMBER(SEARCH("ROLL UP",INVENTARIO!C80)),"ROL-UP",
IF(ISNUMBER(SEARCH("TRANSFER DE PAPEL",INVENTARIO!C80)),"TRA-PAP",
IF(ISNUMBER(SEARCH("TRANSFER",INVENTARIO!C80)),"TRA",IF(ISNUMBER(SEARCH("KOLA LOKA",INVENTARIO!C80)),"KOL-LOK",
IF(ISNUMBER(SEARCH("PETG",INVENTARIO!C80)),"PET",
IF(ISNUMBER(SEARCH("OJILLO",INVENTARIO!C80)),"OJI",
IF(ISNUMBER(SEARCH("COUCHE",INVENTARIO!C80)),"COU",
IF(ISNUMBER(SEARCH("PANEL DE ALUMINIO",INVENTARIO!C80)),"PAN-ALU",
IF(ISNUMBER(SEARCH("PVC",INVENTARIO!C80)),"PVC",
IF(ISNUMBER(SEARCH("PAPEL",INVENTARIO!C80)),"PAP",
IF(ISNUMBER(SEARCH("TELA",INVENTARIO!C80)),"TEL",
IF(ISNUMBER(SEARCH("CARTULINA",INVENTARIO!C80)),"CAR",
IF(OR(ISNUMBER(SEARCH("LAMINA",INVENTARIO!C80)),ISNUMBER(SEARCH("LÁMINA",INVENTARIO!C80)),ISNUMBER(SEARCH("LAMPARAS",INVENTARIO!C80))),"LAM",
IF(ISNUMBER(SEARCH("ESTIRENO",INVENTARIO!C80)),"EST",
IF(ISNUMBER(SEARCH("FOAMBOARD",INVENTARIO!C80)),"FOA",
IF(ISNUMBER(SEARCH("SOLVENTE",INVENTARIO!C80)),"SOL",
IF(ISNUMBER(SEARCH("TINTA",INVENTARIO!C80)),"TIN",
IF(ISNUMBER(SEARCH("ACRILICO",INVENTARIO!C80)),"ACR",
IF(ISNUMBER(SEARCH("MICROLED",INVENTARIO!C80)),"MIC",
IF(ISNUMBER(SEARCH("LED",INVENTARIO!C80)),"LED",
IF(ISNUMBER(SEARCH("FUENTE DE PODER",INVENTARIO!C80)),"FUE-POD",
IF(ISNUMBER(SEARCH("PETG",INVENTARIO!C80)),"PET",
IF(ISNUMBER(SEARCH("ALUMINIO",INVENTARIO!C80)),"ALU",
IF(ISNUMBER(SEARCH("CANAL",INVENTARIO!C80)),"CAN",
IF(ISNUMBER(SEARCH("ESCUADRA",INVENTARIO!C80)),"ESC",
IF(ISNUMBER(SEARCH("SOPORTE",INVENTARIO!C80)),"SOP","OTR")
))))))))))))))))))))))))))))))</f>
        <v>VIN</v>
      </c>
      <c r="B80" t="str">
        <f>IF(ISNUMBER(SEARCH("CORTE",INVENTARIO!C80)),"COR",
IF(ISNUMBER(SEARCH("CITYLIGHT",INVENTARIO!C80)),"CIT",
IF(ISNUMBER(SEARCH("LINO",INVENTARIO!C80)),"LIN",
IF(ISNUMBER(SEARCH("FABRIANO",INVENTARIO!C80)),"FAB",
IF(ISNUMBER(SEARCH("SUNDANCE",INVENTARIO!C80)),"SUN",
IF(ISNUMBER(SEARCH("SINTETICA",INVENTARIO!C80)),"SIN",
IF(ISNUMBER(SEARCH("CONTROL",INVENTARIO!C80)),"CON",
IF(ISNUMBER(SEARCH("TERMICO",INVENTARIO!C80)),"TER",
IF(ISNUMBER(SEARCH("C-15",INVENTARIO!C80)),"C15",
IF(ISNUMBER(SEARCH("C-20",INVENTARIO!C80)),"C20",
IF(ISNUMBER(SEARCH("C-30",INVENTARIO!C80)),"C30",
IF(ISNUMBER(SEARCH("C-40",INVENTARIO!C80)),"C40",
IF(ISNUMBER(SEARCH("C-60",INVENTARIO!C80)),"C60",
IF(ISNUMBER(SEARCH("C-80",INVENTARIO!C80)),"C80",
IF(ISNUMBER(SEARCH("EQUIPO",INVENTARIO!C80)),"EQU",
IF(ISNUMBER(SEARCH("FLOOR",INVENTARIO!C80)),"FLO",
IF(ISNUMBER(SEARCH("CRISTAL",INVENTARIO!C80)),"CRI",
IF(ISNUMBER(SEARCH(" SULFATADA",INVENTARIO!C91)),"SUL",
IF(ISNUMBER(SEARCH("OPALINA",INVENTARIO!C80)),"OPA",
IF(ISNUMBER(SEARCH("ADHERIBLE",INVENTARIO!C80)),"ADH",
IF(ISNUMBER(SEARCH("MICRO",INVENTARIO!C80)),"MIC","")))))))))))))))))))))</f>
        <v/>
      </c>
      <c r="C80" t="str">
        <f>IF(ISNUMBER(SEARCH("PARED",INVENTARIO!C80)),"PAR",
IF(ISNUMBER(SEARCH("FRONT",INVENTARIO!C80)),"FRO",
IF(ISNUMBER(SEARCH("ALTA RESISTENCIA",INVENTARIO!C80)),
"ALT-RES",IF(ISNUMBER(SEARCH("BACKLITE",INVENTARIO!C80)),"BAC",
IF(ISNUMBER(SEARCH("MATE",INVENTARIO!C80)),"MAT",
IF(ISNUMBER(SEARCH("MESH",INVENTARIO!C80)),"MES",
IF(ISNUMBER(SEARCH("BRILLANTE",INVENTARIO!C80)),"BRI",
IF(ISNUMBER(SEARCH("DELGADA",INVENTARIO!C80)),"DEL",
IF(ISNUMBER(SEARCH("GRUESA",INVENTARIO!C80)),"GRU",
IF(ISNUMBER(SEARCH("ESTATICO",INVENTARIO!C80)),"EST",
IF(ISNUMBER(SEARCH("REFLECTIVO",INVENTARIO!C80)),"REF",
IF(ISNUMBER(SEARCH("LX700",INVENTARIO!C80)),"LX7",
IF(ISNUMBER(SEARCH("GRANDO",INVENTARIO!C80)),"GRA",
IF(ISNUMBER(SEARCH("FB700",INVENTARIO!C80)),"FB7",
IF(ISNUMBER(SEARCH("LX360",INVENTARIO!C80)),"LX3",
IF(ISNUMBER(SEARCH("XEROX",INVENTARIO!C80)),"XER",
IF(ISNUMBER(SEARCH("CEPILLADO",INVENTARIO!C80)),"CEP",
IF(ISNUMBER(SEARCH("ESPEJO",INVENTARIO!C80)),"ESP",
IF(ISNUMBER(SEARCH("10 PTS",INVENTARIO!C80)),"10PT",
IF(ISNUMBER(SEARCH("12 PTS",INVENTARIO!C80)),"12PT",
IF(ISNUMBER(SEARCH("14 PTS",INVENTARIO!C80)),"14PT",
IF(ISNUMBER(SEARCH("CLASICO",INVENTARIO!C80)),"CLA",
""))))))))))))))))))))))</f>
        <v/>
      </c>
      <c r="D80" t="str">
        <f>IF(ISNUMBER(SEARCH("GRAN FORMATO",INVENTARIO!C80)),"GRA-FOR",
IF(ISNUMBER(SEARCH("CAMA PLANA",INVENTARIO!C80)),"CAM-PLA",
IF(ISNUMBER(SEARCH("GRADO INGENIERIA",INVENTARIO!C80)),"GRA-ING",
IF(ISNUMBER(SEARCH("130 GRS",INVENTARIO!C80)),"130GR",
IF(ISNUMBER(SEARCH("150 GRS",INVENTARIO!C80)),"150GR",
IF(ISNUMBER(SEARCH("185 GRS",INVENTARIO!C80)),"185GR",
IF(ISNUMBER(SEARCH("200 GRS",INVENTARIO!C80)),"200GR",
IF(ISNUMBER(SEARCH("250 GRS",INVENTARIO!C80)),"250GR",
IF(ISNUMBER(SEARCH("300 GRS",INVENTARIO!C80)),"300GR",
IF(ISNUMBER(SEARCH("350 GRS",INVENTARIO!C80)),"350GR",
IF(ISNUMBER(SEARCH("18 OZ",INVENTARIO!C80)),"18OZ",
IF(ISNUMBER(SEARCH("15 OZ",INVENTARIO!C80)),"15OZ",
IF(OR(ISNUMBER(SEARCH("13 OZ",INVENTARIO!C80)),ISNUMBER(SEARCH("13 ONZAS",INVENTARIO!C80))),"13OZ",
IF(OR(ISNUMBER(SEARCH("9 OZ",INVENTARIO!C80)),ISNUMBER(SEARCH("9 ONZAS",INVENTARIO!C80))),"09OZ",
IF(ISNUMBER(SEARCH("DOBLE CARA",INVENTARIO!C80)),"DOB-CAR",
"")))))))))))))))</f>
        <v/>
      </c>
      <c r="E80" t="str">
        <f>IF(OR(ISNUMBER(SEARCH("TRANSPARENTE",INVENTARIO!C80)),ISNUMBER(SEARCH("TRANSPARENTES",INVENTARIO!C80))),"TRA",
IF(OR(ISNUMBER(SEARCH("BLANCO",INVENTARIO!C80)),ISNUMBER(SEARCH("BCO",INVENTARIO!C80))),"BLA",
IF(ISNUMBER(SEARCH("FOTOGRAFICO",INVENTARIO!C80)),"FOT",
IF(ISNUMBER(SEARCH("MARFIL",INVENTARIO!C80)),"MAR",
IF(ISNUMBER(SEARCH("VERDE",INVENTARIO!C80)),"VER",
IF(ISNUMBER(SEARCH("MORADO",INVENTARIO!C80)),"MOR",
IF(ISNUMBER(SEARCH("PLATA",INVENTARIO!C80)),"PLA",
IF(ISNUMBER(SEARCH("ORO",INVENTARIO!C80)),"ORO",
IF(ISNUMBER(SEARCH("AMARILLO",INVENTARIO!C80)),"AMA",
IF(ISNUMBER(SEARCH("NARANJA",INVENTARIO!C80)),"NAR",
IF(ISNUMBER(SEARCH("NEGRO",INVENTARIO!C80)),"NEG",
IF(ISNUMBER(SEARCH("ROJO",INVENTARIO!C80)),"ROJ",
IF(ISNUMBER(SEARCH("AZUL",INVENTARIO!C80)),"AZU","")))))))))))))</f>
        <v>BLA</v>
      </c>
      <c r="F80" t="str">
        <f>IF(ISNUMBER(SEARCH("ARLON",INVENTARIO!C80)),"ARL",
IF(ISNUMBER(SEARCH("SUNTHINKS",INVENTARIO!C80)),"SUN",
IF(ISNUMBER(SEARCH("FRIO",INVENTARIO!C80)),"FRI",
IF(ISNUMBER(SEARCH("CALIDO",INVENTARIO!C80)),"CAL",
IF(ISNUMBER(SEARCH("CEPILLADO",INVENTARIO!C80)),"CEP",
IF(ISNUMBER(SEARCH("ESPEJO",INVENTARIO!C80)),"ESP",
""))))))</f>
        <v/>
      </c>
      <c r="G80" t="str">
        <f>IF(ISNUMBER(SEARCH("LATEX",INVENTARIO!C80)),"LAT",
IF(ISNUMBER(SEARCH("RESP. NEGRO",INVENTARIO!C80)),"RES-NEG",
IF(ISNUMBER(SEARCH("RESPALDO CAFE",INVENTARIO!C80)),"RES-CAF",
IF(ISNUMBER(SEARCH("RESPALDO GRIS",INVENTARIO!C80)),"RES-GRI",
IF(ISNUMBER(SEARCH("OPTICO",INVENTARIO!C80)),"OPT",
IF(ISNUMBER(SEARCH("1,2 MM",INVENTARIO!C80)),"1MM2",
IF(ISNUMBER(SEARCH("2 MM",INVENTARIO!C80)),"2MM",
IF(ISNUMBER(SEARCH("3 MM",INVENTARIO!C80)),"3MM",
IF(ISNUMBER(SEARCH("4 MM",INVENTARIO!C80)),"4MM",
IF(ISNUMBER(SEARCH("5 MM",INVENTARIO!C80)),"5MM",
IF(ISNUMBER(SEARCH("6 MM",INVENTARIO!C80)),"6MM",
IF(ISNUMBER(SEARCH("9 MM",INVENTARIO!C80)),"9MM",
IF(ISNUMBER(SEARCH("10 MM",INVENTARIO!C80)),"10MM","")))))))))))))</f>
        <v/>
      </c>
      <c r="H80" t="str">
        <f>IF(ISNUMBER(SEARCH("GAMA BAJA",INVENTARIO!C80)),"GAM-BAJ",
IF(ISNUMBER(SEARCH("OPTIMIZADOR",INVENTARIO!C80)),"OPT",
IF(ISNUMBER(SEARCH("OVERCOAT",INVENTARIO!C80)),"OVE",
IF(ISNUMBER(SEARCH("WHITE",INVENTARIO!C80)),"WHI",
IF(ISNUMBER(SEARCH("LIGHT CYAN",INVENTARIO!C80)),"LIG-CYA",
IF(ISNUMBER(SEARCH("CYAN",INVENTARIO!C80)),"CYA",
IF(ISNUMBER(SEARCH("LIGHT MAGENTA",INVENTARIO!C80)),"LIG-MAG",
IF(ISNUMBER(SEARCH("MAGENTA",INVENTARIO!C80)),"MAG",
IF(ISNUMBER(SEARCH("BLACK",INVENTARIO!C80)),"BLA",
IF(ISNUMBER(SEARCH("YELLOW",INVENTARIO!C80)),"YEL",
IF(ISNUMBER(SEARCH("2 DIODOS",INVENTARIO!C80)),"2DI",
IF(ISNUMBER(SEARCH("3 DIODOS",INVENTARIO!C80)),"3DI",
IF(OR(ISNUMBER(SEARCH("TRASLUCIDO",INVENTARIO!C80)),ISNUMBER(SEARCH("TRANSLUCIDO",INVENTARIO!C80))),"TRA",
"")))))))))))))</f>
        <v>TRA</v>
      </c>
      <c r="I80" t="str">
        <f>IF(ISNUMBER(SEARCH("SILED",INVENTARIO!C84)),"SI",
IF(ISNUMBER(SEARCH("SYDEMEX",INVENTARIO!C84)),"SY",
IF(ISNUMBER(SEARCH("ROHS",INVENTARIO!C84)),"RO",
IF(ISNUMBER(SEARCH("RISHANG",INVENTARIO!C84)),"RS",
IF(ISNUMBER(SEARCH("VYG",INVENTARIO!C84)),"VYG",
IF(ISNUMBER(SEARCH("COLED",INVENTARIO!C84)),"CO",""))))))</f>
        <v/>
      </c>
    </row>
    <row r="81" spans="1:9">
      <c r="A81" t="str">
        <f>IF(ISNUMBER(SEARCH("LONA",INVENTARIO!C81)),"LON",
IF(ISNUMBER(SEARCH("VINIL",INVENTARIO!C81)),"VIN",
IF(ISNUMBER(SEARCH("KROMACOTE",INVENTARIO!C81)),"KRO",
IF(ISNUMBER(SEARCH("STARDREAM",INVENTARIO!C81)),"STA",
IF(ISNUMBER(SEARCH("DISPLAY",INVENTARIO!C81)),"DIS",
IF(ISNUMBER(SEARCH("ROLL UP",INVENTARIO!C81)),"ROL-UP",
IF(ISNUMBER(SEARCH("TRANSFER DE PAPEL",INVENTARIO!C81)),"TRA-PAP",
IF(ISNUMBER(SEARCH("TRANSFER",INVENTARIO!C81)),"TRA",IF(ISNUMBER(SEARCH("KOLA LOKA",INVENTARIO!C81)),"KOL-LOK",
IF(ISNUMBER(SEARCH("PETG",INVENTARIO!C81)),"PET",
IF(ISNUMBER(SEARCH("OJILLO",INVENTARIO!C81)),"OJI",
IF(ISNUMBER(SEARCH("COUCHE",INVENTARIO!C81)),"COU",
IF(ISNUMBER(SEARCH("PANEL DE ALUMINIO",INVENTARIO!C81)),"PAN-ALU",
IF(ISNUMBER(SEARCH("PVC",INVENTARIO!C81)),"PVC",
IF(ISNUMBER(SEARCH("PAPEL",INVENTARIO!C81)),"PAP",
IF(ISNUMBER(SEARCH("TELA",INVENTARIO!C81)),"TEL",
IF(ISNUMBER(SEARCH("CARTULINA",INVENTARIO!C81)),"CAR",
IF(OR(ISNUMBER(SEARCH("LAMINA",INVENTARIO!C81)),ISNUMBER(SEARCH("LÁMINA",INVENTARIO!C81)),ISNUMBER(SEARCH("LAMPARAS",INVENTARIO!C81))),"LAM",
IF(ISNUMBER(SEARCH("ESTIRENO",INVENTARIO!C81)),"EST",
IF(ISNUMBER(SEARCH("FOAMBOARD",INVENTARIO!C81)),"FOA",
IF(ISNUMBER(SEARCH("SOLVENTE",INVENTARIO!C81)),"SOL",
IF(ISNUMBER(SEARCH("TINTA",INVENTARIO!C81)),"TIN",
IF(ISNUMBER(SEARCH("ACRILICO",INVENTARIO!C81)),"ACR",
IF(ISNUMBER(SEARCH("MICROLED",INVENTARIO!C81)),"MIC",
IF(ISNUMBER(SEARCH("LED",INVENTARIO!C81)),"LED",
IF(ISNUMBER(SEARCH("FUENTE DE PODER",INVENTARIO!C81)),"FUE-POD",
IF(ISNUMBER(SEARCH("PETG",INVENTARIO!C81)),"PET",
IF(ISNUMBER(SEARCH("ALUMINIO",INVENTARIO!C81)),"ALU",
IF(ISNUMBER(SEARCH("CANAL",INVENTARIO!C81)),"CAN",
IF(ISNUMBER(SEARCH("ESCUADRA",INVENTARIO!C81)),"ESC",
IF(ISNUMBER(SEARCH("SOPORTE",INVENTARIO!C81)),"SOP","OTR")
))))))))))))))))))))))))))))))</f>
        <v>LAM</v>
      </c>
      <c r="B81" t="str">
        <f>IF(ISNUMBER(SEARCH("CORTE",INVENTARIO!C81)),"COR",
IF(ISNUMBER(SEARCH("CITYLIGHT",INVENTARIO!C81)),"CIT",
IF(ISNUMBER(SEARCH("LINO",INVENTARIO!C81)),"LIN",
IF(ISNUMBER(SEARCH("FABRIANO",INVENTARIO!C81)),"FAB",
IF(ISNUMBER(SEARCH("SUNDANCE",INVENTARIO!C81)),"SUN",
IF(ISNUMBER(SEARCH("SINTETICA",INVENTARIO!C81)),"SIN",
IF(ISNUMBER(SEARCH("CONTROL",INVENTARIO!C81)),"CON",
IF(ISNUMBER(SEARCH("TERMICO",INVENTARIO!C81)),"TER",
IF(ISNUMBER(SEARCH("C-15",INVENTARIO!C81)),"C15",
IF(ISNUMBER(SEARCH("C-20",INVENTARIO!C81)),"C20",
IF(ISNUMBER(SEARCH("C-30",INVENTARIO!C81)),"C30",
IF(ISNUMBER(SEARCH("C-40",INVENTARIO!C81)),"C40",
IF(ISNUMBER(SEARCH("C-60",INVENTARIO!C81)),"C60",
IF(ISNUMBER(SEARCH("C-80",INVENTARIO!C81)),"C80",
IF(ISNUMBER(SEARCH("EQUIPO",INVENTARIO!C81)),"EQU",
IF(ISNUMBER(SEARCH("FLOOR",INVENTARIO!C81)),"FLO",
IF(ISNUMBER(SEARCH("CRISTAL",INVENTARIO!C81)),"CRI",
IF(ISNUMBER(SEARCH(" SULFATADA",INVENTARIO!C92)),"SUL",
IF(ISNUMBER(SEARCH("OPALINA",INVENTARIO!C81)),"OPA",
IF(ISNUMBER(SEARCH("ADHERIBLE",INVENTARIO!C81)),"ADH",
IF(ISNUMBER(SEARCH("MICRO",INVENTARIO!C81)),"MIC","")))))))))))))))))))))</f>
        <v/>
      </c>
      <c r="C81" t="str">
        <f>IF(ISNUMBER(SEARCH("PARED",INVENTARIO!C81)),"PAR",
IF(ISNUMBER(SEARCH("FRONT",INVENTARIO!C81)),"FRO",
IF(ISNUMBER(SEARCH("ALTA RESISTENCIA",INVENTARIO!C81)),
"ALT-RES",IF(ISNUMBER(SEARCH("BACKLITE",INVENTARIO!C81)),"BAC",
IF(ISNUMBER(SEARCH("MATE",INVENTARIO!C81)),"MAT",
IF(ISNUMBER(SEARCH("MESH",INVENTARIO!C81)),"MES",
IF(ISNUMBER(SEARCH("BRILLANTE",INVENTARIO!C81)),"BRI",
IF(ISNUMBER(SEARCH("DELGADA",INVENTARIO!C81)),"DEL",
IF(ISNUMBER(SEARCH("GRUESA",INVENTARIO!C81)),"GRU",
IF(ISNUMBER(SEARCH("ESTATICO",INVENTARIO!C81)),"EST",
IF(ISNUMBER(SEARCH("REFLECTIVO",INVENTARIO!C81)),"REF",
IF(ISNUMBER(SEARCH("LX700",INVENTARIO!C81)),"LX7",
IF(ISNUMBER(SEARCH("GRANDO",INVENTARIO!C81)),"GRA",
IF(ISNUMBER(SEARCH("FB700",INVENTARIO!C81)),"FB7",
IF(ISNUMBER(SEARCH("LX360",INVENTARIO!C81)),"LX3",
IF(ISNUMBER(SEARCH("XEROX",INVENTARIO!C81)),"XER",
IF(ISNUMBER(SEARCH("CEPILLADO",INVENTARIO!C81)),"CEP",
IF(ISNUMBER(SEARCH("ESPEJO",INVENTARIO!C81)),"ESP",
IF(ISNUMBER(SEARCH("10 PTS",INVENTARIO!C81)),"10PT",
IF(ISNUMBER(SEARCH("12 PTS",INVENTARIO!C81)),"12PT",
IF(ISNUMBER(SEARCH("14 PTS",INVENTARIO!C81)),"14PT",
IF(ISNUMBER(SEARCH("CLASICO",INVENTARIO!C81)),"CLA",
""))))))))))))))))))))))</f>
        <v/>
      </c>
      <c r="D81" t="str">
        <f>IF(ISNUMBER(SEARCH("GRAN FORMATO",INVENTARIO!C81)),"GRA-FOR",
IF(ISNUMBER(SEARCH("CAMA PLANA",INVENTARIO!C81)),"CAM-PLA",
IF(ISNUMBER(SEARCH("GRADO INGENIERIA",INVENTARIO!C81)),"GRA-ING",
IF(ISNUMBER(SEARCH("130 GRS",INVENTARIO!C81)),"130GR",
IF(ISNUMBER(SEARCH("150 GRS",INVENTARIO!C81)),"150GR",
IF(ISNUMBER(SEARCH("185 GRS",INVENTARIO!C81)),"185GR",
IF(ISNUMBER(SEARCH("200 GRS",INVENTARIO!C81)),"200GR",
IF(ISNUMBER(SEARCH("250 GRS",INVENTARIO!C81)),"250GR",
IF(ISNUMBER(SEARCH("300 GRS",INVENTARIO!C81)),"300GR",
IF(ISNUMBER(SEARCH("350 GRS",INVENTARIO!C81)),"350GR",
IF(ISNUMBER(SEARCH("18 OZ",INVENTARIO!C81)),"18OZ",
IF(ISNUMBER(SEARCH("15 OZ",INVENTARIO!C81)),"15OZ",
IF(OR(ISNUMBER(SEARCH("13 OZ",INVENTARIO!C81)),ISNUMBER(SEARCH("13 ONZAS",INVENTARIO!C81))),"13OZ",
IF(OR(ISNUMBER(SEARCH("9 OZ",INVENTARIO!C81)),ISNUMBER(SEARCH("9 ONZAS",INVENTARIO!C81))),"09OZ",
IF(ISNUMBER(SEARCH("DOBLE CARA",INVENTARIO!C81)),"DOB-CAR",
"")))))))))))))))</f>
        <v/>
      </c>
      <c r="E81" t="str">
        <f>IF(OR(ISNUMBER(SEARCH("TRANSPARENTE",INVENTARIO!C81)),ISNUMBER(SEARCH("TRANSPARENTES",INVENTARIO!C81))),"TRA",
IF(OR(ISNUMBER(SEARCH("BLANCO",INVENTARIO!C81)),ISNUMBER(SEARCH("BCO",INVENTARIO!C81))),"BLA",
IF(ISNUMBER(SEARCH("FOTOGRAFICO",INVENTARIO!C81)),"FOT",
IF(ISNUMBER(SEARCH("MARFIL",INVENTARIO!C81)),"MAR",
IF(ISNUMBER(SEARCH("VERDE",INVENTARIO!C81)),"VER",
IF(ISNUMBER(SEARCH("MORADO",INVENTARIO!C81)),"MOR",
IF(ISNUMBER(SEARCH("PLATA",INVENTARIO!C81)),"PLA",
IF(ISNUMBER(SEARCH("ORO",INVENTARIO!C81)),"ORO",
IF(ISNUMBER(SEARCH("AMARILLO",INVENTARIO!C81)),"AMA",
IF(ISNUMBER(SEARCH("NARANJA",INVENTARIO!C81)),"NAR",
IF(ISNUMBER(SEARCH("NEGRO",INVENTARIO!C81)),"NEG",
IF(ISNUMBER(SEARCH("ROJO",INVENTARIO!C81)),"ROJ",
IF(ISNUMBER(SEARCH("AZUL",INVENTARIO!C81)),"AZU","")))))))))))))</f>
        <v/>
      </c>
      <c r="F81" t="str">
        <f>IF(ISNUMBER(SEARCH("ARLON",INVENTARIO!C81)),"ARL",
IF(ISNUMBER(SEARCH("SUNTHINKS",INVENTARIO!C81)),"SUN",
IF(ISNUMBER(SEARCH("FRIO",INVENTARIO!C81)),"FRI",
IF(ISNUMBER(SEARCH("CALIDO",INVENTARIO!C81)),"CAL",
IF(ISNUMBER(SEARCH("CEPILLADO",INVENTARIO!C81)),"CEP",
IF(ISNUMBER(SEARCH("ESPEJO",INVENTARIO!C81)),"ESP",
""))))))</f>
        <v/>
      </c>
      <c r="G81" t="str">
        <f>IF(ISNUMBER(SEARCH("LATEX",INVENTARIO!C81)),"LAT",
IF(ISNUMBER(SEARCH("RESP. NEGRO",INVENTARIO!C81)),"RES-NEG",
IF(ISNUMBER(SEARCH("RESPALDO CAFE",INVENTARIO!C81)),"RES-CAF",
IF(ISNUMBER(SEARCH("RESPALDO GRIS",INVENTARIO!C81)),"RES-GRI",
IF(ISNUMBER(SEARCH("OPTICO",INVENTARIO!C81)),"OPT",
IF(ISNUMBER(SEARCH("1,2 MM",INVENTARIO!C81)),"1MM2",
IF(ISNUMBER(SEARCH("2 MM",INVENTARIO!C81)),"2MM",
IF(ISNUMBER(SEARCH("3 MM",INVENTARIO!C81)),"3MM",
IF(ISNUMBER(SEARCH("4 MM",INVENTARIO!C81)),"4MM",
IF(ISNUMBER(SEARCH("5 MM",INVENTARIO!C81)),"5MM",
IF(ISNUMBER(SEARCH("6 MM",INVENTARIO!C81)),"6MM",
IF(ISNUMBER(SEARCH("9 MM",INVENTARIO!C81)),"9MM",
IF(ISNUMBER(SEARCH("10 MM",INVENTARIO!C81)),"10MM","")))))))))))))</f>
        <v/>
      </c>
      <c r="H81" t="str">
        <f>IF(ISNUMBER(SEARCH("GAMA BAJA",INVENTARIO!C81)),"GAM-BAJ",
IF(ISNUMBER(SEARCH("OPTIMIZADOR",INVENTARIO!C81)),"OPT",
IF(ISNUMBER(SEARCH("OVERCOAT",INVENTARIO!C81)),"OVE",
IF(ISNUMBER(SEARCH("WHITE",INVENTARIO!C81)),"WHI",
IF(ISNUMBER(SEARCH("LIGHT CYAN",INVENTARIO!C81)),"LIG-CYA",
IF(ISNUMBER(SEARCH("CYAN",INVENTARIO!C81)),"CYA",
IF(ISNUMBER(SEARCH("LIGHT MAGENTA",INVENTARIO!C81)),"LIG-MAG",
IF(ISNUMBER(SEARCH("MAGENTA",INVENTARIO!C81)),"MAG",
IF(ISNUMBER(SEARCH("BLACK",INVENTARIO!C81)),"BLA",
IF(ISNUMBER(SEARCH("YELLOW",INVENTARIO!C81)),"YEL",
IF(ISNUMBER(SEARCH("2 DIODOS",INVENTARIO!C81)),"2DI",
IF(ISNUMBER(SEARCH("3 DIODOS",INVENTARIO!C81)),"3DI",
IF(OR(ISNUMBER(SEARCH("TRASLUCIDO",INVENTARIO!C81)),ISNUMBER(SEARCH("TRANSLUCIDO",INVENTARIO!C81))),"TRA",
"")))))))))))))</f>
        <v/>
      </c>
      <c r="I81" t="str">
        <f>IF(ISNUMBER(SEARCH("SILED",INVENTARIO!C86)),"SI",
IF(ISNUMBER(SEARCH("SYDEMEX",INVENTARIO!C86)),"SY",
IF(ISNUMBER(SEARCH("ROHS",INVENTARIO!C86)),"RO",
IF(ISNUMBER(SEARCH("RISHANG",INVENTARIO!C86)),"RS",
IF(ISNUMBER(SEARCH("VYG",INVENTARIO!C86)),"VYG",
IF(ISNUMBER(SEARCH("COLED",INVENTARIO!C86)),"CO",""))))))</f>
        <v/>
      </c>
    </row>
    <row r="82" spans="1:9">
      <c r="A82" t="str">
        <f>IF(ISNUMBER(SEARCH("LONA",INVENTARIO!C82)),"LON",
IF(ISNUMBER(SEARCH("VINIL",INVENTARIO!C82)),"VIN",
IF(ISNUMBER(SEARCH("KROMACOTE",INVENTARIO!C82)),"KRO",
IF(ISNUMBER(SEARCH("STARDREAM",INVENTARIO!C82)),"STA",
IF(ISNUMBER(SEARCH("DISPLAY",INVENTARIO!C82)),"DIS",
IF(ISNUMBER(SEARCH("ROLL UP",INVENTARIO!C82)),"ROL-UP",
IF(ISNUMBER(SEARCH("TRANSFER DE PAPEL",INVENTARIO!C82)),"TRA-PAP",
IF(ISNUMBER(SEARCH("TRANSFER",INVENTARIO!C82)),"TRA",IF(ISNUMBER(SEARCH("KOLA LOKA",INVENTARIO!C82)),"KOL-LOK",
IF(ISNUMBER(SEARCH("PETG",INVENTARIO!C82)),"PET",
IF(ISNUMBER(SEARCH("OJILLO",INVENTARIO!C82)),"OJI",
IF(ISNUMBER(SEARCH("COUCHE",INVENTARIO!C82)),"COU",
IF(ISNUMBER(SEARCH("PANEL DE ALUMINIO",INVENTARIO!C82)),"PAN-ALU",
IF(ISNUMBER(SEARCH("PVC",INVENTARIO!C82)),"PVC",
IF(ISNUMBER(SEARCH("PAPEL",INVENTARIO!C82)),"PAP",
IF(ISNUMBER(SEARCH("TELA",INVENTARIO!C82)),"TEL",
IF(ISNUMBER(SEARCH("CARTULINA",INVENTARIO!C82)),"CAR",
IF(OR(ISNUMBER(SEARCH("LAMINA",INVENTARIO!C82)),ISNUMBER(SEARCH("LÁMINA",INVENTARIO!C82)),ISNUMBER(SEARCH("LAMPARAS",INVENTARIO!C82))),"LAM",
IF(ISNUMBER(SEARCH("ESTIRENO",INVENTARIO!C82)),"EST",
IF(ISNUMBER(SEARCH("FOAMBOARD",INVENTARIO!C82)),"FOA",
IF(ISNUMBER(SEARCH("SOLVENTE",INVENTARIO!C82)),"SOL",
IF(ISNUMBER(SEARCH("TINTA",INVENTARIO!C82)),"TIN",
IF(ISNUMBER(SEARCH("ACRILICO",INVENTARIO!C82)),"ACR",
IF(ISNUMBER(SEARCH("MICROLED",INVENTARIO!C82)),"MIC",
IF(ISNUMBER(SEARCH("LED",INVENTARIO!C82)),"LED",
IF(ISNUMBER(SEARCH("FUENTE DE PODER",INVENTARIO!C82)),"FUE-POD",
IF(ISNUMBER(SEARCH("PETG",INVENTARIO!C82)),"PET",
IF(ISNUMBER(SEARCH("ALUMINIO",INVENTARIO!C82)),"ALU",
IF(ISNUMBER(SEARCH("CANAL",INVENTARIO!C82)),"CAN",
IF(ISNUMBER(SEARCH("ESCUADRA",INVENTARIO!C82)),"ESC",
IF(ISNUMBER(SEARCH("SOPORTE",INVENTARIO!C82)),"SOP","OTR")
))))))))))))))))))))))))))))))</f>
        <v>LAM</v>
      </c>
      <c r="B82" t="str">
        <f>IF(ISNUMBER(SEARCH("CORTE",INVENTARIO!C82)),"COR",
IF(ISNUMBER(SEARCH("CITYLIGHT",INVENTARIO!C82)),"CIT",
IF(ISNUMBER(SEARCH("LINO",INVENTARIO!C82)),"LIN",
IF(ISNUMBER(SEARCH("FABRIANO",INVENTARIO!C82)),"FAB",
IF(ISNUMBER(SEARCH("SUNDANCE",INVENTARIO!C82)),"SUN",
IF(ISNUMBER(SEARCH("SINTETICA",INVENTARIO!C82)),"SIN",
IF(ISNUMBER(SEARCH("CONTROL",INVENTARIO!C82)),"CON",
IF(ISNUMBER(SEARCH("TERMICO",INVENTARIO!C82)),"TER",
IF(ISNUMBER(SEARCH("C-15",INVENTARIO!C82)),"C15",
IF(ISNUMBER(SEARCH("C-20",INVENTARIO!C82)),"C20",
IF(ISNUMBER(SEARCH("C-30",INVENTARIO!C82)),"C30",
IF(ISNUMBER(SEARCH("C-40",INVENTARIO!C82)),"C40",
IF(ISNUMBER(SEARCH("C-60",INVENTARIO!C82)),"C60",
IF(ISNUMBER(SEARCH("C-80",INVENTARIO!C82)),"C80",
IF(ISNUMBER(SEARCH("EQUIPO",INVENTARIO!C82)),"EQU",
IF(ISNUMBER(SEARCH("FLOOR",INVENTARIO!C82)),"FLO",
IF(ISNUMBER(SEARCH("CRISTAL",INVENTARIO!C82)),"CRI",
IF(ISNUMBER(SEARCH(" SULFATADA",INVENTARIO!C93)),"SUL",
IF(ISNUMBER(SEARCH("OPALINA",INVENTARIO!C82)),"OPA",
IF(ISNUMBER(SEARCH("ADHERIBLE",INVENTARIO!C82)),"ADH",
IF(ISNUMBER(SEARCH("MICRO",INVENTARIO!C82)),"MIC","")))))))))))))))))))))</f>
        <v>TER</v>
      </c>
      <c r="C82" t="str">
        <f>IF(ISNUMBER(SEARCH("PARED",INVENTARIO!C82)),"PAR",
IF(ISNUMBER(SEARCH("FRONT",INVENTARIO!C82)),"FRO",
IF(ISNUMBER(SEARCH("ALTA RESISTENCIA",INVENTARIO!C82)),
"ALT-RES",IF(ISNUMBER(SEARCH("BACKLITE",INVENTARIO!C82)),"BAC",
IF(ISNUMBER(SEARCH("MATE",INVENTARIO!C82)),"MAT",
IF(ISNUMBER(SEARCH("MESH",INVENTARIO!C82)),"MES",
IF(ISNUMBER(SEARCH("BRILLANTE",INVENTARIO!C82)),"BRI",
IF(ISNUMBER(SEARCH("DELGADA",INVENTARIO!C82)),"DEL",
IF(ISNUMBER(SEARCH("GRUESA",INVENTARIO!C82)),"GRU",
IF(ISNUMBER(SEARCH("ESTATICO",INVENTARIO!C82)),"EST",
IF(ISNUMBER(SEARCH("REFLECTIVO",INVENTARIO!C82)),"REF",
IF(ISNUMBER(SEARCH("LX700",INVENTARIO!C82)),"LX7",
IF(ISNUMBER(SEARCH("GRANDO",INVENTARIO!C82)),"GRA",
IF(ISNUMBER(SEARCH("FB700",INVENTARIO!C82)),"FB7",
IF(ISNUMBER(SEARCH("LX360",INVENTARIO!C82)),"LX3",
IF(ISNUMBER(SEARCH("XEROX",INVENTARIO!C82)),"XER",
IF(ISNUMBER(SEARCH("CEPILLADO",INVENTARIO!C82)),"CEP",
IF(ISNUMBER(SEARCH("ESPEJO",INVENTARIO!C82)),"ESP",
IF(ISNUMBER(SEARCH("10 PTS",INVENTARIO!C82)),"10PT",
IF(ISNUMBER(SEARCH("12 PTS",INVENTARIO!C82)),"12PT",
IF(ISNUMBER(SEARCH("14 PTS",INVENTARIO!C82)),"14PT",
IF(ISNUMBER(SEARCH("CLASICO",INVENTARIO!C82)),"CLA",
""))))))))))))))))))))))</f>
        <v>BRI</v>
      </c>
      <c r="D82" t="str">
        <f>IF(ISNUMBER(SEARCH("GRAN FORMATO",INVENTARIO!C82)),"GRA-FOR",
IF(ISNUMBER(SEARCH("CAMA PLANA",INVENTARIO!C82)),"CAM-PLA",
IF(ISNUMBER(SEARCH("GRADO INGENIERIA",INVENTARIO!C82)),"GRA-ING",
IF(ISNUMBER(SEARCH("130 GRS",INVENTARIO!C82)),"130GR",
IF(ISNUMBER(SEARCH("150 GRS",INVENTARIO!C82)),"150GR",
IF(ISNUMBER(SEARCH("185 GRS",INVENTARIO!C82)),"185GR",
IF(ISNUMBER(SEARCH("200 GRS",INVENTARIO!C82)),"200GR",
IF(ISNUMBER(SEARCH("250 GRS",INVENTARIO!C82)),"250GR",
IF(ISNUMBER(SEARCH("300 GRS",INVENTARIO!C82)),"300GR",
IF(ISNUMBER(SEARCH("350 GRS",INVENTARIO!C82)),"350GR",
IF(ISNUMBER(SEARCH("18 OZ",INVENTARIO!C82)),"18OZ",
IF(ISNUMBER(SEARCH("15 OZ",INVENTARIO!C82)),"15OZ",
IF(OR(ISNUMBER(SEARCH("13 OZ",INVENTARIO!C82)),ISNUMBER(SEARCH("13 ONZAS",INVENTARIO!C82))),"13OZ",
IF(OR(ISNUMBER(SEARCH("9 OZ",INVENTARIO!C82)),ISNUMBER(SEARCH("9 ONZAS",INVENTARIO!C82))),"09OZ",
IF(ISNUMBER(SEARCH("DOBLE CARA",INVENTARIO!C82)),"DOB-CAR",
"")))))))))))))))</f>
        <v/>
      </c>
      <c r="E82" t="str">
        <f>IF(OR(ISNUMBER(SEARCH("TRANSPARENTE",INVENTARIO!C82)),ISNUMBER(SEARCH("TRANSPARENTES",INVENTARIO!C82))),"TRA",
IF(OR(ISNUMBER(SEARCH("BLANCO",INVENTARIO!C82)),ISNUMBER(SEARCH("BCO",INVENTARIO!C82))),"BLA",
IF(ISNUMBER(SEARCH("FOTOGRAFICO",INVENTARIO!C82)),"FOT",
IF(ISNUMBER(SEARCH("MARFIL",INVENTARIO!C82)),"MAR",
IF(ISNUMBER(SEARCH("VERDE",INVENTARIO!C82)),"VER",
IF(ISNUMBER(SEARCH("MORADO",INVENTARIO!C82)),"MOR",
IF(ISNUMBER(SEARCH("PLATA",INVENTARIO!C82)),"PLA",
IF(ISNUMBER(SEARCH("ORO",INVENTARIO!C82)),"ORO",
IF(ISNUMBER(SEARCH("AMARILLO",INVENTARIO!C82)),"AMA",
IF(ISNUMBER(SEARCH("NARANJA",INVENTARIO!C82)),"NAR",
IF(ISNUMBER(SEARCH("NEGRO",INVENTARIO!C82)),"NEG",
IF(ISNUMBER(SEARCH("ROJO",INVENTARIO!C82)),"ROJ",
IF(ISNUMBER(SEARCH("AZUL",INVENTARIO!C82)),"AZU","")))))))))))))</f>
        <v>TRA</v>
      </c>
      <c r="F82" t="str">
        <f>IF(ISNUMBER(SEARCH("ARLON",INVENTARIO!C82)),"ARL",
IF(ISNUMBER(SEARCH("SUNTHINKS",INVENTARIO!C82)),"SUN",
IF(ISNUMBER(SEARCH("FRIO",INVENTARIO!C82)),"FRI",
IF(ISNUMBER(SEARCH("CALIDO",INVENTARIO!C82)),"CAL",
IF(ISNUMBER(SEARCH("CEPILLADO",INVENTARIO!C82)),"CEP",
IF(ISNUMBER(SEARCH("ESPEJO",INVENTARIO!C82)),"ESP",
""))))))</f>
        <v/>
      </c>
      <c r="G82" t="str">
        <f>IF(ISNUMBER(SEARCH("LATEX",INVENTARIO!C82)),"LAT",
IF(ISNUMBER(SEARCH("RESP. NEGRO",INVENTARIO!C82)),"RES-NEG",
IF(ISNUMBER(SEARCH("RESPALDO CAFE",INVENTARIO!C82)),"RES-CAF",
IF(ISNUMBER(SEARCH("RESPALDO GRIS",INVENTARIO!C82)),"RES-GRI",
IF(ISNUMBER(SEARCH("OPTICO",INVENTARIO!C82)),"OPT",
IF(ISNUMBER(SEARCH("1,2 MM",INVENTARIO!C82)),"1MM2",
IF(ISNUMBER(SEARCH("2 MM",INVENTARIO!C82)),"2MM",
IF(ISNUMBER(SEARCH("3 MM",INVENTARIO!C82)),"3MM",
IF(ISNUMBER(SEARCH("4 MM",INVENTARIO!C82)),"4MM",
IF(ISNUMBER(SEARCH("5 MM",INVENTARIO!C82)),"5MM",
IF(ISNUMBER(SEARCH("6 MM",INVENTARIO!C82)),"6MM",
IF(ISNUMBER(SEARCH("9 MM",INVENTARIO!C82)),"9MM",
IF(ISNUMBER(SEARCH("10 MM",INVENTARIO!C82)),"10MM","")))))))))))))</f>
        <v/>
      </c>
      <c r="H82" t="str">
        <f>IF(ISNUMBER(SEARCH("GAMA BAJA",INVENTARIO!C82)),"GAM-BAJ",
IF(ISNUMBER(SEARCH("OPTIMIZADOR",INVENTARIO!C82)),"OPT",
IF(ISNUMBER(SEARCH("OVERCOAT",INVENTARIO!C82)),"OVE",
IF(ISNUMBER(SEARCH("WHITE",INVENTARIO!C82)),"WHI",
IF(ISNUMBER(SEARCH("LIGHT CYAN",INVENTARIO!C82)),"LIG-CYA",
IF(ISNUMBER(SEARCH("CYAN",INVENTARIO!C82)),"CYA",
IF(ISNUMBER(SEARCH("LIGHT MAGENTA",INVENTARIO!C82)),"LIG-MAG",
IF(ISNUMBER(SEARCH("MAGENTA",INVENTARIO!C82)),"MAG",
IF(ISNUMBER(SEARCH("BLACK",INVENTARIO!C82)),"BLA",
IF(ISNUMBER(SEARCH("YELLOW",INVENTARIO!C82)),"YEL",
IF(ISNUMBER(SEARCH("2 DIODOS",INVENTARIO!C82)),"2DI",
IF(ISNUMBER(SEARCH("3 DIODOS",INVENTARIO!C82)),"3DI",
IF(OR(ISNUMBER(SEARCH("TRASLUCIDO",INVENTARIO!C82)),ISNUMBER(SEARCH("TRANSLUCIDO",INVENTARIO!C82))),"TRA",
"")))))))))))))</f>
        <v/>
      </c>
      <c r="I82" t="str">
        <f>IF(ISNUMBER(SEARCH("SILED",INVENTARIO!C87)),"SI",
IF(ISNUMBER(SEARCH("SYDEMEX",INVENTARIO!C87)),"SY",
IF(ISNUMBER(SEARCH("ROHS",INVENTARIO!C87)),"RO",
IF(ISNUMBER(SEARCH("RISHANG",INVENTARIO!C87)),"RS",
IF(ISNUMBER(SEARCH("VYG",INVENTARIO!C87)),"VYG",
IF(ISNUMBER(SEARCH("COLED",INVENTARIO!C87)),"CO",""))))))</f>
        <v/>
      </c>
    </row>
    <row r="83" spans="1:9">
      <c r="A83" t="str">
        <f>IF(ISNUMBER(SEARCH("LONA",INVENTARIO!C83)),"LON",
IF(ISNUMBER(SEARCH("VINIL",INVENTARIO!C83)),"VIN",
IF(ISNUMBER(SEARCH("KROMACOTE",INVENTARIO!C83)),"KRO",
IF(ISNUMBER(SEARCH("STARDREAM",INVENTARIO!C83)),"STA",
IF(ISNUMBER(SEARCH("DISPLAY",INVENTARIO!C83)),"DIS",
IF(ISNUMBER(SEARCH("ROLL UP",INVENTARIO!C83)),"ROL-UP",
IF(ISNUMBER(SEARCH("TRANSFER DE PAPEL",INVENTARIO!C83)),"TRA-PAP",
IF(ISNUMBER(SEARCH("TRANSFER",INVENTARIO!C83)),"TRA",IF(ISNUMBER(SEARCH("KOLA LOKA",INVENTARIO!C83)),"KOL-LOK",
IF(ISNUMBER(SEARCH("PETG",INVENTARIO!C83)),"PET",
IF(ISNUMBER(SEARCH("OJILLO",INVENTARIO!C83)),"OJI",
IF(ISNUMBER(SEARCH("COUCHE",INVENTARIO!C83)),"COU",
IF(ISNUMBER(SEARCH("PANEL DE ALUMINIO",INVENTARIO!C83)),"PAN-ALU",
IF(ISNUMBER(SEARCH("PVC",INVENTARIO!C83)),"PVC",
IF(ISNUMBER(SEARCH("PAPEL",INVENTARIO!C83)),"PAP",
IF(ISNUMBER(SEARCH("TELA",INVENTARIO!C83)),"TEL",
IF(ISNUMBER(SEARCH("CARTULINA",INVENTARIO!C83)),"CAR",
IF(OR(ISNUMBER(SEARCH("LAMINA",INVENTARIO!C83)),ISNUMBER(SEARCH("LÁMINA",INVENTARIO!C83)),ISNUMBER(SEARCH("LAMPARAS",INVENTARIO!C83))),"LAM",
IF(ISNUMBER(SEARCH("ESTIRENO",INVENTARIO!C83)),"EST",
IF(ISNUMBER(SEARCH("FOAMBOARD",INVENTARIO!C83)),"FOA",
IF(ISNUMBER(SEARCH("SOLVENTE",INVENTARIO!C83)),"SOL",
IF(ISNUMBER(SEARCH("TINTA",INVENTARIO!C83)),"TIN",
IF(ISNUMBER(SEARCH("ACRILICO",INVENTARIO!C83)),"ACR",
IF(ISNUMBER(SEARCH("MICROLED",INVENTARIO!C83)),"MIC",
IF(ISNUMBER(SEARCH("LED",INVENTARIO!C83)),"LED",
IF(ISNUMBER(SEARCH("FUENTE DE PODER",INVENTARIO!C83)),"FUE-POD",
IF(ISNUMBER(SEARCH("PETG",INVENTARIO!C83)),"PET",
IF(ISNUMBER(SEARCH("ALUMINIO",INVENTARIO!C83)),"ALU",
IF(ISNUMBER(SEARCH("CANAL",INVENTARIO!C83)),"CAN",
IF(ISNUMBER(SEARCH("ESCUADRA",INVENTARIO!C83)),"ESC",
IF(ISNUMBER(SEARCH("SOPORTE",INVENTARIO!C83)),"SOP","OTR")
))))))))))))))))))))))))))))))</f>
        <v>LAM</v>
      </c>
      <c r="B83" t="str">
        <f>IF(ISNUMBER(SEARCH("CORTE",INVENTARIO!C83)),"COR",
IF(ISNUMBER(SEARCH("CITYLIGHT",INVENTARIO!C83)),"CIT",
IF(ISNUMBER(SEARCH("LINO",INVENTARIO!C83)),"LIN",
IF(ISNUMBER(SEARCH("FABRIANO",INVENTARIO!C83)),"FAB",
IF(ISNUMBER(SEARCH("SUNDANCE",INVENTARIO!C83)),"SUN",
IF(ISNUMBER(SEARCH("SINTETICA",INVENTARIO!C83)),"SIN",
IF(ISNUMBER(SEARCH("CONTROL",INVENTARIO!C83)),"CON",
IF(ISNUMBER(SEARCH("TERMICO",INVENTARIO!C83)),"TER",
IF(ISNUMBER(SEARCH("C-15",INVENTARIO!C83)),"C15",
IF(ISNUMBER(SEARCH("C-20",INVENTARIO!C83)),"C20",
IF(ISNUMBER(SEARCH("C-30",INVENTARIO!C83)),"C30",
IF(ISNUMBER(SEARCH("C-40",INVENTARIO!C83)),"C40",
IF(ISNUMBER(SEARCH("C-60",INVENTARIO!C83)),"C60",
IF(ISNUMBER(SEARCH("C-80",INVENTARIO!C83)),"C80",
IF(ISNUMBER(SEARCH("EQUIPO",INVENTARIO!C83)),"EQU",
IF(ISNUMBER(SEARCH("FLOOR",INVENTARIO!C83)),"FLO",
IF(ISNUMBER(SEARCH("CRISTAL",INVENTARIO!C83)),"CRI",
IF(ISNUMBER(SEARCH(" SULFATADA",INVENTARIO!C94)),"SUL",
IF(ISNUMBER(SEARCH("OPALINA",INVENTARIO!C83)),"OPA",
IF(ISNUMBER(SEARCH("ADHERIBLE",INVENTARIO!C83)),"ADH",
IF(ISNUMBER(SEARCH("MICRO",INVENTARIO!C83)),"MIC","")))))))))))))))))))))</f>
        <v>TER</v>
      </c>
      <c r="C83" t="str">
        <f>IF(ISNUMBER(SEARCH("PARED",INVENTARIO!C83)),"PAR",
IF(ISNUMBER(SEARCH("FRONT",INVENTARIO!C83)),"FRO",
IF(ISNUMBER(SEARCH("ALTA RESISTENCIA",INVENTARIO!C83)),
"ALT-RES",IF(ISNUMBER(SEARCH("BACKLITE",INVENTARIO!C83)),"BAC",
IF(ISNUMBER(SEARCH("MATE",INVENTARIO!C83)),"MAT",
IF(ISNUMBER(SEARCH("MESH",INVENTARIO!C83)),"MES",
IF(ISNUMBER(SEARCH("BRILLANTE",INVENTARIO!C83)),"BRI",
IF(ISNUMBER(SEARCH("DELGADA",INVENTARIO!C83)),"DEL",
IF(ISNUMBER(SEARCH("GRUESA",INVENTARIO!C83)),"GRU",
IF(ISNUMBER(SEARCH("ESTATICO",INVENTARIO!C83)),"EST",
IF(ISNUMBER(SEARCH("REFLECTIVO",INVENTARIO!C83)),"REF",
IF(ISNUMBER(SEARCH("LX700",INVENTARIO!C83)),"LX7",
IF(ISNUMBER(SEARCH("GRANDO",INVENTARIO!C83)),"GRA",
IF(ISNUMBER(SEARCH("FB700",INVENTARIO!C83)),"FB7",
IF(ISNUMBER(SEARCH("LX360",INVENTARIO!C83)),"LX3",
IF(ISNUMBER(SEARCH("XEROX",INVENTARIO!C83)),"XER",
IF(ISNUMBER(SEARCH("CEPILLADO",INVENTARIO!C83)),"CEP",
IF(ISNUMBER(SEARCH("ESPEJO",INVENTARIO!C83)),"ESP",
IF(ISNUMBER(SEARCH("10 PTS",INVENTARIO!C83)),"10PT",
IF(ISNUMBER(SEARCH("12 PTS",INVENTARIO!C83)),"12PT",
IF(ISNUMBER(SEARCH("14 PTS",INVENTARIO!C83)),"14PT",
IF(ISNUMBER(SEARCH("CLASICO",INVENTARIO!C83)),"CLA",
""))))))))))))))))))))))</f>
        <v>MAT</v>
      </c>
      <c r="D83" t="str">
        <f>IF(ISNUMBER(SEARCH("GRAN FORMATO",INVENTARIO!C83)),"GRA-FOR",
IF(ISNUMBER(SEARCH("CAMA PLANA",INVENTARIO!C83)),"CAM-PLA",
IF(ISNUMBER(SEARCH("GRADO INGENIERIA",INVENTARIO!C83)),"GRA-ING",
IF(ISNUMBER(SEARCH("130 GRS",INVENTARIO!C83)),"130GR",
IF(ISNUMBER(SEARCH("150 GRS",INVENTARIO!C83)),"150GR",
IF(ISNUMBER(SEARCH("185 GRS",INVENTARIO!C83)),"185GR",
IF(ISNUMBER(SEARCH("200 GRS",INVENTARIO!C83)),"200GR",
IF(ISNUMBER(SEARCH("250 GRS",INVENTARIO!C83)),"250GR",
IF(ISNUMBER(SEARCH("300 GRS",INVENTARIO!C83)),"300GR",
IF(ISNUMBER(SEARCH("350 GRS",INVENTARIO!C83)),"350GR",
IF(ISNUMBER(SEARCH("18 OZ",INVENTARIO!C83)),"18OZ",
IF(ISNUMBER(SEARCH("15 OZ",INVENTARIO!C83)),"15OZ",
IF(OR(ISNUMBER(SEARCH("13 OZ",INVENTARIO!C83)),ISNUMBER(SEARCH("13 ONZAS",INVENTARIO!C83))),"13OZ",
IF(OR(ISNUMBER(SEARCH("9 OZ",INVENTARIO!C83)),ISNUMBER(SEARCH("9 ONZAS",INVENTARIO!C83))),"09OZ",
IF(ISNUMBER(SEARCH("DOBLE CARA",INVENTARIO!C83)),"DOB-CAR",
"")))))))))))))))</f>
        <v/>
      </c>
      <c r="E83" t="str">
        <f>IF(OR(ISNUMBER(SEARCH("TRANSPARENTE",INVENTARIO!C83)),ISNUMBER(SEARCH("TRANSPARENTES",INVENTARIO!C83))),"TRA",
IF(OR(ISNUMBER(SEARCH("BLANCO",INVENTARIO!C83)),ISNUMBER(SEARCH("BCO",INVENTARIO!C83))),"BLA",
IF(ISNUMBER(SEARCH("FOTOGRAFICO",INVENTARIO!C83)),"FOT",
IF(ISNUMBER(SEARCH("MARFIL",INVENTARIO!C83)),"MAR",
IF(ISNUMBER(SEARCH("VERDE",INVENTARIO!C83)),"VER",
IF(ISNUMBER(SEARCH("MORADO",INVENTARIO!C83)),"MOR",
IF(ISNUMBER(SEARCH("PLATA",INVENTARIO!C83)),"PLA",
IF(ISNUMBER(SEARCH("ORO",INVENTARIO!C83)),"ORO",
IF(ISNUMBER(SEARCH("AMARILLO",INVENTARIO!C83)),"AMA",
IF(ISNUMBER(SEARCH("NARANJA",INVENTARIO!C83)),"NAR",
IF(ISNUMBER(SEARCH("NEGRO",INVENTARIO!C83)),"NEG",
IF(ISNUMBER(SEARCH("ROJO",INVENTARIO!C83)),"ROJ",
IF(ISNUMBER(SEARCH("AZUL",INVENTARIO!C83)),"AZU","")))))))))))))</f>
        <v>TRA</v>
      </c>
      <c r="F83" t="str">
        <f>IF(ISNUMBER(SEARCH("ARLON",INVENTARIO!C83)),"ARL",
IF(ISNUMBER(SEARCH("SUNTHINKS",INVENTARIO!C83)),"SUN",
IF(ISNUMBER(SEARCH("FRIO",INVENTARIO!C83)),"FRI",
IF(ISNUMBER(SEARCH("CALIDO",INVENTARIO!C83)),"CAL",
IF(ISNUMBER(SEARCH("CEPILLADO",INVENTARIO!C83)),"CEP",
IF(ISNUMBER(SEARCH("ESPEJO",INVENTARIO!C83)),"ESP",
""))))))</f>
        <v/>
      </c>
      <c r="G83" t="str">
        <f>IF(ISNUMBER(SEARCH("LATEX",INVENTARIO!C83)),"LAT",
IF(ISNUMBER(SEARCH("RESP. NEGRO",INVENTARIO!C83)),"RES-NEG",
IF(ISNUMBER(SEARCH("RESPALDO CAFE",INVENTARIO!C83)),"RES-CAF",
IF(ISNUMBER(SEARCH("RESPALDO GRIS",INVENTARIO!C83)),"RES-GRI",
IF(ISNUMBER(SEARCH("OPTICO",INVENTARIO!C83)),"OPT",
IF(ISNUMBER(SEARCH("1,2 MM",INVENTARIO!C83)),"1MM2",
IF(ISNUMBER(SEARCH("2 MM",INVENTARIO!C83)),"2MM",
IF(ISNUMBER(SEARCH("3 MM",INVENTARIO!C83)),"3MM",
IF(ISNUMBER(SEARCH("4 MM",INVENTARIO!C83)),"4MM",
IF(ISNUMBER(SEARCH("5 MM",INVENTARIO!C83)),"5MM",
IF(ISNUMBER(SEARCH("6 MM",INVENTARIO!C83)),"6MM",
IF(ISNUMBER(SEARCH("9 MM",INVENTARIO!C83)),"9MM",
IF(ISNUMBER(SEARCH("10 MM",INVENTARIO!C83)),"10MM","")))))))))))))</f>
        <v/>
      </c>
      <c r="H83" t="str">
        <f>IF(ISNUMBER(SEARCH("GAMA BAJA",INVENTARIO!C83)),"GAM-BAJ",
IF(ISNUMBER(SEARCH("OPTIMIZADOR",INVENTARIO!C83)),"OPT",
IF(ISNUMBER(SEARCH("OVERCOAT",INVENTARIO!C83)),"OVE",
IF(ISNUMBER(SEARCH("WHITE",INVENTARIO!C83)),"WHI",
IF(ISNUMBER(SEARCH("LIGHT CYAN",INVENTARIO!C83)),"LIG-CYA",
IF(ISNUMBER(SEARCH("CYAN",INVENTARIO!C83)),"CYA",
IF(ISNUMBER(SEARCH("LIGHT MAGENTA",INVENTARIO!C83)),"LIG-MAG",
IF(ISNUMBER(SEARCH("MAGENTA",INVENTARIO!C83)),"MAG",
IF(ISNUMBER(SEARCH("BLACK",INVENTARIO!C83)),"BLA",
IF(ISNUMBER(SEARCH("YELLOW",INVENTARIO!C83)),"YEL",
IF(ISNUMBER(SEARCH("2 DIODOS",INVENTARIO!C83)),"2DI",
IF(ISNUMBER(SEARCH("3 DIODOS",INVENTARIO!C83)),"3DI",
IF(OR(ISNUMBER(SEARCH("TRASLUCIDO",INVENTARIO!C83)),ISNUMBER(SEARCH("TRANSLUCIDO",INVENTARIO!C83))),"TRA",
"")))))))))))))</f>
        <v/>
      </c>
      <c r="I83" t="str">
        <f>IF(ISNUMBER(SEARCH("SILED",INVENTARIO!C88)),"SI",
IF(ISNUMBER(SEARCH("SYDEMEX",INVENTARIO!C88)),"SY",
IF(ISNUMBER(SEARCH("ROHS",INVENTARIO!C88)),"RO",
IF(ISNUMBER(SEARCH("RISHANG",INVENTARIO!C88)),"RS",
IF(ISNUMBER(SEARCH("VYG",INVENTARIO!C88)),"VYG",
IF(ISNUMBER(SEARCH("COLED",INVENTARIO!C88)),"CO",""))))))</f>
        <v/>
      </c>
    </row>
    <row r="84" spans="1:9">
      <c r="A84" t="str">
        <f>IF(ISNUMBER(SEARCH("LONA",INVENTARIO!C84)),"LON",
IF(ISNUMBER(SEARCH("VINIL",INVENTARIO!C84)),"VIN",
IF(ISNUMBER(SEARCH("KROMACOTE",INVENTARIO!C84)),"KRO",
IF(ISNUMBER(SEARCH("STARDREAM",INVENTARIO!C84)),"STA",
IF(ISNUMBER(SEARCH("DISPLAY",INVENTARIO!C84)),"DIS",
IF(ISNUMBER(SEARCH("ROLL UP",INVENTARIO!C84)),"ROL-UP",
IF(ISNUMBER(SEARCH("TRANSFER DE PAPEL",INVENTARIO!C84)),"TRA-PAP",
IF(ISNUMBER(SEARCH("TRANSFER",INVENTARIO!C84)),"TRA",IF(ISNUMBER(SEARCH("KOLA LOKA",INVENTARIO!C84)),"KOL-LOK",
IF(ISNUMBER(SEARCH("PETG",INVENTARIO!C84)),"PET",
IF(ISNUMBER(SEARCH("OJILLO",INVENTARIO!C84)),"OJI",
IF(ISNUMBER(SEARCH("COUCHE",INVENTARIO!C84)),"COU",
IF(ISNUMBER(SEARCH("PANEL DE ALUMINIO",INVENTARIO!C84)),"PAN-ALU",
IF(ISNUMBER(SEARCH("PVC",INVENTARIO!C84)),"PVC",
IF(ISNUMBER(SEARCH("PAPEL",INVENTARIO!C84)),"PAP",
IF(ISNUMBER(SEARCH("TELA",INVENTARIO!C84)),"TEL",
IF(ISNUMBER(SEARCH("CARTULINA",INVENTARIO!C84)),"CAR",
IF(OR(ISNUMBER(SEARCH("LAMINA",INVENTARIO!C84)),ISNUMBER(SEARCH("LÁMINA",INVENTARIO!C84)),ISNUMBER(SEARCH("LAMPARAS",INVENTARIO!C84))),"LAM",
IF(ISNUMBER(SEARCH("ESTIRENO",INVENTARIO!C84)),"EST",
IF(ISNUMBER(SEARCH("FOAMBOARD",INVENTARIO!C84)),"FOA",
IF(ISNUMBER(SEARCH("SOLVENTE",INVENTARIO!C84)),"SOL",
IF(ISNUMBER(SEARCH("TINTA",INVENTARIO!C84)),"TIN",
IF(ISNUMBER(SEARCH("ACRILICO",INVENTARIO!C84)),"ACR",
IF(ISNUMBER(SEARCH("MICROLED",INVENTARIO!C84)),"MIC",
IF(ISNUMBER(SEARCH("LED",INVENTARIO!C84)),"LED",
IF(ISNUMBER(SEARCH("FUENTE DE PODER",INVENTARIO!C84)),"FUE-POD",
IF(ISNUMBER(SEARCH("PETG",INVENTARIO!C84)),"PET",
IF(ISNUMBER(SEARCH("ALUMINIO",INVENTARIO!C84)),"ALU",
IF(ISNUMBER(SEARCH("CANAL",INVENTARIO!C84)),"CAN",
IF(ISNUMBER(SEARCH("ESCUADRA",INVENTARIO!C84)),"ESC",
IF(ISNUMBER(SEARCH("SOPORTE",INVENTARIO!C84)),"SOP","OTR")
))))))))))))))))))))))))))))))</f>
        <v>PVC</v>
      </c>
      <c r="B84" t="str">
        <f>IF(ISNUMBER(SEARCH("CORTE",INVENTARIO!C84)),"COR",
IF(ISNUMBER(SEARCH("CITYLIGHT",INVENTARIO!C84)),"CIT",
IF(ISNUMBER(SEARCH("LINO",INVENTARIO!C84)),"LIN",
IF(ISNUMBER(SEARCH("FABRIANO",INVENTARIO!C84)),"FAB",
IF(ISNUMBER(SEARCH("SUNDANCE",INVENTARIO!C84)),"SUN",
IF(ISNUMBER(SEARCH("SINTETICA",INVENTARIO!C84)),"SIN",
IF(ISNUMBER(SEARCH("CONTROL",INVENTARIO!C84)),"CON",
IF(ISNUMBER(SEARCH("TERMICO",INVENTARIO!C84)),"TER",
IF(ISNUMBER(SEARCH("C-15",INVENTARIO!C84)),"C15",
IF(ISNUMBER(SEARCH("C-20",INVENTARIO!C84)),"C20",
IF(ISNUMBER(SEARCH("C-30",INVENTARIO!C84)),"C30",
IF(ISNUMBER(SEARCH("C-40",INVENTARIO!C84)),"C40",
IF(ISNUMBER(SEARCH("C-60",INVENTARIO!C84)),"C60",
IF(ISNUMBER(SEARCH("C-80",INVENTARIO!C84)),"C80",
IF(ISNUMBER(SEARCH("EQUIPO",INVENTARIO!C84)),"EQU",
IF(ISNUMBER(SEARCH("FLOOR",INVENTARIO!C84)),"FLO",
IF(ISNUMBER(SEARCH("CRISTAL",INVENTARIO!C84)),"CRI",
IF(ISNUMBER(SEARCH(" SULFATADA",INVENTARIO!C95)),"SUL",
IF(ISNUMBER(SEARCH("OPALINA",INVENTARIO!C84)),"OPA",
IF(ISNUMBER(SEARCH("ADHERIBLE",INVENTARIO!C84)),"ADH",
IF(ISNUMBER(SEARCH("MICRO",INVENTARIO!C84)),"MIC","")))))))))))))))))))))</f>
        <v/>
      </c>
      <c r="C84" t="str">
        <f>IF(ISNUMBER(SEARCH("PARED",INVENTARIO!C84)),"PAR",
IF(ISNUMBER(SEARCH("FRONT",INVENTARIO!C84)),"FRO",
IF(ISNUMBER(SEARCH("ALTA RESISTENCIA",INVENTARIO!C84)),
"ALT-RES",IF(ISNUMBER(SEARCH("BACKLITE",INVENTARIO!C84)),"BAC",
IF(ISNUMBER(SEARCH("MATE",INVENTARIO!C84)),"MAT",
IF(ISNUMBER(SEARCH("MESH",INVENTARIO!C84)),"MES",
IF(ISNUMBER(SEARCH("BRILLANTE",INVENTARIO!C84)),"BRI",
IF(ISNUMBER(SEARCH("DELGADA",INVENTARIO!C84)),"DEL",
IF(ISNUMBER(SEARCH("GRUESA",INVENTARIO!C84)),"GRU",
IF(ISNUMBER(SEARCH("ESTATICO",INVENTARIO!C84)),"EST",
IF(ISNUMBER(SEARCH("REFLECTIVO",INVENTARIO!C84)),"REF",
IF(ISNUMBER(SEARCH("LX700",INVENTARIO!C84)),"LX7",
IF(ISNUMBER(SEARCH("GRANDO",INVENTARIO!C84)),"GRA",
IF(ISNUMBER(SEARCH("FB700",INVENTARIO!C84)),"FB7",
IF(ISNUMBER(SEARCH("LX360",INVENTARIO!C84)),"LX3",
IF(ISNUMBER(SEARCH("XEROX",INVENTARIO!C84)),"XER",
IF(ISNUMBER(SEARCH("CEPILLADO",INVENTARIO!C84)),"CEP",
IF(ISNUMBER(SEARCH("ESPEJO",INVENTARIO!C84)),"ESP",
IF(ISNUMBER(SEARCH("10 PTS",INVENTARIO!C84)),"10PT",
IF(ISNUMBER(SEARCH("12 PTS",INVENTARIO!C84)),"12PT",
IF(ISNUMBER(SEARCH("14 PTS",INVENTARIO!C84)),"14PT",
IF(ISNUMBER(SEARCH("CLASICO",INVENTARIO!C84)),"CLA",
""))))))))))))))))))))))</f>
        <v/>
      </c>
      <c r="D84" t="str">
        <f>IF(ISNUMBER(SEARCH("GRAN FORMATO",INVENTARIO!C84)),"GRA-FOR",
IF(ISNUMBER(SEARCH("CAMA PLANA",INVENTARIO!C84)),"CAM-PLA",
IF(ISNUMBER(SEARCH("GRADO INGENIERIA",INVENTARIO!C84)),"GRA-ING",
IF(ISNUMBER(SEARCH("130 GRS",INVENTARIO!C84)),"130GR",
IF(ISNUMBER(SEARCH("150 GRS",INVENTARIO!C84)),"150GR",
IF(ISNUMBER(SEARCH("185 GRS",INVENTARIO!C84)),"185GR",
IF(ISNUMBER(SEARCH("200 GRS",INVENTARIO!C84)),"200GR",
IF(ISNUMBER(SEARCH("250 GRS",INVENTARIO!C84)),"250GR",
IF(ISNUMBER(SEARCH("300 GRS",INVENTARIO!C84)),"300GR",
IF(ISNUMBER(SEARCH("350 GRS",INVENTARIO!C84)),"350GR",
IF(ISNUMBER(SEARCH("18 OZ",INVENTARIO!C84)),"18OZ",
IF(ISNUMBER(SEARCH("15 OZ",INVENTARIO!C84)),"15OZ",
IF(OR(ISNUMBER(SEARCH("13 OZ",INVENTARIO!C84)),ISNUMBER(SEARCH("13 ONZAS",INVENTARIO!C84))),"13OZ",
IF(OR(ISNUMBER(SEARCH("9 OZ",INVENTARIO!C84)),ISNUMBER(SEARCH("9 ONZAS",INVENTARIO!C84))),"09OZ",
IF(ISNUMBER(SEARCH("DOBLE CARA",INVENTARIO!C84)),"DOB-CAR",
"")))))))))))))))</f>
        <v/>
      </c>
      <c r="E84" t="str">
        <f>IF(OR(ISNUMBER(SEARCH("TRANSPARENTE",INVENTARIO!C84)),ISNUMBER(SEARCH("TRANSPARENTES",INVENTARIO!C84))),"TRA",
IF(OR(ISNUMBER(SEARCH("BLANCO",INVENTARIO!C84)),ISNUMBER(SEARCH("BCO",INVENTARIO!C84))),"BLA",
IF(ISNUMBER(SEARCH("FOTOGRAFICO",INVENTARIO!C84)),"FOT",
IF(ISNUMBER(SEARCH("MARFIL",INVENTARIO!C84)),"MAR",
IF(ISNUMBER(SEARCH("VERDE",INVENTARIO!C84)),"VER",
IF(ISNUMBER(SEARCH("MORADO",INVENTARIO!C84)),"MOR",
IF(ISNUMBER(SEARCH("PLATA",INVENTARIO!C84)),"PLA",
IF(ISNUMBER(SEARCH("ORO",INVENTARIO!C84)),"ORO",
IF(ISNUMBER(SEARCH("AMARILLO",INVENTARIO!C84)),"AMA",
IF(ISNUMBER(SEARCH("NARANJA",INVENTARIO!C84)),"NAR",
IF(ISNUMBER(SEARCH("NEGRO",INVENTARIO!C84)),"NEG",
IF(ISNUMBER(SEARCH("ROJO",INVENTARIO!C84)),"ROJ",
IF(ISNUMBER(SEARCH("AZUL",INVENTARIO!C84)),"AZU","")))))))))))))</f>
        <v>BLA</v>
      </c>
      <c r="F84" t="str">
        <f>IF(ISNUMBER(SEARCH("ARLON",INVENTARIO!C84)),"ARL",
IF(ISNUMBER(SEARCH("SUNTHINKS",INVENTARIO!C84)),"SUN",
IF(ISNUMBER(SEARCH("FRIO",INVENTARIO!C84)),"FRI",
IF(ISNUMBER(SEARCH("CALIDO",INVENTARIO!C84)),"CAL",
IF(ISNUMBER(SEARCH("CEPILLADO",INVENTARIO!C84)),"CEP",
IF(ISNUMBER(SEARCH("ESPEJO",INVENTARIO!C84)),"ESP",
""))))))</f>
        <v/>
      </c>
      <c r="G84" t="str">
        <f>IF(ISNUMBER(SEARCH("LATEX",INVENTARIO!C84)),"LAT",
IF(ISNUMBER(SEARCH("RESP. NEGRO",INVENTARIO!C84)),"RES-NEG",
IF(ISNUMBER(SEARCH("RESPALDO CAFE",INVENTARIO!C84)),"RES-CAF",
IF(ISNUMBER(SEARCH("RESPALDO GRIS",INVENTARIO!C84)),"RES-GRI",
IF(ISNUMBER(SEARCH("OPTICO",INVENTARIO!C84)),"OPT",
IF(ISNUMBER(SEARCH("1,2 MM",INVENTARIO!C84)),"1MM2",
IF(ISNUMBER(SEARCH("2 MM",INVENTARIO!C84)),"2MM",
IF(ISNUMBER(SEARCH("3 MM",INVENTARIO!C84)),"3MM",
IF(ISNUMBER(SEARCH("4 MM",INVENTARIO!C84)),"4MM",
IF(ISNUMBER(SEARCH("5 MM",INVENTARIO!C84)),"5MM",
IF(ISNUMBER(SEARCH("6 MM",INVENTARIO!C84)),"6MM",
IF(ISNUMBER(SEARCH("9 MM",INVENTARIO!C84)),"9MM",
IF(ISNUMBER(SEARCH("10 MM",INVENTARIO!C84)),"10MM","")))))))))))))</f>
        <v>3MM</v>
      </c>
      <c r="H84" t="str">
        <f>IF(ISNUMBER(SEARCH("GAMA BAJA",INVENTARIO!C84)),"GAM-BAJ",
IF(ISNUMBER(SEARCH("OPTIMIZADOR",INVENTARIO!C84)),"OPT",
IF(ISNUMBER(SEARCH("OVERCOAT",INVENTARIO!C84)),"OVE",
IF(ISNUMBER(SEARCH("WHITE",INVENTARIO!C84)),"WHI",
IF(ISNUMBER(SEARCH("LIGHT CYAN",INVENTARIO!C84)),"LIG-CYA",
IF(ISNUMBER(SEARCH("CYAN",INVENTARIO!C84)),"CYA",
IF(ISNUMBER(SEARCH("LIGHT MAGENTA",INVENTARIO!C84)),"LIG-MAG",
IF(ISNUMBER(SEARCH("MAGENTA",INVENTARIO!C84)),"MAG",
IF(ISNUMBER(SEARCH("BLACK",INVENTARIO!C84)),"BLA",
IF(ISNUMBER(SEARCH("YELLOW",INVENTARIO!C84)),"YEL",
IF(ISNUMBER(SEARCH("2 DIODOS",INVENTARIO!C84)),"2DI",
IF(ISNUMBER(SEARCH("3 DIODOS",INVENTARIO!C84)),"3DI",
IF(OR(ISNUMBER(SEARCH("TRASLUCIDO",INVENTARIO!C84)),ISNUMBER(SEARCH("TRANSLUCIDO",INVENTARIO!C84))),"TRA",
"")))))))))))))</f>
        <v/>
      </c>
      <c r="I84" t="str">
        <f>IF(ISNUMBER(SEARCH("SILED",INVENTARIO!C89)),"SI",
IF(ISNUMBER(SEARCH("SYDEMEX",INVENTARIO!C89)),"SY",
IF(ISNUMBER(SEARCH("ROHS",INVENTARIO!C89)),"RO",
IF(ISNUMBER(SEARCH("RISHANG",INVENTARIO!C89)),"RS",
IF(ISNUMBER(SEARCH("VYG",INVENTARIO!C89)),"VYG",
IF(ISNUMBER(SEARCH("COLED",INVENTARIO!C89)),"CO",""))))))</f>
        <v/>
      </c>
    </row>
    <row r="85" spans="1:9">
      <c r="A85" t="str">
        <f>IF(ISNUMBER(SEARCH("LONA",INVENTARIO!C85)),"LON",
IF(ISNUMBER(SEARCH("VINIL",INVENTARIO!C85)),"VIN",
IF(ISNUMBER(SEARCH("KROMACOTE",INVENTARIO!C85)),"KRO",
IF(ISNUMBER(SEARCH("STARDREAM",INVENTARIO!C85)),"STA",
IF(ISNUMBER(SEARCH("DISPLAY",INVENTARIO!C85)),"DIS",
IF(ISNUMBER(SEARCH("ROLL UP",INVENTARIO!C85)),"ROL-UP",
IF(ISNUMBER(SEARCH("TRANSFER DE PAPEL",INVENTARIO!C85)),"TRA-PAP",
IF(ISNUMBER(SEARCH("TRANSFER",INVENTARIO!C85)),"TRA",IF(ISNUMBER(SEARCH("KOLA LOKA",INVENTARIO!C85)),"KOL-LOK",
IF(ISNUMBER(SEARCH("PETG",INVENTARIO!C85)),"PET",
IF(ISNUMBER(SEARCH("OJILLO",INVENTARIO!C85)),"OJI",
IF(ISNUMBER(SEARCH("COUCHE",INVENTARIO!C85)),"COU",
IF(ISNUMBER(SEARCH("PANEL DE ALUMINIO",INVENTARIO!C85)),"PAN-ALU",
IF(ISNUMBER(SEARCH("PVC",INVENTARIO!C85)),"PVC",
IF(ISNUMBER(SEARCH("PAPEL",INVENTARIO!C85)),"PAP",
IF(ISNUMBER(SEARCH("TELA",INVENTARIO!C85)),"TEL",
IF(ISNUMBER(SEARCH("CARTULINA",INVENTARIO!C85)),"CAR",
IF(OR(ISNUMBER(SEARCH("LAMINA",INVENTARIO!C85)),ISNUMBER(SEARCH("LÁMINA",INVENTARIO!C85)),ISNUMBER(SEARCH("LAMPARAS",INVENTARIO!C85))),"LAM",
IF(ISNUMBER(SEARCH("ESTIRENO",INVENTARIO!C85)),"EST",
IF(ISNUMBER(SEARCH("FOAMBOARD",INVENTARIO!C85)),"FOA",
IF(ISNUMBER(SEARCH("SOLVENTE",INVENTARIO!C85)),"SOL",
IF(ISNUMBER(SEARCH("TINTA",INVENTARIO!C85)),"TIN",
IF(ISNUMBER(SEARCH("ACRILICO",INVENTARIO!C85)),"ACR",
IF(ISNUMBER(SEARCH("MICROLED",INVENTARIO!C85)),"MIC",
IF(ISNUMBER(SEARCH("LED",INVENTARIO!C85)),"LED",
IF(ISNUMBER(SEARCH("FUENTE DE PODER",INVENTARIO!C85)),"FUE-POD",
IF(ISNUMBER(SEARCH("PETG",INVENTARIO!C85)),"PET",
IF(ISNUMBER(SEARCH("ALUMINIO",INVENTARIO!C85)),"ALU",
IF(ISNUMBER(SEARCH("CANAL",INVENTARIO!C85)),"CAN",
IF(ISNUMBER(SEARCH("ESCUADRA",INVENTARIO!C85)),"ESC",
IF(ISNUMBER(SEARCH("SOPORTE",INVENTARIO!C85)),"SOP","OTR")
))))))))))))))))))))))))))))))</f>
        <v>PVC</v>
      </c>
      <c r="B85" t="str">
        <f>IF(ISNUMBER(SEARCH("CORTE",INVENTARIO!C85)),"COR",
IF(ISNUMBER(SEARCH("CITYLIGHT",INVENTARIO!C85)),"CIT",
IF(ISNUMBER(SEARCH("LINO",INVENTARIO!C85)),"LIN",
IF(ISNUMBER(SEARCH("FABRIANO",INVENTARIO!C85)),"FAB",
IF(ISNUMBER(SEARCH("SUNDANCE",INVENTARIO!C85)),"SUN",
IF(ISNUMBER(SEARCH("SINTETICA",INVENTARIO!C85)),"SIN",
IF(ISNUMBER(SEARCH("CONTROL",INVENTARIO!C85)),"CON",
IF(ISNUMBER(SEARCH("TERMICO",INVENTARIO!C85)),"TER",
IF(ISNUMBER(SEARCH("C-15",INVENTARIO!C85)),"C15",
IF(ISNUMBER(SEARCH("C-20",INVENTARIO!C85)),"C20",
IF(ISNUMBER(SEARCH("C-30",INVENTARIO!C85)),"C30",
IF(ISNUMBER(SEARCH("C-40",INVENTARIO!C85)),"C40",
IF(ISNUMBER(SEARCH("C-60",INVENTARIO!C85)),"C60",
IF(ISNUMBER(SEARCH("C-80",INVENTARIO!C85)),"C80",
IF(ISNUMBER(SEARCH("EQUIPO",INVENTARIO!C85)),"EQU",
IF(ISNUMBER(SEARCH("FLOOR",INVENTARIO!C85)),"FLO",
IF(ISNUMBER(SEARCH("CRISTAL",INVENTARIO!C85)),"CRI",
IF(ISNUMBER(SEARCH(" SULFATADA",INVENTARIO!C96)),"SUL",
IF(ISNUMBER(SEARCH("OPALINA",INVENTARIO!C85)),"OPA",
IF(ISNUMBER(SEARCH("ADHERIBLE",INVENTARIO!C85)),"ADH",
IF(ISNUMBER(SEARCH("MICRO",INVENTARIO!C85)),"MIC","")))))))))))))))))))))</f>
        <v/>
      </c>
      <c r="C85" t="str">
        <f>IF(ISNUMBER(SEARCH("PARED",INVENTARIO!C85)),"PAR",
IF(ISNUMBER(SEARCH("FRONT",INVENTARIO!C85)),"FRO",
IF(ISNUMBER(SEARCH("ALTA RESISTENCIA",INVENTARIO!C85)),
"ALT-RES",IF(ISNUMBER(SEARCH("BACKLITE",INVENTARIO!C85)),"BAC",
IF(ISNUMBER(SEARCH("MATE",INVENTARIO!C85)),"MAT",
IF(ISNUMBER(SEARCH("MESH",INVENTARIO!C85)),"MES",
IF(ISNUMBER(SEARCH("BRILLANTE",INVENTARIO!C85)),"BRI",
IF(ISNUMBER(SEARCH("DELGADA",INVENTARIO!C85)),"DEL",
IF(ISNUMBER(SEARCH("GRUESA",INVENTARIO!C85)),"GRU",
IF(ISNUMBER(SEARCH("ESTATICO",INVENTARIO!C85)),"EST",
IF(ISNUMBER(SEARCH("REFLECTIVO",INVENTARIO!C85)),"REF",
IF(ISNUMBER(SEARCH("LX700",INVENTARIO!C85)),"LX7",
IF(ISNUMBER(SEARCH("GRANDO",INVENTARIO!C85)),"GRA",
IF(ISNUMBER(SEARCH("FB700",INVENTARIO!C85)),"FB7",
IF(ISNUMBER(SEARCH("LX360",INVENTARIO!C85)),"LX3",
IF(ISNUMBER(SEARCH("XEROX",INVENTARIO!C85)),"XER",
IF(ISNUMBER(SEARCH("CEPILLADO",INVENTARIO!C85)),"CEP",
IF(ISNUMBER(SEARCH("ESPEJO",INVENTARIO!C85)),"ESP",
IF(ISNUMBER(SEARCH("10 PTS",INVENTARIO!C85)),"10PT",
IF(ISNUMBER(SEARCH("12 PTS",INVENTARIO!C85)),"12PT",
IF(ISNUMBER(SEARCH("14 PTS",INVENTARIO!C85)),"14PT",
IF(ISNUMBER(SEARCH("CLASICO",INVENTARIO!C85)),"CLA",
""))))))))))))))))))))))</f>
        <v/>
      </c>
      <c r="D85" t="str">
        <f>IF(ISNUMBER(SEARCH("GRAN FORMATO",INVENTARIO!C85)),"GRA-FOR",
IF(ISNUMBER(SEARCH("CAMA PLANA",INVENTARIO!C85)),"CAM-PLA",
IF(ISNUMBER(SEARCH("GRADO INGENIERIA",INVENTARIO!C85)),"GRA-ING",
IF(ISNUMBER(SEARCH("130 GRS",INVENTARIO!C85)),"130GR",
IF(ISNUMBER(SEARCH("150 GRS",INVENTARIO!C85)),"150GR",
IF(ISNUMBER(SEARCH("185 GRS",INVENTARIO!C85)),"185GR",
IF(ISNUMBER(SEARCH("200 GRS",INVENTARIO!C85)),"200GR",
IF(ISNUMBER(SEARCH("250 GRS",INVENTARIO!C85)),"250GR",
IF(ISNUMBER(SEARCH("300 GRS",INVENTARIO!C85)),"300GR",
IF(ISNUMBER(SEARCH("350 GRS",INVENTARIO!C85)),"350GR",
IF(ISNUMBER(SEARCH("18 OZ",INVENTARIO!C85)),"18OZ",
IF(ISNUMBER(SEARCH("15 OZ",INVENTARIO!C85)),"15OZ",
IF(OR(ISNUMBER(SEARCH("13 OZ",INVENTARIO!C85)),ISNUMBER(SEARCH("13 ONZAS",INVENTARIO!C85))),"13OZ",
IF(OR(ISNUMBER(SEARCH("9 OZ",INVENTARIO!C85)),ISNUMBER(SEARCH("9 ONZAS",INVENTARIO!C85))),"09OZ",
IF(ISNUMBER(SEARCH("DOBLE CARA",INVENTARIO!C85)),"DOB-CAR",
"")))))))))))))))</f>
        <v/>
      </c>
      <c r="E85" t="str">
        <f>IF(OR(ISNUMBER(SEARCH("TRANSPARENTE",INVENTARIO!C85)),ISNUMBER(SEARCH("TRANSPARENTES",INVENTARIO!C85))),"TRA",
IF(OR(ISNUMBER(SEARCH("BLANCO",INVENTARIO!C85)),ISNUMBER(SEARCH("BCO",INVENTARIO!C85))),"BLA",
IF(ISNUMBER(SEARCH("FOTOGRAFICO",INVENTARIO!C85)),"FOT",
IF(ISNUMBER(SEARCH("MARFIL",INVENTARIO!C85)),"MAR",
IF(ISNUMBER(SEARCH("VERDE",INVENTARIO!C85)),"VER",
IF(ISNUMBER(SEARCH("MORADO",INVENTARIO!C85)),"MOR",
IF(ISNUMBER(SEARCH("PLATA",INVENTARIO!C85)),"PLA",
IF(ISNUMBER(SEARCH("ORO",INVENTARIO!C85)),"ORO",
IF(ISNUMBER(SEARCH("AMARILLO",INVENTARIO!C85)),"AMA",
IF(ISNUMBER(SEARCH("NARANJA",INVENTARIO!C85)),"NAR",
IF(ISNUMBER(SEARCH("NEGRO",INVENTARIO!C85)),"NEG",
IF(ISNUMBER(SEARCH("ROJO",INVENTARIO!C85)),"ROJ",
IF(ISNUMBER(SEARCH("AZUL",INVENTARIO!C85)),"AZU","")))))))))))))</f>
        <v>BLA</v>
      </c>
      <c r="F85" t="str">
        <f>IF(ISNUMBER(SEARCH("ARLON",INVENTARIO!C85)),"ARL",
IF(ISNUMBER(SEARCH("SUNTHINKS",INVENTARIO!C85)),"SUN",
IF(ISNUMBER(SEARCH("FRIO",INVENTARIO!C85)),"FRI",
IF(ISNUMBER(SEARCH("CALIDO",INVENTARIO!C85)),"CAL",
IF(ISNUMBER(SEARCH("CEPILLADO",INVENTARIO!C85)),"CEP",
IF(ISNUMBER(SEARCH("ESPEJO",INVENTARIO!C85)),"ESP",
""))))))</f>
        <v/>
      </c>
      <c r="G85" t="str">
        <f>IF(ISNUMBER(SEARCH("LATEX",INVENTARIO!C85)),"LAT",
IF(ISNUMBER(SEARCH("RESP. NEGRO",INVENTARIO!C85)),"RES-NEG",
IF(ISNUMBER(SEARCH("RESPALDO CAFE",INVENTARIO!C85)),"RES-CAF",
IF(ISNUMBER(SEARCH("RESPALDO GRIS",INVENTARIO!C85)),"RES-GRI",
IF(ISNUMBER(SEARCH("OPTICO",INVENTARIO!C85)),"OPT",
IF(ISNUMBER(SEARCH("1,2 MM",INVENTARIO!C85)),"1MM2",
IF(ISNUMBER(SEARCH("2 MM",INVENTARIO!C85)),"2MM",
IF(ISNUMBER(SEARCH("3 MM",INVENTARIO!C85)),"3MM",
IF(ISNUMBER(SEARCH("4 MM",INVENTARIO!C85)),"4MM",
IF(ISNUMBER(SEARCH("5 MM",INVENTARIO!C85)),"5MM",
IF(ISNUMBER(SEARCH("6 MM",INVENTARIO!C85)),"6MM",
IF(ISNUMBER(SEARCH("9 MM",INVENTARIO!C85)),"9MM",
IF(ISNUMBER(SEARCH("10 MM",INVENTARIO!C85)),"10MM","")))))))))))))</f>
        <v>3MM</v>
      </c>
      <c r="H85" t="str">
        <f>IF(ISNUMBER(SEARCH("GAMA BAJA",INVENTARIO!C85)),"GAM-BAJ",
IF(ISNUMBER(SEARCH("OPTIMIZADOR",INVENTARIO!C85)),"OPT",
IF(ISNUMBER(SEARCH("OVERCOAT",INVENTARIO!C85)),"OVE",
IF(ISNUMBER(SEARCH("WHITE",INVENTARIO!C85)),"WHI",
IF(ISNUMBER(SEARCH("LIGHT CYAN",INVENTARIO!C85)),"LIG-CYA",
IF(ISNUMBER(SEARCH("CYAN",INVENTARIO!C85)),"CYA",
IF(ISNUMBER(SEARCH("LIGHT MAGENTA",INVENTARIO!C85)),"LIG-MAG",
IF(ISNUMBER(SEARCH("MAGENTA",INVENTARIO!C85)),"MAG",
IF(ISNUMBER(SEARCH("BLACK",INVENTARIO!C85)),"BLA",
IF(ISNUMBER(SEARCH("YELLOW",INVENTARIO!C85)),"YEL",
IF(ISNUMBER(SEARCH("2 DIODOS",INVENTARIO!C85)),"2DI",
IF(ISNUMBER(SEARCH("3 DIODOS",INVENTARIO!C85)),"3DI",
IF(OR(ISNUMBER(SEARCH("TRASLUCIDO",INVENTARIO!C85)),ISNUMBER(SEARCH("TRANSLUCIDO",INVENTARIO!C85))),"TRA",
"")))))))))))))</f>
        <v/>
      </c>
      <c r="I85" t="str">
        <f>IF(ISNUMBER(SEARCH("SILED",INVENTARIO!C91)),"SI",
IF(ISNUMBER(SEARCH("SYDEMEX",INVENTARIO!C91)),"SY",
IF(ISNUMBER(SEARCH("ROHS",INVENTARIO!C91)),"RO",
IF(ISNUMBER(SEARCH("RISHANG",INVENTARIO!C91)),"RS",
IF(ISNUMBER(SEARCH("VYG",INVENTARIO!C91)),"VYG",
IF(ISNUMBER(SEARCH("COLED",INVENTARIO!C91)),"CO",""))))))</f>
        <v/>
      </c>
    </row>
    <row r="86" spans="1:9">
      <c r="A86" t="str">
        <f>IF(ISNUMBER(SEARCH("LONA",INVENTARIO!C86)),"LON",
IF(ISNUMBER(SEARCH("VINIL",INVENTARIO!C86)),"VIN",
IF(ISNUMBER(SEARCH("KROMACOTE",INVENTARIO!C86)),"KRO",
IF(ISNUMBER(SEARCH("STARDREAM",INVENTARIO!C86)),"STA",
IF(ISNUMBER(SEARCH("DISPLAY",INVENTARIO!C86)),"DIS",
IF(ISNUMBER(SEARCH("ROLL UP",INVENTARIO!C86)),"ROL-UP",
IF(ISNUMBER(SEARCH("TRANSFER DE PAPEL",INVENTARIO!C86)),"TRA-PAP",
IF(ISNUMBER(SEARCH("TRANSFER",INVENTARIO!C86)),"TRA",IF(ISNUMBER(SEARCH("KOLA LOKA",INVENTARIO!C86)),"KOL-LOK",
IF(ISNUMBER(SEARCH("PETG",INVENTARIO!C86)),"PET",
IF(ISNUMBER(SEARCH("OJILLO",INVENTARIO!C86)),"OJI",
IF(ISNUMBER(SEARCH("COUCHE",INVENTARIO!C86)),"COU",
IF(ISNUMBER(SEARCH("PANEL DE ALUMINIO",INVENTARIO!C86)),"PAN-ALU",
IF(ISNUMBER(SEARCH("PVC",INVENTARIO!C86)),"PVC",
IF(ISNUMBER(SEARCH("PAPEL",INVENTARIO!C86)),"PAP",
IF(ISNUMBER(SEARCH("TELA",INVENTARIO!C86)),"TEL",
IF(ISNUMBER(SEARCH("CARTULINA",INVENTARIO!C86)),"CAR",
IF(OR(ISNUMBER(SEARCH("LAMINA",INVENTARIO!C86)),ISNUMBER(SEARCH("LÁMINA",INVENTARIO!C86)),ISNUMBER(SEARCH("LAMPARAS",INVENTARIO!C86))),"LAM",
IF(ISNUMBER(SEARCH("ESTIRENO",INVENTARIO!C86)),"EST",
IF(ISNUMBER(SEARCH("FOAMBOARD",INVENTARIO!C86)),"FOA",
IF(ISNUMBER(SEARCH("SOLVENTE",INVENTARIO!C86)),"SOL",
IF(ISNUMBER(SEARCH("TINTA",INVENTARIO!C86)),"TIN",
IF(ISNUMBER(SEARCH("ACRILICO",INVENTARIO!C86)),"ACR",
IF(ISNUMBER(SEARCH("MICROLED",INVENTARIO!C86)),"MIC",
IF(ISNUMBER(SEARCH("LED",INVENTARIO!C86)),"LED",
IF(ISNUMBER(SEARCH("FUENTE DE PODER",INVENTARIO!C86)),"FUE-POD",
IF(ISNUMBER(SEARCH("PETG",INVENTARIO!C86)),"PET",
IF(ISNUMBER(SEARCH("ALUMINIO",INVENTARIO!C86)),"ALU",
IF(ISNUMBER(SEARCH("CANAL",INVENTARIO!C86)),"CAN",
IF(ISNUMBER(SEARCH("ESCUADRA",INVENTARIO!C86)),"ESC",
IF(ISNUMBER(SEARCH("SOPORTE",INVENTARIO!C86)),"SOP","OTR")
))))))))))))))))))))))))))))))</f>
        <v>PVC</v>
      </c>
      <c r="B86" t="str">
        <f>IF(ISNUMBER(SEARCH("CORTE",INVENTARIO!C86)),"COR",
IF(ISNUMBER(SEARCH("CITYLIGHT",INVENTARIO!C86)),"CIT",
IF(ISNUMBER(SEARCH("LINO",INVENTARIO!C86)),"LIN",
IF(ISNUMBER(SEARCH("FABRIANO",INVENTARIO!C86)),"FAB",
IF(ISNUMBER(SEARCH("SUNDANCE",INVENTARIO!C86)),"SUN",
IF(ISNUMBER(SEARCH("SINTETICA",INVENTARIO!C86)),"SIN",
IF(ISNUMBER(SEARCH("CONTROL",INVENTARIO!C86)),"CON",
IF(ISNUMBER(SEARCH("TERMICO",INVENTARIO!C86)),"TER",
IF(ISNUMBER(SEARCH("C-15",INVENTARIO!C86)),"C15",
IF(ISNUMBER(SEARCH("C-20",INVENTARIO!C86)),"C20",
IF(ISNUMBER(SEARCH("C-30",INVENTARIO!C86)),"C30",
IF(ISNUMBER(SEARCH("C-40",INVENTARIO!C86)),"C40",
IF(ISNUMBER(SEARCH("C-60",INVENTARIO!C86)),"C60",
IF(ISNUMBER(SEARCH("C-80",INVENTARIO!C86)),"C80",
IF(ISNUMBER(SEARCH("EQUIPO",INVENTARIO!C86)),"EQU",
IF(ISNUMBER(SEARCH("FLOOR",INVENTARIO!C86)),"FLO",
IF(ISNUMBER(SEARCH("CRISTAL",INVENTARIO!C86)),"CRI",
IF(ISNUMBER(SEARCH(" SULFATADA",INVENTARIO!C97)),"SUL",
IF(ISNUMBER(SEARCH("OPALINA",INVENTARIO!C86)),"OPA",
IF(ISNUMBER(SEARCH("ADHERIBLE",INVENTARIO!C86)),"ADH",
IF(ISNUMBER(SEARCH("MICRO",INVENTARIO!C86)),"MIC","")))))))))))))))))))))</f>
        <v/>
      </c>
      <c r="C86" t="str">
        <f>IF(ISNUMBER(SEARCH("PARED",INVENTARIO!C86)),"PAR",
IF(ISNUMBER(SEARCH("FRONT",INVENTARIO!C86)),"FRO",
IF(ISNUMBER(SEARCH("ALTA RESISTENCIA",INVENTARIO!C86)),
"ALT-RES",IF(ISNUMBER(SEARCH("BACKLITE",INVENTARIO!C86)),"BAC",
IF(ISNUMBER(SEARCH("MATE",INVENTARIO!C86)),"MAT",
IF(ISNUMBER(SEARCH("MESH",INVENTARIO!C86)),"MES",
IF(ISNUMBER(SEARCH("BRILLANTE",INVENTARIO!C86)),"BRI",
IF(ISNUMBER(SEARCH("DELGADA",INVENTARIO!C86)),"DEL",
IF(ISNUMBER(SEARCH("GRUESA",INVENTARIO!C86)),"GRU",
IF(ISNUMBER(SEARCH("ESTATICO",INVENTARIO!C86)),"EST",
IF(ISNUMBER(SEARCH("REFLECTIVO",INVENTARIO!C86)),"REF",
IF(ISNUMBER(SEARCH("LX700",INVENTARIO!C86)),"LX7",
IF(ISNUMBER(SEARCH("GRANDO",INVENTARIO!C86)),"GRA",
IF(ISNUMBER(SEARCH("FB700",INVENTARIO!C86)),"FB7",
IF(ISNUMBER(SEARCH("LX360",INVENTARIO!C86)),"LX3",
IF(ISNUMBER(SEARCH("XEROX",INVENTARIO!C86)),"XER",
IF(ISNUMBER(SEARCH("CEPILLADO",INVENTARIO!C86)),"CEP",
IF(ISNUMBER(SEARCH("ESPEJO",INVENTARIO!C86)),"ESP",
IF(ISNUMBER(SEARCH("10 PTS",INVENTARIO!C86)),"10PT",
IF(ISNUMBER(SEARCH("12 PTS",INVENTARIO!C86)),"12PT",
IF(ISNUMBER(SEARCH("14 PTS",INVENTARIO!C86)),"14PT",
IF(ISNUMBER(SEARCH("CLASICO",INVENTARIO!C86)),"CLA",
""))))))))))))))))))))))</f>
        <v/>
      </c>
      <c r="D86" t="str">
        <f>IF(ISNUMBER(SEARCH("GRAN FORMATO",INVENTARIO!C86)),"GRA-FOR",
IF(ISNUMBER(SEARCH("CAMA PLANA",INVENTARIO!C86)),"CAM-PLA",
IF(ISNUMBER(SEARCH("GRADO INGENIERIA",INVENTARIO!C86)),"GRA-ING",
IF(ISNUMBER(SEARCH("130 GRS",INVENTARIO!C86)),"130GR",
IF(ISNUMBER(SEARCH("150 GRS",INVENTARIO!C86)),"150GR",
IF(ISNUMBER(SEARCH("185 GRS",INVENTARIO!C86)),"185GR",
IF(ISNUMBER(SEARCH("200 GRS",INVENTARIO!C86)),"200GR",
IF(ISNUMBER(SEARCH("250 GRS",INVENTARIO!C86)),"250GR",
IF(ISNUMBER(SEARCH("300 GRS",INVENTARIO!C86)),"300GR",
IF(ISNUMBER(SEARCH("350 GRS",INVENTARIO!C86)),"350GR",
IF(ISNUMBER(SEARCH("18 OZ",INVENTARIO!C86)),"18OZ",
IF(ISNUMBER(SEARCH("15 OZ",INVENTARIO!C86)),"15OZ",
IF(OR(ISNUMBER(SEARCH("13 OZ",INVENTARIO!C86)),ISNUMBER(SEARCH("13 ONZAS",INVENTARIO!C86))),"13OZ",
IF(OR(ISNUMBER(SEARCH("9 OZ",INVENTARIO!C86)),ISNUMBER(SEARCH("9 ONZAS",INVENTARIO!C86))),"09OZ",
IF(ISNUMBER(SEARCH("DOBLE CARA",INVENTARIO!C86)),"DOB-CAR",
"")))))))))))))))</f>
        <v/>
      </c>
      <c r="E86" t="str">
        <f>IF(OR(ISNUMBER(SEARCH("TRANSPARENTE",INVENTARIO!C86)),ISNUMBER(SEARCH("TRANSPARENTES",INVENTARIO!C86))),"TRA",
IF(OR(ISNUMBER(SEARCH("BLANCO",INVENTARIO!C86)),ISNUMBER(SEARCH("BCO",INVENTARIO!C86))),"BLA",
IF(ISNUMBER(SEARCH("FOTOGRAFICO",INVENTARIO!C86)),"FOT",
IF(ISNUMBER(SEARCH("MARFIL",INVENTARIO!C86)),"MAR",
IF(ISNUMBER(SEARCH("VERDE",INVENTARIO!C86)),"VER",
IF(ISNUMBER(SEARCH("MORADO",INVENTARIO!C86)),"MOR",
IF(ISNUMBER(SEARCH("PLATA",INVENTARIO!C86)),"PLA",
IF(ISNUMBER(SEARCH("ORO",INVENTARIO!C86)),"ORO",
IF(ISNUMBER(SEARCH("AMARILLO",INVENTARIO!C86)),"AMA",
IF(ISNUMBER(SEARCH("NARANJA",INVENTARIO!C86)),"NAR",
IF(ISNUMBER(SEARCH("NEGRO",INVENTARIO!C86)),"NEG",
IF(ISNUMBER(SEARCH("ROJO",INVENTARIO!C86)),"ROJ",
IF(ISNUMBER(SEARCH("AZUL",INVENTARIO!C86)),"AZU","")))))))))))))</f>
        <v>BLA</v>
      </c>
      <c r="F86" t="str">
        <f>IF(ISNUMBER(SEARCH("ARLON",INVENTARIO!C86)),"ARL",
IF(ISNUMBER(SEARCH("SUNTHINKS",INVENTARIO!C86)),"SUN",
IF(ISNUMBER(SEARCH("FRIO",INVENTARIO!C86)),"FRI",
IF(ISNUMBER(SEARCH("CALIDO",INVENTARIO!C86)),"CAL",
IF(ISNUMBER(SEARCH("CEPILLADO",INVENTARIO!C86)),"CEP",
IF(ISNUMBER(SEARCH("ESPEJO",INVENTARIO!C86)),"ESP",
""))))))</f>
        <v/>
      </c>
      <c r="G86" t="str">
        <f>IF(ISNUMBER(SEARCH("LATEX",INVENTARIO!C86)),"LAT",
IF(ISNUMBER(SEARCH("RESP. NEGRO",INVENTARIO!C86)),"RES-NEG",
IF(ISNUMBER(SEARCH("RESPALDO CAFE",INVENTARIO!C86)),"RES-CAF",
IF(ISNUMBER(SEARCH("RESPALDO GRIS",INVENTARIO!C86)),"RES-GRI",
IF(ISNUMBER(SEARCH("OPTICO",INVENTARIO!C86)),"OPT",
IF(ISNUMBER(SEARCH("1,2 MM",INVENTARIO!C86)),"1MM2",
IF(ISNUMBER(SEARCH("2 MM",INVENTARIO!C86)),"2MM",
IF(ISNUMBER(SEARCH("3 MM",INVENTARIO!C86)),"3MM",
IF(ISNUMBER(SEARCH("4 MM",INVENTARIO!C86)),"4MM",
IF(ISNUMBER(SEARCH("5 MM",INVENTARIO!C86)),"5MM",
IF(ISNUMBER(SEARCH("6 MM",INVENTARIO!C86)),"6MM",
IF(ISNUMBER(SEARCH("9 MM",INVENTARIO!C86)),"9MM",
IF(ISNUMBER(SEARCH("10 MM",INVENTARIO!C86)),"10MM","")))))))))))))</f>
        <v>3MM</v>
      </c>
      <c r="H86" t="str">
        <f>IF(ISNUMBER(SEARCH("GAMA BAJA",INVENTARIO!C86)),"GAM-BAJ",
IF(ISNUMBER(SEARCH("OPTIMIZADOR",INVENTARIO!C86)),"OPT",
IF(ISNUMBER(SEARCH("OVERCOAT",INVENTARIO!C86)),"OVE",
IF(ISNUMBER(SEARCH("WHITE",INVENTARIO!C86)),"WHI",
IF(ISNUMBER(SEARCH("LIGHT CYAN",INVENTARIO!C86)),"LIG-CYA",
IF(ISNUMBER(SEARCH("CYAN",INVENTARIO!C86)),"CYA",
IF(ISNUMBER(SEARCH("LIGHT MAGENTA",INVENTARIO!C86)),"LIG-MAG",
IF(ISNUMBER(SEARCH("MAGENTA",INVENTARIO!C86)),"MAG",
IF(ISNUMBER(SEARCH("BLACK",INVENTARIO!C86)),"BLA",
IF(ISNUMBER(SEARCH("YELLOW",INVENTARIO!C86)),"YEL",
IF(ISNUMBER(SEARCH("2 DIODOS",INVENTARIO!C86)),"2DI",
IF(ISNUMBER(SEARCH("3 DIODOS",INVENTARIO!C86)),"3DI",
IF(OR(ISNUMBER(SEARCH("TRASLUCIDO",INVENTARIO!C86)),ISNUMBER(SEARCH("TRANSLUCIDO",INVENTARIO!C86))),"TRA",
"")))))))))))))</f>
        <v>GAM-BAJ</v>
      </c>
      <c r="I86" t="str">
        <f>IF(ISNUMBER(SEARCH("SILED",INVENTARIO!C92)),"SI",
IF(ISNUMBER(SEARCH("SYDEMEX",INVENTARIO!C92)),"SY",
IF(ISNUMBER(SEARCH("ROHS",INVENTARIO!C92)),"RO",
IF(ISNUMBER(SEARCH("RISHANG",INVENTARIO!C92)),"RS",
IF(ISNUMBER(SEARCH("VYG",INVENTARIO!C92)),"VYG",
IF(ISNUMBER(SEARCH("COLED",INVENTARIO!C92)),"CO",""))))))</f>
        <v/>
      </c>
    </row>
    <row r="87" spans="1:9">
      <c r="A87" t="str">
        <f>IF(ISNUMBER(SEARCH("LONA",INVENTARIO!C87)),"LON",
IF(ISNUMBER(SEARCH("VINIL",INVENTARIO!C87)),"VIN",
IF(ISNUMBER(SEARCH("KROMACOTE",INVENTARIO!C87)),"KRO",
IF(ISNUMBER(SEARCH("STARDREAM",INVENTARIO!C87)),"STA",
IF(ISNUMBER(SEARCH("DISPLAY",INVENTARIO!C87)),"DIS",
IF(ISNUMBER(SEARCH("ROLL UP",INVENTARIO!C87)),"ROL-UP",
IF(ISNUMBER(SEARCH("TRANSFER DE PAPEL",INVENTARIO!C87)),"TRA-PAP",
IF(ISNUMBER(SEARCH("TRANSFER",INVENTARIO!C87)),"TRA",IF(ISNUMBER(SEARCH("KOLA LOKA",INVENTARIO!C87)),"KOL-LOK",
IF(ISNUMBER(SEARCH("PETG",INVENTARIO!C87)),"PET",
IF(ISNUMBER(SEARCH("OJILLO",INVENTARIO!C87)),"OJI",
IF(ISNUMBER(SEARCH("COUCHE",INVENTARIO!C87)),"COU",
IF(ISNUMBER(SEARCH("PANEL DE ALUMINIO",INVENTARIO!C87)),"PAN-ALU",
IF(ISNUMBER(SEARCH("PVC",INVENTARIO!C87)),"PVC",
IF(ISNUMBER(SEARCH("PAPEL",INVENTARIO!C87)),"PAP",
IF(ISNUMBER(SEARCH("TELA",INVENTARIO!C87)),"TEL",
IF(ISNUMBER(SEARCH("CARTULINA",INVENTARIO!C87)),"CAR",
IF(OR(ISNUMBER(SEARCH("LAMINA",INVENTARIO!C87)),ISNUMBER(SEARCH("LÁMINA",INVENTARIO!C87)),ISNUMBER(SEARCH("LAMPARAS",INVENTARIO!C87))),"LAM",
IF(ISNUMBER(SEARCH("ESTIRENO",INVENTARIO!C87)),"EST",
IF(ISNUMBER(SEARCH("FOAMBOARD",INVENTARIO!C87)),"FOA",
IF(ISNUMBER(SEARCH("SOLVENTE",INVENTARIO!C87)),"SOL",
IF(ISNUMBER(SEARCH("TINTA",INVENTARIO!C87)),"TIN",
IF(ISNUMBER(SEARCH("ACRILICO",INVENTARIO!C87)),"ACR",
IF(ISNUMBER(SEARCH("MICROLED",INVENTARIO!C87)),"MIC",
IF(ISNUMBER(SEARCH("LED",INVENTARIO!C87)),"LED",
IF(ISNUMBER(SEARCH("FUENTE DE PODER",INVENTARIO!C87)),"FUE-POD",
IF(ISNUMBER(SEARCH("PETG",INVENTARIO!C87)),"PET",
IF(ISNUMBER(SEARCH("ALUMINIO",INVENTARIO!C87)),"ALU",
IF(ISNUMBER(SEARCH("CANAL",INVENTARIO!C87)),"CAN",
IF(ISNUMBER(SEARCH("ESCUADRA",INVENTARIO!C87)),"ESC",
IF(ISNUMBER(SEARCH("SOPORTE",INVENTARIO!C87)),"SOP","OTR")
))))))))))))))))))))))))))))))</f>
        <v>PVC</v>
      </c>
      <c r="B87" t="str">
        <f>IF(ISNUMBER(SEARCH("CORTE",INVENTARIO!C87)),"COR",
IF(ISNUMBER(SEARCH("CITYLIGHT",INVENTARIO!C87)),"CIT",
IF(ISNUMBER(SEARCH("LINO",INVENTARIO!C87)),"LIN",
IF(ISNUMBER(SEARCH("FABRIANO",INVENTARIO!C87)),"FAB",
IF(ISNUMBER(SEARCH("SUNDANCE",INVENTARIO!C87)),"SUN",
IF(ISNUMBER(SEARCH("SINTETICA",INVENTARIO!C87)),"SIN",
IF(ISNUMBER(SEARCH("CONTROL",INVENTARIO!C87)),"CON",
IF(ISNUMBER(SEARCH("TERMICO",INVENTARIO!C87)),"TER",
IF(ISNUMBER(SEARCH("C-15",INVENTARIO!C87)),"C15",
IF(ISNUMBER(SEARCH("C-20",INVENTARIO!C87)),"C20",
IF(ISNUMBER(SEARCH("C-30",INVENTARIO!C87)),"C30",
IF(ISNUMBER(SEARCH("C-40",INVENTARIO!C87)),"C40",
IF(ISNUMBER(SEARCH("C-60",INVENTARIO!C87)),"C60",
IF(ISNUMBER(SEARCH("C-80",INVENTARIO!C87)),"C80",
IF(ISNUMBER(SEARCH("EQUIPO",INVENTARIO!C87)),"EQU",
IF(ISNUMBER(SEARCH("FLOOR",INVENTARIO!C87)),"FLO",
IF(ISNUMBER(SEARCH("CRISTAL",INVENTARIO!C87)),"CRI",
IF(ISNUMBER(SEARCH(" SULFATADA",INVENTARIO!C98)),"SUL",
IF(ISNUMBER(SEARCH("OPALINA",INVENTARIO!C87)),"OPA",
IF(ISNUMBER(SEARCH("ADHERIBLE",INVENTARIO!C87)),"ADH",
IF(ISNUMBER(SEARCH("MICRO",INVENTARIO!C87)),"MIC","")))))))))))))))))))))</f>
        <v/>
      </c>
      <c r="C87" t="str">
        <f>IF(ISNUMBER(SEARCH("PARED",INVENTARIO!C87)),"PAR",
IF(ISNUMBER(SEARCH("FRONT",INVENTARIO!C87)),"FRO",
IF(ISNUMBER(SEARCH("ALTA RESISTENCIA",INVENTARIO!C87)),
"ALT-RES",IF(ISNUMBER(SEARCH("BACKLITE",INVENTARIO!C87)),"BAC",
IF(ISNUMBER(SEARCH("MATE",INVENTARIO!C87)),"MAT",
IF(ISNUMBER(SEARCH("MESH",INVENTARIO!C87)),"MES",
IF(ISNUMBER(SEARCH("BRILLANTE",INVENTARIO!C87)),"BRI",
IF(ISNUMBER(SEARCH("DELGADA",INVENTARIO!C87)),"DEL",
IF(ISNUMBER(SEARCH("GRUESA",INVENTARIO!C87)),"GRU",
IF(ISNUMBER(SEARCH("ESTATICO",INVENTARIO!C87)),"EST",
IF(ISNUMBER(SEARCH("REFLECTIVO",INVENTARIO!C87)),"REF",
IF(ISNUMBER(SEARCH("LX700",INVENTARIO!C87)),"LX7",
IF(ISNUMBER(SEARCH("GRANDO",INVENTARIO!C87)),"GRA",
IF(ISNUMBER(SEARCH("FB700",INVENTARIO!C87)),"FB7",
IF(ISNUMBER(SEARCH("LX360",INVENTARIO!C87)),"LX3",
IF(ISNUMBER(SEARCH("XEROX",INVENTARIO!C87)),"XER",
IF(ISNUMBER(SEARCH("CEPILLADO",INVENTARIO!C87)),"CEP",
IF(ISNUMBER(SEARCH("ESPEJO",INVENTARIO!C87)),"ESP",
IF(ISNUMBER(SEARCH("10 PTS",INVENTARIO!C87)),"10PT",
IF(ISNUMBER(SEARCH("12 PTS",INVENTARIO!C87)),"12PT",
IF(ISNUMBER(SEARCH("14 PTS",INVENTARIO!C87)),"14PT",
IF(ISNUMBER(SEARCH("CLASICO",INVENTARIO!C87)),"CLA",
""))))))))))))))))))))))</f>
        <v/>
      </c>
      <c r="D87" t="str">
        <f>IF(ISNUMBER(SEARCH("GRAN FORMATO",INVENTARIO!C87)),"GRA-FOR",
IF(ISNUMBER(SEARCH("CAMA PLANA",INVENTARIO!C87)),"CAM-PLA",
IF(ISNUMBER(SEARCH("GRADO INGENIERIA",INVENTARIO!C87)),"GRA-ING",
IF(ISNUMBER(SEARCH("130 GRS",INVENTARIO!C87)),"130GR",
IF(ISNUMBER(SEARCH("150 GRS",INVENTARIO!C87)),"150GR",
IF(ISNUMBER(SEARCH("185 GRS",INVENTARIO!C87)),"185GR",
IF(ISNUMBER(SEARCH("200 GRS",INVENTARIO!C87)),"200GR",
IF(ISNUMBER(SEARCH("250 GRS",INVENTARIO!C87)),"250GR",
IF(ISNUMBER(SEARCH("300 GRS",INVENTARIO!C87)),"300GR",
IF(ISNUMBER(SEARCH("350 GRS",INVENTARIO!C87)),"350GR",
IF(ISNUMBER(SEARCH("18 OZ",INVENTARIO!C87)),"18OZ",
IF(ISNUMBER(SEARCH("15 OZ",INVENTARIO!C87)),"15OZ",
IF(OR(ISNUMBER(SEARCH("13 OZ",INVENTARIO!C87)),ISNUMBER(SEARCH("13 ONZAS",INVENTARIO!C87))),"13OZ",
IF(OR(ISNUMBER(SEARCH("9 OZ",INVENTARIO!C87)),ISNUMBER(SEARCH("9 ONZAS",INVENTARIO!C87))),"09OZ",
IF(ISNUMBER(SEARCH("DOBLE CARA",INVENTARIO!C87)),"DOB-CAR",
"")))))))))))))))</f>
        <v/>
      </c>
      <c r="E87" t="str">
        <f>IF(OR(ISNUMBER(SEARCH("TRANSPARENTE",INVENTARIO!C87)),ISNUMBER(SEARCH("TRANSPARENTES",INVENTARIO!C87))),"TRA",
IF(OR(ISNUMBER(SEARCH("BLANCO",INVENTARIO!C87)),ISNUMBER(SEARCH("BCO",INVENTARIO!C87))),"BLA",
IF(ISNUMBER(SEARCH("FOTOGRAFICO",INVENTARIO!C87)),"FOT",
IF(ISNUMBER(SEARCH("MARFIL",INVENTARIO!C87)),"MAR",
IF(ISNUMBER(SEARCH("VERDE",INVENTARIO!C87)),"VER",
IF(ISNUMBER(SEARCH("MORADO",INVENTARIO!C87)),"MOR",
IF(ISNUMBER(SEARCH("PLATA",INVENTARIO!C87)),"PLA",
IF(ISNUMBER(SEARCH("ORO",INVENTARIO!C87)),"ORO",
IF(ISNUMBER(SEARCH("AMARILLO",INVENTARIO!C87)),"AMA",
IF(ISNUMBER(SEARCH("NARANJA",INVENTARIO!C87)),"NAR",
IF(ISNUMBER(SEARCH("NEGRO",INVENTARIO!C87)),"NEG",
IF(ISNUMBER(SEARCH("ROJO",INVENTARIO!C87)),"ROJ",
IF(ISNUMBER(SEARCH("AZUL",INVENTARIO!C87)),"AZU","")))))))))))))</f>
        <v>BLA</v>
      </c>
      <c r="F87" t="str">
        <f>IF(ISNUMBER(SEARCH("ARLON",INVENTARIO!C87)),"ARL",
IF(ISNUMBER(SEARCH("SUNTHINKS",INVENTARIO!C87)),"SUN",
IF(ISNUMBER(SEARCH("FRIO",INVENTARIO!C87)),"FRI",
IF(ISNUMBER(SEARCH("CALIDO",INVENTARIO!C87)),"CAL",
IF(ISNUMBER(SEARCH("CEPILLADO",INVENTARIO!C87)),"CEP",
IF(ISNUMBER(SEARCH("ESPEJO",INVENTARIO!C87)),"ESP",
""))))))</f>
        <v/>
      </c>
      <c r="G87" t="str">
        <f>IF(ISNUMBER(SEARCH("LATEX",INVENTARIO!C87)),"LAT",
IF(ISNUMBER(SEARCH("RESP. NEGRO",INVENTARIO!C87)),"RES-NEG",
IF(ISNUMBER(SEARCH("RESPALDO CAFE",INVENTARIO!C87)),"RES-CAF",
IF(ISNUMBER(SEARCH("RESPALDO GRIS",INVENTARIO!C87)),"RES-GRI",
IF(ISNUMBER(SEARCH("OPTICO",INVENTARIO!C87)),"OPT",
IF(ISNUMBER(SEARCH("1,2 MM",INVENTARIO!C87)),"1MM2",
IF(ISNUMBER(SEARCH("2 MM",INVENTARIO!C87)),"2MM",
IF(ISNUMBER(SEARCH("3 MM",INVENTARIO!C87)),"3MM",
IF(ISNUMBER(SEARCH("4 MM",INVENTARIO!C87)),"4MM",
IF(ISNUMBER(SEARCH("5 MM",INVENTARIO!C87)),"5MM",
IF(ISNUMBER(SEARCH("6 MM",INVENTARIO!C87)),"6MM",
IF(ISNUMBER(SEARCH("9 MM",INVENTARIO!C87)),"9MM",
IF(ISNUMBER(SEARCH("10 MM",INVENTARIO!C87)),"10MM","")))))))))))))</f>
        <v>2MM</v>
      </c>
      <c r="H87" t="str">
        <f>IF(ISNUMBER(SEARCH("GAMA BAJA",INVENTARIO!C87)),"GAM-BAJ",
IF(ISNUMBER(SEARCH("OPTIMIZADOR",INVENTARIO!C87)),"OPT",
IF(ISNUMBER(SEARCH("OVERCOAT",INVENTARIO!C87)),"OVE",
IF(ISNUMBER(SEARCH("WHITE",INVENTARIO!C87)),"WHI",
IF(ISNUMBER(SEARCH("LIGHT CYAN",INVENTARIO!C87)),"LIG-CYA",
IF(ISNUMBER(SEARCH("CYAN",INVENTARIO!C87)),"CYA",
IF(ISNUMBER(SEARCH("LIGHT MAGENTA",INVENTARIO!C87)),"LIG-MAG",
IF(ISNUMBER(SEARCH("MAGENTA",INVENTARIO!C87)),"MAG",
IF(ISNUMBER(SEARCH("BLACK",INVENTARIO!C87)),"BLA",
IF(ISNUMBER(SEARCH("YELLOW",INVENTARIO!C87)),"YEL",
IF(ISNUMBER(SEARCH("2 DIODOS",INVENTARIO!C87)),"2DI",
IF(ISNUMBER(SEARCH("3 DIODOS",INVENTARIO!C87)),"3DI",
IF(OR(ISNUMBER(SEARCH("TRASLUCIDO",INVENTARIO!C87)),ISNUMBER(SEARCH("TRANSLUCIDO",INVENTARIO!C87))),"TRA",
"")))))))))))))</f>
        <v/>
      </c>
      <c r="I87" t="str">
        <f>IF(ISNUMBER(SEARCH("SILED",INVENTARIO!C93)),"SI",
IF(ISNUMBER(SEARCH("SYDEMEX",INVENTARIO!C93)),"SY",
IF(ISNUMBER(SEARCH("ROHS",INVENTARIO!C93)),"RO",
IF(ISNUMBER(SEARCH("RISHANG",INVENTARIO!C93)),"RS",
IF(ISNUMBER(SEARCH("VYG",INVENTARIO!C93)),"VYG",
IF(ISNUMBER(SEARCH("COLED",INVENTARIO!C93)),"CO",""))))))</f>
        <v/>
      </c>
    </row>
    <row r="88" spans="1:9">
      <c r="A88" t="str">
        <f>IF(ISNUMBER(SEARCH("LONA",INVENTARIO!C88)),"LON",
IF(ISNUMBER(SEARCH("VINIL",INVENTARIO!C88)),"VIN",
IF(ISNUMBER(SEARCH("KROMACOTE",INVENTARIO!C88)),"KRO",
IF(ISNUMBER(SEARCH("STARDREAM",INVENTARIO!C88)),"STA",
IF(ISNUMBER(SEARCH("DISPLAY",INVENTARIO!C88)),"DIS",
IF(ISNUMBER(SEARCH("ROLL UP",INVENTARIO!C88)),"ROL-UP",
IF(ISNUMBER(SEARCH("TRANSFER DE PAPEL",INVENTARIO!C88)),"TRA-PAP",
IF(ISNUMBER(SEARCH("TRANSFER",INVENTARIO!C88)),"TRA",IF(ISNUMBER(SEARCH("KOLA LOKA",INVENTARIO!C88)),"KOL-LOK",
IF(ISNUMBER(SEARCH("PETG",INVENTARIO!C88)),"PET",
IF(ISNUMBER(SEARCH("OJILLO",INVENTARIO!C88)),"OJI",
IF(ISNUMBER(SEARCH("COUCHE",INVENTARIO!C88)),"COU",
IF(ISNUMBER(SEARCH("PANEL DE ALUMINIO",INVENTARIO!C88)),"PAN-ALU",
IF(ISNUMBER(SEARCH("PVC",INVENTARIO!C88)),"PVC",
IF(ISNUMBER(SEARCH("PAPEL",INVENTARIO!C88)),"PAP",
IF(ISNUMBER(SEARCH("TELA",INVENTARIO!C88)),"TEL",
IF(ISNUMBER(SEARCH("CARTULINA",INVENTARIO!C88)),"CAR",
IF(OR(ISNUMBER(SEARCH("LAMINA",INVENTARIO!C88)),ISNUMBER(SEARCH("LÁMINA",INVENTARIO!C88)),ISNUMBER(SEARCH("LAMPARAS",INVENTARIO!C88))),"LAM",
IF(ISNUMBER(SEARCH("ESTIRENO",INVENTARIO!C88)),"EST",
IF(ISNUMBER(SEARCH("FOAMBOARD",INVENTARIO!C88)),"FOA",
IF(ISNUMBER(SEARCH("SOLVENTE",INVENTARIO!C88)),"SOL",
IF(ISNUMBER(SEARCH("TINTA",INVENTARIO!C88)),"TIN",
IF(ISNUMBER(SEARCH("ACRILICO",INVENTARIO!C88)),"ACR",
IF(ISNUMBER(SEARCH("MICROLED",INVENTARIO!C88)),"MIC",
IF(ISNUMBER(SEARCH("LED",INVENTARIO!C88)),"LED",
IF(ISNUMBER(SEARCH("FUENTE DE PODER",INVENTARIO!C88)),"FUE-POD",
IF(ISNUMBER(SEARCH("PETG",INVENTARIO!C88)),"PET",
IF(ISNUMBER(SEARCH("ALUMINIO",INVENTARIO!C88)),"ALU",
IF(ISNUMBER(SEARCH("CANAL",INVENTARIO!C88)),"CAN",
IF(ISNUMBER(SEARCH("ESCUADRA",INVENTARIO!C88)),"ESC",
IF(ISNUMBER(SEARCH("SOPORTE",INVENTARIO!C88)),"SOP","OTR")
))))))))))))))))))))))))))))))</f>
        <v>PVC</v>
      </c>
      <c r="B88" t="str">
        <f>IF(ISNUMBER(SEARCH("CORTE",INVENTARIO!C88)),"COR",
IF(ISNUMBER(SEARCH("CITYLIGHT",INVENTARIO!C88)),"CIT",
IF(ISNUMBER(SEARCH("LINO",INVENTARIO!C88)),"LIN",
IF(ISNUMBER(SEARCH("FABRIANO",INVENTARIO!C88)),"FAB",
IF(ISNUMBER(SEARCH("SUNDANCE",INVENTARIO!C88)),"SUN",
IF(ISNUMBER(SEARCH("SINTETICA",INVENTARIO!C88)),"SIN",
IF(ISNUMBER(SEARCH("CONTROL",INVENTARIO!C88)),"CON",
IF(ISNUMBER(SEARCH("TERMICO",INVENTARIO!C88)),"TER",
IF(ISNUMBER(SEARCH("C-15",INVENTARIO!C88)),"C15",
IF(ISNUMBER(SEARCH("C-20",INVENTARIO!C88)),"C20",
IF(ISNUMBER(SEARCH("C-30",INVENTARIO!C88)),"C30",
IF(ISNUMBER(SEARCH("C-40",INVENTARIO!C88)),"C40",
IF(ISNUMBER(SEARCH("C-60",INVENTARIO!C88)),"C60",
IF(ISNUMBER(SEARCH("C-80",INVENTARIO!C88)),"C80",
IF(ISNUMBER(SEARCH("EQUIPO",INVENTARIO!C88)),"EQU",
IF(ISNUMBER(SEARCH("FLOOR",INVENTARIO!C88)),"FLO",
IF(ISNUMBER(SEARCH("CRISTAL",INVENTARIO!C88)),"CRI",
IF(ISNUMBER(SEARCH(" SULFATADA",INVENTARIO!C99)),"SUL",
IF(ISNUMBER(SEARCH("OPALINA",INVENTARIO!C88)),"OPA",
IF(ISNUMBER(SEARCH("ADHERIBLE",INVENTARIO!C88)),"ADH",
IF(ISNUMBER(SEARCH("MICRO",INVENTARIO!C88)),"MIC","")))))))))))))))))))))</f>
        <v/>
      </c>
      <c r="C88" t="str">
        <f>IF(ISNUMBER(SEARCH("PARED",INVENTARIO!C88)),"PAR",
IF(ISNUMBER(SEARCH("FRONT",INVENTARIO!C88)),"FRO",
IF(ISNUMBER(SEARCH("ALTA RESISTENCIA",INVENTARIO!C88)),
"ALT-RES",IF(ISNUMBER(SEARCH("BACKLITE",INVENTARIO!C88)),"BAC",
IF(ISNUMBER(SEARCH("MATE",INVENTARIO!C88)),"MAT",
IF(ISNUMBER(SEARCH("MESH",INVENTARIO!C88)),"MES",
IF(ISNUMBER(SEARCH("BRILLANTE",INVENTARIO!C88)),"BRI",
IF(ISNUMBER(SEARCH("DELGADA",INVENTARIO!C88)),"DEL",
IF(ISNUMBER(SEARCH("GRUESA",INVENTARIO!C88)),"GRU",
IF(ISNUMBER(SEARCH("ESTATICO",INVENTARIO!C88)),"EST",
IF(ISNUMBER(SEARCH("REFLECTIVO",INVENTARIO!C88)),"REF",
IF(ISNUMBER(SEARCH("LX700",INVENTARIO!C88)),"LX7",
IF(ISNUMBER(SEARCH("GRANDO",INVENTARIO!C88)),"GRA",
IF(ISNUMBER(SEARCH("FB700",INVENTARIO!C88)),"FB7",
IF(ISNUMBER(SEARCH("LX360",INVENTARIO!C88)),"LX3",
IF(ISNUMBER(SEARCH("XEROX",INVENTARIO!C88)),"XER",
IF(ISNUMBER(SEARCH("CEPILLADO",INVENTARIO!C88)),"CEP",
IF(ISNUMBER(SEARCH("ESPEJO",INVENTARIO!C88)),"ESP",
IF(ISNUMBER(SEARCH("10 PTS",INVENTARIO!C88)),"10PT",
IF(ISNUMBER(SEARCH("12 PTS",INVENTARIO!C88)),"12PT",
IF(ISNUMBER(SEARCH("14 PTS",INVENTARIO!C88)),"14PT",
IF(ISNUMBER(SEARCH("CLASICO",INVENTARIO!C88)),"CLA",
""))))))))))))))))))))))</f>
        <v/>
      </c>
      <c r="D88" t="str">
        <f>IF(ISNUMBER(SEARCH("GRAN FORMATO",INVENTARIO!C88)),"GRA-FOR",
IF(ISNUMBER(SEARCH("CAMA PLANA",INVENTARIO!C88)),"CAM-PLA",
IF(ISNUMBER(SEARCH("GRADO INGENIERIA",INVENTARIO!C88)),"GRA-ING",
IF(ISNUMBER(SEARCH("130 GRS",INVENTARIO!C88)),"130GR",
IF(ISNUMBER(SEARCH("150 GRS",INVENTARIO!C88)),"150GR",
IF(ISNUMBER(SEARCH("185 GRS",INVENTARIO!C88)),"185GR",
IF(ISNUMBER(SEARCH("200 GRS",INVENTARIO!C88)),"200GR",
IF(ISNUMBER(SEARCH("250 GRS",INVENTARIO!C88)),"250GR",
IF(ISNUMBER(SEARCH("300 GRS",INVENTARIO!C88)),"300GR",
IF(ISNUMBER(SEARCH("350 GRS",INVENTARIO!C88)),"350GR",
IF(ISNUMBER(SEARCH("18 OZ",INVENTARIO!C88)),"18OZ",
IF(ISNUMBER(SEARCH("15 OZ",INVENTARIO!C88)),"15OZ",
IF(OR(ISNUMBER(SEARCH("13 OZ",INVENTARIO!C88)),ISNUMBER(SEARCH("13 ONZAS",INVENTARIO!C88))),"13OZ",
IF(OR(ISNUMBER(SEARCH("9 OZ",INVENTARIO!C88)),ISNUMBER(SEARCH("9 ONZAS",INVENTARIO!C88))),"09OZ",
IF(ISNUMBER(SEARCH("DOBLE CARA",INVENTARIO!C88)),"DOB-CAR",
"")))))))))))))))</f>
        <v/>
      </c>
      <c r="E88" t="str">
        <f>IF(OR(ISNUMBER(SEARCH("TRANSPARENTE",INVENTARIO!C88)),ISNUMBER(SEARCH("TRANSPARENTES",INVENTARIO!C88))),"TRA",
IF(OR(ISNUMBER(SEARCH("BLANCO",INVENTARIO!C88)),ISNUMBER(SEARCH("BCO",INVENTARIO!C88))),"BLA",
IF(ISNUMBER(SEARCH("FOTOGRAFICO",INVENTARIO!C88)),"FOT",
IF(ISNUMBER(SEARCH("MARFIL",INVENTARIO!C88)),"MAR",
IF(ISNUMBER(SEARCH("VERDE",INVENTARIO!C88)),"VER",
IF(ISNUMBER(SEARCH("MORADO",INVENTARIO!C88)),"MOR",
IF(ISNUMBER(SEARCH("PLATA",INVENTARIO!C88)),"PLA",
IF(ISNUMBER(SEARCH("ORO",INVENTARIO!C88)),"ORO",
IF(ISNUMBER(SEARCH("AMARILLO",INVENTARIO!C88)),"AMA",
IF(ISNUMBER(SEARCH("NARANJA",INVENTARIO!C88)),"NAR",
IF(ISNUMBER(SEARCH("NEGRO",INVENTARIO!C88)),"NEG",
IF(ISNUMBER(SEARCH("ROJO",INVENTARIO!C88)),"ROJ",
IF(ISNUMBER(SEARCH("AZUL",INVENTARIO!C88)),"AZU","")))))))))))))</f>
        <v>BLA</v>
      </c>
      <c r="F88" t="str">
        <f>IF(ISNUMBER(SEARCH("ARLON",INVENTARIO!C88)),"ARL",
IF(ISNUMBER(SEARCH("SUNTHINKS",INVENTARIO!C88)),"SUN",
IF(ISNUMBER(SEARCH("FRIO",INVENTARIO!C88)),"FRI",
IF(ISNUMBER(SEARCH("CALIDO",INVENTARIO!C88)),"CAL",
IF(ISNUMBER(SEARCH("CEPILLADO",INVENTARIO!C88)),"CEP",
IF(ISNUMBER(SEARCH("ESPEJO",INVENTARIO!C88)),"ESP",
""))))))</f>
        <v/>
      </c>
      <c r="G88" t="str">
        <f>IF(ISNUMBER(SEARCH("LATEX",INVENTARIO!C88)),"LAT",
IF(ISNUMBER(SEARCH("RESP. NEGRO",INVENTARIO!C88)),"RES-NEG",
IF(ISNUMBER(SEARCH("RESPALDO CAFE",INVENTARIO!C88)),"RES-CAF",
IF(ISNUMBER(SEARCH("RESPALDO GRIS",INVENTARIO!C88)),"RES-GRI",
IF(ISNUMBER(SEARCH("OPTICO",INVENTARIO!C88)),"OPT",
IF(ISNUMBER(SEARCH("1,2 MM",INVENTARIO!C88)),"1MM2",
IF(ISNUMBER(SEARCH("2 MM",INVENTARIO!C88)),"2MM",
IF(ISNUMBER(SEARCH("3 MM",INVENTARIO!C88)),"3MM",
IF(ISNUMBER(SEARCH("4 MM",INVENTARIO!C88)),"4MM",
IF(ISNUMBER(SEARCH("5 MM",INVENTARIO!C88)),"5MM",
IF(ISNUMBER(SEARCH("6 MM",INVENTARIO!C88)),"6MM",
IF(ISNUMBER(SEARCH("9 MM",INVENTARIO!C88)),"9MM",
IF(ISNUMBER(SEARCH("10 MM",INVENTARIO!C88)),"10MM","")))))))))))))</f>
        <v>6MM</v>
      </c>
      <c r="H88" t="str">
        <f>IF(ISNUMBER(SEARCH("GAMA BAJA",INVENTARIO!C88)),"GAM-BAJ",
IF(ISNUMBER(SEARCH("OPTIMIZADOR",INVENTARIO!C88)),"OPT",
IF(ISNUMBER(SEARCH("OVERCOAT",INVENTARIO!C88)),"OVE",
IF(ISNUMBER(SEARCH("WHITE",INVENTARIO!C88)),"WHI",
IF(ISNUMBER(SEARCH("LIGHT CYAN",INVENTARIO!C88)),"LIG-CYA",
IF(ISNUMBER(SEARCH("CYAN",INVENTARIO!C88)),"CYA",
IF(ISNUMBER(SEARCH("LIGHT MAGENTA",INVENTARIO!C88)),"LIG-MAG",
IF(ISNUMBER(SEARCH("MAGENTA",INVENTARIO!C88)),"MAG",
IF(ISNUMBER(SEARCH("BLACK",INVENTARIO!C88)),"BLA",
IF(ISNUMBER(SEARCH("YELLOW",INVENTARIO!C88)),"YEL",
IF(ISNUMBER(SEARCH("2 DIODOS",INVENTARIO!C88)),"2DI",
IF(ISNUMBER(SEARCH("3 DIODOS",INVENTARIO!C88)),"3DI",
IF(OR(ISNUMBER(SEARCH("TRASLUCIDO",INVENTARIO!C88)),ISNUMBER(SEARCH("TRANSLUCIDO",INVENTARIO!C88))),"TRA",
"")))))))))))))</f>
        <v/>
      </c>
      <c r="I88" t="str">
        <f>IF(ISNUMBER(SEARCH("SILED",INVENTARIO!C94)),"SI",
IF(ISNUMBER(SEARCH("SYDEMEX",INVENTARIO!C94)),"SY",
IF(ISNUMBER(SEARCH("ROHS",INVENTARIO!C94)),"RO",
IF(ISNUMBER(SEARCH("RISHANG",INVENTARIO!C94)),"RS",
IF(ISNUMBER(SEARCH("VYG",INVENTARIO!C94)),"VYG",
IF(ISNUMBER(SEARCH("COLED",INVENTARIO!C94)),"CO",""))))))</f>
        <v/>
      </c>
    </row>
    <row r="89" spans="1:9">
      <c r="A89" t="str">
        <f>IF(ISNUMBER(SEARCH("LONA",INVENTARIO!C89)),"LON",
IF(ISNUMBER(SEARCH("VINIL",INVENTARIO!C89)),"VIN",
IF(ISNUMBER(SEARCH("KROMACOTE",INVENTARIO!C89)),"KRO",
IF(ISNUMBER(SEARCH("STARDREAM",INVENTARIO!C89)),"STA",
IF(ISNUMBER(SEARCH("DISPLAY",INVENTARIO!C89)),"DIS",
IF(ISNUMBER(SEARCH("ROLL UP",INVENTARIO!C89)),"ROL-UP",
IF(ISNUMBER(SEARCH("TRANSFER DE PAPEL",INVENTARIO!C89)),"TRA-PAP",
IF(ISNUMBER(SEARCH("TRANSFER",INVENTARIO!C89)),"TRA",IF(ISNUMBER(SEARCH("KOLA LOKA",INVENTARIO!C89)),"KOL-LOK",
IF(ISNUMBER(SEARCH("PETG",INVENTARIO!C89)),"PET",
IF(ISNUMBER(SEARCH("OJILLO",INVENTARIO!C89)),"OJI",
IF(ISNUMBER(SEARCH("COUCHE",INVENTARIO!C89)),"COU",
IF(ISNUMBER(SEARCH("PANEL DE ALUMINIO",INVENTARIO!C89)),"PAN-ALU",
IF(ISNUMBER(SEARCH("PVC",INVENTARIO!C89)),"PVC",
IF(ISNUMBER(SEARCH("PAPEL",INVENTARIO!C89)),"PAP",
IF(ISNUMBER(SEARCH("TELA",INVENTARIO!C89)),"TEL",
IF(ISNUMBER(SEARCH("CARTULINA",INVENTARIO!C89)),"CAR",
IF(OR(ISNUMBER(SEARCH("LAMINA",INVENTARIO!C89)),ISNUMBER(SEARCH("LÁMINA",INVENTARIO!C89)),ISNUMBER(SEARCH("LAMPARAS",INVENTARIO!C89))),"LAM",
IF(ISNUMBER(SEARCH("ESTIRENO",INVENTARIO!C89)),"EST",
IF(ISNUMBER(SEARCH("FOAMBOARD",INVENTARIO!C89)),"FOA",
IF(ISNUMBER(SEARCH("SOLVENTE",INVENTARIO!C89)),"SOL",
IF(ISNUMBER(SEARCH("TINTA",INVENTARIO!C89)),"TIN",
IF(ISNUMBER(SEARCH("ACRILICO",INVENTARIO!C89)),"ACR",
IF(ISNUMBER(SEARCH("MICROLED",INVENTARIO!C89)),"MIC",
IF(ISNUMBER(SEARCH("LED",INVENTARIO!C89)),"LED",
IF(ISNUMBER(SEARCH("FUENTE DE PODER",INVENTARIO!C89)),"FUE-POD",
IF(ISNUMBER(SEARCH("PETG",INVENTARIO!C89)),"PET",
IF(ISNUMBER(SEARCH("ALUMINIO",INVENTARIO!C89)),"ALU",
IF(ISNUMBER(SEARCH("CANAL",INVENTARIO!C89)),"CAN",
IF(ISNUMBER(SEARCH("ESCUADRA",INVENTARIO!C89)),"ESC",
IF(ISNUMBER(SEARCH("SOPORTE",INVENTARIO!C89)),"SOP","OTR")
))))))))))))))))))))))))))))))</f>
        <v>PVC</v>
      </c>
      <c r="B89" t="str">
        <f>IF(ISNUMBER(SEARCH("CORTE",INVENTARIO!C89)),"COR",
IF(ISNUMBER(SEARCH("CITYLIGHT",INVENTARIO!C89)),"CIT",
IF(ISNUMBER(SEARCH("LINO",INVENTARIO!C89)),"LIN",
IF(ISNUMBER(SEARCH("FABRIANO",INVENTARIO!C89)),"FAB",
IF(ISNUMBER(SEARCH("SUNDANCE",INVENTARIO!C89)),"SUN",
IF(ISNUMBER(SEARCH("SINTETICA",INVENTARIO!C89)),"SIN",
IF(ISNUMBER(SEARCH("CONTROL",INVENTARIO!C89)),"CON",
IF(ISNUMBER(SEARCH("TERMICO",INVENTARIO!C89)),"TER",
IF(ISNUMBER(SEARCH("C-15",INVENTARIO!C89)),"C15",
IF(ISNUMBER(SEARCH("C-20",INVENTARIO!C89)),"C20",
IF(ISNUMBER(SEARCH("C-30",INVENTARIO!C89)),"C30",
IF(ISNUMBER(SEARCH("C-40",INVENTARIO!C89)),"C40",
IF(ISNUMBER(SEARCH("C-60",INVENTARIO!C89)),"C60",
IF(ISNUMBER(SEARCH("C-80",INVENTARIO!C89)),"C80",
IF(ISNUMBER(SEARCH("EQUIPO",INVENTARIO!C89)),"EQU",
IF(ISNUMBER(SEARCH("FLOOR",INVENTARIO!C89)),"FLO",
IF(ISNUMBER(SEARCH("CRISTAL",INVENTARIO!C89)),"CRI",
IF(ISNUMBER(SEARCH(" SULFATADA",INVENTARIO!C100)),"SUL",
IF(ISNUMBER(SEARCH("OPALINA",INVENTARIO!C89)),"OPA",
IF(ISNUMBER(SEARCH("ADHERIBLE",INVENTARIO!C89)),"ADH",
IF(ISNUMBER(SEARCH("MICRO",INVENTARIO!C89)),"MIC","")))))))))))))))))))))</f>
        <v/>
      </c>
      <c r="C89" t="str">
        <f>IF(ISNUMBER(SEARCH("PARED",INVENTARIO!C89)),"PAR",
IF(ISNUMBER(SEARCH("FRONT",INVENTARIO!C89)),"FRO",
IF(ISNUMBER(SEARCH("ALTA RESISTENCIA",INVENTARIO!C89)),
"ALT-RES",IF(ISNUMBER(SEARCH("BACKLITE",INVENTARIO!C89)),"BAC",
IF(ISNUMBER(SEARCH("MATE",INVENTARIO!C89)),"MAT",
IF(ISNUMBER(SEARCH("MESH",INVENTARIO!C89)),"MES",
IF(ISNUMBER(SEARCH("BRILLANTE",INVENTARIO!C89)),"BRI",
IF(ISNUMBER(SEARCH("DELGADA",INVENTARIO!C89)),"DEL",
IF(ISNUMBER(SEARCH("GRUESA",INVENTARIO!C89)),"GRU",
IF(ISNUMBER(SEARCH("ESTATICO",INVENTARIO!C89)),"EST",
IF(ISNUMBER(SEARCH("REFLECTIVO",INVENTARIO!C89)),"REF",
IF(ISNUMBER(SEARCH("LX700",INVENTARIO!C89)),"LX7",
IF(ISNUMBER(SEARCH("GRANDO",INVENTARIO!C89)),"GRA",
IF(ISNUMBER(SEARCH("FB700",INVENTARIO!C89)),"FB7",
IF(ISNUMBER(SEARCH("LX360",INVENTARIO!C89)),"LX3",
IF(ISNUMBER(SEARCH("XEROX",INVENTARIO!C89)),"XER",
IF(ISNUMBER(SEARCH("CEPILLADO",INVENTARIO!C89)),"CEP",
IF(ISNUMBER(SEARCH("ESPEJO",INVENTARIO!C89)),"ESP",
IF(ISNUMBER(SEARCH("10 PTS",INVENTARIO!C89)),"10PT",
IF(ISNUMBER(SEARCH("12 PTS",INVENTARIO!C89)),"12PT",
IF(ISNUMBER(SEARCH("14 PTS",INVENTARIO!C89)),"14PT",
IF(ISNUMBER(SEARCH("CLASICO",INVENTARIO!C89)),"CLA",
""))))))))))))))))))))))</f>
        <v/>
      </c>
      <c r="D89" t="str">
        <f>IF(ISNUMBER(SEARCH("GRAN FORMATO",INVENTARIO!C89)),"GRA-FOR",
IF(ISNUMBER(SEARCH("CAMA PLANA",INVENTARIO!C89)),"CAM-PLA",
IF(ISNUMBER(SEARCH("GRADO INGENIERIA",INVENTARIO!C89)),"GRA-ING",
IF(ISNUMBER(SEARCH("130 GRS",INVENTARIO!C89)),"130GR",
IF(ISNUMBER(SEARCH("150 GRS",INVENTARIO!C89)),"150GR",
IF(ISNUMBER(SEARCH("185 GRS",INVENTARIO!C89)),"185GR",
IF(ISNUMBER(SEARCH("200 GRS",INVENTARIO!C89)),"200GR",
IF(ISNUMBER(SEARCH("250 GRS",INVENTARIO!C89)),"250GR",
IF(ISNUMBER(SEARCH("300 GRS",INVENTARIO!C89)),"300GR",
IF(ISNUMBER(SEARCH("350 GRS",INVENTARIO!C89)),"350GR",
IF(ISNUMBER(SEARCH("18 OZ",INVENTARIO!C89)),"18OZ",
IF(ISNUMBER(SEARCH("15 OZ",INVENTARIO!C89)),"15OZ",
IF(OR(ISNUMBER(SEARCH("13 OZ",INVENTARIO!C89)),ISNUMBER(SEARCH("13 ONZAS",INVENTARIO!C89))),"13OZ",
IF(OR(ISNUMBER(SEARCH("9 OZ",INVENTARIO!C89)),ISNUMBER(SEARCH("9 ONZAS",INVENTARIO!C89))),"09OZ",
IF(ISNUMBER(SEARCH("DOBLE CARA",INVENTARIO!C89)),"DOB-CAR",
"")))))))))))))))</f>
        <v/>
      </c>
      <c r="E89" t="str">
        <f>IF(OR(ISNUMBER(SEARCH("TRANSPARENTE",INVENTARIO!C89)),ISNUMBER(SEARCH("TRANSPARENTES",INVENTARIO!C89))),"TRA",
IF(OR(ISNUMBER(SEARCH("BLANCO",INVENTARIO!C89)),ISNUMBER(SEARCH("BCO",INVENTARIO!C89))),"BLA",
IF(ISNUMBER(SEARCH("FOTOGRAFICO",INVENTARIO!C89)),"FOT",
IF(ISNUMBER(SEARCH("MARFIL",INVENTARIO!C89)),"MAR",
IF(ISNUMBER(SEARCH("VERDE",INVENTARIO!C89)),"VER",
IF(ISNUMBER(SEARCH("MORADO",INVENTARIO!C89)),"MOR",
IF(ISNUMBER(SEARCH("PLATA",INVENTARIO!C89)),"PLA",
IF(ISNUMBER(SEARCH("ORO",INVENTARIO!C89)),"ORO",
IF(ISNUMBER(SEARCH("AMARILLO",INVENTARIO!C89)),"AMA",
IF(ISNUMBER(SEARCH("NARANJA",INVENTARIO!C89)),"NAR",
IF(ISNUMBER(SEARCH("NEGRO",INVENTARIO!C89)),"NEG",
IF(ISNUMBER(SEARCH("ROJO",INVENTARIO!C89)),"ROJ",
IF(ISNUMBER(SEARCH("AZUL",INVENTARIO!C89)),"AZU","")))))))))))))</f>
        <v>BLA</v>
      </c>
      <c r="F89" t="str">
        <f>IF(ISNUMBER(SEARCH("ARLON",INVENTARIO!C89)),"ARL",
IF(ISNUMBER(SEARCH("SUNTHINKS",INVENTARIO!C89)),"SUN",
IF(ISNUMBER(SEARCH("FRIO",INVENTARIO!C89)),"FRI",
IF(ISNUMBER(SEARCH("CALIDO",INVENTARIO!C89)),"CAL",
IF(ISNUMBER(SEARCH("CEPILLADO",INVENTARIO!C89)),"CEP",
IF(ISNUMBER(SEARCH("ESPEJO",INVENTARIO!C89)),"ESP",
""))))))</f>
        <v/>
      </c>
      <c r="G89" t="str">
        <f>IF(ISNUMBER(SEARCH("LATEX",INVENTARIO!C89)),"LAT",
IF(ISNUMBER(SEARCH("RESP. NEGRO",INVENTARIO!C89)),"RES-NEG",
IF(ISNUMBER(SEARCH("RESPALDO CAFE",INVENTARIO!C89)),"RES-CAF",
IF(ISNUMBER(SEARCH("RESPALDO GRIS",INVENTARIO!C89)),"RES-GRI",
IF(ISNUMBER(SEARCH("OPTICO",INVENTARIO!C89)),"OPT",
IF(ISNUMBER(SEARCH("1,2 MM",INVENTARIO!C89)),"1MM2",
IF(ISNUMBER(SEARCH("2 MM",INVENTARIO!C89)),"2MM",
IF(ISNUMBER(SEARCH("3 MM",INVENTARIO!C89)),"3MM",
IF(ISNUMBER(SEARCH("4 MM",INVENTARIO!C89)),"4MM",
IF(ISNUMBER(SEARCH("5 MM",INVENTARIO!C89)),"5MM",
IF(ISNUMBER(SEARCH("6 MM",INVENTARIO!C89)),"6MM",
IF(ISNUMBER(SEARCH("9 MM",INVENTARIO!C89)),"9MM",
IF(ISNUMBER(SEARCH("10 MM",INVENTARIO!C89)),"10MM","")))))))))))))</f>
        <v>6MM</v>
      </c>
      <c r="H89" t="str">
        <f>IF(ISNUMBER(SEARCH("GAMA BAJA",INVENTARIO!C89)),"GAM-BAJ",
IF(ISNUMBER(SEARCH("OPTIMIZADOR",INVENTARIO!C89)),"OPT",
IF(ISNUMBER(SEARCH("OVERCOAT",INVENTARIO!C89)),"OVE",
IF(ISNUMBER(SEARCH("WHITE",INVENTARIO!C89)),"WHI",
IF(ISNUMBER(SEARCH("LIGHT CYAN",INVENTARIO!C89)),"LIG-CYA",
IF(ISNUMBER(SEARCH("CYAN",INVENTARIO!C89)),"CYA",
IF(ISNUMBER(SEARCH("LIGHT MAGENTA",INVENTARIO!C89)),"LIG-MAG",
IF(ISNUMBER(SEARCH("MAGENTA",INVENTARIO!C89)),"MAG",
IF(ISNUMBER(SEARCH("BLACK",INVENTARIO!C89)),"BLA",
IF(ISNUMBER(SEARCH("YELLOW",INVENTARIO!C89)),"YEL",
IF(ISNUMBER(SEARCH("2 DIODOS",INVENTARIO!C89)),"2DI",
IF(ISNUMBER(SEARCH("3 DIODOS",INVENTARIO!C89)),"3DI",
IF(OR(ISNUMBER(SEARCH("TRASLUCIDO",INVENTARIO!C89)),ISNUMBER(SEARCH("TRANSLUCIDO",INVENTARIO!C89))),"TRA",
"")))))))))))))</f>
        <v>GAM-BAJ</v>
      </c>
      <c r="I89" t="str">
        <f>IF(ISNUMBER(SEARCH("SILED",INVENTARIO!C95)),"SI",
IF(ISNUMBER(SEARCH("SYDEMEX",INVENTARIO!C95)),"SY",
IF(ISNUMBER(SEARCH("ROHS",INVENTARIO!C95)),"RO",
IF(ISNUMBER(SEARCH("RISHANG",INVENTARIO!C95)),"RS",
IF(ISNUMBER(SEARCH("VYG",INVENTARIO!C95)),"VYG",
IF(ISNUMBER(SEARCH("COLED",INVENTARIO!C95)),"CO",""))))))</f>
        <v/>
      </c>
    </row>
    <row r="90" spans="1:9">
      <c r="A90" t="str">
        <f>IF(ISNUMBER(SEARCH("LONA",INVENTARIO!C90)),"LON",
IF(ISNUMBER(SEARCH("VINIL",INVENTARIO!C90)),"VIN",
IF(ISNUMBER(SEARCH("KROMACOTE",INVENTARIO!C90)),"KRO",
IF(ISNUMBER(SEARCH("STARDREAM",INVENTARIO!C90)),"STA",
IF(ISNUMBER(SEARCH("DISPLAY",INVENTARIO!C90)),"DIS",
IF(ISNUMBER(SEARCH("ROLL UP",INVENTARIO!C90)),"ROL-UP",
IF(ISNUMBER(SEARCH("TRANSFER DE PAPEL",INVENTARIO!C90)),"TRA-PAP",
IF(ISNUMBER(SEARCH("TRANSFER",INVENTARIO!C90)),"TRA",IF(ISNUMBER(SEARCH("KOLA LOKA",INVENTARIO!C90)),"KOL-LOK",
IF(ISNUMBER(SEARCH("PETG",INVENTARIO!C90)),"PET",
IF(ISNUMBER(SEARCH("OJILLO",INVENTARIO!C90)),"OJI",
IF(ISNUMBER(SEARCH("COUCHE",INVENTARIO!C90)),"COU",
IF(ISNUMBER(SEARCH("PANEL DE ALUMINIO",INVENTARIO!C90)),"PAN-ALU",
IF(ISNUMBER(SEARCH("PVC",INVENTARIO!C90)),"PVC",
IF(ISNUMBER(SEARCH("PAPEL",INVENTARIO!C90)),"PAP",
IF(ISNUMBER(SEARCH("TELA",INVENTARIO!C90)),"TEL",
IF(ISNUMBER(SEARCH("CARTULINA",INVENTARIO!C90)),"CAR",
IF(OR(ISNUMBER(SEARCH("LAMINA",INVENTARIO!C90)),ISNUMBER(SEARCH("LÁMINA",INVENTARIO!C90)),ISNUMBER(SEARCH("LAMPARAS",INVENTARIO!C90))),"LAM",
IF(ISNUMBER(SEARCH("ESTIRENO",INVENTARIO!C90)),"EST",
IF(ISNUMBER(SEARCH("FOAMBOARD",INVENTARIO!C90)),"FOA",
IF(ISNUMBER(SEARCH("SOLVENTE",INVENTARIO!C90)),"SOL",
IF(ISNUMBER(SEARCH("TINTA",INVENTARIO!C90)),"TIN",
IF(ISNUMBER(SEARCH("ACRILICO",INVENTARIO!C90)),"ACR",
IF(ISNUMBER(SEARCH("MICROLED",INVENTARIO!C90)),"MIC",
IF(ISNUMBER(SEARCH("LED",INVENTARIO!C90)),"LED",
IF(ISNUMBER(SEARCH("FUENTE DE PODER",INVENTARIO!C90)),"FUE-POD",
IF(ISNUMBER(SEARCH("PETG",INVENTARIO!C90)),"PET",
IF(ISNUMBER(SEARCH("ALUMINIO",INVENTARIO!C90)),"ALU",
IF(ISNUMBER(SEARCH("CANAL",INVENTARIO!C90)),"CAN",
IF(ISNUMBER(SEARCH("ESCUADRA",INVENTARIO!C90)),"ESC",
IF(ISNUMBER(SEARCH("SOPORTE",INVENTARIO!C90)),"SOP","OTR")
))))))))))))))))))))))))))))))</f>
        <v>PVC</v>
      </c>
      <c r="B90" t="str">
        <f>IF(ISNUMBER(SEARCH("CORTE",INVENTARIO!C90)),"COR",
IF(ISNUMBER(SEARCH("CITYLIGHT",INVENTARIO!C90)),"CIT",
IF(ISNUMBER(SEARCH("LINO",INVENTARIO!C90)),"LIN",
IF(ISNUMBER(SEARCH("FABRIANO",INVENTARIO!C90)),"FAB",
IF(ISNUMBER(SEARCH("SUNDANCE",INVENTARIO!C90)),"SUN",
IF(ISNUMBER(SEARCH("SINTETICA",INVENTARIO!C90)),"SIN",
IF(ISNUMBER(SEARCH("CONTROL",INVENTARIO!C90)),"CON",
IF(ISNUMBER(SEARCH("TERMICO",INVENTARIO!C90)),"TER",
IF(ISNUMBER(SEARCH("C-15",INVENTARIO!C90)),"C15",
IF(ISNUMBER(SEARCH("C-20",INVENTARIO!C90)),"C20",
IF(ISNUMBER(SEARCH("C-30",INVENTARIO!C90)),"C30",
IF(ISNUMBER(SEARCH("C-40",INVENTARIO!C90)),"C40",
IF(ISNUMBER(SEARCH("C-60",INVENTARIO!C90)),"C60",
IF(ISNUMBER(SEARCH("C-80",INVENTARIO!C90)),"C80",
IF(ISNUMBER(SEARCH("EQUIPO",INVENTARIO!C90)),"EQU",
IF(ISNUMBER(SEARCH("FLOOR",INVENTARIO!C90)),"FLO",
IF(ISNUMBER(SEARCH("CRISTAL",INVENTARIO!C90)),"CRI",
IF(ISNUMBER(SEARCH(" SULFATADA",INVENTARIO!C101)),"SUL",
IF(ISNUMBER(SEARCH("OPALINA",INVENTARIO!C90)),"OPA",
IF(ISNUMBER(SEARCH("ADHERIBLE",INVENTARIO!C90)),"ADH",
IF(ISNUMBER(SEARCH("MICRO",INVENTARIO!C90)),"MIC","")))))))))))))))))))))</f>
        <v/>
      </c>
      <c r="C90" t="str">
        <f>IF(ISNUMBER(SEARCH("PARED",INVENTARIO!C90)),"PAR",
IF(ISNUMBER(SEARCH("FRONT",INVENTARIO!C90)),"FRO",
IF(ISNUMBER(SEARCH("ALTA RESISTENCIA",INVENTARIO!C90)),
"ALT-RES",IF(ISNUMBER(SEARCH("BACKLITE",INVENTARIO!C90)),"BAC",
IF(ISNUMBER(SEARCH("MATE",INVENTARIO!C90)),"MAT",
IF(ISNUMBER(SEARCH("MESH",INVENTARIO!C90)),"MES",
IF(ISNUMBER(SEARCH("BRILLANTE",INVENTARIO!C90)),"BRI",
IF(ISNUMBER(SEARCH("DELGADA",INVENTARIO!C90)),"DEL",
IF(ISNUMBER(SEARCH("GRUESA",INVENTARIO!C90)),"GRU",
IF(ISNUMBER(SEARCH("ESTATICO",INVENTARIO!C90)),"EST",
IF(ISNUMBER(SEARCH("REFLECTIVO",INVENTARIO!C90)),"REF",
IF(ISNUMBER(SEARCH("LX700",INVENTARIO!C90)),"LX7",
IF(ISNUMBER(SEARCH("GRANDO",INVENTARIO!C90)),"GRA",
IF(ISNUMBER(SEARCH("FB700",INVENTARIO!C90)),"FB7",
IF(ISNUMBER(SEARCH("LX360",INVENTARIO!C90)),"LX3",
IF(ISNUMBER(SEARCH("XEROX",INVENTARIO!C90)),"XER",
IF(ISNUMBER(SEARCH("CEPILLADO",INVENTARIO!C90)),"CEP",
IF(ISNUMBER(SEARCH("ESPEJO",INVENTARIO!C90)),"ESP",
IF(ISNUMBER(SEARCH("10 PTS",INVENTARIO!C90)),"10PT",
IF(ISNUMBER(SEARCH("12 PTS",INVENTARIO!C90)),"12PT",
IF(ISNUMBER(SEARCH("14 PTS",INVENTARIO!C90)),"14PT",
IF(ISNUMBER(SEARCH("CLASICO",INVENTARIO!C90)),"CLA",
""))))))))))))))))))))))</f>
        <v/>
      </c>
      <c r="D90" t="str">
        <f>IF(ISNUMBER(SEARCH("GRAN FORMATO",INVENTARIO!C90)),"GRA-FOR",
IF(ISNUMBER(SEARCH("CAMA PLANA",INVENTARIO!C90)),"CAM-PLA",
IF(ISNUMBER(SEARCH("GRADO INGENIERIA",INVENTARIO!C90)),"GRA-ING",
IF(ISNUMBER(SEARCH("130 GRS",INVENTARIO!C90)),"130GR",
IF(ISNUMBER(SEARCH("150 GRS",INVENTARIO!C90)),"150GR",
IF(ISNUMBER(SEARCH("185 GRS",INVENTARIO!C90)),"185GR",
IF(ISNUMBER(SEARCH("200 GRS",INVENTARIO!C90)),"200GR",
IF(ISNUMBER(SEARCH("250 GRS",INVENTARIO!C90)),"250GR",
IF(ISNUMBER(SEARCH("300 GRS",INVENTARIO!C90)),"300GR",
IF(ISNUMBER(SEARCH("350 GRS",INVENTARIO!C90)),"350GR",
IF(ISNUMBER(SEARCH("18 OZ",INVENTARIO!C90)),"18OZ",
IF(ISNUMBER(SEARCH("15 OZ",INVENTARIO!C90)),"15OZ",
IF(OR(ISNUMBER(SEARCH("13 OZ",INVENTARIO!C90)),ISNUMBER(SEARCH("13 ONZAS",INVENTARIO!C90))),"13OZ",
IF(OR(ISNUMBER(SEARCH("9 OZ",INVENTARIO!C90)),ISNUMBER(SEARCH("9 ONZAS",INVENTARIO!C90))),"09OZ",
IF(ISNUMBER(SEARCH("DOBLE CARA",INVENTARIO!C90)),"DOB-CAR",
"")))))))))))))))</f>
        <v/>
      </c>
      <c r="E90" t="str">
        <f>IF(OR(ISNUMBER(SEARCH("TRANSPARENTE",INVENTARIO!C90)),ISNUMBER(SEARCH("TRANSPARENTES",INVENTARIO!C90))),"TRA",
IF(OR(ISNUMBER(SEARCH("BLANCO",INVENTARIO!C90)),ISNUMBER(SEARCH("BCO",INVENTARIO!C90))),"BLA",
IF(ISNUMBER(SEARCH("FOTOGRAFICO",INVENTARIO!C90)),"FOT",
IF(ISNUMBER(SEARCH("MARFIL",INVENTARIO!C90)),"MAR",
IF(ISNUMBER(SEARCH("VERDE",INVENTARIO!C90)),"VER",
IF(ISNUMBER(SEARCH("MORADO",INVENTARIO!C90)),"MOR",
IF(ISNUMBER(SEARCH("PLATA",INVENTARIO!C90)),"PLA",
IF(ISNUMBER(SEARCH("ORO",INVENTARIO!C90)),"ORO",
IF(ISNUMBER(SEARCH("AMARILLO",INVENTARIO!C90)),"AMA",
IF(ISNUMBER(SEARCH("NARANJA",INVENTARIO!C90)),"NAR",
IF(ISNUMBER(SEARCH("NEGRO",INVENTARIO!C90)),"NEG",
IF(ISNUMBER(SEARCH("ROJO",INVENTARIO!C90)),"ROJ",
IF(ISNUMBER(SEARCH("AZUL",INVENTARIO!C90)),"AZU","")))))))))))))</f>
        <v>BLA</v>
      </c>
      <c r="F90" t="str">
        <f>IF(ISNUMBER(SEARCH("ARLON",INVENTARIO!C90)),"ARL",
IF(ISNUMBER(SEARCH("SUNTHINKS",INVENTARIO!C90)),"SUN",
IF(ISNUMBER(SEARCH("FRIO",INVENTARIO!C90)),"FRI",
IF(ISNUMBER(SEARCH("CALIDO",INVENTARIO!C90)),"CAL",
IF(ISNUMBER(SEARCH("CEPILLADO",INVENTARIO!C90)),"CEP",
IF(ISNUMBER(SEARCH("ESPEJO",INVENTARIO!C90)),"ESP",
""))))))</f>
        <v/>
      </c>
      <c r="G90" t="str">
        <f>IF(ISNUMBER(SEARCH("LATEX",INVENTARIO!C90)),"LAT",
IF(ISNUMBER(SEARCH("RESP. NEGRO",INVENTARIO!C90)),"RES-NEG",
IF(ISNUMBER(SEARCH("RESPALDO CAFE",INVENTARIO!C90)),"RES-CAF",
IF(ISNUMBER(SEARCH("RESPALDO GRIS",INVENTARIO!C90)),"RES-GRI",
IF(ISNUMBER(SEARCH("OPTICO",INVENTARIO!C90)),"OPT",
IF(ISNUMBER(SEARCH("1,2 MM",INVENTARIO!C90)),"1MM2",
IF(ISNUMBER(SEARCH("2 MM",INVENTARIO!C90)),"2MM",
IF(ISNUMBER(SEARCH("3 MM",INVENTARIO!C90)),"3MM",
IF(ISNUMBER(SEARCH("4 MM",INVENTARIO!C90)),"4MM",
IF(ISNUMBER(SEARCH("5 MM",INVENTARIO!C90)),"5MM",
IF(ISNUMBER(SEARCH("6 MM",INVENTARIO!C90)),"6MM",
IF(ISNUMBER(SEARCH("9 MM",INVENTARIO!C90)),"9MM",
IF(ISNUMBER(SEARCH("10 MM",INVENTARIO!C90)),"10MM","")))))))))))))</f>
        <v>6MM</v>
      </c>
      <c r="H90" t="str">
        <f>IF(ISNUMBER(SEARCH("GAMA BAJA",INVENTARIO!C90)),"GAM-BAJ",
IF(ISNUMBER(SEARCH("OPTIMIZADOR",INVENTARIO!C90)),"OPT",
IF(ISNUMBER(SEARCH("OVERCOAT",INVENTARIO!C90)),"OVE",
IF(ISNUMBER(SEARCH("WHITE",INVENTARIO!C90)),"WHI",
IF(ISNUMBER(SEARCH("LIGHT CYAN",INVENTARIO!C90)),"LIG-CYA",
IF(ISNUMBER(SEARCH("CYAN",INVENTARIO!C90)),"CYA",
IF(ISNUMBER(SEARCH("LIGHT MAGENTA",INVENTARIO!C90)),"LIG-MAG",
IF(ISNUMBER(SEARCH("MAGENTA",INVENTARIO!C90)),"MAG",
IF(ISNUMBER(SEARCH("BLACK",INVENTARIO!C90)),"BLA",
IF(ISNUMBER(SEARCH("YELLOW",INVENTARIO!C90)),"YEL",
IF(ISNUMBER(SEARCH("2 DIODOS",INVENTARIO!C90)),"2DI",
IF(ISNUMBER(SEARCH("3 DIODOS",INVENTARIO!C90)),"3DI",
IF(OR(ISNUMBER(SEARCH("TRASLUCIDO",INVENTARIO!C90)),ISNUMBER(SEARCH("TRANSLUCIDO",INVENTARIO!C90))),"TRA",
"")))))))))))))</f>
        <v>GAM-BAJ</v>
      </c>
      <c r="I90" t="str">
        <f>IF(ISNUMBER(SEARCH("SILED",INVENTARIO!C96)),"SI",
IF(ISNUMBER(SEARCH("SYDEMEX",INVENTARIO!C96)),"SY",
IF(ISNUMBER(SEARCH("ROHS",INVENTARIO!C96)),"RO",
IF(ISNUMBER(SEARCH("RISHANG",INVENTARIO!C96)),"RS",
IF(ISNUMBER(SEARCH("VYG",INVENTARIO!C96)),"VYG",
IF(ISNUMBER(SEARCH("COLED",INVENTARIO!C96)),"CO",""))))))</f>
        <v/>
      </c>
    </row>
    <row r="91" spans="1:9">
      <c r="A91" t="str">
        <f>IF(ISNUMBER(SEARCH("LONA",INVENTARIO!C91)),"LON",
IF(ISNUMBER(SEARCH("VINIL",INVENTARIO!C91)),"VIN",
IF(ISNUMBER(SEARCH("KROMACOTE",INVENTARIO!C91)),"KRO",
IF(ISNUMBER(SEARCH("STARDREAM",INVENTARIO!C91)),"STA",
IF(ISNUMBER(SEARCH("DISPLAY",INVENTARIO!C91)),"DIS",
IF(ISNUMBER(SEARCH("ROLL UP",INVENTARIO!C91)),"ROL-UP",
IF(ISNUMBER(SEARCH("TRANSFER DE PAPEL",INVENTARIO!C91)),"TRA-PAP",
IF(ISNUMBER(SEARCH("TRANSFER",INVENTARIO!C91)),"TRA",IF(ISNUMBER(SEARCH("KOLA LOKA",INVENTARIO!C91)),"KOL-LOK",
IF(ISNUMBER(SEARCH("PETG",INVENTARIO!C91)),"PET",
IF(ISNUMBER(SEARCH("OJILLO",INVENTARIO!C91)),"OJI",
IF(ISNUMBER(SEARCH("COUCHE",INVENTARIO!C91)),"COU",
IF(ISNUMBER(SEARCH("PANEL DE ALUMINIO",INVENTARIO!C91)),"PAN-ALU",
IF(ISNUMBER(SEARCH("PVC",INVENTARIO!C91)),"PVC",
IF(ISNUMBER(SEARCH("PAPEL",INVENTARIO!C91)),"PAP",
IF(ISNUMBER(SEARCH("TELA",INVENTARIO!C91)),"TEL",
IF(ISNUMBER(SEARCH("CARTULINA",INVENTARIO!C91)),"CAR",
IF(OR(ISNUMBER(SEARCH("LAMINA",INVENTARIO!C91)),ISNUMBER(SEARCH("LÁMINA",INVENTARIO!C91)),ISNUMBER(SEARCH("LAMPARAS",INVENTARIO!C91))),"LAM",
IF(ISNUMBER(SEARCH("ESTIRENO",INVENTARIO!C91)),"EST",
IF(ISNUMBER(SEARCH("FOAMBOARD",INVENTARIO!C91)),"FOA",
IF(ISNUMBER(SEARCH("SOLVENTE",INVENTARIO!C91)),"SOL",
IF(ISNUMBER(SEARCH("TINTA",INVENTARIO!C91)),"TIN",
IF(ISNUMBER(SEARCH("ACRILICO",INVENTARIO!C91)),"ACR",
IF(ISNUMBER(SEARCH("MICROLED",INVENTARIO!C91)),"MIC",
IF(ISNUMBER(SEARCH("LED",INVENTARIO!C91)),"LED",
IF(ISNUMBER(SEARCH("FUENTE DE PODER",INVENTARIO!C91)),"FUE-POD",
IF(ISNUMBER(SEARCH("PETG",INVENTARIO!C91)),"PET",
IF(ISNUMBER(SEARCH("ALUMINIO",INVENTARIO!C91)),"ALU",
IF(ISNUMBER(SEARCH("CANAL",INVENTARIO!C91)),"CAN",
IF(ISNUMBER(SEARCH("ESCUADRA",INVENTARIO!C91)),"ESC",
IF(ISNUMBER(SEARCH("SOPORTE",INVENTARIO!C91)),"SOP","OTR")
))))))))))))))))))))))))))))))</f>
        <v>PVC</v>
      </c>
      <c r="B91" t="str">
        <f>IF(ISNUMBER(SEARCH("CORTE",INVENTARIO!C91)),"COR",
IF(ISNUMBER(SEARCH("CITYLIGHT",INVENTARIO!C91)),"CIT",
IF(ISNUMBER(SEARCH("LINO",INVENTARIO!C91)),"LIN",
IF(ISNUMBER(SEARCH("FABRIANO",INVENTARIO!C91)),"FAB",
IF(ISNUMBER(SEARCH("SUNDANCE",INVENTARIO!C91)),"SUN",
IF(ISNUMBER(SEARCH("SINTETICA",INVENTARIO!C91)),"SIN",
IF(ISNUMBER(SEARCH("CONTROL",INVENTARIO!C91)),"CON",
IF(ISNUMBER(SEARCH("TERMICO",INVENTARIO!C91)),"TER",
IF(ISNUMBER(SEARCH("C-15",INVENTARIO!C91)),"C15",
IF(ISNUMBER(SEARCH("C-20",INVENTARIO!C91)),"C20",
IF(ISNUMBER(SEARCH("C-30",INVENTARIO!C91)),"C30",
IF(ISNUMBER(SEARCH("C-40",INVENTARIO!C91)),"C40",
IF(ISNUMBER(SEARCH("C-60",INVENTARIO!C91)),"C60",
IF(ISNUMBER(SEARCH("C-80",INVENTARIO!C91)),"C80",
IF(ISNUMBER(SEARCH("EQUIPO",INVENTARIO!C91)),"EQU",
IF(ISNUMBER(SEARCH("FLOOR",INVENTARIO!C91)),"FLO",
IF(ISNUMBER(SEARCH("CRISTAL",INVENTARIO!C91)),"CRI",
IF(ISNUMBER(SEARCH(" SULFATADA",INVENTARIO!C102)),"SUL",
IF(ISNUMBER(SEARCH("OPALINA",INVENTARIO!C91)),"OPA",
IF(ISNUMBER(SEARCH("ADHERIBLE",INVENTARIO!C91)),"ADH",
IF(ISNUMBER(SEARCH("MICRO",INVENTARIO!C91)),"MIC","")))))))))))))))))))))</f>
        <v/>
      </c>
      <c r="C91" t="str">
        <f>IF(ISNUMBER(SEARCH("PARED",INVENTARIO!C91)),"PAR",
IF(ISNUMBER(SEARCH("FRONT",INVENTARIO!C91)),"FRO",
IF(ISNUMBER(SEARCH("ALTA RESISTENCIA",INVENTARIO!C91)),
"ALT-RES",IF(ISNUMBER(SEARCH("BACKLITE",INVENTARIO!C91)),"BAC",
IF(ISNUMBER(SEARCH("MATE",INVENTARIO!C91)),"MAT",
IF(ISNUMBER(SEARCH("MESH",INVENTARIO!C91)),"MES",
IF(ISNUMBER(SEARCH("BRILLANTE",INVENTARIO!C91)),"BRI",
IF(ISNUMBER(SEARCH("DELGADA",INVENTARIO!C91)),"DEL",
IF(ISNUMBER(SEARCH("GRUESA",INVENTARIO!C91)),"GRU",
IF(ISNUMBER(SEARCH("ESTATICO",INVENTARIO!C91)),"EST",
IF(ISNUMBER(SEARCH("REFLECTIVO",INVENTARIO!C91)),"REF",
IF(ISNUMBER(SEARCH("LX700",INVENTARIO!C91)),"LX7",
IF(ISNUMBER(SEARCH("GRANDO",INVENTARIO!C91)),"GRA",
IF(ISNUMBER(SEARCH("FB700",INVENTARIO!C91)),"FB7",
IF(ISNUMBER(SEARCH("LX360",INVENTARIO!C91)),"LX3",
IF(ISNUMBER(SEARCH("XEROX",INVENTARIO!C91)),"XER",
IF(ISNUMBER(SEARCH("CEPILLADO",INVENTARIO!C91)),"CEP",
IF(ISNUMBER(SEARCH("ESPEJO",INVENTARIO!C91)),"ESP",
IF(ISNUMBER(SEARCH("10 PTS",INVENTARIO!C91)),"10PT",
IF(ISNUMBER(SEARCH("12 PTS",INVENTARIO!C91)),"12PT",
IF(ISNUMBER(SEARCH("14 PTS",INVENTARIO!C91)),"14PT",
IF(ISNUMBER(SEARCH("CLASICO",INVENTARIO!C91)),"CLA",
""))))))))))))))))))))))</f>
        <v/>
      </c>
      <c r="D91" t="str">
        <f>IF(ISNUMBER(SEARCH("GRAN FORMATO",INVENTARIO!C91)),"GRA-FOR",
IF(ISNUMBER(SEARCH("CAMA PLANA",INVENTARIO!C91)),"CAM-PLA",
IF(ISNUMBER(SEARCH("GRADO INGENIERIA",INVENTARIO!C91)),"GRA-ING",
IF(ISNUMBER(SEARCH("130 GRS",INVENTARIO!C91)),"130GR",
IF(ISNUMBER(SEARCH("150 GRS",INVENTARIO!C91)),"150GR",
IF(ISNUMBER(SEARCH("185 GRS",INVENTARIO!C91)),"185GR",
IF(ISNUMBER(SEARCH("200 GRS",INVENTARIO!C91)),"200GR",
IF(ISNUMBER(SEARCH("250 GRS",INVENTARIO!C91)),"250GR",
IF(ISNUMBER(SEARCH("300 GRS",INVENTARIO!C91)),"300GR",
IF(ISNUMBER(SEARCH("350 GRS",INVENTARIO!C91)),"350GR",
IF(ISNUMBER(SEARCH("18 OZ",INVENTARIO!C91)),"18OZ",
IF(ISNUMBER(SEARCH("15 OZ",INVENTARIO!C91)),"15OZ",
IF(OR(ISNUMBER(SEARCH("13 OZ",INVENTARIO!C91)),ISNUMBER(SEARCH("13 ONZAS",INVENTARIO!C91))),"13OZ",
IF(OR(ISNUMBER(SEARCH("9 OZ",INVENTARIO!C91)),ISNUMBER(SEARCH("9 ONZAS",INVENTARIO!C91))),"09OZ",
IF(ISNUMBER(SEARCH("DOBLE CARA",INVENTARIO!C91)),"DOB-CAR",
"")))))))))))))))</f>
        <v/>
      </c>
      <c r="E91" t="str">
        <f>IF(OR(ISNUMBER(SEARCH("TRANSPARENTE",INVENTARIO!C91)),ISNUMBER(SEARCH("TRANSPARENTES",INVENTARIO!C91))),"TRA",
IF(OR(ISNUMBER(SEARCH("BLANCO",INVENTARIO!C91)),ISNUMBER(SEARCH("BCO",INVENTARIO!C91))),"BLA",
IF(ISNUMBER(SEARCH("FOTOGRAFICO",INVENTARIO!C91)),"FOT",
IF(ISNUMBER(SEARCH("MARFIL",INVENTARIO!C91)),"MAR",
IF(ISNUMBER(SEARCH("VERDE",INVENTARIO!C91)),"VER",
IF(ISNUMBER(SEARCH("MORADO",INVENTARIO!C91)),"MOR",
IF(ISNUMBER(SEARCH("PLATA",INVENTARIO!C91)),"PLA",
IF(ISNUMBER(SEARCH("ORO",INVENTARIO!C91)),"ORO",
IF(ISNUMBER(SEARCH("AMARILLO",INVENTARIO!C91)),"AMA",
IF(ISNUMBER(SEARCH("NARANJA",INVENTARIO!C91)),"NAR",
IF(ISNUMBER(SEARCH("NEGRO",INVENTARIO!C91)),"NEG",
IF(ISNUMBER(SEARCH("ROJO",INVENTARIO!C91)),"ROJ",
IF(ISNUMBER(SEARCH("AZUL",INVENTARIO!C91)),"AZU","")))))))))))))</f>
        <v>BLA</v>
      </c>
      <c r="F91" t="str">
        <f>IF(ISNUMBER(SEARCH("ARLON",INVENTARIO!C91)),"ARL",
IF(ISNUMBER(SEARCH("SUNTHINKS",INVENTARIO!C91)),"SUN",
IF(ISNUMBER(SEARCH("FRIO",INVENTARIO!C91)),"FRI",
IF(ISNUMBER(SEARCH("CALIDO",INVENTARIO!C91)),"CAL",
IF(ISNUMBER(SEARCH("CEPILLADO",INVENTARIO!C91)),"CEP",
IF(ISNUMBER(SEARCH("ESPEJO",INVENTARIO!C91)),"ESP",
""))))))</f>
        <v/>
      </c>
      <c r="G91" t="str">
        <f>IF(ISNUMBER(SEARCH("LATEX",INVENTARIO!C91)),"LAT",
IF(ISNUMBER(SEARCH("RESP. NEGRO",INVENTARIO!C91)),"RES-NEG",
IF(ISNUMBER(SEARCH("RESPALDO CAFE",INVENTARIO!C91)),"RES-CAF",
IF(ISNUMBER(SEARCH("RESPALDO GRIS",INVENTARIO!C91)),"RES-GRI",
IF(ISNUMBER(SEARCH("OPTICO",INVENTARIO!C91)),"OPT",
IF(ISNUMBER(SEARCH("1,2 MM",INVENTARIO!C91)),"1MM2",
IF(ISNUMBER(SEARCH("2 MM",INVENTARIO!C91)),"2MM",
IF(ISNUMBER(SEARCH("3 MM",INVENTARIO!C91)),"3MM",
IF(ISNUMBER(SEARCH("4 MM",INVENTARIO!C91)),"4MM",
IF(ISNUMBER(SEARCH("5 MM",INVENTARIO!C91)),"5MM",
IF(ISNUMBER(SEARCH("6 MM",INVENTARIO!C91)),"6MM",
IF(ISNUMBER(SEARCH("9 MM",INVENTARIO!C91)),"9MM",
IF(ISNUMBER(SEARCH("10 MM",INVENTARIO!C91)),"10MM","")))))))))))))</f>
        <v>10MM</v>
      </c>
      <c r="H91" t="str">
        <f>IF(ISNUMBER(SEARCH("GAMA BAJA",INVENTARIO!C91)),"GAM-BAJ",
IF(ISNUMBER(SEARCH("OPTIMIZADOR",INVENTARIO!C91)),"OPT",
IF(ISNUMBER(SEARCH("OVERCOAT",INVENTARIO!C91)),"OVE",
IF(ISNUMBER(SEARCH("WHITE",INVENTARIO!C91)),"WHI",
IF(ISNUMBER(SEARCH("LIGHT CYAN",INVENTARIO!C91)),"LIG-CYA",
IF(ISNUMBER(SEARCH("CYAN",INVENTARIO!C91)),"CYA",
IF(ISNUMBER(SEARCH("LIGHT MAGENTA",INVENTARIO!C91)),"LIG-MAG",
IF(ISNUMBER(SEARCH("MAGENTA",INVENTARIO!C91)),"MAG",
IF(ISNUMBER(SEARCH("BLACK",INVENTARIO!C91)),"BLA",
IF(ISNUMBER(SEARCH("YELLOW",INVENTARIO!C91)),"YEL",
IF(ISNUMBER(SEARCH("2 DIODOS",INVENTARIO!C91)),"2DI",
IF(ISNUMBER(SEARCH("3 DIODOS",INVENTARIO!C91)),"3DI",
IF(OR(ISNUMBER(SEARCH("TRASLUCIDO",INVENTARIO!C91)),ISNUMBER(SEARCH("TRANSLUCIDO",INVENTARIO!C91))),"TRA",
"")))))))))))))</f>
        <v/>
      </c>
      <c r="I91" t="str">
        <f>IF(ISNUMBER(SEARCH("SILED",INVENTARIO!C97)),"SI",
IF(ISNUMBER(SEARCH("SYDEMEX",INVENTARIO!C97)),"SY",
IF(ISNUMBER(SEARCH("ROHS",INVENTARIO!C97)),"RO",
IF(ISNUMBER(SEARCH("RISHANG",INVENTARIO!C97)),"RS",
IF(ISNUMBER(SEARCH("VYG",INVENTARIO!C97)),"VYG",
IF(ISNUMBER(SEARCH("COLED",INVENTARIO!C97)),"CO",""))))))</f>
        <v/>
      </c>
    </row>
    <row r="92" spans="1:9">
      <c r="A92" t="str">
        <f>IF(ISNUMBER(SEARCH("LONA",INVENTARIO!C92)),"LON",
IF(ISNUMBER(SEARCH("VINIL",INVENTARIO!C92)),"VIN",
IF(ISNUMBER(SEARCH("KROMACOTE",INVENTARIO!C92)),"KRO",
IF(ISNUMBER(SEARCH("STARDREAM",INVENTARIO!C92)),"STA",
IF(ISNUMBER(SEARCH("DISPLAY",INVENTARIO!C92)),"DIS",
IF(ISNUMBER(SEARCH("ROLL UP",INVENTARIO!C92)),"ROL-UP",
IF(ISNUMBER(SEARCH("TRANSFER DE PAPEL",INVENTARIO!C92)),"TRA-PAP",
IF(ISNUMBER(SEARCH("TRANSFER",INVENTARIO!C92)),"TRA",IF(ISNUMBER(SEARCH("KOLA LOKA",INVENTARIO!C92)),"KOL-LOK",
IF(ISNUMBER(SEARCH("PETG",INVENTARIO!C92)),"PET",
IF(ISNUMBER(SEARCH("OJILLO",INVENTARIO!C92)),"OJI",
IF(ISNUMBER(SEARCH("COUCHE",INVENTARIO!C92)),"COU",
IF(ISNUMBER(SEARCH("PANEL DE ALUMINIO",INVENTARIO!C92)),"PAN-ALU",
IF(ISNUMBER(SEARCH("PVC",INVENTARIO!C92)),"PVC",
IF(ISNUMBER(SEARCH("PAPEL",INVENTARIO!C92)),"PAP",
IF(ISNUMBER(SEARCH("TELA",INVENTARIO!C92)),"TEL",
IF(ISNUMBER(SEARCH("CARTULINA",INVENTARIO!C92)),"CAR",
IF(OR(ISNUMBER(SEARCH("LAMINA",INVENTARIO!C92)),ISNUMBER(SEARCH("LÁMINA",INVENTARIO!C92)),ISNUMBER(SEARCH("LAMPARAS",INVENTARIO!C92))),"LAM",
IF(ISNUMBER(SEARCH("ESTIRENO",INVENTARIO!C92)),"EST",
IF(ISNUMBER(SEARCH("FOAMBOARD",INVENTARIO!C92)),"FOA",
IF(ISNUMBER(SEARCH("SOLVENTE",INVENTARIO!C92)),"SOL",
IF(ISNUMBER(SEARCH("TINTA",INVENTARIO!C92)),"TIN",
IF(ISNUMBER(SEARCH("ACRILICO",INVENTARIO!C92)),"ACR",
IF(ISNUMBER(SEARCH("MICROLED",INVENTARIO!C92)),"MIC",
IF(ISNUMBER(SEARCH("LED",INVENTARIO!C92)),"LED",
IF(ISNUMBER(SEARCH("FUENTE DE PODER",INVENTARIO!C92)),"FUE-POD",
IF(ISNUMBER(SEARCH("PETG",INVENTARIO!C92)),"PET",
IF(ISNUMBER(SEARCH("ALUMINIO",INVENTARIO!C92)),"ALU",
IF(ISNUMBER(SEARCH("CANAL",INVENTARIO!C92)),"CAN",
IF(ISNUMBER(SEARCH("ESCUADRA",INVENTARIO!C92)),"ESC",
IF(ISNUMBER(SEARCH("SOPORTE",INVENTARIO!C92)),"SOP","OTR")
))))))))))))))))))))))))))))))</f>
        <v>OTR</v>
      </c>
      <c r="B92" t="str">
        <f>IF(ISNUMBER(SEARCH("CORTE",INVENTARIO!C92)),"COR",
IF(ISNUMBER(SEARCH("CITYLIGHT",INVENTARIO!C92)),"CIT",
IF(ISNUMBER(SEARCH("LINO",INVENTARIO!C92)),"LIN",
IF(ISNUMBER(SEARCH("FABRIANO",INVENTARIO!C92)),"FAB",
IF(ISNUMBER(SEARCH("SUNDANCE",INVENTARIO!C92)),"SUN",
IF(ISNUMBER(SEARCH("SINTETICA",INVENTARIO!C92)),"SIN",
IF(ISNUMBER(SEARCH("CONTROL",INVENTARIO!C92)),"CON",
IF(ISNUMBER(SEARCH("TERMICO",INVENTARIO!C92)),"TER",
IF(ISNUMBER(SEARCH("C-15",INVENTARIO!C92)),"C15",
IF(ISNUMBER(SEARCH("C-20",INVENTARIO!C92)),"C20",
IF(ISNUMBER(SEARCH("C-30",INVENTARIO!C92)),"C30",
IF(ISNUMBER(SEARCH("C-40",INVENTARIO!C92)),"C40",
IF(ISNUMBER(SEARCH("C-60",INVENTARIO!C92)),"C60",
IF(ISNUMBER(SEARCH("C-80",INVENTARIO!C92)),"C80",
IF(ISNUMBER(SEARCH("EQUIPO",INVENTARIO!C92)),"EQU",
IF(ISNUMBER(SEARCH("FLOOR",INVENTARIO!C92)),"FLO",
IF(ISNUMBER(SEARCH("CRISTAL",INVENTARIO!C92)),"CRI",
IF(ISNUMBER(SEARCH(" SULFATADA",INVENTARIO!C103)),"SUL",
IF(ISNUMBER(SEARCH("OPALINA",INVENTARIO!C92)),"OPA",
IF(ISNUMBER(SEARCH("ADHERIBLE",INVENTARIO!C92)),"ADH",
IF(ISNUMBER(SEARCH("MICRO",INVENTARIO!C92)),"MIC","")))))))))))))))))))))</f>
        <v/>
      </c>
      <c r="C92" t="str">
        <f>IF(ISNUMBER(SEARCH("PARED",INVENTARIO!C92)),"PAR",
IF(ISNUMBER(SEARCH("FRONT",INVENTARIO!C92)),"FRO",
IF(ISNUMBER(SEARCH("ALTA RESISTENCIA",INVENTARIO!C92)),
"ALT-RES",IF(ISNUMBER(SEARCH("BACKLITE",INVENTARIO!C92)),"BAC",
IF(ISNUMBER(SEARCH("MATE",INVENTARIO!C92)),"MAT",
IF(ISNUMBER(SEARCH("MESH",INVENTARIO!C92)),"MES",
IF(ISNUMBER(SEARCH("BRILLANTE",INVENTARIO!C92)),"BRI",
IF(ISNUMBER(SEARCH("DELGADA",INVENTARIO!C92)),"DEL",
IF(ISNUMBER(SEARCH("GRUESA",INVENTARIO!C92)),"GRU",
IF(ISNUMBER(SEARCH("ESTATICO",INVENTARIO!C92)),"EST",
IF(ISNUMBER(SEARCH("REFLECTIVO",INVENTARIO!C92)),"REF",
IF(ISNUMBER(SEARCH("LX700",INVENTARIO!C92)),"LX7",
IF(ISNUMBER(SEARCH("GRANDO",INVENTARIO!C92)),"GRA",
IF(ISNUMBER(SEARCH("FB700",INVENTARIO!C92)),"FB7",
IF(ISNUMBER(SEARCH("LX360",INVENTARIO!C92)),"LX3",
IF(ISNUMBER(SEARCH("XEROX",INVENTARIO!C92)),"XER",
IF(ISNUMBER(SEARCH("CEPILLADO",INVENTARIO!C92)),"CEP",
IF(ISNUMBER(SEARCH("ESPEJO",INVENTARIO!C92)),"ESP",
IF(ISNUMBER(SEARCH("10 PTS",INVENTARIO!C92)),"10PT",
IF(ISNUMBER(SEARCH("12 PTS",INVENTARIO!C92)),"12PT",
IF(ISNUMBER(SEARCH("14 PTS",INVENTARIO!C92)),"14PT",
IF(ISNUMBER(SEARCH("CLASICO",INVENTARIO!C92)),"CLA",
""))))))))))))))))))))))</f>
        <v/>
      </c>
      <c r="D92" t="str">
        <f>IF(ISNUMBER(SEARCH("GRAN FORMATO",INVENTARIO!C92)),"GRA-FOR",
IF(ISNUMBER(SEARCH("CAMA PLANA",INVENTARIO!C92)),"CAM-PLA",
IF(ISNUMBER(SEARCH("GRADO INGENIERIA",INVENTARIO!C92)),"GRA-ING",
IF(ISNUMBER(SEARCH("130 GRS",INVENTARIO!C92)),"130GR",
IF(ISNUMBER(SEARCH("150 GRS",INVENTARIO!C92)),"150GR",
IF(ISNUMBER(SEARCH("185 GRS",INVENTARIO!C92)),"185GR",
IF(ISNUMBER(SEARCH("200 GRS",INVENTARIO!C92)),"200GR",
IF(ISNUMBER(SEARCH("250 GRS",INVENTARIO!C92)),"250GR",
IF(ISNUMBER(SEARCH("300 GRS",INVENTARIO!C92)),"300GR",
IF(ISNUMBER(SEARCH("350 GRS",INVENTARIO!C92)),"350GR",
IF(ISNUMBER(SEARCH("18 OZ",INVENTARIO!C92)),"18OZ",
IF(ISNUMBER(SEARCH("15 OZ",INVENTARIO!C92)),"15OZ",
IF(OR(ISNUMBER(SEARCH("13 OZ",INVENTARIO!C92)),ISNUMBER(SEARCH("13 ONZAS",INVENTARIO!C92))),"13OZ",
IF(OR(ISNUMBER(SEARCH("9 OZ",INVENTARIO!C92)),ISNUMBER(SEARCH("9 ONZAS",INVENTARIO!C92))),"09OZ",
IF(ISNUMBER(SEARCH("DOBLE CARA",INVENTARIO!C92)),"DOB-CAR",
"")))))))))))))))</f>
        <v/>
      </c>
      <c r="E92" t="str">
        <f>IF(OR(ISNUMBER(SEARCH("TRANSPARENTE",INVENTARIO!C92)),ISNUMBER(SEARCH("TRANSPARENTES",INVENTARIO!C92))),"TRA",
IF(OR(ISNUMBER(SEARCH("BLANCO",INVENTARIO!C92)),ISNUMBER(SEARCH("BCO",INVENTARIO!C92))),"BLA",
IF(ISNUMBER(SEARCH("FOTOGRAFICO",INVENTARIO!C92)),"FOT",
IF(ISNUMBER(SEARCH("MARFIL",INVENTARIO!C92)),"MAR",
IF(ISNUMBER(SEARCH("VERDE",INVENTARIO!C92)),"VER",
IF(ISNUMBER(SEARCH("MORADO",INVENTARIO!C92)),"MOR",
IF(ISNUMBER(SEARCH("PLATA",INVENTARIO!C92)),"PLA",
IF(ISNUMBER(SEARCH("ORO",INVENTARIO!C92)),"ORO",
IF(ISNUMBER(SEARCH("AMARILLO",INVENTARIO!C92)),"AMA",
IF(ISNUMBER(SEARCH("NARANJA",INVENTARIO!C92)),"NAR",
IF(ISNUMBER(SEARCH("NEGRO",INVENTARIO!C92)),"NEG",
IF(ISNUMBER(SEARCH("ROJO",INVENTARIO!C92)),"ROJ",
IF(ISNUMBER(SEARCH("AZUL",INVENTARIO!C92)),"AZU","")))))))))))))</f>
        <v/>
      </c>
      <c r="F92" t="str">
        <f>IF(ISNUMBER(SEARCH("ARLON",INVENTARIO!C92)),"ARL",
IF(ISNUMBER(SEARCH("SUNTHINKS",INVENTARIO!C92)),"SUN",
IF(ISNUMBER(SEARCH("FRIO",INVENTARIO!C92)),"FRI",
IF(ISNUMBER(SEARCH("CALIDO",INVENTARIO!C92)),"CAL",
IF(ISNUMBER(SEARCH("CEPILLADO",INVENTARIO!C92)),"CEP",
IF(ISNUMBER(SEARCH("ESPEJO",INVENTARIO!C92)),"ESP",
""))))))</f>
        <v/>
      </c>
      <c r="G92" t="str">
        <f>IF(ISNUMBER(SEARCH("LATEX",INVENTARIO!C92)),"LAT",
IF(ISNUMBER(SEARCH("RESP. NEGRO",INVENTARIO!C92)),"RES-NEG",
IF(ISNUMBER(SEARCH("RESPALDO CAFE",INVENTARIO!C92)),"RES-CAF",
IF(ISNUMBER(SEARCH("RESPALDO GRIS",INVENTARIO!C92)),"RES-GRI",
IF(ISNUMBER(SEARCH("OPTICO",INVENTARIO!C92)),"OPT",
IF(ISNUMBER(SEARCH("1,2 MM",INVENTARIO!C92)),"1MM2",
IF(ISNUMBER(SEARCH("2 MM",INVENTARIO!C92)),"2MM",
IF(ISNUMBER(SEARCH("3 MM",INVENTARIO!C92)),"3MM",
IF(ISNUMBER(SEARCH("4 MM",INVENTARIO!C92)),"4MM",
IF(ISNUMBER(SEARCH("5 MM",INVENTARIO!C92)),"5MM",
IF(ISNUMBER(SEARCH("6 MM",INVENTARIO!C92)),"6MM",
IF(ISNUMBER(SEARCH("9 MM",INVENTARIO!C92)),"9MM",
IF(ISNUMBER(SEARCH("10 MM",INVENTARIO!C92)),"10MM","")))))))))))))</f>
        <v/>
      </c>
      <c r="H92" t="str">
        <f>IF(ISNUMBER(SEARCH("GAMA BAJA",INVENTARIO!C92)),"GAM-BAJ",
IF(ISNUMBER(SEARCH("OPTIMIZADOR",INVENTARIO!C92)),"OPT",
IF(ISNUMBER(SEARCH("OVERCOAT",INVENTARIO!C92)),"OVE",
IF(ISNUMBER(SEARCH("WHITE",INVENTARIO!C92)),"WHI",
IF(ISNUMBER(SEARCH("LIGHT CYAN",INVENTARIO!C92)),"LIG-CYA",
IF(ISNUMBER(SEARCH("CYAN",INVENTARIO!C92)),"CYA",
IF(ISNUMBER(SEARCH("LIGHT MAGENTA",INVENTARIO!C92)),"LIG-MAG",
IF(ISNUMBER(SEARCH("MAGENTA",INVENTARIO!C92)),"MAG",
IF(ISNUMBER(SEARCH("BLACK",INVENTARIO!C92)),"BLA",
IF(ISNUMBER(SEARCH("YELLOW",INVENTARIO!C92)),"YEL",
IF(ISNUMBER(SEARCH("2 DIODOS",INVENTARIO!C92)),"2DI",
IF(ISNUMBER(SEARCH("3 DIODOS",INVENTARIO!C92)),"3DI",
IF(OR(ISNUMBER(SEARCH("TRASLUCIDO",INVENTARIO!C92)),ISNUMBER(SEARCH("TRANSLUCIDO",INVENTARIO!C92))),"TRA",
"")))))))))))))</f>
        <v/>
      </c>
      <c r="I92" t="str">
        <f>IF(ISNUMBER(SEARCH("SILED",INVENTARIO!C98)),"SI",
IF(ISNUMBER(SEARCH("SYDEMEX",INVENTARIO!C98)),"SY",
IF(ISNUMBER(SEARCH("ROHS",INVENTARIO!C98)),"RO",
IF(ISNUMBER(SEARCH("RISHANG",INVENTARIO!C98)),"RS",
IF(ISNUMBER(SEARCH("VYG",INVENTARIO!C98)),"VYG",
IF(ISNUMBER(SEARCH("COLED",INVENTARIO!C98)),"CO",""))))))</f>
        <v/>
      </c>
    </row>
    <row r="93" spans="1:9">
      <c r="A93" t="str">
        <f>IF(ISNUMBER(SEARCH("LONA",INVENTARIO!C93)),"LON",
IF(ISNUMBER(SEARCH("VINIL",INVENTARIO!C93)),"VIN",
IF(ISNUMBER(SEARCH("KROMACOTE",INVENTARIO!C93)),"KRO",
IF(ISNUMBER(SEARCH("STARDREAM",INVENTARIO!C93)),"STA",
IF(ISNUMBER(SEARCH("DISPLAY",INVENTARIO!C93)),"DIS",
IF(ISNUMBER(SEARCH("ROLL UP",INVENTARIO!C93)),"ROL-UP",
IF(ISNUMBER(SEARCH("TRANSFER DE PAPEL",INVENTARIO!C93)),"TRA-PAP",
IF(ISNUMBER(SEARCH("TRANSFER",INVENTARIO!C93)),"TRA",IF(ISNUMBER(SEARCH("KOLA LOKA",INVENTARIO!C93)),"KOL-LOK",
IF(ISNUMBER(SEARCH("PETG",INVENTARIO!C93)),"PET",
IF(ISNUMBER(SEARCH("OJILLO",INVENTARIO!C93)),"OJI",
IF(ISNUMBER(SEARCH("COUCHE",INVENTARIO!C93)),"COU",
IF(ISNUMBER(SEARCH("PANEL DE ALUMINIO",INVENTARIO!C93)),"PAN-ALU",
IF(ISNUMBER(SEARCH("PVC",INVENTARIO!C93)),"PVC",
IF(ISNUMBER(SEARCH("PAPEL",INVENTARIO!C93)),"PAP",
IF(ISNUMBER(SEARCH("TELA",INVENTARIO!C93)),"TEL",
IF(ISNUMBER(SEARCH("CARTULINA",INVENTARIO!C93)),"CAR",
IF(OR(ISNUMBER(SEARCH("LAMINA",INVENTARIO!C93)),ISNUMBER(SEARCH("LÁMINA",INVENTARIO!C93)),ISNUMBER(SEARCH("LAMPARAS",INVENTARIO!C93))),"LAM",
IF(ISNUMBER(SEARCH("ESTIRENO",INVENTARIO!C93)),"EST",
IF(ISNUMBER(SEARCH("FOAMBOARD",INVENTARIO!C93)),"FOA",
IF(ISNUMBER(SEARCH("SOLVENTE",INVENTARIO!C93)),"SOL",
IF(ISNUMBER(SEARCH("TINTA",INVENTARIO!C93)),"TIN",
IF(ISNUMBER(SEARCH("ACRILICO",INVENTARIO!C93)),"ACR",
IF(ISNUMBER(SEARCH("MICROLED",INVENTARIO!C93)),"MIC",
IF(ISNUMBER(SEARCH("LED",INVENTARIO!C93)),"LED",
IF(ISNUMBER(SEARCH("FUENTE DE PODER",INVENTARIO!C93)),"FUE-POD",
IF(ISNUMBER(SEARCH("PETG",INVENTARIO!C93)),"PET",
IF(ISNUMBER(SEARCH("ALUMINIO",INVENTARIO!C93)),"ALU",
IF(ISNUMBER(SEARCH("CANAL",INVENTARIO!C93)),"CAN",
IF(ISNUMBER(SEARCH("ESCUADRA",INVENTARIO!C93)),"ESC",
IF(ISNUMBER(SEARCH("SOPORTE",INVENTARIO!C93)),"SOP","OTR")
))))))))))))))))))))))))))))))</f>
        <v>OTR</v>
      </c>
      <c r="B93" t="str">
        <f>IF(ISNUMBER(SEARCH("CORTE",INVENTARIO!C93)),"COR",
IF(ISNUMBER(SEARCH("CITYLIGHT",INVENTARIO!C93)),"CIT",
IF(ISNUMBER(SEARCH("LINO",INVENTARIO!C93)),"LIN",
IF(ISNUMBER(SEARCH("FABRIANO",INVENTARIO!C93)),"FAB",
IF(ISNUMBER(SEARCH("SUNDANCE",INVENTARIO!C93)),"SUN",
IF(ISNUMBER(SEARCH("SINTETICA",INVENTARIO!C93)),"SIN",
IF(ISNUMBER(SEARCH("CONTROL",INVENTARIO!C93)),"CON",
IF(ISNUMBER(SEARCH("TERMICO",INVENTARIO!C93)),"TER",
IF(ISNUMBER(SEARCH("C-15",INVENTARIO!C93)),"C15",
IF(ISNUMBER(SEARCH("C-20",INVENTARIO!C93)),"C20",
IF(ISNUMBER(SEARCH("C-30",INVENTARIO!C93)),"C30",
IF(ISNUMBER(SEARCH("C-40",INVENTARIO!C93)),"C40",
IF(ISNUMBER(SEARCH("C-60",INVENTARIO!C93)),"C60",
IF(ISNUMBER(SEARCH("C-80",INVENTARIO!C93)),"C80",
IF(ISNUMBER(SEARCH("EQUIPO",INVENTARIO!C93)),"EQU",
IF(ISNUMBER(SEARCH("FLOOR",INVENTARIO!C93)),"FLO",
IF(ISNUMBER(SEARCH("CRISTAL",INVENTARIO!C93)),"CRI",
IF(ISNUMBER(SEARCH(" SULFATADA",INVENTARIO!C104)),"SUL",
IF(ISNUMBER(SEARCH("OPALINA",INVENTARIO!C93)),"OPA",
IF(ISNUMBER(SEARCH("ADHERIBLE",INVENTARIO!C93)),"ADH",
IF(ISNUMBER(SEARCH("MICRO",INVENTARIO!C93)),"MIC","")))))))))))))))))))))</f>
        <v/>
      </c>
      <c r="C93" t="str">
        <f>IF(ISNUMBER(SEARCH("PARED",INVENTARIO!C93)),"PAR",
IF(ISNUMBER(SEARCH("FRONT",INVENTARIO!C93)),"FRO",
IF(ISNUMBER(SEARCH("ALTA RESISTENCIA",INVENTARIO!C93)),
"ALT-RES",IF(ISNUMBER(SEARCH("BACKLITE",INVENTARIO!C93)),"BAC",
IF(ISNUMBER(SEARCH("MATE",INVENTARIO!C93)),"MAT",
IF(ISNUMBER(SEARCH("MESH",INVENTARIO!C93)),"MES",
IF(ISNUMBER(SEARCH("BRILLANTE",INVENTARIO!C93)),"BRI",
IF(ISNUMBER(SEARCH("DELGADA",INVENTARIO!C93)),"DEL",
IF(ISNUMBER(SEARCH("GRUESA",INVENTARIO!C93)),"GRU",
IF(ISNUMBER(SEARCH("ESTATICO",INVENTARIO!C93)),"EST",
IF(ISNUMBER(SEARCH("REFLECTIVO",INVENTARIO!C93)),"REF",
IF(ISNUMBER(SEARCH("LX700",INVENTARIO!C93)),"LX7",
IF(ISNUMBER(SEARCH("GRANDO",INVENTARIO!C93)),"GRA",
IF(ISNUMBER(SEARCH("FB700",INVENTARIO!C93)),"FB7",
IF(ISNUMBER(SEARCH("LX360",INVENTARIO!C93)),"LX3",
IF(ISNUMBER(SEARCH("XEROX",INVENTARIO!C93)),"XER",
IF(ISNUMBER(SEARCH("CEPILLADO",INVENTARIO!C93)),"CEP",
IF(ISNUMBER(SEARCH("ESPEJO",INVENTARIO!C93)),"ESP",
IF(ISNUMBER(SEARCH("10 PTS",INVENTARIO!C93)),"10PT",
IF(ISNUMBER(SEARCH("12 PTS",INVENTARIO!C93)),"12PT",
IF(ISNUMBER(SEARCH("14 PTS",INVENTARIO!C93)),"14PT",
IF(ISNUMBER(SEARCH("CLASICO",INVENTARIO!C93)),"CLA",
""))))))))))))))))))))))</f>
        <v/>
      </c>
      <c r="D93" t="str">
        <f>IF(ISNUMBER(SEARCH("GRAN FORMATO",INVENTARIO!C93)),"GRA-FOR",
IF(ISNUMBER(SEARCH("CAMA PLANA",INVENTARIO!C93)),"CAM-PLA",
IF(ISNUMBER(SEARCH("GRADO INGENIERIA",INVENTARIO!C93)),"GRA-ING",
IF(ISNUMBER(SEARCH("130 GRS",INVENTARIO!C93)),"130GR",
IF(ISNUMBER(SEARCH("150 GRS",INVENTARIO!C93)),"150GR",
IF(ISNUMBER(SEARCH("185 GRS",INVENTARIO!C93)),"185GR",
IF(ISNUMBER(SEARCH("200 GRS",INVENTARIO!C93)),"200GR",
IF(ISNUMBER(SEARCH("250 GRS",INVENTARIO!C93)),"250GR",
IF(ISNUMBER(SEARCH("300 GRS",INVENTARIO!C93)),"300GR",
IF(ISNUMBER(SEARCH("350 GRS",INVENTARIO!C93)),"350GR",
IF(ISNUMBER(SEARCH("18 OZ",INVENTARIO!C93)),"18OZ",
IF(ISNUMBER(SEARCH("15 OZ",INVENTARIO!C93)),"15OZ",
IF(OR(ISNUMBER(SEARCH("13 OZ",INVENTARIO!C93)),ISNUMBER(SEARCH("13 ONZAS",INVENTARIO!C93))),"13OZ",
IF(OR(ISNUMBER(SEARCH("9 OZ",INVENTARIO!C93)),ISNUMBER(SEARCH("9 ONZAS",INVENTARIO!C93))),"09OZ",
IF(ISNUMBER(SEARCH("DOBLE CARA",INVENTARIO!C93)),"DOB-CAR",
"")))))))))))))))</f>
        <v/>
      </c>
      <c r="E93" t="str">
        <f>IF(OR(ISNUMBER(SEARCH("TRANSPARENTE",INVENTARIO!C93)),ISNUMBER(SEARCH("TRANSPARENTES",INVENTARIO!C93))),"TRA",
IF(OR(ISNUMBER(SEARCH("BLANCO",INVENTARIO!C93)),ISNUMBER(SEARCH("BCO",INVENTARIO!C93))),"BLA",
IF(ISNUMBER(SEARCH("FOTOGRAFICO",INVENTARIO!C93)),"FOT",
IF(ISNUMBER(SEARCH("MARFIL",INVENTARIO!C93)),"MAR",
IF(ISNUMBER(SEARCH("VERDE",INVENTARIO!C93)),"VER",
IF(ISNUMBER(SEARCH("MORADO",INVENTARIO!C93)),"MOR",
IF(ISNUMBER(SEARCH("PLATA",INVENTARIO!C93)),"PLA",
IF(ISNUMBER(SEARCH("ORO",INVENTARIO!C93)),"ORO",
IF(ISNUMBER(SEARCH("AMARILLO",INVENTARIO!C93)),"AMA",
IF(ISNUMBER(SEARCH("NARANJA",INVENTARIO!C93)),"NAR",
IF(ISNUMBER(SEARCH("NEGRO",INVENTARIO!C93)),"NEG",
IF(ISNUMBER(SEARCH("ROJO",INVENTARIO!C93)),"ROJ",
IF(ISNUMBER(SEARCH("AZUL",INVENTARIO!C93)),"AZU","")))))))))))))</f>
        <v>ORO</v>
      </c>
      <c r="F93" t="str">
        <f>IF(ISNUMBER(SEARCH("ARLON",INVENTARIO!C93)),"ARL",
IF(ISNUMBER(SEARCH("SUNTHINKS",INVENTARIO!C93)),"SUN",
IF(ISNUMBER(SEARCH("FRIO",INVENTARIO!C93)),"FRI",
IF(ISNUMBER(SEARCH("CALIDO",INVENTARIO!C93)),"CAL",
IF(ISNUMBER(SEARCH("CEPILLADO",INVENTARIO!C93)),"CEP",
IF(ISNUMBER(SEARCH("ESPEJO",INVENTARIO!C93)),"ESP",
""))))))</f>
        <v/>
      </c>
      <c r="G93" t="str">
        <f>IF(ISNUMBER(SEARCH("LATEX",INVENTARIO!C93)),"LAT",
IF(ISNUMBER(SEARCH("RESP. NEGRO",INVENTARIO!C93)),"RES-NEG",
IF(ISNUMBER(SEARCH("RESPALDO CAFE",INVENTARIO!C93)),"RES-CAF",
IF(ISNUMBER(SEARCH("RESPALDO GRIS",INVENTARIO!C93)),"RES-GRI",
IF(ISNUMBER(SEARCH("OPTICO",INVENTARIO!C93)),"OPT",
IF(ISNUMBER(SEARCH("1,2 MM",INVENTARIO!C93)),"1MM2",
IF(ISNUMBER(SEARCH("2 MM",INVENTARIO!C93)),"2MM",
IF(ISNUMBER(SEARCH("3 MM",INVENTARIO!C93)),"3MM",
IF(ISNUMBER(SEARCH("4 MM",INVENTARIO!C93)),"4MM",
IF(ISNUMBER(SEARCH("5 MM",INVENTARIO!C93)),"5MM",
IF(ISNUMBER(SEARCH("6 MM",INVENTARIO!C93)),"6MM",
IF(ISNUMBER(SEARCH("9 MM",INVENTARIO!C93)),"9MM",
IF(ISNUMBER(SEARCH("10 MM",INVENTARIO!C93)),"10MM","")))))))))))))</f>
        <v>4MM</v>
      </c>
      <c r="H93" t="str">
        <f>IF(ISNUMBER(SEARCH("GAMA BAJA",INVENTARIO!C93)),"GAM-BAJ",
IF(ISNUMBER(SEARCH("OPTIMIZADOR",INVENTARIO!C93)),"OPT",
IF(ISNUMBER(SEARCH("OVERCOAT",INVENTARIO!C93)),"OVE",
IF(ISNUMBER(SEARCH("WHITE",INVENTARIO!C93)),"WHI",
IF(ISNUMBER(SEARCH("LIGHT CYAN",INVENTARIO!C93)),"LIG-CYA",
IF(ISNUMBER(SEARCH("CYAN",INVENTARIO!C93)),"CYA",
IF(ISNUMBER(SEARCH("LIGHT MAGENTA",INVENTARIO!C93)),"LIG-MAG",
IF(ISNUMBER(SEARCH("MAGENTA",INVENTARIO!C93)),"MAG",
IF(ISNUMBER(SEARCH("BLACK",INVENTARIO!C93)),"BLA",
IF(ISNUMBER(SEARCH("YELLOW",INVENTARIO!C93)),"YEL",
IF(ISNUMBER(SEARCH("2 DIODOS",INVENTARIO!C93)),"2DI",
IF(ISNUMBER(SEARCH("3 DIODOS",INVENTARIO!C93)),"3DI",
IF(OR(ISNUMBER(SEARCH("TRASLUCIDO",INVENTARIO!C93)),ISNUMBER(SEARCH("TRANSLUCIDO",INVENTARIO!C93))),"TRA",
"")))))))))))))</f>
        <v/>
      </c>
      <c r="I93" t="str">
        <f>IF(ISNUMBER(SEARCH("SILED",INVENTARIO!C99)),"SI",
IF(ISNUMBER(SEARCH("SYDEMEX",INVENTARIO!C99)),"SY",
IF(ISNUMBER(SEARCH("ROHS",INVENTARIO!C99)),"RO",
IF(ISNUMBER(SEARCH("RISHANG",INVENTARIO!C99)),"RS",
IF(ISNUMBER(SEARCH("VYG",INVENTARIO!C99)),"VYG",
IF(ISNUMBER(SEARCH("COLED",INVENTARIO!C99)),"CO",""))))))</f>
        <v/>
      </c>
    </row>
    <row r="94" spans="1:9">
      <c r="A94" t="str">
        <f>IF(ISNUMBER(SEARCH("LONA",INVENTARIO!C94)),"LON",
IF(ISNUMBER(SEARCH("VINIL",INVENTARIO!C94)),"VIN",
IF(ISNUMBER(SEARCH("KROMACOTE",INVENTARIO!C94)),"KRO",
IF(ISNUMBER(SEARCH("STARDREAM",INVENTARIO!C94)),"STA",
IF(ISNUMBER(SEARCH("DISPLAY",INVENTARIO!C94)),"DIS",
IF(ISNUMBER(SEARCH("ROLL UP",INVENTARIO!C94)),"ROL-UP",
IF(ISNUMBER(SEARCH("TRANSFER DE PAPEL",INVENTARIO!C94)),"TRA-PAP",
IF(ISNUMBER(SEARCH("TRANSFER",INVENTARIO!C94)),"TRA",IF(ISNUMBER(SEARCH("KOLA LOKA",INVENTARIO!C94)),"KOL-LOK",
IF(ISNUMBER(SEARCH("PETG",INVENTARIO!C94)),"PET",
IF(ISNUMBER(SEARCH("OJILLO",INVENTARIO!C94)),"OJI",
IF(ISNUMBER(SEARCH("COUCHE",INVENTARIO!C94)),"COU",
IF(ISNUMBER(SEARCH("PANEL DE ALUMINIO",INVENTARIO!C94)),"PAN-ALU",
IF(ISNUMBER(SEARCH("PVC",INVENTARIO!C94)),"PVC",
IF(ISNUMBER(SEARCH("PAPEL",INVENTARIO!C94)),"PAP",
IF(ISNUMBER(SEARCH("TELA",INVENTARIO!C94)),"TEL",
IF(ISNUMBER(SEARCH("CARTULINA",INVENTARIO!C94)),"CAR",
IF(OR(ISNUMBER(SEARCH("LAMINA",INVENTARIO!C94)),ISNUMBER(SEARCH("LÁMINA",INVENTARIO!C94)),ISNUMBER(SEARCH("LAMPARAS",INVENTARIO!C94))),"LAM",
IF(ISNUMBER(SEARCH("ESTIRENO",INVENTARIO!C94)),"EST",
IF(ISNUMBER(SEARCH("FOAMBOARD",INVENTARIO!C94)),"FOA",
IF(ISNUMBER(SEARCH("SOLVENTE",INVENTARIO!C94)),"SOL",
IF(ISNUMBER(SEARCH("TINTA",INVENTARIO!C94)),"TIN",
IF(ISNUMBER(SEARCH("ACRILICO",INVENTARIO!C94)),"ACR",
IF(ISNUMBER(SEARCH("MICROLED",INVENTARIO!C94)),"MIC",
IF(ISNUMBER(SEARCH("LED",INVENTARIO!C94)),"LED",
IF(ISNUMBER(SEARCH("FUENTE DE PODER",INVENTARIO!C94)),"FUE-POD",
IF(ISNUMBER(SEARCH("PETG",INVENTARIO!C94)),"PET",
IF(ISNUMBER(SEARCH("ALUMINIO",INVENTARIO!C94)),"ALU",
IF(ISNUMBER(SEARCH("CANAL",INVENTARIO!C94)),"CAN",
IF(ISNUMBER(SEARCH("ESCUADRA",INVENTARIO!C94)),"ESC",
IF(ISNUMBER(SEARCH("SOPORTE",INVENTARIO!C94)),"SOP","OTR")
))))))))))))))))))))))))))))))</f>
        <v>FOA</v>
      </c>
      <c r="B94" t="str">
        <f>IF(ISNUMBER(SEARCH("CORTE",INVENTARIO!C94)),"COR",
IF(ISNUMBER(SEARCH("CITYLIGHT",INVENTARIO!C94)),"CIT",
IF(ISNUMBER(SEARCH("LINO",INVENTARIO!C94)),"LIN",
IF(ISNUMBER(SEARCH("FABRIANO",INVENTARIO!C94)),"FAB",
IF(ISNUMBER(SEARCH("SUNDANCE",INVENTARIO!C94)),"SUN",
IF(ISNUMBER(SEARCH("SINTETICA",INVENTARIO!C94)),"SIN",
IF(ISNUMBER(SEARCH("CONTROL",INVENTARIO!C94)),"CON",
IF(ISNUMBER(SEARCH("TERMICO",INVENTARIO!C94)),"TER",
IF(ISNUMBER(SEARCH("C-15",INVENTARIO!C94)),"C15",
IF(ISNUMBER(SEARCH("C-20",INVENTARIO!C94)),"C20",
IF(ISNUMBER(SEARCH("C-30",INVENTARIO!C94)),"C30",
IF(ISNUMBER(SEARCH("C-40",INVENTARIO!C94)),"C40",
IF(ISNUMBER(SEARCH("C-60",INVENTARIO!C94)),"C60",
IF(ISNUMBER(SEARCH("C-80",INVENTARIO!C94)),"C80",
IF(ISNUMBER(SEARCH("EQUIPO",INVENTARIO!C94)),"EQU",
IF(ISNUMBER(SEARCH("FLOOR",INVENTARIO!C94)),"FLO",
IF(ISNUMBER(SEARCH("CRISTAL",INVENTARIO!C94)),"CRI",
IF(ISNUMBER(SEARCH(" SULFATADA",INVENTARIO!C105)),"SUL",
IF(ISNUMBER(SEARCH("OPALINA",INVENTARIO!C94)),"OPA",
IF(ISNUMBER(SEARCH("ADHERIBLE",INVENTARIO!C94)),"ADH",
IF(ISNUMBER(SEARCH("MICRO",INVENTARIO!C94)),"MIC","")))))))))))))))))))))</f>
        <v/>
      </c>
      <c r="C94" t="str">
        <f>IF(ISNUMBER(SEARCH("PARED",INVENTARIO!C94)),"PAR",
IF(ISNUMBER(SEARCH("FRONT",INVENTARIO!C94)),"FRO",
IF(ISNUMBER(SEARCH("ALTA RESISTENCIA",INVENTARIO!C94)),
"ALT-RES",IF(ISNUMBER(SEARCH("BACKLITE",INVENTARIO!C94)),"BAC",
IF(ISNUMBER(SEARCH("MATE",INVENTARIO!C94)),"MAT",
IF(ISNUMBER(SEARCH("MESH",INVENTARIO!C94)),"MES",
IF(ISNUMBER(SEARCH("BRILLANTE",INVENTARIO!C94)),"BRI",
IF(ISNUMBER(SEARCH("DELGADA",INVENTARIO!C94)),"DEL",
IF(ISNUMBER(SEARCH("GRUESA",INVENTARIO!C94)),"GRU",
IF(ISNUMBER(SEARCH("ESTATICO",INVENTARIO!C94)),"EST",
IF(ISNUMBER(SEARCH("REFLECTIVO",INVENTARIO!C94)),"REF",
IF(ISNUMBER(SEARCH("LX700",INVENTARIO!C94)),"LX7",
IF(ISNUMBER(SEARCH("GRANDO",INVENTARIO!C94)),"GRA",
IF(ISNUMBER(SEARCH("FB700",INVENTARIO!C94)),"FB7",
IF(ISNUMBER(SEARCH("LX360",INVENTARIO!C94)),"LX3",
IF(ISNUMBER(SEARCH("XEROX",INVENTARIO!C94)),"XER",
IF(ISNUMBER(SEARCH("CEPILLADO",INVENTARIO!C94)),"CEP",
IF(ISNUMBER(SEARCH("ESPEJO",INVENTARIO!C94)),"ESP",
IF(ISNUMBER(SEARCH("10 PTS",INVENTARIO!C94)),"10PT",
IF(ISNUMBER(SEARCH("12 PTS",INVENTARIO!C94)),"12PT",
IF(ISNUMBER(SEARCH("14 PTS",INVENTARIO!C94)),"14PT",
IF(ISNUMBER(SEARCH("CLASICO",INVENTARIO!C94)),"CLA",
""))))))))))))))))))))))</f>
        <v/>
      </c>
      <c r="D94" t="str">
        <f>IF(ISNUMBER(SEARCH("GRAN FORMATO",INVENTARIO!C94)),"GRA-FOR",
IF(ISNUMBER(SEARCH("CAMA PLANA",INVENTARIO!C94)),"CAM-PLA",
IF(ISNUMBER(SEARCH("GRADO INGENIERIA",INVENTARIO!C94)),"GRA-ING",
IF(ISNUMBER(SEARCH("130 GRS",INVENTARIO!C94)),"130GR",
IF(ISNUMBER(SEARCH("150 GRS",INVENTARIO!C94)),"150GR",
IF(ISNUMBER(SEARCH("185 GRS",INVENTARIO!C94)),"185GR",
IF(ISNUMBER(SEARCH("200 GRS",INVENTARIO!C94)),"200GR",
IF(ISNUMBER(SEARCH("250 GRS",INVENTARIO!C94)),"250GR",
IF(ISNUMBER(SEARCH("300 GRS",INVENTARIO!C94)),"300GR",
IF(ISNUMBER(SEARCH("350 GRS",INVENTARIO!C94)),"350GR",
IF(ISNUMBER(SEARCH("18 OZ",INVENTARIO!C94)),"18OZ",
IF(ISNUMBER(SEARCH("15 OZ",INVENTARIO!C94)),"15OZ",
IF(OR(ISNUMBER(SEARCH("13 OZ",INVENTARIO!C94)),ISNUMBER(SEARCH("13 ONZAS",INVENTARIO!C94))),"13OZ",
IF(OR(ISNUMBER(SEARCH("9 OZ",INVENTARIO!C94)),ISNUMBER(SEARCH("9 ONZAS",INVENTARIO!C94))),"09OZ",
IF(ISNUMBER(SEARCH("DOBLE CARA",INVENTARIO!C94)),"DOB-CAR",
"")))))))))))))))</f>
        <v/>
      </c>
      <c r="E94" t="str">
        <f>IF(OR(ISNUMBER(SEARCH("TRANSPARENTE",INVENTARIO!C94)),ISNUMBER(SEARCH("TRANSPARENTES",INVENTARIO!C94))),"TRA",
IF(OR(ISNUMBER(SEARCH("BLANCO",INVENTARIO!C94)),ISNUMBER(SEARCH("BCO",INVENTARIO!C94))),"BLA",
IF(ISNUMBER(SEARCH("FOTOGRAFICO",INVENTARIO!C94)),"FOT",
IF(ISNUMBER(SEARCH("MARFIL",INVENTARIO!C94)),"MAR",
IF(ISNUMBER(SEARCH("VERDE",INVENTARIO!C94)),"VER",
IF(ISNUMBER(SEARCH("MORADO",INVENTARIO!C94)),"MOR",
IF(ISNUMBER(SEARCH("PLATA",INVENTARIO!C94)),"PLA",
IF(ISNUMBER(SEARCH("ORO",INVENTARIO!C94)),"ORO",
IF(ISNUMBER(SEARCH("AMARILLO",INVENTARIO!C94)),"AMA",
IF(ISNUMBER(SEARCH("NARANJA",INVENTARIO!C94)),"NAR",
IF(ISNUMBER(SEARCH("NEGRO",INVENTARIO!C94)),"NEG",
IF(ISNUMBER(SEARCH("ROJO",INVENTARIO!C94)),"ROJ",
IF(ISNUMBER(SEARCH("AZUL",INVENTARIO!C94)),"AZU","")))))))))))))</f>
        <v/>
      </c>
      <c r="F94" t="str">
        <f>IF(ISNUMBER(SEARCH("ARLON",INVENTARIO!C94)),"ARL",
IF(ISNUMBER(SEARCH("SUNTHINKS",INVENTARIO!C94)),"SUN",
IF(ISNUMBER(SEARCH("FRIO",INVENTARIO!C94)),"FRI",
IF(ISNUMBER(SEARCH("CALIDO",INVENTARIO!C94)),"CAL",
IF(ISNUMBER(SEARCH("CEPILLADO",INVENTARIO!C94)),"CEP",
IF(ISNUMBER(SEARCH("ESPEJO",INVENTARIO!C94)),"ESP",
""))))))</f>
        <v/>
      </c>
      <c r="G94" t="str">
        <f>IF(ISNUMBER(SEARCH("LATEX",INVENTARIO!C94)),"LAT",
IF(ISNUMBER(SEARCH("RESP. NEGRO",INVENTARIO!C94)),"RES-NEG",
IF(ISNUMBER(SEARCH("RESPALDO CAFE",INVENTARIO!C94)),"RES-CAF",
IF(ISNUMBER(SEARCH("RESPALDO GRIS",INVENTARIO!C94)),"RES-GRI",
IF(ISNUMBER(SEARCH("OPTICO",INVENTARIO!C94)),"OPT",
IF(ISNUMBER(SEARCH("1,2 MM",INVENTARIO!C94)),"1MM2",
IF(ISNUMBER(SEARCH("2 MM",INVENTARIO!C94)),"2MM",
IF(ISNUMBER(SEARCH("3 MM",INVENTARIO!C94)),"3MM",
IF(ISNUMBER(SEARCH("4 MM",INVENTARIO!C94)),"4MM",
IF(ISNUMBER(SEARCH("5 MM",INVENTARIO!C94)),"5MM",
IF(ISNUMBER(SEARCH("6 MM",INVENTARIO!C94)),"6MM",
IF(ISNUMBER(SEARCH("9 MM",INVENTARIO!C94)),"9MM",
IF(ISNUMBER(SEARCH("10 MM",INVENTARIO!C94)),"10MM","")))))))))))))</f>
        <v>5MM</v>
      </c>
      <c r="H94" t="str">
        <f>IF(ISNUMBER(SEARCH("GAMA BAJA",INVENTARIO!C94)),"GAM-BAJ",
IF(ISNUMBER(SEARCH("OPTIMIZADOR",INVENTARIO!C94)),"OPT",
IF(ISNUMBER(SEARCH("OVERCOAT",INVENTARIO!C94)),"OVE",
IF(ISNUMBER(SEARCH("WHITE",INVENTARIO!C94)),"WHI",
IF(ISNUMBER(SEARCH("LIGHT CYAN",INVENTARIO!C94)),"LIG-CYA",
IF(ISNUMBER(SEARCH("CYAN",INVENTARIO!C94)),"CYA",
IF(ISNUMBER(SEARCH("LIGHT MAGENTA",INVENTARIO!C94)),"LIG-MAG",
IF(ISNUMBER(SEARCH("MAGENTA",INVENTARIO!C94)),"MAG",
IF(ISNUMBER(SEARCH("BLACK",INVENTARIO!C94)),"BLA",
IF(ISNUMBER(SEARCH("YELLOW",INVENTARIO!C94)),"YEL",
IF(ISNUMBER(SEARCH("2 DIODOS",INVENTARIO!C94)),"2DI",
IF(ISNUMBER(SEARCH("3 DIODOS",INVENTARIO!C94)),"3DI",
IF(OR(ISNUMBER(SEARCH("TRASLUCIDO",INVENTARIO!C94)),ISNUMBER(SEARCH("TRANSLUCIDO",INVENTARIO!C94))),"TRA",
"")))))))))))))</f>
        <v/>
      </c>
      <c r="I94" t="str">
        <f>IF(ISNUMBER(SEARCH("SILED",INVENTARIO!C100)),"SI",
IF(ISNUMBER(SEARCH("SYDEMEX",INVENTARIO!C100)),"SY",
IF(ISNUMBER(SEARCH("ROHS",INVENTARIO!C100)),"RO",
IF(ISNUMBER(SEARCH("RISHANG",INVENTARIO!C100)),"RS",
IF(ISNUMBER(SEARCH("VYG",INVENTARIO!C100)),"VYG",
IF(ISNUMBER(SEARCH("COLED",INVENTARIO!C100)),"CO",""))))))</f>
        <v/>
      </c>
    </row>
    <row r="95" spans="1:9">
      <c r="A95" t="str">
        <f>IF(ISNUMBER(SEARCH("LONA",INVENTARIO!C95)),"LON",
IF(ISNUMBER(SEARCH("VINIL",INVENTARIO!C95)),"VIN",
IF(ISNUMBER(SEARCH("KROMACOTE",INVENTARIO!C95)),"KRO",
IF(ISNUMBER(SEARCH("STARDREAM",INVENTARIO!C95)),"STA",
IF(ISNUMBER(SEARCH("DISPLAY",INVENTARIO!C95)),"DIS",
IF(ISNUMBER(SEARCH("ROLL UP",INVENTARIO!C95)),"ROL-UP",
IF(ISNUMBER(SEARCH("TRANSFER DE PAPEL",INVENTARIO!C95)),"TRA-PAP",
IF(ISNUMBER(SEARCH("TRANSFER",INVENTARIO!C95)),"TRA",IF(ISNUMBER(SEARCH("KOLA LOKA",INVENTARIO!C95)),"KOL-LOK",
IF(ISNUMBER(SEARCH("PETG",INVENTARIO!C95)),"PET",
IF(ISNUMBER(SEARCH("OJILLO",INVENTARIO!C95)),"OJI",
IF(ISNUMBER(SEARCH("COUCHE",INVENTARIO!C95)),"COU",
IF(ISNUMBER(SEARCH("PANEL DE ALUMINIO",INVENTARIO!C95)),"PAN-ALU",
IF(ISNUMBER(SEARCH("PVC",INVENTARIO!C95)),"PVC",
IF(ISNUMBER(SEARCH("PAPEL",INVENTARIO!C95)),"PAP",
IF(ISNUMBER(SEARCH("TELA",INVENTARIO!C95)),"TEL",
IF(ISNUMBER(SEARCH("CARTULINA",INVENTARIO!C95)),"CAR",
IF(OR(ISNUMBER(SEARCH("LAMINA",INVENTARIO!C95)),ISNUMBER(SEARCH("LÁMINA",INVENTARIO!C95)),ISNUMBER(SEARCH("LAMPARAS",INVENTARIO!C95))),"LAM",
IF(ISNUMBER(SEARCH("ESTIRENO",INVENTARIO!C95)),"EST",
IF(ISNUMBER(SEARCH("FOAMBOARD",INVENTARIO!C95)),"FOA",
IF(ISNUMBER(SEARCH("SOLVENTE",INVENTARIO!C95)),"SOL",
IF(ISNUMBER(SEARCH("TINTA",INVENTARIO!C95)),"TIN",
IF(ISNUMBER(SEARCH("ACRILICO",INVENTARIO!C95)),"ACR",
IF(ISNUMBER(SEARCH("MICROLED",INVENTARIO!C95)),"MIC",
IF(ISNUMBER(SEARCH("LED",INVENTARIO!C95)),"LED",
IF(ISNUMBER(SEARCH("FUENTE DE PODER",INVENTARIO!C95)),"FUE-POD",
IF(ISNUMBER(SEARCH("PETG",INVENTARIO!C95)),"PET",
IF(ISNUMBER(SEARCH("ALUMINIO",INVENTARIO!C95)),"ALU",
IF(ISNUMBER(SEARCH("CANAL",INVENTARIO!C95)),"CAN",
IF(ISNUMBER(SEARCH("ESCUADRA",INVENTARIO!C95)),"ESC",
IF(ISNUMBER(SEARCH("SOPORTE",INVENTARIO!C95)),"SOP","OTR")
))))))))))))))))))))))))))))))</f>
        <v>FOA</v>
      </c>
      <c r="B95" t="str">
        <f>IF(ISNUMBER(SEARCH("CORTE",INVENTARIO!C95)),"COR",
IF(ISNUMBER(SEARCH("CITYLIGHT",INVENTARIO!C95)),"CIT",
IF(ISNUMBER(SEARCH("LINO",INVENTARIO!C95)),"LIN",
IF(ISNUMBER(SEARCH("FABRIANO",INVENTARIO!C95)),"FAB",
IF(ISNUMBER(SEARCH("SUNDANCE",INVENTARIO!C95)),"SUN",
IF(ISNUMBER(SEARCH("SINTETICA",INVENTARIO!C95)),"SIN",
IF(ISNUMBER(SEARCH("CONTROL",INVENTARIO!C95)),"CON",
IF(ISNUMBER(SEARCH("TERMICO",INVENTARIO!C95)),"TER",
IF(ISNUMBER(SEARCH("C-15",INVENTARIO!C95)),"C15",
IF(ISNUMBER(SEARCH("C-20",INVENTARIO!C95)),"C20",
IF(ISNUMBER(SEARCH("C-30",INVENTARIO!C95)),"C30",
IF(ISNUMBER(SEARCH("C-40",INVENTARIO!C95)),"C40",
IF(ISNUMBER(SEARCH("C-60",INVENTARIO!C95)),"C60",
IF(ISNUMBER(SEARCH("C-80",INVENTARIO!C95)),"C80",
IF(ISNUMBER(SEARCH("EQUIPO",INVENTARIO!C95)),"EQU",
IF(ISNUMBER(SEARCH("FLOOR",INVENTARIO!C95)),"FLO",
IF(ISNUMBER(SEARCH("CRISTAL",INVENTARIO!C95)),"CRI",
IF(ISNUMBER(SEARCH(" SULFATADA",INVENTARIO!C106)),"SUL",
IF(ISNUMBER(SEARCH("OPALINA",INVENTARIO!C95)),"OPA",
IF(ISNUMBER(SEARCH("ADHERIBLE",INVENTARIO!C95)),"ADH",
IF(ISNUMBER(SEARCH("MICRO",INVENTARIO!C95)),"MIC","")))))))))))))))))))))</f>
        <v/>
      </c>
      <c r="C95" t="str">
        <f>IF(ISNUMBER(SEARCH("PARED",INVENTARIO!C95)),"PAR",
IF(ISNUMBER(SEARCH("FRONT",INVENTARIO!C95)),"FRO",
IF(ISNUMBER(SEARCH("ALTA RESISTENCIA",INVENTARIO!C95)),
"ALT-RES",IF(ISNUMBER(SEARCH("BACKLITE",INVENTARIO!C95)),"BAC",
IF(ISNUMBER(SEARCH("MATE",INVENTARIO!C95)),"MAT",
IF(ISNUMBER(SEARCH("MESH",INVENTARIO!C95)),"MES",
IF(ISNUMBER(SEARCH("BRILLANTE",INVENTARIO!C95)),"BRI",
IF(ISNUMBER(SEARCH("DELGADA",INVENTARIO!C95)),"DEL",
IF(ISNUMBER(SEARCH("GRUESA",INVENTARIO!C95)),"GRU",
IF(ISNUMBER(SEARCH("ESTATICO",INVENTARIO!C95)),"EST",
IF(ISNUMBER(SEARCH("REFLECTIVO",INVENTARIO!C95)),"REF",
IF(ISNUMBER(SEARCH("LX700",INVENTARIO!C95)),"LX7",
IF(ISNUMBER(SEARCH("GRANDO",INVENTARIO!C95)),"GRA",
IF(ISNUMBER(SEARCH("FB700",INVENTARIO!C95)),"FB7",
IF(ISNUMBER(SEARCH("LX360",INVENTARIO!C95)),"LX3",
IF(ISNUMBER(SEARCH("XEROX",INVENTARIO!C95)),"XER",
IF(ISNUMBER(SEARCH("CEPILLADO",INVENTARIO!C95)),"CEP",
IF(ISNUMBER(SEARCH("ESPEJO",INVENTARIO!C95)),"ESP",
IF(ISNUMBER(SEARCH("10 PTS",INVENTARIO!C95)),"10PT",
IF(ISNUMBER(SEARCH("12 PTS",INVENTARIO!C95)),"12PT",
IF(ISNUMBER(SEARCH("14 PTS",INVENTARIO!C95)),"14PT",
IF(ISNUMBER(SEARCH("CLASICO",INVENTARIO!C95)),"CLA",
""))))))))))))))))))))))</f>
        <v/>
      </c>
      <c r="D95" t="str">
        <f>IF(ISNUMBER(SEARCH("GRAN FORMATO",INVENTARIO!C95)),"GRA-FOR",
IF(ISNUMBER(SEARCH("CAMA PLANA",INVENTARIO!C95)),"CAM-PLA",
IF(ISNUMBER(SEARCH("GRADO INGENIERIA",INVENTARIO!C95)),"GRA-ING",
IF(ISNUMBER(SEARCH("130 GRS",INVENTARIO!C95)),"130GR",
IF(ISNUMBER(SEARCH("150 GRS",INVENTARIO!C95)),"150GR",
IF(ISNUMBER(SEARCH("185 GRS",INVENTARIO!C95)),"185GR",
IF(ISNUMBER(SEARCH("200 GRS",INVENTARIO!C95)),"200GR",
IF(ISNUMBER(SEARCH("250 GRS",INVENTARIO!C95)),"250GR",
IF(ISNUMBER(SEARCH("300 GRS",INVENTARIO!C95)),"300GR",
IF(ISNUMBER(SEARCH("350 GRS",INVENTARIO!C95)),"350GR",
IF(ISNUMBER(SEARCH("18 OZ",INVENTARIO!C95)),"18OZ",
IF(ISNUMBER(SEARCH("15 OZ",INVENTARIO!C95)),"15OZ",
IF(OR(ISNUMBER(SEARCH("13 OZ",INVENTARIO!C95)),ISNUMBER(SEARCH("13 ONZAS",INVENTARIO!C95))),"13OZ",
IF(OR(ISNUMBER(SEARCH("9 OZ",INVENTARIO!C95)),ISNUMBER(SEARCH("9 ONZAS",INVENTARIO!C95))),"09OZ",
IF(ISNUMBER(SEARCH("DOBLE CARA",INVENTARIO!C95)),"DOB-CAR",
"")))))))))))))))</f>
        <v/>
      </c>
      <c r="E95" t="str">
        <f>IF(OR(ISNUMBER(SEARCH("TRANSPARENTE",INVENTARIO!C95)),ISNUMBER(SEARCH("TRANSPARENTES",INVENTARIO!C95))),"TRA",
IF(OR(ISNUMBER(SEARCH("BLANCO",INVENTARIO!C95)),ISNUMBER(SEARCH("BCO",INVENTARIO!C95))),"BLA",
IF(ISNUMBER(SEARCH("FOTOGRAFICO",INVENTARIO!C95)),"FOT",
IF(ISNUMBER(SEARCH("MARFIL",INVENTARIO!C95)),"MAR",
IF(ISNUMBER(SEARCH("VERDE",INVENTARIO!C95)),"VER",
IF(ISNUMBER(SEARCH("MORADO",INVENTARIO!C95)),"MOR",
IF(ISNUMBER(SEARCH("PLATA",INVENTARIO!C95)),"PLA",
IF(ISNUMBER(SEARCH("ORO",INVENTARIO!C95)),"ORO",
IF(ISNUMBER(SEARCH("AMARILLO",INVENTARIO!C95)),"AMA",
IF(ISNUMBER(SEARCH("NARANJA",INVENTARIO!C95)),"NAR",
IF(ISNUMBER(SEARCH("NEGRO",INVENTARIO!C95)),"NEG",
IF(ISNUMBER(SEARCH("ROJO",INVENTARIO!C95)),"ROJ",
IF(ISNUMBER(SEARCH("AZUL",INVENTARIO!C95)),"AZU","")))))))))))))</f>
        <v/>
      </c>
      <c r="F95" t="str">
        <f>IF(ISNUMBER(SEARCH("ARLON",INVENTARIO!C95)),"ARL",
IF(ISNUMBER(SEARCH("SUNTHINKS",INVENTARIO!C95)),"SUN",
IF(ISNUMBER(SEARCH("FRIO",INVENTARIO!C95)),"FRI",
IF(ISNUMBER(SEARCH("CALIDO",INVENTARIO!C95)),"CAL",
IF(ISNUMBER(SEARCH("CEPILLADO",INVENTARIO!C95)),"CEP",
IF(ISNUMBER(SEARCH("ESPEJO",INVENTARIO!C95)),"ESP",
""))))))</f>
        <v/>
      </c>
      <c r="G95" t="str">
        <f>IF(ISNUMBER(SEARCH("LATEX",INVENTARIO!C95)),"LAT",
IF(ISNUMBER(SEARCH("RESP. NEGRO",INVENTARIO!C95)),"RES-NEG",
IF(ISNUMBER(SEARCH("RESPALDO CAFE",INVENTARIO!C95)),"RES-CAF",
IF(ISNUMBER(SEARCH("RESPALDO GRIS",INVENTARIO!C95)),"RES-GRI",
IF(ISNUMBER(SEARCH("OPTICO",INVENTARIO!C95)),"OPT",
IF(ISNUMBER(SEARCH("1,2 MM",INVENTARIO!C95)),"1MM2",
IF(ISNUMBER(SEARCH("2 MM",INVENTARIO!C95)),"2MM",
IF(ISNUMBER(SEARCH("3 MM",INVENTARIO!C95)),"3MM",
IF(ISNUMBER(SEARCH("4 MM",INVENTARIO!C95)),"4MM",
IF(ISNUMBER(SEARCH("5 MM",INVENTARIO!C95)),"5MM",
IF(ISNUMBER(SEARCH("6 MM",INVENTARIO!C95)),"6MM",
IF(ISNUMBER(SEARCH("9 MM",INVENTARIO!C95)),"9MM",
IF(ISNUMBER(SEARCH("10 MM",INVENTARIO!C95)),"10MM","")))))))))))))</f>
        <v>10MM</v>
      </c>
      <c r="H95" t="str">
        <f>IF(ISNUMBER(SEARCH("GAMA BAJA",INVENTARIO!C95)),"GAM-BAJ",
IF(ISNUMBER(SEARCH("OPTIMIZADOR",INVENTARIO!C95)),"OPT",
IF(ISNUMBER(SEARCH("OVERCOAT",INVENTARIO!C95)),"OVE",
IF(ISNUMBER(SEARCH("WHITE",INVENTARIO!C95)),"WHI",
IF(ISNUMBER(SEARCH("LIGHT CYAN",INVENTARIO!C95)),"LIG-CYA",
IF(ISNUMBER(SEARCH("CYAN",INVENTARIO!C95)),"CYA",
IF(ISNUMBER(SEARCH("LIGHT MAGENTA",INVENTARIO!C95)),"LIG-MAG",
IF(ISNUMBER(SEARCH("MAGENTA",INVENTARIO!C95)),"MAG",
IF(ISNUMBER(SEARCH("BLACK",INVENTARIO!C95)),"BLA",
IF(ISNUMBER(SEARCH("YELLOW",INVENTARIO!C95)),"YEL",
IF(ISNUMBER(SEARCH("2 DIODOS",INVENTARIO!C95)),"2DI",
IF(ISNUMBER(SEARCH("3 DIODOS",INVENTARIO!C95)),"3DI",
IF(OR(ISNUMBER(SEARCH("TRASLUCIDO",INVENTARIO!C95)),ISNUMBER(SEARCH("TRANSLUCIDO",INVENTARIO!C95))),"TRA",
"")))))))))))))</f>
        <v/>
      </c>
      <c r="I95" t="str">
        <f>IF(ISNUMBER(SEARCH("SILED",INVENTARIO!C101)),"SI",
IF(ISNUMBER(SEARCH("SYDEMEX",INVENTARIO!C101)),"SY",
IF(ISNUMBER(SEARCH("ROHS",INVENTARIO!C101)),"RO",
IF(ISNUMBER(SEARCH("RISHANG",INVENTARIO!C101)),"RS",
IF(ISNUMBER(SEARCH("VYG",INVENTARIO!C101)),"VYG",
IF(ISNUMBER(SEARCH("COLED",INVENTARIO!C101)),"CO",""))))))</f>
        <v/>
      </c>
    </row>
    <row r="96" spans="1:9">
      <c r="A96" t="str">
        <f>IF(ISNUMBER(SEARCH("LONA",INVENTARIO!C96)),"LON",
IF(ISNUMBER(SEARCH("VINIL",INVENTARIO!C96)),"VIN",
IF(ISNUMBER(SEARCH("KROMACOTE",INVENTARIO!C96)),"KRO",
IF(ISNUMBER(SEARCH("STARDREAM",INVENTARIO!C96)),"STA",
IF(ISNUMBER(SEARCH("DISPLAY",INVENTARIO!C96)),"DIS",
IF(ISNUMBER(SEARCH("ROLL UP",INVENTARIO!C96)),"ROL-UP",
IF(ISNUMBER(SEARCH("TRANSFER DE PAPEL",INVENTARIO!C96)),"TRA-PAP",
IF(ISNUMBER(SEARCH("TRANSFER",INVENTARIO!C96)),"TRA",IF(ISNUMBER(SEARCH("KOLA LOKA",INVENTARIO!C96)),"KOL-LOK",
IF(ISNUMBER(SEARCH("PETG",INVENTARIO!C96)),"PET",
IF(ISNUMBER(SEARCH("OJILLO",INVENTARIO!C96)),"OJI",
IF(ISNUMBER(SEARCH("COUCHE",INVENTARIO!C96)),"COU",
IF(ISNUMBER(SEARCH("PANEL DE ALUMINIO",INVENTARIO!C96)),"PAN-ALU",
IF(ISNUMBER(SEARCH("PVC",INVENTARIO!C96)),"PVC",
IF(ISNUMBER(SEARCH("PAPEL",INVENTARIO!C96)),"PAP",
IF(ISNUMBER(SEARCH("TELA",INVENTARIO!C96)),"TEL",
IF(ISNUMBER(SEARCH("CARTULINA",INVENTARIO!C96)),"CAR",
IF(OR(ISNUMBER(SEARCH("LAMINA",INVENTARIO!C96)),ISNUMBER(SEARCH("LÁMINA",INVENTARIO!C96)),ISNUMBER(SEARCH("LAMPARAS",INVENTARIO!C96))),"LAM",
IF(ISNUMBER(SEARCH("ESTIRENO",INVENTARIO!C96)),"EST",
IF(ISNUMBER(SEARCH("FOAMBOARD",INVENTARIO!C96)),"FOA",
IF(ISNUMBER(SEARCH("SOLVENTE",INVENTARIO!C96)),"SOL",
IF(ISNUMBER(SEARCH("TINTA",INVENTARIO!C96)),"TIN",
IF(ISNUMBER(SEARCH("ACRILICO",INVENTARIO!C96)),"ACR",
IF(ISNUMBER(SEARCH("MICROLED",INVENTARIO!C96)),"MIC",
IF(ISNUMBER(SEARCH("LED",INVENTARIO!C96)),"LED",
IF(ISNUMBER(SEARCH("FUENTE DE PODER",INVENTARIO!C96)),"FUE-POD",
IF(ISNUMBER(SEARCH("PETG",INVENTARIO!C96)),"PET",
IF(ISNUMBER(SEARCH("ALUMINIO",INVENTARIO!C96)),"ALU",
IF(ISNUMBER(SEARCH("CANAL",INVENTARIO!C96)),"CAN",
IF(ISNUMBER(SEARCH("ESCUADRA",INVENTARIO!C96)),"ESC",
IF(ISNUMBER(SEARCH("SOPORTE",INVENTARIO!C96)),"SOP","OTR")
))))))))))))))))))))))))))))))</f>
        <v>EST</v>
      </c>
      <c r="B96" t="str">
        <f>IF(ISNUMBER(SEARCH("CORTE",INVENTARIO!C96)),"COR",
IF(ISNUMBER(SEARCH("CITYLIGHT",INVENTARIO!C96)),"CIT",
IF(ISNUMBER(SEARCH("LINO",INVENTARIO!C96)),"LIN",
IF(ISNUMBER(SEARCH("FABRIANO",INVENTARIO!C96)),"FAB",
IF(ISNUMBER(SEARCH("SUNDANCE",INVENTARIO!C96)),"SUN",
IF(ISNUMBER(SEARCH("SINTETICA",INVENTARIO!C96)),"SIN",
IF(ISNUMBER(SEARCH("CONTROL",INVENTARIO!C96)),"CON",
IF(ISNUMBER(SEARCH("TERMICO",INVENTARIO!C96)),"TER",
IF(ISNUMBER(SEARCH("C-15",INVENTARIO!C96)),"C15",
IF(ISNUMBER(SEARCH("C-20",INVENTARIO!C96)),"C20",
IF(ISNUMBER(SEARCH("C-30",INVENTARIO!C96)),"C30",
IF(ISNUMBER(SEARCH("C-40",INVENTARIO!C96)),"C40",
IF(ISNUMBER(SEARCH("C-60",INVENTARIO!C96)),"C60",
IF(ISNUMBER(SEARCH("C-80",INVENTARIO!C96)),"C80",
IF(ISNUMBER(SEARCH("EQUIPO",INVENTARIO!C96)),"EQU",
IF(ISNUMBER(SEARCH("FLOOR",INVENTARIO!C96)),"FLO",
IF(ISNUMBER(SEARCH("CRISTAL",INVENTARIO!C96)),"CRI",
IF(ISNUMBER(SEARCH(" SULFATADA",INVENTARIO!C107)),"SUL",
IF(ISNUMBER(SEARCH("OPALINA",INVENTARIO!C96)),"OPA",
IF(ISNUMBER(SEARCH("ADHERIBLE",INVENTARIO!C96)),"ADH",
IF(ISNUMBER(SEARCH("MICRO",INVENTARIO!C96)),"MIC","")))))))))))))))))))))</f>
        <v>C15</v>
      </c>
      <c r="C96" t="str">
        <f>IF(ISNUMBER(SEARCH("PARED",INVENTARIO!C96)),"PAR",
IF(ISNUMBER(SEARCH("FRONT",INVENTARIO!C96)),"FRO",
IF(ISNUMBER(SEARCH("ALTA RESISTENCIA",INVENTARIO!C96)),
"ALT-RES",IF(ISNUMBER(SEARCH("BACKLITE",INVENTARIO!C96)),"BAC",
IF(ISNUMBER(SEARCH("MATE",INVENTARIO!C96)),"MAT",
IF(ISNUMBER(SEARCH("MESH",INVENTARIO!C96)),"MES",
IF(ISNUMBER(SEARCH("BRILLANTE",INVENTARIO!C96)),"BRI",
IF(ISNUMBER(SEARCH("DELGADA",INVENTARIO!C96)),"DEL",
IF(ISNUMBER(SEARCH("GRUESA",INVENTARIO!C96)),"GRU",
IF(ISNUMBER(SEARCH("ESTATICO",INVENTARIO!C96)),"EST",
IF(ISNUMBER(SEARCH("REFLECTIVO",INVENTARIO!C96)),"REF",
IF(ISNUMBER(SEARCH("LX700",INVENTARIO!C96)),"LX7",
IF(ISNUMBER(SEARCH("GRANDO",INVENTARIO!C96)),"GRA",
IF(ISNUMBER(SEARCH("FB700",INVENTARIO!C96)),"FB7",
IF(ISNUMBER(SEARCH("LX360",INVENTARIO!C96)),"LX3",
IF(ISNUMBER(SEARCH("XEROX",INVENTARIO!C96)),"XER",
IF(ISNUMBER(SEARCH("CEPILLADO",INVENTARIO!C96)),"CEP",
IF(ISNUMBER(SEARCH("ESPEJO",INVENTARIO!C96)),"ESP",
IF(ISNUMBER(SEARCH("10 PTS",INVENTARIO!C96)),"10PT",
IF(ISNUMBER(SEARCH("12 PTS",INVENTARIO!C96)),"12PT",
IF(ISNUMBER(SEARCH("14 PTS",INVENTARIO!C96)),"14PT",
IF(ISNUMBER(SEARCH("CLASICO",INVENTARIO!C96)),"CLA",
""))))))))))))))))))))))</f>
        <v/>
      </c>
      <c r="D96" t="str">
        <f>IF(ISNUMBER(SEARCH("GRAN FORMATO",INVENTARIO!C96)),"GRA-FOR",
IF(ISNUMBER(SEARCH("CAMA PLANA",INVENTARIO!C96)),"CAM-PLA",
IF(ISNUMBER(SEARCH("GRADO INGENIERIA",INVENTARIO!C96)),"GRA-ING",
IF(ISNUMBER(SEARCH("130 GRS",INVENTARIO!C96)),"130GR",
IF(ISNUMBER(SEARCH("150 GRS",INVENTARIO!C96)),"150GR",
IF(ISNUMBER(SEARCH("185 GRS",INVENTARIO!C96)),"185GR",
IF(ISNUMBER(SEARCH("200 GRS",INVENTARIO!C96)),"200GR",
IF(ISNUMBER(SEARCH("250 GRS",INVENTARIO!C96)),"250GR",
IF(ISNUMBER(SEARCH("300 GRS",INVENTARIO!C96)),"300GR",
IF(ISNUMBER(SEARCH("350 GRS",INVENTARIO!C96)),"350GR",
IF(ISNUMBER(SEARCH("18 OZ",INVENTARIO!C96)),"18OZ",
IF(ISNUMBER(SEARCH("15 OZ",INVENTARIO!C96)),"15OZ",
IF(OR(ISNUMBER(SEARCH("13 OZ",INVENTARIO!C96)),ISNUMBER(SEARCH("13 ONZAS",INVENTARIO!C96))),"13OZ",
IF(OR(ISNUMBER(SEARCH("9 OZ",INVENTARIO!C96)),ISNUMBER(SEARCH("9 ONZAS",INVENTARIO!C96))),"09OZ",
IF(ISNUMBER(SEARCH("DOBLE CARA",INVENTARIO!C96)),"DOB-CAR",
"")))))))))))))))</f>
        <v/>
      </c>
      <c r="E96" t="str">
        <f>IF(OR(ISNUMBER(SEARCH("TRANSPARENTE",INVENTARIO!C96)),ISNUMBER(SEARCH("TRANSPARENTES",INVENTARIO!C96))),"TRA",
IF(OR(ISNUMBER(SEARCH("BLANCO",INVENTARIO!C96)),ISNUMBER(SEARCH("BCO",INVENTARIO!C96))),"BLA",
IF(ISNUMBER(SEARCH("FOTOGRAFICO",INVENTARIO!C96)),"FOT",
IF(ISNUMBER(SEARCH("MARFIL",INVENTARIO!C96)),"MAR",
IF(ISNUMBER(SEARCH("VERDE",INVENTARIO!C96)),"VER",
IF(ISNUMBER(SEARCH("MORADO",INVENTARIO!C96)),"MOR",
IF(ISNUMBER(SEARCH("PLATA",INVENTARIO!C96)),"PLA",
IF(ISNUMBER(SEARCH("ORO",INVENTARIO!C96)),"ORO",
IF(ISNUMBER(SEARCH("AMARILLO",INVENTARIO!C96)),"AMA",
IF(ISNUMBER(SEARCH("NARANJA",INVENTARIO!C96)),"NAR",
IF(ISNUMBER(SEARCH("NEGRO",INVENTARIO!C96)),"NEG",
IF(ISNUMBER(SEARCH("ROJO",INVENTARIO!C96)),"ROJ",
IF(ISNUMBER(SEARCH("AZUL",INVENTARIO!C96)),"AZU","")))))))))))))</f>
        <v/>
      </c>
      <c r="F96" t="str">
        <f>IF(ISNUMBER(SEARCH("ARLON",INVENTARIO!C96)),"ARL",
IF(ISNUMBER(SEARCH("SUNTHINKS",INVENTARIO!C96)),"SUN",
IF(ISNUMBER(SEARCH("FRIO",INVENTARIO!C96)),"FRI",
IF(ISNUMBER(SEARCH("CALIDO",INVENTARIO!C96)),"CAL",
IF(ISNUMBER(SEARCH("CEPILLADO",INVENTARIO!C96)),"CEP",
IF(ISNUMBER(SEARCH("ESPEJO",INVENTARIO!C96)),"ESP",
""))))))</f>
        <v/>
      </c>
      <c r="G96" t="str">
        <f>IF(ISNUMBER(SEARCH("LATEX",INVENTARIO!C96)),"LAT",
IF(ISNUMBER(SEARCH("RESP. NEGRO",INVENTARIO!C96)),"RES-NEG",
IF(ISNUMBER(SEARCH("RESPALDO CAFE",INVENTARIO!C96)),"RES-CAF",
IF(ISNUMBER(SEARCH("RESPALDO GRIS",INVENTARIO!C96)),"RES-GRI",
IF(ISNUMBER(SEARCH("OPTICO",INVENTARIO!C96)),"OPT",
IF(ISNUMBER(SEARCH("1,2 MM",INVENTARIO!C96)),"1MM2",
IF(ISNUMBER(SEARCH("2 MM",INVENTARIO!C96)),"2MM",
IF(ISNUMBER(SEARCH("3 MM",INVENTARIO!C96)),"3MM",
IF(ISNUMBER(SEARCH("4 MM",INVENTARIO!C96)),"4MM",
IF(ISNUMBER(SEARCH("5 MM",INVENTARIO!C96)),"5MM",
IF(ISNUMBER(SEARCH("6 MM",INVENTARIO!C96)),"6MM",
IF(ISNUMBER(SEARCH("9 MM",INVENTARIO!C96)),"9MM",
IF(ISNUMBER(SEARCH("10 MM",INVENTARIO!C96)),"10MM","")))))))))))))</f>
        <v/>
      </c>
      <c r="H96" t="str">
        <f>IF(ISNUMBER(SEARCH("GAMA BAJA",INVENTARIO!C96)),"GAM-BAJ",
IF(ISNUMBER(SEARCH("OPTIMIZADOR",INVENTARIO!C96)),"OPT",
IF(ISNUMBER(SEARCH("OVERCOAT",INVENTARIO!C96)),"OVE",
IF(ISNUMBER(SEARCH("WHITE",INVENTARIO!C96)),"WHI",
IF(ISNUMBER(SEARCH("LIGHT CYAN",INVENTARIO!C96)),"LIG-CYA",
IF(ISNUMBER(SEARCH("CYAN",INVENTARIO!C96)),"CYA",
IF(ISNUMBER(SEARCH("LIGHT MAGENTA",INVENTARIO!C96)),"LIG-MAG",
IF(ISNUMBER(SEARCH("MAGENTA",INVENTARIO!C96)),"MAG",
IF(ISNUMBER(SEARCH("BLACK",INVENTARIO!C96)),"BLA",
IF(ISNUMBER(SEARCH("YELLOW",INVENTARIO!C96)),"YEL",
IF(ISNUMBER(SEARCH("2 DIODOS",INVENTARIO!C96)),"2DI",
IF(ISNUMBER(SEARCH("3 DIODOS",INVENTARIO!C96)),"3DI",
IF(OR(ISNUMBER(SEARCH("TRASLUCIDO",INVENTARIO!C96)),ISNUMBER(SEARCH("TRANSLUCIDO",INVENTARIO!C96))),"TRA",
"")))))))))))))</f>
        <v/>
      </c>
      <c r="I96" t="str">
        <f>IF(ISNUMBER(SEARCH("SILED",INVENTARIO!C108)),"SI",
IF(ISNUMBER(SEARCH("SYDEMEX",INVENTARIO!C108)),"SY",
IF(ISNUMBER(SEARCH("ROHS",INVENTARIO!C108)),"RO",
IF(ISNUMBER(SEARCH("RISHANG",INVENTARIO!C108)),"RS",
IF(ISNUMBER(SEARCH("VYG",INVENTARIO!C108)),"VYG",
IF(ISNUMBER(SEARCH("COLED",INVENTARIO!C108)),"CO",""))))))</f>
        <v/>
      </c>
    </row>
    <row r="97" spans="1:9">
      <c r="A97" t="str">
        <f>IF(ISNUMBER(SEARCH("LONA",INVENTARIO!C97)),"LON",
IF(ISNUMBER(SEARCH("VINIL",INVENTARIO!C97)),"VIN",
IF(ISNUMBER(SEARCH("KROMACOTE",INVENTARIO!C97)),"KRO",
IF(ISNUMBER(SEARCH("STARDREAM",INVENTARIO!C97)),"STA",
IF(ISNUMBER(SEARCH("DISPLAY",INVENTARIO!C97)),"DIS",
IF(ISNUMBER(SEARCH("ROLL UP",INVENTARIO!C97)),"ROL-UP",
IF(ISNUMBER(SEARCH("TRANSFER DE PAPEL",INVENTARIO!C97)),"TRA-PAP",
IF(ISNUMBER(SEARCH("TRANSFER",INVENTARIO!C97)),"TRA",IF(ISNUMBER(SEARCH("KOLA LOKA",INVENTARIO!C97)),"KOL-LOK",
IF(ISNUMBER(SEARCH("PETG",INVENTARIO!C97)),"PET",
IF(ISNUMBER(SEARCH("OJILLO",INVENTARIO!C97)),"OJI",
IF(ISNUMBER(SEARCH("COUCHE",INVENTARIO!C97)),"COU",
IF(ISNUMBER(SEARCH("PANEL DE ALUMINIO",INVENTARIO!C97)),"PAN-ALU",
IF(ISNUMBER(SEARCH("PVC",INVENTARIO!C97)),"PVC",
IF(ISNUMBER(SEARCH("PAPEL",INVENTARIO!C97)),"PAP",
IF(ISNUMBER(SEARCH("TELA",INVENTARIO!C97)),"TEL",
IF(ISNUMBER(SEARCH("CARTULINA",INVENTARIO!C97)),"CAR",
IF(OR(ISNUMBER(SEARCH("LAMINA",INVENTARIO!C97)),ISNUMBER(SEARCH("LÁMINA",INVENTARIO!C97)),ISNUMBER(SEARCH("LAMPARAS",INVENTARIO!C97))),"LAM",
IF(ISNUMBER(SEARCH("ESTIRENO",INVENTARIO!C97)),"EST",
IF(ISNUMBER(SEARCH("FOAMBOARD",INVENTARIO!C97)),"FOA",
IF(ISNUMBER(SEARCH("SOLVENTE",INVENTARIO!C97)),"SOL",
IF(ISNUMBER(SEARCH("TINTA",INVENTARIO!C97)),"TIN",
IF(ISNUMBER(SEARCH("ACRILICO",INVENTARIO!C97)),"ACR",
IF(ISNUMBER(SEARCH("MICROLED",INVENTARIO!C97)),"MIC",
IF(ISNUMBER(SEARCH("LED",INVENTARIO!C97)),"LED",
IF(ISNUMBER(SEARCH("FUENTE DE PODER",INVENTARIO!C97)),"FUE-POD",
IF(ISNUMBER(SEARCH("PETG",INVENTARIO!C97)),"PET",
IF(ISNUMBER(SEARCH("ALUMINIO",INVENTARIO!C97)),"ALU",
IF(ISNUMBER(SEARCH("CANAL",INVENTARIO!C97)),"CAN",
IF(ISNUMBER(SEARCH("ESCUADRA",INVENTARIO!C97)),"ESC",
IF(ISNUMBER(SEARCH("SOPORTE",INVENTARIO!C97)),"SOP","OTR")
))))))))))))))))))))))))))))))</f>
        <v>EST</v>
      </c>
      <c r="B97" t="str">
        <f>IF(ISNUMBER(SEARCH("CORTE",INVENTARIO!C97)),"COR",
IF(ISNUMBER(SEARCH("CITYLIGHT",INVENTARIO!C97)),"CIT",
IF(ISNUMBER(SEARCH("LINO",INVENTARIO!C97)),"LIN",
IF(ISNUMBER(SEARCH("FABRIANO",INVENTARIO!C97)),"FAB",
IF(ISNUMBER(SEARCH("SUNDANCE",INVENTARIO!C97)),"SUN",
IF(ISNUMBER(SEARCH("SINTETICA",INVENTARIO!C97)),"SIN",
IF(ISNUMBER(SEARCH("CONTROL",INVENTARIO!C97)),"CON",
IF(ISNUMBER(SEARCH("TERMICO",INVENTARIO!C97)),"TER",
IF(ISNUMBER(SEARCH("C-15",INVENTARIO!C97)),"C15",
IF(ISNUMBER(SEARCH("C-20",INVENTARIO!C97)),"C20",
IF(ISNUMBER(SEARCH("C-30",INVENTARIO!C97)),"C30",
IF(ISNUMBER(SEARCH("C-40",INVENTARIO!C97)),"C40",
IF(ISNUMBER(SEARCH("C-60",INVENTARIO!C97)),"C60",
IF(ISNUMBER(SEARCH("C-80",INVENTARIO!C97)),"C80",
IF(ISNUMBER(SEARCH("EQUIPO",INVENTARIO!C97)),"EQU",
IF(ISNUMBER(SEARCH("FLOOR",INVENTARIO!C97)),"FLO",
IF(ISNUMBER(SEARCH("CRISTAL",INVENTARIO!C97)),"CRI",
IF(ISNUMBER(SEARCH(" SULFATADA",INVENTARIO!C108)),"SUL",
IF(ISNUMBER(SEARCH("OPALINA",INVENTARIO!C97)),"OPA",
IF(ISNUMBER(SEARCH("ADHERIBLE",INVENTARIO!C97)),"ADH",
IF(ISNUMBER(SEARCH("MICRO",INVENTARIO!C97)),"MIC","")))))))))))))))))))))</f>
        <v>C20</v>
      </c>
      <c r="C97" t="str">
        <f>IF(ISNUMBER(SEARCH("PARED",INVENTARIO!C97)),"PAR",
IF(ISNUMBER(SEARCH("FRONT",INVENTARIO!C97)),"FRO",
IF(ISNUMBER(SEARCH("ALTA RESISTENCIA",INVENTARIO!C97)),
"ALT-RES",IF(ISNUMBER(SEARCH("BACKLITE",INVENTARIO!C97)),"BAC",
IF(ISNUMBER(SEARCH("MATE",INVENTARIO!C97)),"MAT",
IF(ISNUMBER(SEARCH("MESH",INVENTARIO!C97)),"MES",
IF(ISNUMBER(SEARCH("BRILLANTE",INVENTARIO!C97)),"BRI",
IF(ISNUMBER(SEARCH("DELGADA",INVENTARIO!C97)),"DEL",
IF(ISNUMBER(SEARCH("GRUESA",INVENTARIO!C97)),"GRU",
IF(ISNUMBER(SEARCH("ESTATICO",INVENTARIO!C97)),"EST",
IF(ISNUMBER(SEARCH("REFLECTIVO",INVENTARIO!C97)),"REF",
IF(ISNUMBER(SEARCH("LX700",INVENTARIO!C97)),"LX7",
IF(ISNUMBER(SEARCH("GRANDO",INVENTARIO!C97)),"GRA",
IF(ISNUMBER(SEARCH("FB700",INVENTARIO!C97)),"FB7",
IF(ISNUMBER(SEARCH("LX360",INVENTARIO!C97)),"LX3",
IF(ISNUMBER(SEARCH("XEROX",INVENTARIO!C97)),"XER",
IF(ISNUMBER(SEARCH("CEPILLADO",INVENTARIO!C97)),"CEP",
IF(ISNUMBER(SEARCH("ESPEJO",INVENTARIO!C97)),"ESP",
IF(ISNUMBER(SEARCH("10 PTS",INVENTARIO!C97)),"10PT",
IF(ISNUMBER(SEARCH("12 PTS",INVENTARIO!C97)),"12PT",
IF(ISNUMBER(SEARCH("14 PTS",INVENTARIO!C97)),"14PT",
IF(ISNUMBER(SEARCH("CLASICO",INVENTARIO!C97)),"CLA",
""))))))))))))))))))))))</f>
        <v/>
      </c>
      <c r="D97" t="str">
        <f>IF(ISNUMBER(SEARCH("GRAN FORMATO",INVENTARIO!C97)),"GRA-FOR",
IF(ISNUMBER(SEARCH("CAMA PLANA",INVENTARIO!C97)),"CAM-PLA",
IF(ISNUMBER(SEARCH("GRADO INGENIERIA",INVENTARIO!C97)),"GRA-ING",
IF(ISNUMBER(SEARCH("130 GRS",INVENTARIO!C97)),"130GR",
IF(ISNUMBER(SEARCH("150 GRS",INVENTARIO!C97)),"150GR",
IF(ISNUMBER(SEARCH("185 GRS",INVENTARIO!C97)),"185GR",
IF(ISNUMBER(SEARCH("200 GRS",INVENTARIO!C97)),"200GR",
IF(ISNUMBER(SEARCH("250 GRS",INVENTARIO!C97)),"250GR",
IF(ISNUMBER(SEARCH("300 GRS",INVENTARIO!C97)),"300GR",
IF(ISNUMBER(SEARCH("350 GRS",INVENTARIO!C97)),"350GR",
IF(ISNUMBER(SEARCH("18 OZ",INVENTARIO!C97)),"18OZ",
IF(ISNUMBER(SEARCH("15 OZ",INVENTARIO!C97)),"15OZ",
IF(OR(ISNUMBER(SEARCH("13 OZ",INVENTARIO!C97)),ISNUMBER(SEARCH("13 ONZAS",INVENTARIO!C97))),"13OZ",
IF(OR(ISNUMBER(SEARCH("9 OZ",INVENTARIO!C97)),ISNUMBER(SEARCH("9 ONZAS",INVENTARIO!C97))),"09OZ",
IF(ISNUMBER(SEARCH("DOBLE CARA",INVENTARIO!C97)),"DOB-CAR",
"")))))))))))))))</f>
        <v/>
      </c>
      <c r="E97" t="str">
        <f>IF(OR(ISNUMBER(SEARCH("TRANSPARENTE",INVENTARIO!C97)),ISNUMBER(SEARCH("TRANSPARENTES",INVENTARIO!C97))),"TRA",
IF(OR(ISNUMBER(SEARCH("BLANCO",INVENTARIO!C97)),ISNUMBER(SEARCH("BCO",INVENTARIO!C97))),"BLA",
IF(ISNUMBER(SEARCH("FOTOGRAFICO",INVENTARIO!C97)),"FOT",
IF(ISNUMBER(SEARCH("MARFIL",INVENTARIO!C97)),"MAR",
IF(ISNUMBER(SEARCH("VERDE",INVENTARIO!C97)),"VER",
IF(ISNUMBER(SEARCH("MORADO",INVENTARIO!C97)),"MOR",
IF(ISNUMBER(SEARCH("PLATA",INVENTARIO!C97)),"PLA",
IF(ISNUMBER(SEARCH("ORO",INVENTARIO!C97)),"ORO",
IF(ISNUMBER(SEARCH("AMARILLO",INVENTARIO!C97)),"AMA",
IF(ISNUMBER(SEARCH("NARANJA",INVENTARIO!C97)),"NAR",
IF(ISNUMBER(SEARCH("NEGRO",INVENTARIO!C97)),"NEG",
IF(ISNUMBER(SEARCH("ROJO",INVENTARIO!C97)),"ROJ",
IF(ISNUMBER(SEARCH("AZUL",INVENTARIO!C97)),"AZU","")))))))))))))</f>
        <v/>
      </c>
      <c r="F97" t="str">
        <f>IF(ISNUMBER(SEARCH("ARLON",INVENTARIO!C97)),"ARL",
IF(ISNUMBER(SEARCH("SUNTHINKS",INVENTARIO!C97)),"SUN",
IF(ISNUMBER(SEARCH("FRIO",INVENTARIO!C97)),"FRI",
IF(ISNUMBER(SEARCH("CALIDO",INVENTARIO!C97)),"CAL",
IF(ISNUMBER(SEARCH("CEPILLADO",INVENTARIO!C97)),"CEP",
IF(ISNUMBER(SEARCH("ESPEJO",INVENTARIO!C97)),"ESP",
""))))))</f>
        <v/>
      </c>
      <c r="G97" t="str">
        <f>IF(ISNUMBER(SEARCH("LATEX",INVENTARIO!C97)),"LAT",
IF(ISNUMBER(SEARCH("RESP. NEGRO",INVENTARIO!C97)),"RES-NEG",
IF(ISNUMBER(SEARCH("RESPALDO CAFE",INVENTARIO!C97)),"RES-CAF",
IF(ISNUMBER(SEARCH("RESPALDO GRIS",INVENTARIO!C97)),"RES-GRI",
IF(ISNUMBER(SEARCH("OPTICO",INVENTARIO!C97)),"OPT",
IF(ISNUMBER(SEARCH("1,2 MM",INVENTARIO!C97)),"1MM2",
IF(ISNUMBER(SEARCH("2 MM",INVENTARIO!C97)),"2MM",
IF(ISNUMBER(SEARCH("3 MM",INVENTARIO!C97)),"3MM",
IF(ISNUMBER(SEARCH("4 MM",INVENTARIO!C97)),"4MM",
IF(ISNUMBER(SEARCH("5 MM",INVENTARIO!C97)),"5MM",
IF(ISNUMBER(SEARCH("6 MM",INVENTARIO!C97)),"6MM",
IF(ISNUMBER(SEARCH("9 MM",INVENTARIO!C97)),"9MM",
IF(ISNUMBER(SEARCH("10 MM",INVENTARIO!C97)),"10MM","")))))))))))))</f>
        <v/>
      </c>
      <c r="H97" t="str">
        <f>IF(ISNUMBER(SEARCH("GAMA BAJA",INVENTARIO!C97)),"GAM-BAJ",
IF(ISNUMBER(SEARCH("OPTIMIZADOR",INVENTARIO!C97)),"OPT",
IF(ISNUMBER(SEARCH("OVERCOAT",INVENTARIO!C97)),"OVE",
IF(ISNUMBER(SEARCH("WHITE",INVENTARIO!C97)),"WHI",
IF(ISNUMBER(SEARCH("LIGHT CYAN",INVENTARIO!C97)),"LIG-CYA",
IF(ISNUMBER(SEARCH("CYAN",INVENTARIO!C97)),"CYA",
IF(ISNUMBER(SEARCH("LIGHT MAGENTA",INVENTARIO!C97)),"LIG-MAG",
IF(ISNUMBER(SEARCH("MAGENTA",INVENTARIO!C97)),"MAG",
IF(ISNUMBER(SEARCH("BLACK",INVENTARIO!C97)),"BLA",
IF(ISNUMBER(SEARCH("YELLOW",INVENTARIO!C97)),"YEL",
IF(ISNUMBER(SEARCH("2 DIODOS",INVENTARIO!C97)),"2DI",
IF(ISNUMBER(SEARCH("3 DIODOS",INVENTARIO!C97)),"3DI",
IF(OR(ISNUMBER(SEARCH("TRASLUCIDO",INVENTARIO!C97)),ISNUMBER(SEARCH("TRANSLUCIDO",INVENTARIO!C97))),"TRA",
"")))))))))))))</f>
        <v/>
      </c>
      <c r="I97" t="str">
        <f>IF(ISNUMBER(SEARCH("SILED",INVENTARIO!C110)),"SI",
IF(ISNUMBER(SEARCH("SYDEMEX",INVENTARIO!C110)),"SY",
IF(ISNUMBER(SEARCH("ROHS",INVENTARIO!C110)),"RO",
IF(ISNUMBER(SEARCH("RISHANG",INVENTARIO!C110)),"RS",
IF(ISNUMBER(SEARCH("VYG",INVENTARIO!C110)),"VYG",
IF(ISNUMBER(SEARCH("COLED",INVENTARIO!C110)),"CO",""))))))</f>
        <v/>
      </c>
    </row>
    <row r="98" spans="1:9">
      <c r="A98" t="str">
        <f>IF(ISNUMBER(SEARCH("LONA",INVENTARIO!C98)),"LON",
IF(ISNUMBER(SEARCH("VINIL",INVENTARIO!C98)),"VIN",
IF(ISNUMBER(SEARCH("KROMACOTE",INVENTARIO!C98)),"KRO",
IF(ISNUMBER(SEARCH("STARDREAM",INVENTARIO!C98)),"STA",
IF(ISNUMBER(SEARCH("DISPLAY",INVENTARIO!C98)),"DIS",
IF(ISNUMBER(SEARCH("ROLL UP",INVENTARIO!C98)),"ROL-UP",
IF(ISNUMBER(SEARCH("TRANSFER DE PAPEL",INVENTARIO!C98)),"TRA-PAP",
IF(ISNUMBER(SEARCH("TRANSFER",INVENTARIO!C98)),"TRA",IF(ISNUMBER(SEARCH("KOLA LOKA",INVENTARIO!C98)),"KOL-LOK",
IF(ISNUMBER(SEARCH("PETG",INVENTARIO!C98)),"PET",
IF(ISNUMBER(SEARCH("OJILLO",INVENTARIO!C98)),"OJI",
IF(ISNUMBER(SEARCH("COUCHE",INVENTARIO!C98)),"COU",
IF(ISNUMBER(SEARCH("PANEL DE ALUMINIO",INVENTARIO!C98)),"PAN-ALU",
IF(ISNUMBER(SEARCH("PVC",INVENTARIO!C98)),"PVC",
IF(ISNUMBER(SEARCH("PAPEL",INVENTARIO!C98)),"PAP",
IF(ISNUMBER(SEARCH("TELA",INVENTARIO!C98)),"TEL",
IF(ISNUMBER(SEARCH("CARTULINA",INVENTARIO!C98)),"CAR",
IF(OR(ISNUMBER(SEARCH("LAMINA",INVENTARIO!C98)),ISNUMBER(SEARCH("LÁMINA",INVENTARIO!C98)),ISNUMBER(SEARCH("LAMPARAS",INVENTARIO!C98))),"LAM",
IF(ISNUMBER(SEARCH("ESTIRENO",INVENTARIO!C98)),"EST",
IF(ISNUMBER(SEARCH("FOAMBOARD",INVENTARIO!C98)),"FOA",
IF(ISNUMBER(SEARCH("SOLVENTE",INVENTARIO!C98)),"SOL",
IF(ISNUMBER(SEARCH("TINTA",INVENTARIO!C98)),"TIN",
IF(ISNUMBER(SEARCH("ACRILICO",INVENTARIO!C98)),"ACR",
IF(ISNUMBER(SEARCH("MICROLED",INVENTARIO!C98)),"MIC",
IF(ISNUMBER(SEARCH("LED",INVENTARIO!C98)),"LED",
IF(ISNUMBER(SEARCH("FUENTE DE PODER",INVENTARIO!C98)),"FUE-POD",
IF(ISNUMBER(SEARCH("PETG",INVENTARIO!C98)),"PET",
IF(ISNUMBER(SEARCH("ALUMINIO",INVENTARIO!C98)),"ALU",
IF(ISNUMBER(SEARCH("CANAL",INVENTARIO!C98)),"CAN",
IF(ISNUMBER(SEARCH("ESCUADRA",INVENTARIO!C98)),"ESC",
IF(ISNUMBER(SEARCH("SOPORTE",INVENTARIO!C98)),"SOP","OTR")
))))))))))))))))))))))))))))))</f>
        <v>EST</v>
      </c>
      <c r="B98" t="str">
        <f>IF(ISNUMBER(SEARCH("CORTE",INVENTARIO!C98)),"COR",
IF(ISNUMBER(SEARCH("CITYLIGHT",INVENTARIO!C98)),"CIT",
IF(ISNUMBER(SEARCH("LINO",INVENTARIO!C98)),"LIN",
IF(ISNUMBER(SEARCH("FABRIANO",INVENTARIO!C98)),"FAB",
IF(ISNUMBER(SEARCH("SUNDANCE",INVENTARIO!C98)),"SUN",
IF(ISNUMBER(SEARCH("SINTETICA",INVENTARIO!C98)),"SIN",
IF(ISNUMBER(SEARCH("CONTROL",INVENTARIO!C98)),"CON",
IF(ISNUMBER(SEARCH("TERMICO",INVENTARIO!C98)),"TER",
IF(ISNUMBER(SEARCH("C-15",INVENTARIO!C98)),"C15",
IF(ISNUMBER(SEARCH("C-20",INVENTARIO!C98)),"C20",
IF(ISNUMBER(SEARCH("C-30",INVENTARIO!C98)),"C30",
IF(ISNUMBER(SEARCH("C-40",INVENTARIO!C98)),"C40",
IF(ISNUMBER(SEARCH("C-60",INVENTARIO!C98)),"C60",
IF(ISNUMBER(SEARCH("C-80",INVENTARIO!C98)),"C80",
IF(ISNUMBER(SEARCH("EQUIPO",INVENTARIO!C98)),"EQU",
IF(ISNUMBER(SEARCH("FLOOR",INVENTARIO!C98)),"FLO",
IF(ISNUMBER(SEARCH("CRISTAL",INVENTARIO!C98)),"CRI",
IF(ISNUMBER(SEARCH(" SULFATADA",INVENTARIO!C109)),"SUL",
IF(ISNUMBER(SEARCH("OPALINA",INVENTARIO!C98)),"OPA",
IF(ISNUMBER(SEARCH("ADHERIBLE",INVENTARIO!C98)),"ADH",
IF(ISNUMBER(SEARCH("MICRO",INVENTARIO!C98)),"MIC","")))))))))))))))))))))</f>
        <v>C30</v>
      </c>
      <c r="C98" t="str">
        <f>IF(ISNUMBER(SEARCH("PARED",INVENTARIO!C98)),"PAR",
IF(ISNUMBER(SEARCH("FRONT",INVENTARIO!C98)),"FRO",
IF(ISNUMBER(SEARCH("ALTA RESISTENCIA",INVENTARIO!C98)),
"ALT-RES",IF(ISNUMBER(SEARCH("BACKLITE",INVENTARIO!C98)),"BAC",
IF(ISNUMBER(SEARCH("MATE",INVENTARIO!C98)),"MAT",
IF(ISNUMBER(SEARCH("MESH",INVENTARIO!C98)),"MES",
IF(ISNUMBER(SEARCH("BRILLANTE",INVENTARIO!C98)),"BRI",
IF(ISNUMBER(SEARCH("DELGADA",INVENTARIO!C98)),"DEL",
IF(ISNUMBER(SEARCH("GRUESA",INVENTARIO!C98)),"GRU",
IF(ISNUMBER(SEARCH("ESTATICO",INVENTARIO!C98)),"EST",
IF(ISNUMBER(SEARCH("REFLECTIVO",INVENTARIO!C98)),"REF",
IF(ISNUMBER(SEARCH("LX700",INVENTARIO!C98)),"LX7",
IF(ISNUMBER(SEARCH("GRANDO",INVENTARIO!C98)),"GRA",
IF(ISNUMBER(SEARCH("FB700",INVENTARIO!C98)),"FB7",
IF(ISNUMBER(SEARCH("LX360",INVENTARIO!C98)),"LX3",
IF(ISNUMBER(SEARCH("XEROX",INVENTARIO!C98)),"XER",
IF(ISNUMBER(SEARCH("CEPILLADO",INVENTARIO!C98)),"CEP",
IF(ISNUMBER(SEARCH("ESPEJO",INVENTARIO!C98)),"ESP",
IF(ISNUMBER(SEARCH("10 PTS",INVENTARIO!C98)),"10PT",
IF(ISNUMBER(SEARCH("12 PTS",INVENTARIO!C98)),"12PT",
IF(ISNUMBER(SEARCH("14 PTS",INVENTARIO!C98)),"14PT",
IF(ISNUMBER(SEARCH("CLASICO",INVENTARIO!C98)),"CLA",
""))))))))))))))))))))))</f>
        <v/>
      </c>
      <c r="D98" t="str">
        <f>IF(ISNUMBER(SEARCH("GRAN FORMATO",INVENTARIO!C98)),"GRA-FOR",
IF(ISNUMBER(SEARCH("CAMA PLANA",INVENTARIO!C98)),"CAM-PLA",
IF(ISNUMBER(SEARCH("GRADO INGENIERIA",INVENTARIO!C98)),"GRA-ING",
IF(ISNUMBER(SEARCH("130 GRS",INVENTARIO!C98)),"130GR",
IF(ISNUMBER(SEARCH("150 GRS",INVENTARIO!C98)),"150GR",
IF(ISNUMBER(SEARCH("185 GRS",INVENTARIO!C98)),"185GR",
IF(ISNUMBER(SEARCH("200 GRS",INVENTARIO!C98)),"200GR",
IF(ISNUMBER(SEARCH("250 GRS",INVENTARIO!C98)),"250GR",
IF(ISNUMBER(SEARCH("300 GRS",INVENTARIO!C98)),"300GR",
IF(ISNUMBER(SEARCH("350 GRS",INVENTARIO!C98)),"350GR",
IF(ISNUMBER(SEARCH("18 OZ",INVENTARIO!C98)),"18OZ",
IF(ISNUMBER(SEARCH("15 OZ",INVENTARIO!C98)),"15OZ",
IF(OR(ISNUMBER(SEARCH("13 OZ",INVENTARIO!C98)),ISNUMBER(SEARCH("13 ONZAS",INVENTARIO!C98))),"13OZ",
IF(OR(ISNUMBER(SEARCH("9 OZ",INVENTARIO!C98)),ISNUMBER(SEARCH("9 ONZAS",INVENTARIO!C98))),"09OZ",
IF(ISNUMBER(SEARCH("DOBLE CARA",INVENTARIO!C98)),"DOB-CAR",
"")))))))))))))))</f>
        <v/>
      </c>
      <c r="E98" t="str">
        <f>IF(OR(ISNUMBER(SEARCH("TRANSPARENTE",INVENTARIO!C98)),ISNUMBER(SEARCH("TRANSPARENTES",INVENTARIO!C98))),"TRA",
IF(OR(ISNUMBER(SEARCH("BLANCO",INVENTARIO!C98)),ISNUMBER(SEARCH("BCO",INVENTARIO!C98))),"BLA",
IF(ISNUMBER(SEARCH("FOTOGRAFICO",INVENTARIO!C98)),"FOT",
IF(ISNUMBER(SEARCH("MARFIL",INVENTARIO!C98)),"MAR",
IF(ISNUMBER(SEARCH("VERDE",INVENTARIO!C98)),"VER",
IF(ISNUMBER(SEARCH("MORADO",INVENTARIO!C98)),"MOR",
IF(ISNUMBER(SEARCH("PLATA",INVENTARIO!C98)),"PLA",
IF(ISNUMBER(SEARCH("ORO",INVENTARIO!C98)),"ORO",
IF(ISNUMBER(SEARCH("AMARILLO",INVENTARIO!C98)),"AMA",
IF(ISNUMBER(SEARCH("NARANJA",INVENTARIO!C98)),"NAR",
IF(ISNUMBER(SEARCH("NEGRO",INVENTARIO!C98)),"NEG",
IF(ISNUMBER(SEARCH("ROJO",INVENTARIO!C98)),"ROJ",
IF(ISNUMBER(SEARCH("AZUL",INVENTARIO!C98)),"AZU","")))))))))))))</f>
        <v/>
      </c>
      <c r="F98" t="str">
        <f>IF(ISNUMBER(SEARCH("ARLON",INVENTARIO!C98)),"ARL",
IF(ISNUMBER(SEARCH("SUNTHINKS",INVENTARIO!C98)),"SUN",
IF(ISNUMBER(SEARCH("FRIO",INVENTARIO!C98)),"FRI",
IF(ISNUMBER(SEARCH("CALIDO",INVENTARIO!C98)),"CAL",
IF(ISNUMBER(SEARCH("CEPILLADO",INVENTARIO!C98)),"CEP",
IF(ISNUMBER(SEARCH("ESPEJO",INVENTARIO!C98)),"ESP",
""))))))</f>
        <v/>
      </c>
      <c r="G98" t="str">
        <f>IF(ISNUMBER(SEARCH("LATEX",INVENTARIO!C98)),"LAT",
IF(ISNUMBER(SEARCH("RESP. NEGRO",INVENTARIO!C98)),"RES-NEG",
IF(ISNUMBER(SEARCH("RESPALDO CAFE",INVENTARIO!C98)),"RES-CAF",
IF(ISNUMBER(SEARCH("RESPALDO GRIS",INVENTARIO!C98)),"RES-GRI",
IF(ISNUMBER(SEARCH("OPTICO",INVENTARIO!C98)),"OPT",
IF(ISNUMBER(SEARCH("1,2 MM",INVENTARIO!C98)),"1MM2",
IF(ISNUMBER(SEARCH("2 MM",INVENTARIO!C98)),"2MM",
IF(ISNUMBER(SEARCH("3 MM",INVENTARIO!C98)),"3MM",
IF(ISNUMBER(SEARCH("4 MM",INVENTARIO!C98)),"4MM",
IF(ISNUMBER(SEARCH("5 MM",INVENTARIO!C98)),"5MM",
IF(ISNUMBER(SEARCH("6 MM",INVENTARIO!C98)),"6MM",
IF(ISNUMBER(SEARCH("9 MM",INVENTARIO!C98)),"9MM",
IF(ISNUMBER(SEARCH("10 MM",INVENTARIO!C98)),"10MM","")))))))))))))</f>
        <v/>
      </c>
      <c r="H98" t="str">
        <f>IF(ISNUMBER(SEARCH("GAMA BAJA",INVENTARIO!C98)),"GAM-BAJ",
IF(ISNUMBER(SEARCH("OPTIMIZADOR",INVENTARIO!C98)),"OPT",
IF(ISNUMBER(SEARCH("OVERCOAT",INVENTARIO!C98)),"OVE",
IF(ISNUMBER(SEARCH("WHITE",INVENTARIO!C98)),"WHI",
IF(ISNUMBER(SEARCH("LIGHT CYAN",INVENTARIO!C98)),"LIG-CYA",
IF(ISNUMBER(SEARCH("CYAN",INVENTARIO!C98)),"CYA",
IF(ISNUMBER(SEARCH("LIGHT MAGENTA",INVENTARIO!C98)),"LIG-MAG",
IF(ISNUMBER(SEARCH("MAGENTA",INVENTARIO!C98)),"MAG",
IF(ISNUMBER(SEARCH("BLACK",INVENTARIO!C98)),"BLA",
IF(ISNUMBER(SEARCH("YELLOW",INVENTARIO!C98)),"YEL",
IF(ISNUMBER(SEARCH("2 DIODOS",INVENTARIO!C98)),"2DI",
IF(ISNUMBER(SEARCH("3 DIODOS",INVENTARIO!C98)),"3DI",
IF(OR(ISNUMBER(SEARCH("TRASLUCIDO",INVENTARIO!C98)),ISNUMBER(SEARCH("TRANSLUCIDO",INVENTARIO!C98))),"TRA",
"")))))))))))))</f>
        <v/>
      </c>
      <c r="I98" t="str">
        <f>IF(ISNUMBER(SEARCH("SILED",INVENTARIO!C111)),"SI",
IF(ISNUMBER(SEARCH("SYDEMEX",INVENTARIO!C111)),"SY",
IF(ISNUMBER(SEARCH("ROHS",INVENTARIO!C111)),"RO",
IF(ISNUMBER(SEARCH("RISHANG",INVENTARIO!C111)),"RS",
IF(ISNUMBER(SEARCH("VYG",INVENTARIO!C111)),"VYG",
IF(ISNUMBER(SEARCH("COLED",INVENTARIO!C111)),"CO",""))))))</f>
        <v/>
      </c>
    </row>
    <row r="99" spans="1:9">
      <c r="A99" t="str">
        <f>IF(ISNUMBER(SEARCH("LONA",INVENTARIO!C99)),"LON",
IF(ISNUMBER(SEARCH("VINIL",INVENTARIO!C99)),"VIN",
IF(ISNUMBER(SEARCH("KROMACOTE",INVENTARIO!C99)),"KRO",
IF(ISNUMBER(SEARCH("STARDREAM",INVENTARIO!C99)),"STA",
IF(ISNUMBER(SEARCH("DISPLAY",INVENTARIO!C99)),"DIS",
IF(ISNUMBER(SEARCH("ROLL UP",INVENTARIO!C99)),"ROL-UP",
IF(ISNUMBER(SEARCH("TRANSFER DE PAPEL",INVENTARIO!C99)),"TRA-PAP",
IF(ISNUMBER(SEARCH("TRANSFER",INVENTARIO!C99)),"TRA",IF(ISNUMBER(SEARCH("KOLA LOKA",INVENTARIO!C99)),"KOL-LOK",
IF(ISNUMBER(SEARCH("PETG",INVENTARIO!C99)),"PET",
IF(ISNUMBER(SEARCH("OJILLO",INVENTARIO!C99)),"OJI",
IF(ISNUMBER(SEARCH("COUCHE",INVENTARIO!C99)),"COU",
IF(ISNUMBER(SEARCH("PANEL DE ALUMINIO",INVENTARIO!C99)),"PAN-ALU",
IF(ISNUMBER(SEARCH("PVC",INVENTARIO!C99)),"PVC",
IF(ISNUMBER(SEARCH("PAPEL",INVENTARIO!C99)),"PAP",
IF(ISNUMBER(SEARCH("TELA",INVENTARIO!C99)),"TEL",
IF(ISNUMBER(SEARCH("CARTULINA",INVENTARIO!C99)),"CAR",
IF(OR(ISNUMBER(SEARCH("LAMINA",INVENTARIO!C99)),ISNUMBER(SEARCH("LÁMINA",INVENTARIO!C99)),ISNUMBER(SEARCH("LAMPARAS",INVENTARIO!C99))),"LAM",
IF(ISNUMBER(SEARCH("ESTIRENO",INVENTARIO!C99)),"EST",
IF(ISNUMBER(SEARCH("FOAMBOARD",INVENTARIO!C99)),"FOA",
IF(ISNUMBER(SEARCH("SOLVENTE",INVENTARIO!C99)),"SOL",
IF(ISNUMBER(SEARCH("TINTA",INVENTARIO!C99)),"TIN",
IF(ISNUMBER(SEARCH("ACRILICO",INVENTARIO!C99)),"ACR",
IF(ISNUMBER(SEARCH("MICROLED",INVENTARIO!C99)),"MIC",
IF(ISNUMBER(SEARCH("LED",INVENTARIO!C99)),"LED",
IF(ISNUMBER(SEARCH("FUENTE DE PODER",INVENTARIO!C99)),"FUE-POD",
IF(ISNUMBER(SEARCH("PETG",INVENTARIO!C99)),"PET",
IF(ISNUMBER(SEARCH("ALUMINIO",INVENTARIO!C99)),"ALU",
IF(ISNUMBER(SEARCH("CANAL",INVENTARIO!C99)),"CAN",
IF(ISNUMBER(SEARCH("ESCUADRA",INVENTARIO!C99)),"ESC",
IF(ISNUMBER(SEARCH("SOPORTE",INVENTARIO!C99)),"SOP","OTR")
))))))))))))))))))))))))))))))</f>
        <v>EST</v>
      </c>
      <c r="B99" t="str">
        <f>IF(ISNUMBER(SEARCH("CORTE",INVENTARIO!C99)),"COR",
IF(ISNUMBER(SEARCH("CITYLIGHT",INVENTARIO!C99)),"CIT",
IF(ISNUMBER(SEARCH("LINO",INVENTARIO!C99)),"LIN",
IF(ISNUMBER(SEARCH("FABRIANO",INVENTARIO!C99)),"FAB",
IF(ISNUMBER(SEARCH("SUNDANCE",INVENTARIO!C99)),"SUN",
IF(ISNUMBER(SEARCH("SINTETICA",INVENTARIO!C99)),"SIN",
IF(ISNUMBER(SEARCH("CONTROL",INVENTARIO!C99)),"CON",
IF(ISNUMBER(SEARCH("TERMICO",INVENTARIO!C99)),"TER",
IF(ISNUMBER(SEARCH("C-15",INVENTARIO!C99)),"C15",
IF(ISNUMBER(SEARCH("C-20",INVENTARIO!C99)),"C20",
IF(ISNUMBER(SEARCH("C-30",INVENTARIO!C99)),"C30",
IF(ISNUMBER(SEARCH("C-40",INVENTARIO!C99)),"C40",
IF(ISNUMBER(SEARCH("C-60",INVENTARIO!C99)),"C60",
IF(ISNUMBER(SEARCH("C-80",INVENTARIO!C99)),"C80",
IF(ISNUMBER(SEARCH("EQUIPO",INVENTARIO!C99)),"EQU",
IF(ISNUMBER(SEARCH("FLOOR",INVENTARIO!C99)),"FLO",
IF(ISNUMBER(SEARCH("CRISTAL",INVENTARIO!C99)),"CRI",
IF(ISNUMBER(SEARCH(" SULFATADA",INVENTARIO!C110)),"SUL",
IF(ISNUMBER(SEARCH("OPALINA",INVENTARIO!C99)),"OPA",
IF(ISNUMBER(SEARCH("ADHERIBLE",INVENTARIO!C99)),"ADH",
IF(ISNUMBER(SEARCH("MICRO",INVENTARIO!C99)),"MIC","")))))))))))))))))))))</f>
        <v>C40</v>
      </c>
      <c r="C99" t="str">
        <f>IF(ISNUMBER(SEARCH("PARED",INVENTARIO!C99)),"PAR",
IF(ISNUMBER(SEARCH("FRONT",INVENTARIO!C99)),"FRO",
IF(ISNUMBER(SEARCH("ALTA RESISTENCIA",INVENTARIO!C99)),
"ALT-RES",IF(ISNUMBER(SEARCH("BACKLITE",INVENTARIO!C99)),"BAC",
IF(ISNUMBER(SEARCH("MATE",INVENTARIO!C99)),"MAT",
IF(ISNUMBER(SEARCH("MESH",INVENTARIO!C99)),"MES",
IF(ISNUMBER(SEARCH("BRILLANTE",INVENTARIO!C99)),"BRI",
IF(ISNUMBER(SEARCH("DELGADA",INVENTARIO!C99)),"DEL",
IF(ISNUMBER(SEARCH("GRUESA",INVENTARIO!C99)),"GRU",
IF(ISNUMBER(SEARCH("ESTATICO",INVENTARIO!C99)),"EST",
IF(ISNUMBER(SEARCH("REFLECTIVO",INVENTARIO!C99)),"REF",
IF(ISNUMBER(SEARCH("LX700",INVENTARIO!C99)),"LX7",
IF(ISNUMBER(SEARCH("GRANDO",INVENTARIO!C99)),"GRA",
IF(ISNUMBER(SEARCH("FB700",INVENTARIO!C99)),"FB7",
IF(ISNUMBER(SEARCH("LX360",INVENTARIO!C99)),"LX3",
IF(ISNUMBER(SEARCH("XEROX",INVENTARIO!C99)),"XER",
IF(ISNUMBER(SEARCH("CEPILLADO",INVENTARIO!C99)),"CEP",
IF(ISNUMBER(SEARCH("ESPEJO",INVENTARIO!C99)),"ESP",
IF(ISNUMBER(SEARCH("10 PTS",INVENTARIO!C99)),"10PT",
IF(ISNUMBER(SEARCH("12 PTS",INVENTARIO!C99)),"12PT",
IF(ISNUMBER(SEARCH("14 PTS",INVENTARIO!C99)),"14PT",
IF(ISNUMBER(SEARCH("CLASICO",INVENTARIO!C99)),"CLA",
""))))))))))))))))))))))</f>
        <v/>
      </c>
      <c r="D99" t="str">
        <f>IF(ISNUMBER(SEARCH("GRAN FORMATO",INVENTARIO!C99)),"GRA-FOR",
IF(ISNUMBER(SEARCH("CAMA PLANA",INVENTARIO!C99)),"CAM-PLA",
IF(ISNUMBER(SEARCH("GRADO INGENIERIA",INVENTARIO!C99)),"GRA-ING",
IF(ISNUMBER(SEARCH("130 GRS",INVENTARIO!C99)),"130GR",
IF(ISNUMBER(SEARCH("150 GRS",INVENTARIO!C99)),"150GR",
IF(ISNUMBER(SEARCH("185 GRS",INVENTARIO!C99)),"185GR",
IF(ISNUMBER(SEARCH("200 GRS",INVENTARIO!C99)),"200GR",
IF(ISNUMBER(SEARCH("250 GRS",INVENTARIO!C99)),"250GR",
IF(ISNUMBER(SEARCH("300 GRS",INVENTARIO!C99)),"300GR",
IF(ISNUMBER(SEARCH("350 GRS",INVENTARIO!C99)),"350GR",
IF(ISNUMBER(SEARCH("18 OZ",INVENTARIO!C99)),"18OZ",
IF(ISNUMBER(SEARCH("15 OZ",INVENTARIO!C99)),"15OZ",
IF(OR(ISNUMBER(SEARCH("13 OZ",INVENTARIO!C99)),ISNUMBER(SEARCH("13 ONZAS",INVENTARIO!C99))),"13OZ",
IF(OR(ISNUMBER(SEARCH("9 OZ",INVENTARIO!C99)),ISNUMBER(SEARCH("9 ONZAS",INVENTARIO!C99))),"09OZ",
IF(ISNUMBER(SEARCH("DOBLE CARA",INVENTARIO!C99)),"DOB-CAR",
"")))))))))))))))</f>
        <v/>
      </c>
      <c r="E99" t="str">
        <f>IF(OR(ISNUMBER(SEARCH("TRANSPARENTE",INVENTARIO!C99)),ISNUMBER(SEARCH("TRANSPARENTES",INVENTARIO!C99))),"TRA",
IF(OR(ISNUMBER(SEARCH("BLANCO",INVENTARIO!C99)),ISNUMBER(SEARCH("BCO",INVENTARIO!C99))),"BLA",
IF(ISNUMBER(SEARCH("FOTOGRAFICO",INVENTARIO!C99)),"FOT",
IF(ISNUMBER(SEARCH("MARFIL",INVENTARIO!C99)),"MAR",
IF(ISNUMBER(SEARCH("VERDE",INVENTARIO!C99)),"VER",
IF(ISNUMBER(SEARCH("MORADO",INVENTARIO!C99)),"MOR",
IF(ISNUMBER(SEARCH("PLATA",INVENTARIO!C99)),"PLA",
IF(ISNUMBER(SEARCH("ORO",INVENTARIO!C99)),"ORO",
IF(ISNUMBER(SEARCH("AMARILLO",INVENTARIO!C99)),"AMA",
IF(ISNUMBER(SEARCH("NARANJA",INVENTARIO!C99)),"NAR",
IF(ISNUMBER(SEARCH("NEGRO",INVENTARIO!C99)),"NEG",
IF(ISNUMBER(SEARCH("ROJO",INVENTARIO!C99)),"ROJ",
IF(ISNUMBER(SEARCH("AZUL",INVENTARIO!C99)),"AZU","")))))))))))))</f>
        <v/>
      </c>
      <c r="F99" t="str">
        <f>IF(ISNUMBER(SEARCH("ARLON",INVENTARIO!C99)),"ARL",
IF(ISNUMBER(SEARCH("SUNTHINKS",INVENTARIO!C99)),"SUN",
IF(ISNUMBER(SEARCH("FRIO",INVENTARIO!C99)),"FRI",
IF(ISNUMBER(SEARCH("CALIDO",INVENTARIO!C99)),"CAL",
IF(ISNUMBER(SEARCH("CEPILLADO",INVENTARIO!C99)),"CEP",
IF(ISNUMBER(SEARCH("ESPEJO",INVENTARIO!C99)),"ESP",
""))))))</f>
        <v/>
      </c>
      <c r="G99" t="str">
        <f>IF(ISNUMBER(SEARCH("LATEX",INVENTARIO!C99)),"LAT",
IF(ISNUMBER(SEARCH("RESP. NEGRO",INVENTARIO!C99)),"RES-NEG",
IF(ISNUMBER(SEARCH("RESPALDO CAFE",INVENTARIO!C99)),"RES-CAF",
IF(ISNUMBER(SEARCH("RESPALDO GRIS",INVENTARIO!C99)),"RES-GRI",
IF(ISNUMBER(SEARCH("OPTICO",INVENTARIO!C99)),"OPT",
IF(ISNUMBER(SEARCH("1,2 MM",INVENTARIO!C99)),"1MM2",
IF(ISNUMBER(SEARCH("2 MM",INVENTARIO!C99)),"2MM",
IF(ISNUMBER(SEARCH("3 MM",INVENTARIO!C99)),"3MM",
IF(ISNUMBER(SEARCH("4 MM",INVENTARIO!C99)),"4MM",
IF(ISNUMBER(SEARCH("5 MM",INVENTARIO!C99)),"5MM",
IF(ISNUMBER(SEARCH("6 MM",INVENTARIO!C99)),"6MM",
IF(ISNUMBER(SEARCH("9 MM",INVENTARIO!C99)),"9MM",
IF(ISNUMBER(SEARCH("10 MM",INVENTARIO!C99)),"10MM","")))))))))))))</f>
        <v/>
      </c>
      <c r="H99" t="str">
        <f>IF(ISNUMBER(SEARCH("GAMA BAJA",INVENTARIO!C99)),"GAM-BAJ",
IF(ISNUMBER(SEARCH("OPTIMIZADOR",INVENTARIO!C99)),"OPT",
IF(ISNUMBER(SEARCH("OVERCOAT",INVENTARIO!C99)),"OVE",
IF(ISNUMBER(SEARCH("WHITE",INVENTARIO!C99)),"WHI",
IF(ISNUMBER(SEARCH("LIGHT CYAN",INVENTARIO!C99)),"LIG-CYA",
IF(ISNUMBER(SEARCH("CYAN",INVENTARIO!C99)),"CYA",
IF(ISNUMBER(SEARCH("LIGHT MAGENTA",INVENTARIO!C99)),"LIG-MAG",
IF(ISNUMBER(SEARCH("MAGENTA",INVENTARIO!C99)),"MAG",
IF(ISNUMBER(SEARCH("BLACK",INVENTARIO!C99)),"BLA",
IF(ISNUMBER(SEARCH("YELLOW",INVENTARIO!C99)),"YEL",
IF(ISNUMBER(SEARCH("2 DIODOS",INVENTARIO!C99)),"2DI",
IF(ISNUMBER(SEARCH("3 DIODOS",INVENTARIO!C99)),"3DI",
IF(OR(ISNUMBER(SEARCH("TRASLUCIDO",INVENTARIO!C99)),ISNUMBER(SEARCH("TRANSLUCIDO",INVENTARIO!C99))),"TRA",
"")))))))))))))</f>
        <v/>
      </c>
      <c r="I99" t="str">
        <f>IF(ISNUMBER(SEARCH("SILED",INVENTARIO!C113)),"SI",
IF(ISNUMBER(SEARCH("SYDEMEX",INVENTARIO!C113)),"SY",
IF(ISNUMBER(SEARCH("ROHS",INVENTARIO!C113)),"RO",
IF(ISNUMBER(SEARCH("RISHANG",INVENTARIO!C113)),"RS",
IF(ISNUMBER(SEARCH("VYG",INVENTARIO!C113)),"VYG",
IF(ISNUMBER(SEARCH("COLED",INVENTARIO!C113)),"CO",""))))))</f>
        <v/>
      </c>
    </row>
    <row r="100" spans="1:9">
      <c r="A100" t="str">
        <f>IF(ISNUMBER(SEARCH("LONA",INVENTARIO!C100)),"LON",
IF(ISNUMBER(SEARCH("VINIL",INVENTARIO!C100)),"VIN",
IF(ISNUMBER(SEARCH("KROMACOTE",INVENTARIO!C100)),"KRO",
IF(ISNUMBER(SEARCH("STARDREAM",INVENTARIO!C100)),"STA",
IF(ISNUMBER(SEARCH("DISPLAY",INVENTARIO!C100)),"DIS",
IF(ISNUMBER(SEARCH("ROLL UP",INVENTARIO!C100)),"ROL-UP",
IF(ISNUMBER(SEARCH("TRANSFER DE PAPEL",INVENTARIO!C100)),"TRA-PAP",
IF(ISNUMBER(SEARCH("TRANSFER",INVENTARIO!C100)),"TRA",IF(ISNUMBER(SEARCH("KOLA LOKA",INVENTARIO!C100)),"KOL-LOK",
IF(ISNUMBER(SEARCH("PETG",INVENTARIO!C100)),"PET",
IF(ISNUMBER(SEARCH("OJILLO",INVENTARIO!C100)),"OJI",
IF(ISNUMBER(SEARCH("COUCHE",INVENTARIO!C100)),"COU",
IF(ISNUMBER(SEARCH("PANEL DE ALUMINIO",INVENTARIO!C100)),"PAN-ALU",
IF(ISNUMBER(SEARCH("PVC",INVENTARIO!C100)),"PVC",
IF(ISNUMBER(SEARCH("PAPEL",INVENTARIO!C100)),"PAP",
IF(ISNUMBER(SEARCH("TELA",INVENTARIO!C100)),"TEL",
IF(ISNUMBER(SEARCH("CARTULINA",INVENTARIO!C100)),"CAR",
IF(OR(ISNUMBER(SEARCH("LAMINA",INVENTARIO!C100)),ISNUMBER(SEARCH("LÁMINA",INVENTARIO!C100)),ISNUMBER(SEARCH("LAMPARAS",INVENTARIO!C100))),"LAM",
IF(ISNUMBER(SEARCH("ESTIRENO",INVENTARIO!C100)),"EST",
IF(ISNUMBER(SEARCH("FOAMBOARD",INVENTARIO!C100)),"FOA",
IF(ISNUMBER(SEARCH("SOLVENTE",INVENTARIO!C100)),"SOL",
IF(ISNUMBER(SEARCH("TINTA",INVENTARIO!C100)),"TIN",
IF(ISNUMBER(SEARCH("ACRILICO",INVENTARIO!C100)),"ACR",
IF(ISNUMBER(SEARCH("MICROLED",INVENTARIO!C100)),"MIC",
IF(ISNUMBER(SEARCH("LED",INVENTARIO!C100)),"LED",
IF(ISNUMBER(SEARCH("FUENTE DE PODER",INVENTARIO!C100)),"FUE-POD",
IF(ISNUMBER(SEARCH("PETG",INVENTARIO!C100)),"PET",
IF(ISNUMBER(SEARCH("ALUMINIO",INVENTARIO!C100)),"ALU",
IF(ISNUMBER(SEARCH("CANAL",INVENTARIO!C100)),"CAN",
IF(ISNUMBER(SEARCH("ESCUADRA",INVENTARIO!C100)),"ESC",
IF(ISNUMBER(SEARCH("SOPORTE",INVENTARIO!C100)),"SOP","OTR")
))))))))))))))))))))))))))))))</f>
        <v>EST</v>
      </c>
      <c r="B100" t="str">
        <f>IF(ISNUMBER(SEARCH("CORTE",INVENTARIO!C100)),"COR",
IF(ISNUMBER(SEARCH("CITYLIGHT",INVENTARIO!C100)),"CIT",
IF(ISNUMBER(SEARCH("LINO",INVENTARIO!C100)),"LIN",
IF(ISNUMBER(SEARCH("FABRIANO",INVENTARIO!C100)),"FAB",
IF(ISNUMBER(SEARCH("SUNDANCE",INVENTARIO!C100)),"SUN",
IF(ISNUMBER(SEARCH("SINTETICA",INVENTARIO!C100)),"SIN",
IF(ISNUMBER(SEARCH("CONTROL",INVENTARIO!C100)),"CON",
IF(ISNUMBER(SEARCH("TERMICO",INVENTARIO!C100)),"TER",
IF(ISNUMBER(SEARCH("C-15",INVENTARIO!C100)),"C15",
IF(ISNUMBER(SEARCH("C-20",INVENTARIO!C100)),"C20",
IF(ISNUMBER(SEARCH("C-30",INVENTARIO!C100)),"C30",
IF(ISNUMBER(SEARCH("C-40",INVENTARIO!C100)),"C40",
IF(ISNUMBER(SEARCH("C-60",INVENTARIO!C100)),"C60",
IF(ISNUMBER(SEARCH("C-80",INVENTARIO!C100)),"C80",
IF(ISNUMBER(SEARCH("EQUIPO",INVENTARIO!C100)),"EQU",
IF(ISNUMBER(SEARCH("FLOOR",INVENTARIO!C100)),"FLO",
IF(ISNUMBER(SEARCH("CRISTAL",INVENTARIO!C100)),"CRI",
IF(ISNUMBER(SEARCH(" SULFATADA",INVENTARIO!C111)),"SUL",
IF(ISNUMBER(SEARCH("OPALINA",INVENTARIO!C100)),"OPA",
IF(ISNUMBER(SEARCH("ADHERIBLE",INVENTARIO!C100)),"ADH",
IF(ISNUMBER(SEARCH("MICRO",INVENTARIO!C100)),"MIC","")))))))))))))))))))))</f>
        <v>C60</v>
      </c>
      <c r="C100" t="str">
        <f>IF(ISNUMBER(SEARCH("PARED",INVENTARIO!C100)),"PAR",
IF(ISNUMBER(SEARCH("FRONT",INVENTARIO!C100)),"FRO",
IF(ISNUMBER(SEARCH("ALTA RESISTENCIA",INVENTARIO!C100)),
"ALT-RES",IF(ISNUMBER(SEARCH("BACKLITE",INVENTARIO!C100)),"BAC",
IF(ISNUMBER(SEARCH("MATE",INVENTARIO!C100)),"MAT",
IF(ISNUMBER(SEARCH("MESH",INVENTARIO!C100)),"MES",
IF(ISNUMBER(SEARCH("BRILLANTE",INVENTARIO!C100)),"BRI",
IF(ISNUMBER(SEARCH("DELGADA",INVENTARIO!C100)),"DEL",
IF(ISNUMBER(SEARCH("GRUESA",INVENTARIO!C100)),"GRU",
IF(ISNUMBER(SEARCH("ESTATICO",INVENTARIO!C100)),"EST",
IF(ISNUMBER(SEARCH("REFLECTIVO",INVENTARIO!C100)),"REF",
IF(ISNUMBER(SEARCH("LX700",INVENTARIO!C100)),"LX7",
IF(ISNUMBER(SEARCH("GRANDO",INVENTARIO!C100)),"GRA",
IF(ISNUMBER(SEARCH("FB700",INVENTARIO!C100)),"FB7",
IF(ISNUMBER(SEARCH("LX360",INVENTARIO!C100)),"LX3",
IF(ISNUMBER(SEARCH("XEROX",INVENTARIO!C100)),"XER",
IF(ISNUMBER(SEARCH("CEPILLADO",INVENTARIO!C100)),"CEP",
IF(ISNUMBER(SEARCH("ESPEJO",INVENTARIO!C100)),"ESP",
IF(ISNUMBER(SEARCH("10 PTS",INVENTARIO!C100)),"10PT",
IF(ISNUMBER(SEARCH("12 PTS",INVENTARIO!C100)),"12PT",
IF(ISNUMBER(SEARCH("14 PTS",INVENTARIO!C100)),"14PT",
IF(ISNUMBER(SEARCH("CLASICO",INVENTARIO!C100)),"CLA",
""))))))))))))))))))))))</f>
        <v/>
      </c>
      <c r="D100" t="str">
        <f>IF(ISNUMBER(SEARCH("GRAN FORMATO",INVENTARIO!C100)),"GRA-FOR",
IF(ISNUMBER(SEARCH("CAMA PLANA",INVENTARIO!C100)),"CAM-PLA",
IF(ISNUMBER(SEARCH("GRADO INGENIERIA",INVENTARIO!C100)),"GRA-ING",
IF(ISNUMBER(SEARCH("130 GRS",INVENTARIO!C100)),"130GR",
IF(ISNUMBER(SEARCH("150 GRS",INVENTARIO!C100)),"150GR",
IF(ISNUMBER(SEARCH("185 GRS",INVENTARIO!C100)),"185GR",
IF(ISNUMBER(SEARCH("200 GRS",INVENTARIO!C100)),"200GR",
IF(ISNUMBER(SEARCH("250 GRS",INVENTARIO!C100)),"250GR",
IF(ISNUMBER(SEARCH("300 GRS",INVENTARIO!C100)),"300GR",
IF(ISNUMBER(SEARCH("350 GRS",INVENTARIO!C100)),"350GR",
IF(ISNUMBER(SEARCH("18 OZ",INVENTARIO!C100)),"18OZ",
IF(ISNUMBER(SEARCH("15 OZ",INVENTARIO!C100)),"15OZ",
IF(OR(ISNUMBER(SEARCH("13 OZ",INVENTARIO!C100)),ISNUMBER(SEARCH("13 ONZAS",INVENTARIO!C100))),"13OZ",
IF(OR(ISNUMBER(SEARCH("9 OZ",INVENTARIO!C100)),ISNUMBER(SEARCH("9 ONZAS",INVENTARIO!C100))),"09OZ",
IF(ISNUMBER(SEARCH("DOBLE CARA",INVENTARIO!C100)),"DOB-CAR",
"")))))))))))))))</f>
        <v/>
      </c>
      <c r="E100" t="str">
        <f>IF(OR(ISNUMBER(SEARCH("TRANSPARENTE",INVENTARIO!C100)),ISNUMBER(SEARCH("TRANSPARENTES",INVENTARIO!C100))),"TRA",
IF(OR(ISNUMBER(SEARCH("BLANCO",INVENTARIO!C100)),ISNUMBER(SEARCH("BCO",INVENTARIO!C100))),"BLA",
IF(ISNUMBER(SEARCH("FOTOGRAFICO",INVENTARIO!C100)),"FOT",
IF(ISNUMBER(SEARCH("MARFIL",INVENTARIO!C100)),"MAR",
IF(ISNUMBER(SEARCH("VERDE",INVENTARIO!C100)),"VER",
IF(ISNUMBER(SEARCH("MORADO",INVENTARIO!C100)),"MOR",
IF(ISNUMBER(SEARCH("PLATA",INVENTARIO!C100)),"PLA",
IF(ISNUMBER(SEARCH("ORO",INVENTARIO!C100)),"ORO",
IF(ISNUMBER(SEARCH("AMARILLO",INVENTARIO!C100)),"AMA",
IF(ISNUMBER(SEARCH("NARANJA",INVENTARIO!C100)),"NAR",
IF(ISNUMBER(SEARCH("NEGRO",INVENTARIO!C100)),"NEG",
IF(ISNUMBER(SEARCH("ROJO",INVENTARIO!C100)),"ROJ",
IF(ISNUMBER(SEARCH("AZUL",INVENTARIO!C100)),"AZU","")))))))))))))</f>
        <v/>
      </c>
      <c r="F100" t="str">
        <f>IF(ISNUMBER(SEARCH("ARLON",INVENTARIO!C100)),"ARL",
IF(ISNUMBER(SEARCH("SUNTHINKS",INVENTARIO!C100)),"SUN",
IF(ISNUMBER(SEARCH("FRIO",INVENTARIO!C100)),"FRI",
IF(ISNUMBER(SEARCH("CALIDO",INVENTARIO!C100)),"CAL",
IF(ISNUMBER(SEARCH("CEPILLADO",INVENTARIO!C100)),"CEP",
IF(ISNUMBER(SEARCH("ESPEJO",INVENTARIO!C100)),"ESP",
""))))))</f>
        <v/>
      </c>
      <c r="G100" t="str">
        <f>IF(ISNUMBER(SEARCH("LATEX",INVENTARIO!C100)),"LAT",
IF(ISNUMBER(SEARCH("RESP. NEGRO",INVENTARIO!C100)),"RES-NEG",
IF(ISNUMBER(SEARCH("RESPALDO CAFE",INVENTARIO!C100)),"RES-CAF",
IF(ISNUMBER(SEARCH("RESPALDO GRIS",INVENTARIO!C100)),"RES-GRI",
IF(ISNUMBER(SEARCH("OPTICO",INVENTARIO!C100)),"OPT",
IF(ISNUMBER(SEARCH("1,2 MM",INVENTARIO!C100)),"1MM2",
IF(ISNUMBER(SEARCH("2 MM",INVENTARIO!C100)),"2MM",
IF(ISNUMBER(SEARCH("3 MM",INVENTARIO!C100)),"3MM",
IF(ISNUMBER(SEARCH("4 MM",INVENTARIO!C100)),"4MM",
IF(ISNUMBER(SEARCH("5 MM",INVENTARIO!C100)),"5MM",
IF(ISNUMBER(SEARCH("6 MM",INVENTARIO!C100)),"6MM",
IF(ISNUMBER(SEARCH("9 MM",INVENTARIO!C100)),"9MM",
IF(ISNUMBER(SEARCH("10 MM",INVENTARIO!C100)),"10MM","")))))))))))))</f>
        <v/>
      </c>
      <c r="H100" t="str">
        <f>IF(ISNUMBER(SEARCH("GAMA BAJA",INVENTARIO!C100)),"GAM-BAJ",
IF(ISNUMBER(SEARCH("OPTIMIZADOR",INVENTARIO!C100)),"OPT",
IF(ISNUMBER(SEARCH("OVERCOAT",INVENTARIO!C100)),"OVE",
IF(ISNUMBER(SEARCH("WHITE",INVENTARIO!C100)),"WHI",
IF(ISNUMBER(SEARCH("LIGHT CYAN",INVENTARIO!C100)),"LIG-CYA",
IF(ISNUMBER(SEARCH("CYAN",INVENTARIO!C100)),"CYA",
IF(ISNUMBER(SEARCH("LIGHT MAGENTA",INVENTARIO!C100)),"LIG-MAG",
IF(ISNUMBER(SEARCH("MAGENTA",INVENTARIO!C100)),"MAG",
IF(ISNUMBER(SEARCH("BLACK",INVENTARIO!C100)),"BLA",
IF(ISNUMBER(SEARCH("YELLOW",INVENTARIO!C100)),"YEL",
IF(ISNUMBER(SEARCH("2 DIODOS",INVENTARIO!C100)),"2DI",
IF(ISNUMBER(SEARCH("3 DIODOS",INVENTARIO!C100)),"3DI",
IF(OR(ISNUMBER(SEARCH("TRASLUCIDO",INVENTARIO!C100)),ISNUMBER(SEARCH("TRANSLUCIDO",INVENTARIO!C100))),"TRA",
"")))))))))))))</f>
        <v/>
      </c>
      <c r="I100" t="str">
        <f>IF(ISNUMBER(SEARCH("SILED",INVENTARIO!C114)),"SI",
IF(ISNUMBER(SEARCH("SYDEMEX",INVENTARIO!C114)),"SY",
IF(ISNUMBER(SEARCH("ROHS",INVENTARIO!C114)),"RO",
IF(ISNUMBER(SEARCH("RISHANG",INVENTARIO!C114)),"RS",
IF(ISNUMBER(SEARCH("VYG",INVENTARIO!C114)),"VYG",
IF(ISNUMBER(SEARCH("COLED",INVENTARIO!C114)),"CO",""))))))</f>
        <v/>
      </c>
    </row>
    <row r="101" spans="1:9">
      <c r="A101" t="str">
        <f>IF(ISNUMBER(SEARCH("LONA",INVENTARIO!C101)),"LON",
IF(ISNUMBER(SEARCH("VINIL",INVENTARIO!C101)),"VIN",
IF(ISNUMBER(SEARCH("KROMACOTE",INVENTARIO!C101)),"KRO",
IF(ISNUMBER(SEARCH("STARDREAM",INVENTARIO!C101)),"STA",
IF(ISNUMBER(SEARCH("DISPLAY",INVENTARIO!C101)),"DIS",
IF(ISNUMBER(SEARCH("ROLL UP",INVENTARIO!C101)),"ROL-UP",
IF(ISNUMBER(SEARCH("TRANSFER DE PAPEL",INVENTARIO!C101)),"TRA-PAP",
IF(ISNUMBER(SEARCH("TRANSFER",INVENTARIO!C101)),"TRA",IF(ISNUMBER(SEARCH("KOLA LOKA",INVENTARIO!C101)),"KOL-LOK",
IF(ISNUMBER(SEARCH("PETG",INVENTARIO!C101)),"PET",
IF(ISNUMBER(SEARCH("OJILLO",INVENTARIO!C101)),"OJI",
IF(ISNUMBER(SEARCH("COUCHE",INVENTARIO!C101)),"COU",
IF(ISNUMBER(SEARCH("PANEL DE ALUMINIO",INVENTARIO!C101)),"PAN-ALU",
IF(ISNUMBER(SEARCH("PVC",INVENTARIO!C101)),"PVC",
IF(ISNUMBER(SEARCH("PAPEL",INVENTARIO!C101)),"PAP",
IF(ISNUMBER(SEARCH("TELA",INVENTARIO!C101)),"TEL",
IF(ISNUMBER(SEARCH("CARTULINA",INVENTARIO!C101)),"CAR",
IF(OR(ISNUMBER(SEARCH("LAMINA",INVENTARIO!C101)),ISNUMBER(SEARCH("LÁMINA",INVENTARIO!C101)),ISNUMBER(SEARCH("LAMPARAS",INVENTARIO!C101))),"LAM",
IF(ISNUMBER(SEARCH("ESTIRENO",INVENTARIO!C101)),"EST",
IF(ISNUMBER(SEARCH("FOAMBOARD",INVENTARIO!C101)),"FOA",
IF(ISNUMBER(SEARCH("SOLVENTE",INVENTARIO!C101)),"SOL",
IF(ISNUMBER(SEARCH("TINTA",INVENTARIO!C101)),"TIN",
IF(ISNUMBER(SEARCH("ACRILICO",INVENTARIO!C101)),"ACR",
IF(ISNUMBER(SEARCH("MICROLED",INVENTARIO!C101)),"MIC",
IF(ISNUMBER(SEARCH("LED",INVENTARIO!C101)),"LED",
IF(ISNUMBER(SEARCH("FUENTE DE PODER",INVENTARIO!C101)),"FUE-POD",
IF(ISNUMBER(SEARCH("PETG",INVENTARIO!C101)),"PET",
IF(ISNUMBER(SEARCH("ALUMINIO",INVENTARIO!C101)),"ALU",
IF(ISNUMBER(SEARCH("CANAL",INVENTARIO!C101)),"CAN",
IF(ISNUMBER(SEARCH("ESCUADRA",INVENTARIO!C101)),"ESC",
IF(ISNUMBER(SEARCH("SOPORTE",INVENTARIO!C101)),"SOP","OTR")
))))))))))))))))))))))))))))))</f>
        <v>EST</v>
      </c>
      <c r="B101" t="str">
        <f>IF(ISNUMBER(SEARCH("CORTE",INVENTARIO!C101)),"COR",
IF(ISNUMBER(SEARCH("CITYLIGHT",INVENTARIO!C101)),"CIT",
IF(ISNUMBER(SEARCH("LINO",INVENTARIO!C101)),"LIN",
IF(ISNUMBER(SEARCH("FABRIANO",INVENTARIO!C101)),"FAB",
IF(ISNUMBER(SEARCH("SUNDANCE",INVENTARIO!C101)),"SUN",
IF(ISNUMBER(SEARCH("SINTETICA",INVENTARIO!C101)),"SIN",
IF(ISNUMBER(SEARCH("CONTROL",INVENTARIO!C101)),"CON",
IF(ISNUMBER(SEARCH("TERMICO",INVENTARIO!C101)),"TER",
IF(ISNUMBER(SEARCH("C-15",INVENTARIO!C101)),"C15",
IF(ISNUMBER(SEARCH("C-20",INVENTARIO!C101)),"C20",
IF(ISNUMBER(SEARCH("C-30",INVENTARIO!C101)),"C30",
IF(ISNUMBER(SEARCH("C-40",INVENTARIO!C101)),"C40",
IF(ISNUMBER(SEARCH("C-60",INVENTARIO!C101)),"C60",
IF(ISNUMBER(SEARCH("C-80",INVENTARIO!C101)),"C80",
IF(ISNUMBER(SEARCH("EQUIPO",INVENTARIO!C101)),"EQU",
IF(ISNUMBER(SEARCH("FLOOR",INVENTARIO!C101)),"FLO",
IF(ISNUMBER(SEARCH("CRISTAL",INVENTARIO!C101)),"CRI",
IF(ISNUMBER(SEARCH(" SULFATADA",INVENTARIO!C112)),"SUL",
IF(ISNUMBER(SEARCH("OPALINA",INVENTARIO!C101)),"OPA",
IF(ISNUMBER(SEARCH("ADHERIBLE",INVENTARIO!C101)),"ADH",
IF(ISNUMBER(SEARCH("MICRO",INVENTARIO!C101)),"MIC","")))))))))))))))))))))</f>
        <v>C80</v>
      </c>
      <c r="C101" t="str">
        <f>IF(ISNUMBER(SEARCH("PARED",INVENTARIO!C101)),"PAR",
IF(ISNUMBER(SEARCH("FRONT",INVENTARIO!C101)),"FRO",
IF(ISNUMBER(SEARCH("ALTA RESISTENCIA",INVENTARIO!C101)),
"ALT-RES",IF(ISNUMBER(SEARCH("BACKLITE",INVENTARIO!C101)),"BAC",
IF(ISNUMBER(SEARCH("MATE",INVENTARIO!C101)),"MAT",
IF(ISNUMBER(SEARCH("MESH",INVENTARIO!C101)),"MES",
IF(ISNUMBER(SEARCH("BRILLANTE",INVENTARIO!C101)),"BRI",
IF(ISNUMBER(SEARCH("DELGADA",INVENTARIO!C101)),"DEL",
IF(ISNUMBER(SEARCH("GRUESA",INVENTARIO!C101)),"GRU",
IF(ISNUMBER(SEARCH("ESTATICO",INVENTARIO!C101)),"EST",
IF(ISNUMBER(SEARCH("REFLECTIVO",INVENTARIO!C101)),"REF",
IF(ISNUMBER(SEARCH("LX700",INVENTARIO!C101)),"LX7",
IF(ISNUMBER(SEARCH("GRANDO",INVENTARIO!C101)),"GRA",
IF(ISNUMBER(SEARCH("FB700",INVENTARIO!C101)),"FB7",
IF(ISNUMBER(SEARCH("LX360",INVENTARIO!C101)),"LX3",
IF(ISNUMBER(SEARCH("XEROX",INVENTARIO!C101)),"XER",
IF(ISNUMBER(SEARCH("CEPILLADO",INVENTARIO!C101)),"CEP",
IF(ISNUMBER(SEARCH("ESPEJO",INVENTARIO!C101)),"ESP",
IF(ISNUMBER(SEARCH("10 PTS",INVENTARIO!C101)),"10PT",
IF(ISNUMBER(SEARCH("12 PTS",INVENTARIO!C101)),"12PT",
IF(ISNUMBER(SEARCH("14 PTS",INVENTARIO!C101)),"14PT",
IF(ISNUMBER(SEARCH("CLASICO",INVENTARIO!C101)),"CLA",
""))))))))))))))))))))))</f>
        <v/>
      </c>
      <c r="D101" t="str">
        <f>IF(ISNUMBER(SEARCH("GRAN FORMATO",INVENTARIO!C101)),"GRA-FOR",
IF(ISNUMBER(SEARCH("CAMA PLANA",INVENTARIO!C101)),"CAM-PLA",
IF(ISNUMBER(SEARCH("GRADO INGENIERIA",INVENTARIO!C101)),"GRA-ING",
IF(ISNUMBER(SEARCH("130 GRS",INVENTARIO!C101)),"130GR",
IF(ISNUMBER(SEARCH("150 GRS",INVENTARIO!C101)),"150GR",
IF(ISNUMBER(SEARCH("185 GRS",INVENTARIO!C101)),"185GR",
IF(ISNUMBER(SEARCH("200 GRS",INVENTARIO!C101)),"200GR",
IF(ISNUMBER(SEARCH("250 GRS",INVENTARIO!C101)),"250GR",
IF(ISNUMBER(SEARCH("300 GRS",INVENTARIO!C101)),"300GR",
IF(ISNUMBER(SEARCH("350 GRS",INVENTARIO!C101)),"350GR",
IF(ISNUMBER(SEARCH("18 OZ",INVENTARIO!C101)),"18OZ",
IF(ISNUMBER(SEARCH("15 OZ",INVENTARIO!C101)),"15OZ",
IF(OR(ISNUMBER(SEARCH("13 OZ",INVENTARIO!C101)),ISNUMBER(SEARCH("13 ONZAS",INVENTARIO!C101))),"13OZ",
IF(OR(ISNUMBER(SEARCH("9 OZ",INVENTARIO!C101)),ISNUMBER(SEARCH("9 ONZAS",INVENTARIO!C101))),"09OZ",
IF(ISNUMBER(SEARCH("DOBLE CARA",INVENTARIO!C101)),"DOB-CAR",
"")))))))))))))))</f>
        <v/>
      </c>
      <c r="E101" t="str">
        <f>IF(OR(ISNUMBER(SEARCH("TRANSPARENTE",INVENTARIO!C101)),ISNUMBER(SEARCH("TRANSPARENTES",INVENTARIO!C101))),"TRA",
IF(OR(ISNUMBER(SEARCH("BLANCO",INVENTARIO!C101)),ISNUMBER(SEARCH("BCO",INVENTARIO!C101))),"BLA",
IF(ISNUMBER(SEARCH("FOTOGRAFICO",INVENTARIO!C101)),"FOT",
IF(ISNUMBER(SEARCH("MARFIL",INVENTARIO!C101)),"MAR",
IF(ISNUMBER(SEARCH("VERDE",INVENTARIO!C101)),"VER",
IF(ISNUMBER(SEARCH("MORADO",INVENTARIO!C101)),"MOR",
IF(ISNUMBER(SEARCH("PLATA",INVENTARIO!C101)),"PLA",
IF(ISNUMBER(SEARCH("ORO",INVENTARIO!C101)),"ORO",
IF(ISNUMBER(SEARCH("AMARILLO",INVENTARIO!C101)),"AMA",
IF(ISNUMBER(SEARCH("NARANJA",INVENTARIO!C101)),"NAR",
IF(ISNUMBER(SEARCH("NEGRO",INVENTARIO!C101)),"NEG",
IF(ISNUMBER(SEARCH("ROJO",INVENTARIO!C101)),"ROJ",
IF(ISNUMBER(SEARCH("AZUL",INVENTARIO!C101)),"AZU","")))))))))))))</f>
        <v/>
      </c>
      <c r="F101" t="str">
        <f>IF(ISNUMBER(SEARCH("ARLON",INVENTARIO!C101)),"ARL",
IF(ISNUMBER(SEARCH("SUNTHINKS",INVENTARIO!C101)),"SUN",
IF(ISNUMBER(SEARCH("FRIO",INVENTARIO!C101)),"FRI",
IF(ISNUMBER(SEARCH("CALIDO",INVENTARIO!C101)),"CAL",
IF(ISNUMBER(SEARCH("CEPILLADO",INVENTARIO!C101)),"CEP",
IF(ISNUMBER(SEARCH("ESPEJO",INVENTARIO!C101)),"ESP",
""))))))</f>
        <v/>
      </c>
      <c r="G101" t="str">
        <f>IF(ISNUMBER(SEARCH("LATEX",INVENTARIO!C101)),"LAT",
IF(ISNUMBER(SEARCH("RESP. NEGRO",INVENTARIO!C101)),"RES-NEG",
IF(ISNUMBER(SEARCH("RESPALDO CAFE",INVENTARIO!C101)),"RES-CAF",
IF(ISNUMBER(SEARCH("RESPALDO GRIS",INVENTARIO!C101)),"RES-GRI",
IF(ISNUMBER(SEARCH("OPTICO",INVENTARIO!C101)),"OPT",
IF(ISNUMBER(SEARCH("1,2 MM",INVENTARIO!C101)),"1MM2",
IF(ISNUMBER(SEARCH("2 MM",INVENTARIO!C101)),"2MM",
IF(ISNUMBER(SEARCH("3 MM",INVENTARIO!C101)),"3MM",
IF(ISNUMBER(SEARCH("4 MM",INVENTARIO!C101)),"4MM",
IF(ISNUMBER(SEARCH("5 MM",INVENTARIO!C101)),"5MM",
IF(ISNUMBER(SEARCH("6 MM",INVENTARIO!C101)),"6MM",
IF(ISNUMBER(SEARCH("9 MM",INVENTARIO!C101)),"9MM",
IF(ISNUMBER(SEARCH("10 MM",INVENTARIO!C101)),"10MM","")))))))))))))</f>
        <v/>
      </c>
      <c r="H101" t="str">
        <f>IF(ISNUMBER(SEARCH("GAMA BAJA",INVENTARIO!C101)),"GAM-BAJ",
IF(ISNUMBER(SEARCH("OPTIMIZADOR",INVENTARIO!C101)),"OPT",
IF(ISNUMBER(SEARCH("OVERCOAT",INVENTARIO!C101)),"OVE",
IF(ISNUMBER(SEARCH("WHITE",INVENTARIO!C101)),"WHI",
IF(ISNUMBER(SEARCH("LIGHT CYAN",INVENTARIO!C101)),"LIG-CYA",
IF(ISNUMBER(SEARCH("CYAN",INVENTARIO!C101)),"CYA",
IF(ISNUMBER(SEARCH("LIGHT MAGENTA",INVENTARIO!C101)),"LIG-MAG",
IF(ISNUMBER(SEARCH("MAGENTA",INVENTARIO!C101)),"MAG",
IF(ISNUMBER(SEARCH("BLACK",INVENTARIO!C101)),"BLA",
IF(ISNUMBER(SEARCH("YELLOW",INVENTARIO!C101)),"YEL",
IF(ISNUMBER(SEARCH("2 DIODOS",INVENTARIO!C101)),"2DI",
IF(ISNUMBER(SEARCH("3 DIODOS",INVENTARIO!C101)),"3DI",
IF(OR(ISNUMBER(SEARCH("TRASLUCIDO",INVENTARIO!C101)),ISNUMBER(SEARCH("TRANSLUCIDO",INVENTARIO!C101))),"TRA",
"")))))))))))))</f>
        <v/>
      </c>
      <c r="I101" t="str">
        <f>IF(ISNUMBER(SEARCH("SILED",INVENTARIO!C115)),"SI",
IF(ISNUMBER(SEARCH("SYDEMEX",INVENTARIO!C115)),"SY",
IF(ISNUMBER(SEARCH("ROHS",INVENTARIO!C115)),"RO",
IF(ISNUMBER(SEARCH("RISHANG",INVENTARIO!C115)),"RS",
IF(ISNUMBER(SEARCH("VYG",INVENTARIO!C115)),"VYG",
IF(ISNUMBER(SEARCH("COLED",INVENTARIO!C115)),"CO",""))))))</f>
        <v/>
      </c>
    </row>
    <row r="102" spans="1:9">
      <c r="A102" t="str">
        <f>IF(ISNUMBER(SEARCH("LONA",INVENTARIO!C102)),"LON",
IF(ISNUMBER(SEARCH("VINIL",INVENTARIO!C102)),"VIN",
IF(ISNUMBER(SEARCH("KROMACOTE",INVENTARIO!C102)),"KRO",
IF(ISNUMBER(SEARCH("STARDREAM",INVENTARIO!C102)),"STA",
IF(ISNUMBER(SEARCH("DISPLAY",INVENTARIO!C102)),"DIS",
IF(ISNUMBER(SEARCH("ROLL UP",INVENTARIO!C102)),"ROL-UP",
IF(ISNUMBER(SEARCH("TRANSFER DE PAPEL",INVENTARIO!C102)),"TRA-PAP",
IF(ISNUMBER(SEARCH("TRANSFER",INVENTARIO!C102)),"TRA",IF(ISNUMBER(SEARCH("KOLA LOKA",INVENTARIO!C102)),"KOL-LOK",
IF(ISNUMBER(SEARCH("PETG",INVENTARIO!C102)),"PET",
IF(ISNUMBER(SEARCH("OJILLO",INVENTARIO!C102)),"OJI",
IF(ISNUMBER(SEARCH("COUCHE",INVENTARIO!C102)),"COU",
IF(ISNUMBER(SEARCH("PANEL DE ALUMINIO",INVENTARIO!C102)),"PAN-ALU",
IF(ISNUMBER(SEARCH("PVC",INVENTARIO!C102)),"PVC",
IF(ISNUMBER(SEARCH("PAPEL",INVENTARIO!C102)),"PAP",
IF(ISNUMBER(SEARCH("TELA",INVENTARIO!C102)),"TEL",
IF(ISNUMBER(SEARCH("CARTULINA",INVENTARIO!C102)),"CAR",
IF(OR(ISNUMBER(SEARCH("LAMINA",INVENTARIO!C102)),ISNUMBER(SEARCH("LÁMINA",INVENTARIO!C102)),ISNUMBER(SEARCH("LAMPARAS",INVENTARIO!C102))),"LAM",
IF(ISNUMBER(SEARCH("ESTIRENO",INVENTARIO!C102)),"EST",
IF(ISNUMBER(SEARCH("FOAMBOARD",INVENTARIO!C102)),"FOA",
IF(ISNUMBER(SEARCH("SOLVENTE",INVENTARIO!C102)),"SOL",
IF(ISNUMBER(SEARCH("TINTA",INVENTARIO!C102)),"TIN",
IF(ISNUMBER(SEARCH("ACRILICO",INVENTARIO!C102)),"ACR",
IF(ISNUMBER(SEARCH("MICROLED",INVENTARIO!C102)),"MIC",
IF(ISNUMBER(SEARCH("LED",INVENTARIO!C102)),"LED",
IF(ISNUMBER(SEARCH("FUENTE DE PODER",INVENTARIO!C102)),"FUE-POD",
IF(ISNUMBER(SEARCH("PETG",INVENTARIO!C102)),"PET",
IF(ISNUMBER(SEARCH("ALUMINIO",INVENTARIO!C102)),"ALU",
IF(ISNUMBER(SEARCH("CANAL",INVENTARIO!C102)),"CAN",
IF(ISNUMBER(SEARCH("ESCUADRA",INVENTARIO!C102)),"ESC",
IF(ISNUMBER(SEARCH("SOPORTE",INVENTARIO!C102)),"SOP","OTR")
))))))))))))))))))))))))))))))</f>
        <v>EST</v>
      </c>
      <c r="B102" t="str">
        <f>IF(ISNUMBER(SEARCH("CORTE",INVENTARIO!C102)),"COR",
IF(ISNUMBER(SEARCH("CITYLIGHT",INVENTARIO!C102)),"CIT",
IF(ISNUMBER(SEARCH("LINO",INVENTARIO!C102)),"LIN",
IF(ISNUMBER(SEARCH("FABRIANO",INVENTARIO!C102)),"FAB",
IF(ISNUMBER(SEARCH("SUNDANCE",INVENTARIO!C102)),"SUN",
IF(ISNUMBER(SEARCH("SINTETICA",INVENTARIO!C102)),"SIN",
IF(ISNUMBER(SEARCH("CONTROL",INVENTARIO!C102)),"CON",
IF(ISNUMBER(SEARCH("TERMICO",INVENTARIO!C102)),"TER",
IF(ISNUMBER(SEARCH("C-15",INVENTARIO!C102)),"C15",
IF(ISNUMBER(SEARCH("C-20",INVENTARIO!C102)),"C20",
IF(ISNUMBER(SEARCH("C-30",INVENTARIO!C102)),"C30",
IF(ISNUMBER(SEARCH("C-40",INVENTARIO!C102)),"C40",
IF(ISNUMBER(SEARCH("C-60",INVENTARIO!C102)),"C60",
IF(ISNUMBER(SEARCH("C-80",INVENTARIO!C102)),"C80",
IF(ISNUMBER(SEARCH("EQUIPO",INVENTARIO!C102)),"EQU",
IF(ISNUMBER(SEARCH("FLOOR",INVENTARIO!C102)),"FLO",
IF(ISNUMBER(SEARCH("CRISTAL",INVENTARIO!C102)),"CRI",
IF(ISNUMBER(SEARCH(" SULFATADA",INVENTARIO!C113)),"SUL",
IF(ISNUMBER(SEARCH("OPALINA",INVENTARIO!C102)),"OPA",
IF(ISNUMBER(SEARCH("ADHERIBLE",INVENTARIO!C102)),"ADH",
IF(ISNUMBER(SEARCH("MICRO",INVENTARIO!C102)),"MIC","")))))))))))))))))))))</f>
        <v>C15</v>
      </c>
      <c r="C102" t="str">
        <f>IF(ISNUMBER(SEARCH("PARED",INVENTARIO!C102)),"PAR",
IF(ISNUMBER(SEARCH("FRONT",INVENTARIO!C102)),"FRO",
IF(ISNUMBER(SEARCH("ALTA RESISTENCIA",INVENTARIO!C102)),
"ALT-RES",IF(ISNUMBER(SEARCH("BACKLITE",INVENTARIO!C102)),"BAC",
IF(ISNUMBER(SEARCH("MATE",INVENTARIO!C102)),"MAT",
IF(ISNUMBER(SEARCH("MESH",INVENTARIO!C102)),"MES",
IF(ISNUMBER(SEARCH("BRILLANTE",INVENTARIO!C102)),"BRI",
IF(ISNUMBER(SEARCH("DELGADA",INVENTARIO!C102)),"DEL",
IF(ISNUMBER(SEARCH("GRUESA",INVENTARIO!C102)),"GRU",
IF(ISNUMBER(SEARCH("ESTATICO",INVENTARIO!C102)),"EST",
IF(ISNUMBER(SEARCH("REFLECTIVO",INVENTARIO!C102)),"REF",
IF(ISNUMBER(SEARCH("LX700",INVENTARIO!C102)),"LX7",
IF(ISNUMBER(SEARCH("GRANDO",INVENTARIO!C102)),"GRA",
IF(ISNUMBER(SEARCH("FB700",INVENTARIO!C102)),"FB7",
IF(ISNUMBER(SEARCH("LX360",INVENTARIO!C102)),"LX3",
IF(ISNUMBER(SEARCH("XEROX",INVENTARIO!C102)),"XER",
IF(ISNUMBER(SEARCH("CEPILLADO",INVENTARIO!C102)),"CEP",
IF(ISNUMBER(SEARCH("ESPEJO",INVENTARIO!C102)),"ESP",
IF(ISNUMBER(SEARCH("10 PTS",INVENTARIO!C102)),"10PT",
IF(ISNUMBER(SEARCH("12 PTS",INVENTARIO!C102)),"12PT",
IF(ISNUMBER(SEARCH("14 PTS",INVENTARIO!C102)),"14PT",
IF(ISNUMBER(SEARCH("CLASICO",INVENTARIO!C102)),"CLA",
""))))))))))))))))))))))</f>
        <v/>
      </c>
      <c r="D102" t="str">
        <f>IF(ISNUMBER(SEARCH("GRAN FORMATO",INVENTARIO!C102)),"GRA-FOR",
IF(ISNUMBER(SEARCH("CAMA PLANA",INVENTARIO!C102)),"CAM-PLA",
IF(ISNUMBER(SEARCH("GRADO INGENIERIA",INVENTARIO!C102)),"GRA-ING",
IF(ISNUMBER(SEARCH("130 GRS",INVENTARIO!C102)),"130GR",
IF(ISNUMBER(SEARCH("150 GRS",INVENTARIO!C102)),"150GR",
IF(ISNUMBER(SEARCH("185 GRS",INVENTARIO!C102)),"185GR",
IF(ISNUMBER(SEARCH("200 GRS",INVENTARIO!C102)),"200GR",
IF(ISNUMBER(SEARCH("250 GRS",INVENTARIO!C102)),"250GR",
IF(ISNUMBER(SEARCH("300 GRS",INVENTARIO!C102)),"300GR",
IF(ISNUMBER(SEARCH("350 GRS",INVENTARIO!C102)),"350GR",
IF(ISNUMBER(SEARCH("18 OZ",INVENTARIO!C102)),"18OZ",
IF(ISNUMBER(SEARCH("15 OZ",INVENTARIO!C102)),"15OZ",
IF(OR(ISNUMBER(SEARCH("13 OZ",INVENTARIO!C102)),ISNUMBER(SEARCH("13 ONZAS",INVENTARIO!C102))),"13OZ",
IF(OR(ISNUMBER(SEARCH("9 OZ",INVENTARIO!C102)),ISNUMBER(SEARCH("9 ONZAS",INVENTARIO!C102))),"09OZ",
IF(ISNUMBER(SEARCH("DOBLE CARA",INVENTARIO!C102)),"DOB-CAR",
"")))))))))))))))</f>
        <v/>
      </c>
      <c r="E102" t="str">
        <f>IF(OR(ISNUMBER(SEARCH("TRANSPARENTE",INVENTARIO!C102)),ISNUMBER(SEARCH("TRANSPARENTES",INVENTARIO!C102))),"TRA",
IF(OR(ISNUMBER(SEARCH("BLANCO",INVENTARIO!C102)),ISNUMBER(SEARCH("BCO",INVENTARIO!C102))),"BLA",
IF(ISNUMBER(SEARCH("FOTOGRAFICO",INVENTARIO!C102)),"FOT",
IF(ISNUMBER(SEARCH("MARFIL",INVENTARIO!C102)),"MAR",
IF(ISNUMBER(SEARCH("VERDE",INVENTARIO!C102)),"VER",
IF(ISNUMBER(SEARCH("MORADO",INVENTARIO!C102)),"MOR",
IF(ISNUMBER(SEARCH("PLATA",INVENTARIO!C102)),"PLA",
IF(ISNUMBER(SEARCH("ORO",INVENTARIO!C102)),"ORO",
IF(ISNUMBER(SEARCH("AMARILLO",INVENTARIO!C102)),"AMA",
IF(ISNUMBER(SEARCH("NARANJA",INVENTARIO!C102)),"NAR",
IF(ISNUMBER(SEARCH("NEGRO",INVENTARIO!C102)),"NEG",
IF(ISNUMBER(SEARCH("ROJO",INVENTARIO!C102)),"ROJ",
IF(ISNUMBER(SEARCH("AZUL",INVENTARIO!C102)),"AZU","")))))))))))))</f>
        <v/>
      </c>
      <c r="F102" t="str">
        <f>IF(ISNUMBER(SEARCH("ARLON",INVENTARIO!C102)),"ARL",
IF(ISNUMBER(SEARCH("SUNTHINKS",INVENTARIO!C102)),"SUN",
IF(ISNUMBER(SEARCH("FRIO",INVENTARIO!C102)),"FRI",
IF(ISNUMBER(SEARCH("CALIDO",INVENTARIO!C102)),"CAL",
IF(ISNUMBER(SEARCH("CEPILLADO",INVENTARIO!C102)),"CEP",
IF(ISNUMBER(SEARCH("ESPEJO",INVENTARIO!C102)),"ESP",
""))))))</f>
        <v/>
      </c>
      <c r="G102" t="str">
        <f>IF(ISNUMBER(SEARCH("LATEX",INVENTARIO!C102)),"LAT",
IF(ISNUMBER(SEARCH("RESP. NEGRO",INVENTARIO!C102)),"RES-NEG",
IF(ISNUMBER(SEARCH("RESPALDO CAFE",INVENTARIO!C102)),"RES-CAF",
IF(ISNUMBER(SEARCH("RESPALDO GRIS",INVENTARIO!C102)),"RES-GRI",
IF(ISNUMBER(SEARCH("OPTICO",INVENTARIO!C102)),"OPT",
IF(ISNUMBER(SEARCH("1,2 MM",INVENTARIO!C102)),"1MM2",
IF(ISNUMBER(SEARCH("2 MM",INVENTARIO!C102)),"2MM",
IF(ISNUMBER(SEARCH("3 MM",INVENTARIO!C102)),"3MM",
IF(ISNUMBER(SEARCH("4 MM",INVENTARIO!C102)),"4MM",
IF(ISNUMBER(SEARCH("5 MM",INVENTARIO!C102)),"5MM",
IF(ISNUMBER(SEARCH("6 MM",INVENTARIO!C102)),"6MM",
IF(ISNUMBER(SEARCH("9 MM",INVENTARIO!C102)),"9MM",
IF(ISNUMBER(SEARCH("10 MM",INVENTARIO!C102)),"10MM","")))))))))))))</f>
        <v/>
      </c>
      <c r="H102" t="str">
        <f>IF(ISNUMBER(SEARCH("GAMA BAJA",INVENTARIO!C102)),"GAM-BAJ",
IF(ISNUMBER(SEARCH("OPTIMIZADOR",INVENTARIO!C102)),"OPT",
IF(ISNUMBER(SEARCH("OVERCOAT",INVENTARIO!C102)),"OVE",
IF(ISNUMBER(SEARCH("WHITE",INVENTARIO!C102)),"WHI",
IF(ISNUMBER(SEARCH("LIGHT CYAN",INVENTARIO!C102)),"LIG-CYA",
IF(ISNUMBER(SEARCH("CYAN",INVENTARIO!C102)),"CYA",
IF(ISNUMBER(SEARCH("LIGHT MAGENTA",INVENTARIO!C102)),"LIG-MAG",
IF(ISNUMBER(SEARCH("MAGENTA",INVENTARIO!C102)),"MAG",
IF(ISNUMBER(SEARCH("BLACK",INVENTARIO!C102)),"BLA",
IF(ISNUMBER(SEARCH("YELLOW",INVENTARIO!C102)),"YEL",
IF(ISNUMBER(SEARCH("2 DIODOS",INVENTARIO!C102)),"2DI",
IF(ISNUMBER(SEARCH("3 DIODOS",INVENTARIO!C102)),"3DI",
IF(OR(ISNUMBER(SEARCH("TRASLUCIDO",INVENTARIO!C102)),ISNUMBER(SEARCH("TRANSLUCIDO",INVENTARIO!C102))),"TRA",
"")))))))))))))</f>
        <v/>
      </c>
      <c r="I102" t="str">
        <f>IF(ISNUMBER(SEARCH("SILED",INVENTARIO!C116)),"SI",
IF(ISNUMBER(SEARCH("SYDEMEX",INVENTARIO!C116)),"SY",
IF(ISNUMBER(SEARCH("ROHS",INVENTARIO!C116)),"RO",
IF(ISNUMBER(SEARCH("RISHANG",INVENTARIO!C116)),"RS",
IF(ISNUMBER(SEARCH("VYG",INVENTARIO!C116)),"VYG",
IF(ISNUMBER(SEARCH("COLED",INVENTARIO!C116)),"CO",""))))))</f>
        <v/>
      </c>
    </row>
    <row r="103" spans="1:9">
      <c r="A103" t="str">
        <f>IF(ISNUMBER(SEARCH("LONA",INVENTARIO!C103)),"LON",
IF(ISNUMBER(SEARCH("VINIL",INVENTARIO!C103)),"VIN",
IF(ISNUMBER(SEARCH("KROMACOTE",INVENTARIO!C103)),"KRO",
IF(ISNUMBER(SEARCH("STARDREAM",INVENTARIO!C103)),"STA",
IF(ISNUMBER(SEARCH("DISPLAY",INVENTARIO!C103)),"DIS",
IF(ISNUMBER(SEARCH("ROLL UP",INVENTARIO!C103)),"ROL-UP",
IF(ISNUMBER(SEARCH("TRANSFER DE PAPEL",INVENTARIO!C103)),"TRA-PAP",
IF(ISNUMBER(SEARCH("TRANSFER",INVENTARIO!C103)),"TRA",IF(ISNUMBER(SEARCH("KOLA LOKA",INVENTARIO!C103)),"KOL-LOK",
IF(ISNUMBER(SEARCH("PETG",INVENTARIO!C103)),"PET",
IF(ISNUMBER(SEARCH("OJILLO",INVENTARIO!C103)),"OJI",
IF(ISNUMBER(SEARCH("COUCHE",INVENTARIO!C103)),"COU",
IF(ISNUMBER(SEARCH("PANEL DE ALUMINIO",INVENTARIO!C103)),"PAN-ALU",
IF(ISNUMBER(SEARCH("PVC",INVENTARIO!C103)),"PVC",
IF(ISNUMBER(SEARCH("PAPEL",INVENTARIO!C103)),"PAP",
IF(ISNUMBER(SEARCH("TELA",INVENTARIO!C103)),"TEL",
IF(ISNUMBER(SEARCH("CARTULINA",INVENTARIO!C103)),"CAR",
IF(OR(ISNUMBER(SEARCH("LAMINA",INVENTARIO!C103)),ISNUMBER(SEARCH("LÁMINA",INVENTARIO!C103)),ISNUMBER(SEARCH("LAMPARAS",INVENTARIO!C103))),"LAM",
IF(ISNUMBER(SEARCH("ESTIRENO",INVENTARIO!C103)),"EST",
IF(ISNUMBER(SEARCH("FOAMBOARD",INVENTARIO!C103)),"FOA",
IF(ISNUMBER(SEARCH("SOLVENTE",INVENTARIO!C103)),"SOL",
IF(ISNUMBER(SEARCH("TINTA",INVENTARIO!C103)),"TIN",
IF(ISNUMBER(SEARCH("ACRILICO",INVENTARIO!C103)),"ACR",
IF(ISNUMBER(SEARCH("MICROLED",INVENTARIO!C103)),"MIC",
IF(ISNUMBER(SEARCH("LED",INVENTARIO!C103)),"LED",
IF(ISNUMBER(SEARCH("FUENTE DE PODER",INVENTARIO!C103)),"FUE-POD",
IF(ISNUMBER(SEARCH("PETG",INVENTARIO!C103)),"PET",
IF(ISNUMBER(SEARCH("ALUMINIO",INVENTARIO!C103)),"ALU",
IF(ISNUMBER(SEARCH("CANAL",INVENTARIO!C103)),"CAN",
IF(ISNUMBER(SEARCH("ESCUADRA",INVENTARIO!C103)),"ESC",
IF(ISNUMBER(SEARCH("SOPORTE",INVENTARIO!C103)),"SOP","OTR")
))))))))))))))))))))))))))))))</f>
        <v>EST</v>
      </c>
      <c r="B103" t="str">
        <f>IF(ISNUMBER(SEARCH("CORTE",INVENTARIO!C103)),"COR",
IF(ISNUMBER(SEARCH("CITYLIGHT",INVENTARIO!C103)),"CIT",
IF(ISNUMBER(SEARCH("LINO",INVENTARIO!C103)),"LIN",
IF(ISNUMBER(SEARCH("FABRIANO",INVENTARIO!C103)),"FAB",
IF(ISNUMBER(SEARCH("SUNDANCE",INVENTARIO!C103)),"SUN",
IF(ISNUMBER(SEARCH("SINTETICA",INVENTARIO!C103)),"SIN",
IF(ISNUMBER(SEARCH("CONTROL",INVENTARIO!C103)),"CON",
IF(ISNUMBER(SEARCH("TERMICO",INVENTARIO!C103)),"TER",
IF(ISNUMBER(SEARCH("C-15",INVENTARIO!C103)),"C15",
IF(ISNUMBER(SEARCH("C-20",INVENTARIO!C103)),"C20",
IF(ISNUMBER(SEARCH("C-30",INVENTARIO!C103)),"C30",
IF(ISNUMBER(SEARCH("C-40",INVENTARIO!C103)),"C40",
IF(ISNUMBER(SEARCH("C-60",INVENTARIO!C103)),"C60",
IF(ISNUMBER(SEARCH("C-80",INVENTARIO!C103)),"C80",
IF(ISNUMBER(SEARCH("EQUIPO",INVENTARIO!C103)),"EQU",
IF(ISNUMBER(SEARCH("FLOOR",INVENTARIO!C103)),"FLO",
IF(ISNUMBER(SEARCH("CRISTAL",INVENTARIO!C103)),"CRI",
IF(ISNUMBER(SEARCH(" SULFATADA",INVENTARIO!C114)),"SUL",
IF(ISNUMBER(SEARCH("OPALINA",INVENTARIO!C103)),"OPA",
IF(ISNUMBER(SEARCH("ADHERIBLE",INVENTARIO!C103)),"ADH",
IF(ISNUMBER(SEARCH("MICRO",INVENTARIO!C103)),"MIC","")))))))))))))))))))))</f>
        <v>C20</v>
      </c>
      <c r="C103" t="str">
        <f>IF(ISNUMBER(SEARCH("PARED",INVENTARIO!C103)),"PAR",
IF(ISNUMBER(SEARCH("FRONT",INVENTARIO!C103)),"FRO",
IF(ISNUMBER(SEARCH("ALTA RESISTENCIA",INVENTARIO!C103)),
"ALT-RES",IF(ISNUMBER(SEARCH("BACKLITE",INVENTARIO!C103)),"BAC",
IF(ISNUMBER(SEARCH("MATE",INVENTARIO!C103)),"MAT",
IF(ISNUMBER(SEARCH("MESH",INVENTARIO!C103)),"MES",
IF(ISNUMBER(SEARCH("BRILLANTE",INVENTARIO!C103)),"BRI",
IF(ISNUMBER(SEARCH("DELGADA",INVENTARIO!C103)),"DEL",
IF(ISNUMBER(SEARCH("GRUESA",INVENTARIO!C103)),"GRU",
IF(ISNUMBER(SEARCH("ESTATICO",INVENTARIO!C103)),"EST",
IF(ISNUMBER(SEARCH("REFLECTIVO",INVENTARIO!C103)),"REF",
IF(ISNUMBER(SEARCH("LX700",INVENTARIO!C103)),"LX7",
IF(ISNUMBER(SEARCH("GRANDO",INVENTARIO!C103)),"GRA",
IF(ISNUMBER(SEARCH("FB700",INVENTARIO!C103)),"FB7",
IF(ISNUMBER(SEARCH("LX360",INVENTARIO!C103)),"LX3",
IF(ISNUMBER(SEARCH("XEROX",INVENTARIO!C103)),"XER",
IF(ISNUMBER(SEARCH("CEPILLADO",INVENTARIO!C103)),"CEP",
IF(ISNUMBER(SEARCH("ESPEJO",INVENTARIO!C103)),"ESP",
IF(ISNUMBER(SEARCH("10 PTS",INVENTARIO!C103)),"10PT",
IF(ISNUMBER(SEARCH("12 PTS",INVENTARIO!C103)),"12PT",
IF(ISNUMBER(SEARCH("14 PTS",INVENTARIO!C103)),"14PT",
IF(ISNUMBER(SEARCH("CLASICO",INVENTARIO!C103)),"CLA",
""))))))))))))))))))))))</f>
        <v/>
      </c>
      <c r="D103" t="str">
        <f>IF(ISNUMBER(SEARCH("GRAN FORMATO",INVENTARIO!C103)),"GRA-FOR",
IF(ISNUMBER(SEARCH("CAMA PLANA",INVENTARIO!C103)),"CAM-PLA",
IF(ISNUMBER(SEARCH("GRADO INGENIERIA",INVENTARIO!C103)),"GRA-ING",
IF(ISNUMBER(SEARCH("130 GRS",INVENTARIO!C103)),"130GR",
IF(ISNUMBER(SEARCH("150 GRS",INVENTARIO!C103)),"150GR",
IF(ISNUMBER(SEARCH("185 GRS",INVENTARIO!C103)),"185GR",
IF(ISNUMBER(SEARCH("200 GRS",INVENTARIO!C103)),"200GR",
IF(ISNUMBER(SEARCH("250 GRS",INVENTARIO!C103)),"250GR",
IF(ISNUMBER(SEARCH("300 GRS",INVENTARIO!C103)),"300GR",
IF(ISNUMBER(SEARCH("350 GRS",INVENTARIO!C103)),"350GR",
IF(ISNUMBER(SEARCH("18 OZ",INVENTARIO!C103)),"18OZ",
IF(ISNUMBER(SEARCH("15 OZ",INVENTARIO!C103)),"15OZ",
IF(OR(ISNUMBER(SEARCH("13 OZ",INVENTARIO!C103)),ISNUMBER(SEARCH("13 ONZAS",INVENTARIO!C103))),"13OZ",
IF(OR(ISNUMBER(SEARCH("9 OZ",INVENTARIO!C103)),ISNUMBER(SEARCH("9 ONZAS",INVENTARIO!C103))),"09OZ",
IF(ISNUMBER(SEARCH("DOBLE CARA",INVENTARIO!C103)),"DOB-CAR",
"")))))))))))))))</f>
        <v/>
      </c>
      <c r="E103" t="str">
        <f>IF(OR(ISNUMBER(SEARCH("TRANSPARENTE",INVENTARIO!C103)),ISNUMBER(SEARCH("TRANSPARENTES",INVENTARIO!C103))),"TRA",
IF(OR(ISNUMBER(SEARCH("BLANCO",INVENTARIO!C103)),ISNUMBER(SEARCH("BCO",INVENTARIO!C103))),"BLA",
IF(ISNUMBER(SEARCH("FOTOGRAFICO",INVENTARIO!C103)),"FOT",
IF(ISNUMBER(SEARCH("MARFIL",INVENTARIO!C103)),"MAR",
IF(ISNUMBER(SEARCH("VERDE",INVENTARIO!C103)),"VER",
IF(ISNUMBER(SEARCH("MORADO",INVENTARIO!C103)),"MOR",
IF(ISNUMBER(SEARCH("PLATA",INVENTARIO!C103)),"PLA",
IF(ISNUMBER(SEARCH("ORO",INVENTARIO!C103)),"ORO",
IF(ISNUMBER(SEARCH("AMARILLO",INVENTARIO!C103)),"AMA",
IF(ISNUMBER(SEARCH("NARANJA",INVENTARIO!C103)),"NAR",
IF(ISNUMBER(SEARCH("NEGRO",INVENTARIO!C103)),"NEG",
IF(ISNUMBER(SEARCH("ROJO",INVENTARIO!C103)),"ROJ",
IF(ISNUMBER(SEARCH("AZUL",INVENTARIO!C103)),"AZU","")))))))))))))</f>
        <v/>
      </c>
      <c r="F103" t="str">
        <f>IF(ISNUMBER(SEARCH("ARLON",INVENTARIO!C103)),"ARL",
IF(ISNUMBER(SEARCH("SUNTHINKS",INVENTARIO!C103)),"SUN",
IF(ISNUMBER(SEARCH("FRIO",INVENTARIO!C103)),"FRI",
IF(ISNUMBER(SEARCH("CALIDO",INVENTARIO!C103)),"CAL",
IF(ISNUMBER(SEARCH("CEPILLADO",INVENTARIO!C103)),"CEP",
IF(ISNUMBER(SEARCH("ESPEJO",INVENTARIO!C103)),"ESP",
""))))))</f>
        <v/>
      </c>
      <c r="G103" t="str">
        <f>IF(ISNUMBER(SEARCH("LATEX",INVENTARIO!C103)),"LAT",
IF(ISNUMBER(SEARCH("RESP. NEGRO",INVENTARIO!C103)),"RES-NEG",
IF(ISNUMBER(SEARCH("RESPALDO CAFE",INVENTARIO!C103)),"RES-CAF",
IF(ISNUMBER(SEARCH("RESPALDO GRIS",INVENTARIO!C103)),"RES-GRI",
IF(ISNUMBER(SEARCH("OPTICO",INVENTARIO!C103)),"OPT",
IF(ISNUMBER(SEARCH("1,2 MM",INVENTARIO!C103)),"1MM2",
IF(ISNUMBER(SEARCH("2 MM",INVENTARIO!C103)),"2MM",
IF(ISNUMBER(SEARCH("3 MM",INVENTARIO!C103)),"3MM",
IF(ISNUMBER(SEARCH("4 MM",INVENTARIO!C103)),"4MM",
IF(ISNUMBER(SEARCH("5 MM",INVENTARIO!C103)),"5MM",
IF(ISNUMBER(SEARCH("6 MM",INVENTARIO!C103)),"6MM",
IF(ISNUMBER(SEARCH("9 MM",INVENTARIO!C103)),"9MM",
IF(ISNUMBER(SEARCH("10 MM",INVENTARIO!C103)),"10MM","")))))))))))))</f>
        <v/>
      </c>
      <c r="H103" t="str">
        <f>IF(ISNUMBER(SEARCH("GAMA BAJA",INVENTARIO!C103)),"GAM-BAJ",
IF(ISNUMBER(SEARCH("OPTIMIZADOR",INVENTARIO!C103)),"OPT",
IF(ISNUMBER(SEARCH("OVERCOAT",INVENTARIO!C103)),"OVE",
IF(ISNUMBER(SEARCH("WHITE",INVENTARIO!C103)),"WHI",
IF(ISNUMBER(SEARCH("LIGHT CYAN",INVENTARIO!C103)),"LIG-CYA",
IF(ISNUMBER(SEARCH("CYAN",INVENTARIO!C103)),"CYA",
IF(ISNUMBER(SEARCH("LIGHT MAGENTA",INVENTARIO!C103)),"LIG-MAG",
IF(ISNUMBER(SEARCH("MAGENTA",INVENTARIO!C103)),"MAG",
IF(ISNUMBER(SEARCH("BLACK",INVENTARIO!C103)),"BLA",
IF(ISNUMBER(SEARCH("YELLOW",INVENTARIO!C103)),"YEL",
IF(ISNUMBER(SEARCH("2 DIODOS",INVENTARIO!C103)),"2DI",
IF(ISNUMBER(SEARCH("3 DIODOS",INVENTARIO!C103)),"3DI",
IF(OR(ISNUMBER(SEARCH("TRASLUCIDO",INVENTARIO!C103)),ISNUMBER(SEARCH("TRANSLUCIDO",INVENTARIO!C103))),"TRA",
"")))))))))))))</f>
        <v/>
      </c>
      <c r="I103" t="str">
        <f>IF(ISNUMBER(SEARCH("SILED",INVENTARIO!C117)),"SI",
IF(ISNUMBER(SEARCH("SYDEMEX",INVENTARIO!C117)),"SY",
IF(ISNUMBER(SEARCH("ROHS",INVENTARIO!C117)),"RO",
IF(ISNUMBER(SEARCH("RISHANG",INVENTARIO!C117)),"RS",
IF(ISNUMBER(SEARCH("VYG",INVENTARIO!C117)),"VYG",
IF(ISNUMBER(SEARCH("COLED",INVENTARIO!C117)),"CO",""))))))</f>
        <v/>
      </c>
    </row>
    <row r="104" spans="1:9">
      <c r="A104" t="str">
        <f>IF(ISNUMBER(SEARCH("LONA",INVENTARIO!C104)),"LON",
IF(ISNUMBER(SEARCH("VINIL",INVENTARIO!C104)),"VIN",
IF(ISNUMBER(SEARCH("KROMACOTE",INVENTARIO!C104)),"KRO",
IF(ISNUMBER(SEARCH("STARDREAM",INVENTARIO!C104)),"STA",
IF(ISNUMBER(SEARCH("DISPLAY",INVENTARIO!C104)),"DIS",
IF(ISNUMBER(SEARCH("ROLL UP",INVENTARIO!C104)),"ROL-UP",
IF(ISNUMBER(SEARCH("TRANSFER DE PAPEL",INVENTARIO!C104)),"TRA-PAP",
IF(ISNUMBER(SEARCH("TRANSFER",INVENTARIO!C104)),"TRA",IF(ISNUMBER(SEARCH("KOLA LOKA",INVENTARIO!C104)),"KOL-LOK",
IF(ISNUMBER(SEARCH("PETG",INVENTARIO!C104)),"PET",
IF(ISNUMBER(SEARCH("OJILLO",INVENTARIO!C104)),"OJI",
IF(ISNUMBER(SEARCH("COUCHE",INVENTARIO!C104)),"COU",
IF(ISNUMBER(SEARCH("PANEL DE ALUMINIO",INVENTARIO!C104)),"PAN-ALU",
IF(ISNUMBER(SEARCH("PVC",INVENTARIO!C104)),"PVC",
IF(ISNUMBER(SEARCH("PAPEL",INVENTARIO!C104)),"PAP",
IF(ISNUMBER(SEARCH("TELA",INVENTARIO!C104)),"TEL",
IF(ISNUMBER(SEARCH("CARTULINA",INVENTARIO!C104)),"CAR",
IF(OR(ISNUMBER(SEARCH("LAMINA",INVENTARIO!C104)),ISNUMBER(SEARCH("LÁMINA",INVENTARIO!C104)),ISNUMBER(SEARCH("LAMPARAS",INVENTARIO!C104))),"LAM",
IF(ISNUMBER(SEARCH("ESTIRENO",INVENTARIO!C104)),"EST",
IF(ISNUMBER(SEARCH("FOAMBOARD",INVENTARIO!C104)),"FOA",
IF(ISNUMBER(SEARCH("SOLVENTE",INVENTARIO!C104)),"SOL",
IF(ISNUMBER(SEARCH("TINTA",INVENTARIO!C104)),"TIN",
IF(ISNUMBER(SEARCH("ACRILICO",INVENTARIO!C104)),"ACR",
IF(ISNUMBER(SEARCH("MICROLED",INVENTARIO!C104)),"MIC",
IF(ISNUMBER(SEARCH("LED",INVENTARIO!C104)),"LED",
IF(ISNUMBER(SEARCH("FUENTE DE PODER",INVENTARIO!C104)),"FUE-POD",
IF(ISNUMBER(SEARCH("PETG",INVENTARIO!C104)),"PET",
IF(ISNUMBER(SEARCH("ALUMINIO",INVENTARIO!C104)),"ALU",
IF(ISNUMBER(SEARCH("CANAL",INVENTARIO!C104)),"CAN",
IF(ISNUMBER(SEARCH("ESCUADRA",INVENTARIO!C104)),"ESC",
IF(ISNUMBER(SEARCH("SOPORTE",INVENTARIO!C104)),"SOP","OTR")
))))))))))))))))))))))))))))))</f>
        <v>EST</v>
      </c>
      <c r="B104" t="str">
        <f>IF(ISNUMBER(SEARCH("CORTE",INVENTARIO!C104)),"COR",
IF(ISNUMBER(SEARCH("CITYLIGHT",INVENTARIO!C104)),"CIT",
IF(ISNUMBER(SEARCH("LINO",INVENTARIO!C104)),"LIN",
IF(ISNUMBER(SEARCH("FABRIANO",INVENTARIO!C104)),"FAB",
IF(ISNUMBER(SEARCH("SUNDANCE",INVENTARIO!C104)),"SUN",
IF(ISNUMBER(SEARCH("SINTETICA",INVENTARIO!C104)),"SIN",
IF(ISNUMBER(SEARCH("CONTROL",INVENTARIO!C104)),"CON",
IF(ISNUMBER(SEARCH("TERMICO",INVENTARIO!C104)),"TER",
IF(ISNUMBER(SEARCH("C-15",INVENTARIO!C104)),"C15",
IF(ISNUMBER(SEARCH("C-20",INVENTARIO!C104)),"C20",
IF(ISNUMBER(SEARCH("C-30",INVENTARIO!C104)),"C30",
IF(ISNUMBER(SEARCH("C-40",INVENTARIO!C104)),"C40",
IF(ISNUMBER(SEARCH("C-60",INVENTARIO!C104)),"C60",
IF(ISNUMBER(SEARCH("C-80",INVENTARIO!C104)),"C80",
IF(ISNUMBER(SEARCH("EQUIPO",INVENTARIO!C104)),"EQU",
IF(ISNUMBER(SEARCH("FLOOR",INVENTARIO!C104)),"FLO",
IF(ISNUMBER(SEARCH("CRISTAL",INVENTARIO!C104)),"CRI",
IF(ISNUMBER(SEARCH(" SULFATADA",INVENTARIO!C115)),"SUL",
IF(ISNUMBER(SEARCH("OPALINA",INVENTARIO!C104)),"OPA",
IF(ISNUMBER(SEARCH("ADHERIBLE",INVENTARIO!C104)),"ADH",
IF(ISNUMBER(SEARCH("MICRO",INVENTARIO!C104)),"MIC","")))))))))))))))))))))</f>
        <v>C30</v>
      </c>
      <c r="C104" t="str">
        <f>IF(ISNUMBER(SEARCH("PARED",INVENTARIO!C104)),"PAR",
IF(ISNUMBER(SEARCH("FRONT",INVENTARIO!C104)),"FRO",
IF(ISNUMBER(SEARCH("ALTA RESISTENCIA",INVENTARIO!C104)),
"ALT-RES",IF(ISNUMBER(SEARCH("BACKLITE",INVENTARIO!C104)),"BAC",
IF(ISNUMBER(SEARCH("MATE",INVENTARIO!C104)),"MAT",
IF(ISNUMBER(SEARCH("MESH",INVENTARIO!C104)),"MES",
IF(ISNUMBER(SEARCH("BRILLANTE",INVENTARIO!C104)),"BRI",
IF(ISNUMBER(SEARCH("DELGADA",INVENTARIO!C104)),"DEL",
IF(ISNUMBER(SEARCH("GRUESA",INVENTARIO!C104)),"GRU",
IF(ISNUMBER(SEARCH("ESTATICO",INVENTARIO!C104)),"EST",
IF(ISNUMBER(SEARCH("REFLECTIVO",INVENTARIO!C104)),"REF",
IF(ISNUMBER(SEARCH("LX700",INVENTARIO!C104)),"LX7",
IF(ISNUMBER(SEARCH("GRANDO",INVENTARIO!C104)),"GRA",
IF(ISNUMBER(SEARCH("FB700",INVENTARIO!C104)),"FB7",
IF(ISNUMBER(SEARCH("LX360",INVENTARIO!C104)),"LX3",
IF(ISNUMBER(SEARCH("XEROX",INVENTARIO!C104)),"XER",
IF(ISNUMBER(SEARCH("CEPILLADO",INVENTARIO!C104)),"CEP",
IF(ISNUMBER(SEARCH("ESPEJO",INVENTARIO!C104)),"ESP",
IF(ISNUMBER(SEARCH("10 PTS",INVENTARIO!C104)),"10PT",
IF(ISNUMBER(SEARCH("12 PTS",INVENTARIO!C104)),"12PT",
IF(ISNUMBER(SEARCH("14 PTS",INVENTARIO!C104)),"14PT",
IF(ISNUMBER(SEARCH("CLASICO",INVENTARIO!C104)),"CLA",
""))))))))))))))))))))))</f>
        <v/>
      </c>
      <c r="D104" t="str">
        <f>IF(ISNUMBER(SEARCH("GRAN FORMATO",INVENTARIO!C104)),"GRA-FOR",
IF(ISNUMBER(SEARCH("CAMA PLANA",INVENTARIO!C104)),"CAM-PLA",
IF(ISNUMBER(SEARCH("GRADO INGENIERIA",INVENTARIO!C104)),"GRA-ING",
IF(ISNUMBER(SEARCH("130 GRS",INVENTARIO!C104)),"130GR",
IF(ISNUMBER(SEARCH("150 GRS",INVENTARIO!C104)),"150GR",
IF(ISNUMBER(SEARCH("185 GRS",INVENTARIO!C104)),"185GR",
IF(ISNUMBER(SEARCH("200 GRS",INVENTARIO!C104)),"200GR",
IF(ISNUMBER(SEARCH("250 GRS",INVENTARIO!C104)),"250GR",
IF(ISNUMBER(SEARCH("300 GRS",INVENTARIO!C104)),"300GR",
IF(ISNUMBER(SEARCH("350 GRS",INVENTARIO!C104)),"350GR",
IF(ISNUMBER(SEARCH("18 OZ",INVENTARIO!C104)),"18OZ",
IF(ISNUMBER(SEARCH("15 OZ",INVENTARIO!C104)),"15OZ",
IF(OR(ISNUMBER(SEARCH("13 OZ",INVENTARIO!C104)),ISNUMBER(SEARCH("13 ONZAS",INVENTARIO!C104))),"13OZ",
IF(OR(ISNUMBER(SEARCH("9 OZ",INVENTARIO!C104)),ISNUMBER(SEARCH("9 ONZAS",INVENTARIO!C104))),"09OZ",
IF(ISNUMBER(SEARCH("DOBLE CARA",INVENTARIO!C104)),"DOB-CAR",
"")))))))))))))))</f>
        <v/>
      </c>
      <c r="E104" t="str">
        <f>IF(OR(ISNUMBER(SEARCH("TRANSPARENTE",INVENTARIO!C104)),ISNUMBER(SEARCH("TRANSPARENTES",INVENTARIO!C104))),"TRA",
IF(OR(ISNUMBER(SEARCH("BLANCO",INVENTARIO!C104)),ISNUMBER(SEARCH("BCO",INVENTARIO!C104))),"BLA",
IF(ISNUMBER(SEARCH("FOTOGRAFICO",INVENTARIO!C104)),"FOT",
IF(ISNUMBER(SEARCH("MARFIL",INVENTARIO!C104)),"MAR",
IF(ISNUMBER(SEARCH("VERDE",INVENTARIO!C104)),"VER",
IF(ISNUMBER(SEARCH("MORADO",INVENTARIO!C104)),"MOR",
IF(ISNUMBER(SEARCH("PLATA",INVENTARIO!C104)),"PLA",
IF(ISNUMBER(SEARCH("ORO",INVENTARIO!C104)),"ORO",
IF(ISNUMBER(SEARCH("AMARILLO",INVENTARIO!C104)),"AMA",
IF(ISNUMBER(SEARCH("NARANJA",INVENTARIO!C104)),"NAR",
IF(ISNUMBER(SEARCH("NEGRO",INVENTARIO!C104)),"NEG",
IF(ISNUMBER(SEARCH("ROJO",INVENTARIO!C104)),"ROJ",
IF(ISNUMBER(SEARCH("AZUL",INVENTARIO!C104)),"AZU","")))))))))))))</f>
        <v/>
      </c>
      <c r="F104" t="str">
        <f>IF(ISNUMBER(SEARCH("ARLON",INVENTARIO!C104)),"ARL",
IF(ISNUMBER(SEARCH("SUNTHINKS",INVENTARIO!C104)),"SUN",
IF(ISNUMBER(SEARCH("FRIO",INVENTARIO!C104)),"FRI",
IF(ISNUMBER(SEARCH("CALIDO",INVENTARIO!C104)),"CAL",
IF(ISNUMBER(SEARCH("CEPILLADO",INVENTARIO!C104)),"CEP",
IF(ISNUMBER(SEARCH("ESPEJO",INVENTARIO!C104)),"ESP",
""))))))</f>
        <v/>
      </c>
      <c r="G104" t="str">
        <f>IF(ISNUMBER(SEARCH("LATEX",INVENTARIO!C104)),"LAT",
IF(ISNUMBER(SEARCH("RESP. NEGRO",INVENTARIO!C104)),"RES-NEG",
IF(ISNUMBER(SEARCH("RESPALDO CAFE",INVENTARIO!C104)),"RES-CAF",
IF(ISNUMBER(SEARCH("RESPALDO GRIS",INVENTARIO!C104)),"RES-GRI",
IF(ISNUMBER(SEARCH("OPTICO",INVENTARIO!C104)),"OPT",
IF(ISNUMBER(SEARCH("1,2 MM",INVENTARIO!C104)),"1MM2",
IF(ISNUMBER(SEARCH("2 MM",INVENTARIO!C104)),"2MM",
IF(ISNUMBER(SEARCH("3 MM",INVENTARIO!C104)),"3MM",
IF(ISNUMBER(SEARCH("4 MM",INVENTARIO!C104)),"4MM",
IF(ISNUMBER(SEARCH("5 MM",INVENTARIO!C104)),"5MM",
IF(ISNUMBER(SEARCH("6 MM",INVENTARIO!C104)),"6MM",
IF(ISNUMBER(SEARCH("9 MM",INVENTARIO!C104)),"9MM",
IF(ISNUMBER(SEARCH("10 MM",INVENTARIO!C104)),"10MM","")))))))))))))</f>
        <v/>
      </c>
      <c r="H104" t="str">
        <f>IF(ISNUMBER(SEARCH("GAMA BAJA",INVENTARIO!C104)),"GAM-BAJ",
IF(ISNUMBER(SEARCH("OPTIMIZADOR",INVENTARIO!C104)),"OPT",
IF(ISNUMBER(SEARCH("OVERCOAT",INVENTARIO!C104)),"OVE",
IF(ISNUMBER(SEARCH("WHITE",INVENTARIO!C104)),"WHI",
IF(ISNUMBER(SEARCH("LIGHT CYAN",INVENTARIO!C104)),"LIG-CYA",
IF(ISNUMBER(SEARCH("CYAN",INVENTARIO!C104)),"CYA",
IF(ISNUMBER(SEARCH("LIGHT MAGENTA",INVENTARIO!C104)),"LIG-MAG",
IF(ISNUMBER(SEARCH("MAGENTA",INVENTARIO!C104)),"MAG",
IF(ISNUMBER(SEARCH("BLACK",INVENTARIO!C104)),"BLA",
IF(ISNUMBER(SEARCH("YELLOW",INVENTARIO!C104)),"YEL",
IF(ISNUMBER(SEARCH("2 DIODOS",INVENTARIO!C104)),"2DI",
IF(ISNUMBER(SEARCH("3 DIODOS",INVENTARIO!C104)),"3DI",
IF(OR(ISNUMBER(SEARCH("TRASLUCIDO",INVENTARIO!C104)),ISNUMBER(SEARCH("TRANSLUCIDO",INVENTARIO!C104))),"TRA",
"")))))))))))))</f>
        <v/>
      </c>
      <c r="I104" t="str">
        <f>IF(ISNUMBER(SEARCH("SILED",INVENTARIO!C118)),"SI",
IF(ISNUMBER(SEARCH("SYDEMEX",INVENTARIO!C118)),"SY",
IF(ISNUMBER(SEARCH("ROHS",INVENTARIO!C118)),"RO",
IF(ISNUMBER(SEARCH("RISHANG",INVENTARIO!C118)),"RS",
IF(ISNUMBER(SEARCH("VYG",INVENTARIO!C118)),"VYG",
IF(ISNUMBER(SEARCH("COLED",INVENTARIO!C118)),"CO",""))))))</f>
        <v/>
      </c>
    </row>
    <row r="105" spans="1:9">
      <c r="A105" t="str">
        <f>IF(ISNUMBER(SEARCH("LONA",INVENTARIO!C105)),"LON",
IF(ISNUMBER(SEARCH("VINIL",INVENTARIO!C105)),"VIN",
IF(ISNUMBER(SEARCH("KROMACOTE",INVENTARIO!C105)),"KRO",
IF(ISNUMBER(SEARCH("STARDREAM",INVENTARIO!C105)),"STA",
IF(ISNUMBER(SEARCH("DISPLAY",INVENTARIO!C105)),"DIS",
IF(ISNUMBER(SEARCH("ROLL UP",INVENTARIO!C105)),"ROL-UP",
IF(ISNUMBER(SEARCH("TRANSFER DE PAPEL",INVENTARIO!C105)),"TRA-PAP",
IF(ISNUMBER(SEARCH("TRANSFER",INVENTARIO!C105)),"TRA",IF(ISNUMBER(SEARCH("KOLA LOKA",INVENTARIO!C105)),"KOL-LOK",
IF(ISNUMBER(SEARCH("PETG",INVENTARIO!C105)),"PET",
IF(ISNUMBER(SEARCH("OJILLO",INVENTARIO!C105)),"OJI",
IF(ISNUMBER(SEARCH("COUCHE",INVENTARIO!C105)),"COU",
IF(ISNUMBER(SEARCH("PANEL DE ALUMINIO",INVENTARIO!C105)),"PAN-ALU",
IF(ISNUMBER(SEARCH("PVC",INVENTARIO!C105)),"PVC",
IF(ISNUMBER(SEARCH("PAPEL",INVENTARIO!C105)),"PAP",
IF(ISNUMBER(SEARCH("TELA",INVENTARIO!C105)),"TEL",
IF(ISNUMBER(SEARCH("CARTULINA",INVENTARIO!C105)),"CAR",
IF(OR(ISNUMBER(SEARCH("LAMINA",INVENTARIO!C105)),ISNUMBER(SEARCH("LÁMINA",INVENTARIO!C105)),ISNUMBER(SEARCH("LAMPARAS",INVENTARIO!C105))),"LAM",
IF(ISNUMBER(SEARCH("ESTIRENO",INVENTARIO!C105)),"EST",
IF(ISNUMBER(SEARCH("FOAMBOARD",INVENTARIO!C105)),"FOA",
IF(ISNUMBER(SEARCH("SOLVENTE",INVENTARIO!C105)),"SOL",
IF(ISNUMBER(SEARCH("TINTA",INVENTARIO!C105)),"TIN",
IF(ISNUMBER(SEARCH("ACRILICO",INVENTARIO!C105)),"ACR",
IF(ISNUMBER(SEARCH("MICROLED",INVENTARIO!C105)),"MIC",
IF(ISNUMBER(SEARCH("LED",INVENTARIO!C105)),"LED",
IF(ISNUMBER(SEARCH("FUENTE DE PODER",INVENTARIO!C105)),"FUE-POD",
IF(ISNUMBER(SEARCH("PETG",INVENTARIO!C105)),"PET",
IF(ISNUMBER(SEARCH("ALUMINIO",INVENTARIO!C105)),"ALU",
IF(ISNUMBER(SEARCH("CANAL",INVENTARIO!C105)),"CAN",
IF(ISNUMBER(SEARCH("ESCUADRA",INVENTARIO!C105)),"ESC",
IF(ISNUMBER(SEARCH("SOPORTE",INVENTARIO!C105)),"SOP","OTR")
))))))))))))))))))))))))))))))</f>
        <v>EST</v>
      </c>
      <c r="B105" t="str">
        <f>IF(ISNUMBER(SEARCH("CORTE",INVENTARIO!C105)),"COR",
IF(ISNUMBER(SEARCH("CITYLIGHT",INVENTARIO!C105)),"CIT",
IF(ISNUMBER(SEARCH("LINO",INVENTARIO!C105)),"LIN",
IF(ISNUMBER(SEARCH("FABRIANO",INVENTARIO!C105)),"FAB",
IF(ISNUMBER(SEARCH("SUNDANCE",INVENTARIO!C105)),"SUN",
IF(ISNUMBER(SEARCH("SINTETICA",INVENTARIO!C105)),"SIN",
IF(ISNUMBER(SEARCH("CONTROL",INVENTARIO!C105)),"CON",
IF(ISNUMBER(SEARCH("TERMICO",INVENTARIO!C105)),"TER",
IF(ISNUMBER(SEARCH("C-15",INVENTARIO!C105)),"C15",
IF(ISNUMBER(SEARCH("C-20",INVENTARIO!C105)),"C20",
IF(ISNUMBER(SEARCH("C-30",INVENTARIO!C105)),"C30",
IF(ISNUMBER(SEARCH("C-40",INVENTARIO!C105)),"C40",
IF(ISNUMBER(SEARCH("C-60",INVENTARIO!C105)),"C60",
IF(ISNUMBER(SEARCH("C-80",INVENTARIO!C105)),"C80",
IF(ISNUMBER(SEARCH("EQUIPO",INVENTARIO!C105)),"EQU",
IF(ISNUMBER(SEARCH("FLOOR",INVENTARIO!C105)),"FLO",
IF(ISNUMBER(SEARCH("CRISTAL",INVENTARIO!C105)),"CRI",
IF(ISNUMBER(SEARCH(" SULFATADA",INVENTARIO!C116)),"SUL",
IF(ISNUMBER(SEARCH("OPALINA",INVENTARIO!C105)),"OPA",
IF(ISNUMBER(SEARCH("ADHERIBLE",INVENTARIO!C105)),"ADH",
IF(ISNUMBER(SEARCH("MICRO",INVENTARIO!C105)),"MIC","")))))))))))))))))))))</f>
        <v>C40</v>
      </c>
      <c r="C105" t="str">
        <f>IF(ISNUMBER(SEARCH("PARED",INVENTARIO!C105)),"PAR",
IF(ISNUMBER(SEARCH("FRONT",INVENTARIO!C105)),"FRO",
IF(ISNUMBER(SEARCH("ALTA RESISTENCIA",INVENTARIO!C105)),
"ALT-RES",IF(ISNUMBER(SEARCH("BACKLITE",INVENTARIO!C105)),"BAC",
IF(ISNUMBER(SEARCH("MATE",INVENTARIO!C105)),"MAT",
IF(ISNUMBER(SEARCH("MESH",INVENTARIO!C105)),"MES",
IF(ISNUMBER(SEARCH("BRILLANTE",INVENTARIO!C105)),"BRI",
IF(ISNUMBER(SEARCH("DELGADA",INVENTARIO!C105)),"DEL",
IF(ISNUMBER(SEARCH("GRUESA",INVENTARIO!C105)),"GRU",
IF(ISNUMBER(SEARCH("ESTATICO",INVENTARIO!C105)),"EST",
IF(ISNUMBER(SEARCH("REFLECTIVO",INVENTARIO!C105)),"REF",
IF(ISNUMBER(SEARCH("LX700",INVENTARIO!C105)),"LX7",
IF(ISNUMBER(SEARCH("GRANDO",INVENTARIO!C105)),"GRA",
IF(ISNUMBER(SEARCH("FB700",INVENTARIO!C105)),"FB7",
IF(ISNUMBER(SEARCH("LX360",INVENTARIO!C105)),"LX3",
IF(ISNUMBER(SEARCH("XEROX",INVENTARIO!C105)),"XER",
IF(ISNUMBER(SEARCH("CEPILLADO",INVENTARIO!C105)),"CEP",
IF(ISNUMBER(SEARCH("ESPEJO",INVENTARIO!C105)),"ESP",
IF(ISNUMBER(SEARCH("10 PTS",INVENTARIO!C105)),"10PT",
IF(ISNUMBER(SEARCH("12 PTS",INVENTARIO!C105)),"12PT",
IF(ISNUMBER(SEARCH("14 PTS",INVENTARIO!C105)),"14PT",
IF(ISNUMBER(SEARCH("CLASICO",INVENTARIO!C105)),"CLA",
""))))))))))))))))))))))</f>
        <v/>
      </c>
      <c r="D105" t="str">
        <f>IF(ISNUMBER(SEARCH("GRAN FORMATO",INVENTARIO!C105)),"GRA-FOR",
IF(ISNUMBER(SEARCH("CAMA PLANA",INVENTARIO!C105)),"CAM-PLA",
IF(ISNUMBER(SEARCH("GRADO INGENIERIA",INVENTARIO!C105)),"GRA-ING",
IF(ISNUMBER(SEARCH("130 GRS",INVENTARIO!C105)),"130GR",
IF(ISNUMBER(SEARCH("150 GRS",INVENTARIO!C105)),"150GR",
IF(ISNUMBER(SEARCH("185 GRS",INVENTARIO!C105)),"185GR",
IF(ISNUMBER(SEARCH("200 GRS",INVENTARIO!C105)),"200GR",
IF(ISNUMBER(SEARCH("250 GRS",INVENTARIO!C105)),"250GR",
IF(ISNUMBER(SEARCH("300 GRS",INVENTARIO!C105)),"300GR",
IF(ISNUMBER(SEARCH("350 GRS",INVENTARIO!C105)),"350GR",
IF(ISNUMBER(SEARCH("18 OZ",INVENTARIO!C105)),"18OZ",
IF(ISNUMBER(SEARCH("15 OZ",INVENTARIO!C105)),"15OZ",
IF(OR(ISNUMBER(SEARCH("13 OZ",INVENTARIO!C105)),ISNUMBER(SEARCH("13 ONZAS",INVENTARIO!C105))),"13OZ",
IF(OR(ISNUMBER(SEARCH("9 OZ",INVENTARIO!C105)),ISNUMBER(SEARCH("9 ONZAS",INVENTARIO!C105))),"09OZ",
IF(ISNUMBER(SEARCH("DOBLE CARA",INVENTARIO!C105)),"DOB-CAR",
"")))))))))))))))</f>
        <v/>
      </c>
      <c r="E105" t="str">
        <f>IF(OR(ISNUMBER(SEARCH("TRANSPARENTE",INVENTARIO!C105)),ISNUMBER(SEARCH("TRANSPARENTES",INVENTARIO!C105))),"TRA",
IF(OR(ISNUMBER(SEARCH("BLANCO",INVENTARIO!C105)),ISNUMBER(SEARCH("BCO",INVENTARIO!C105))),"BLA",
IF(ISNUMBER(SEARCH("FOTOGRAFICO",INVENTARIO!C105)),"FOT",
IF(ISNUMBER(SEARCH("MARFIL",INVENTARIO!C105)),"MAR",
IF(ISNUMBER(SEARCH("VERDE",INVENTARIO!C105)),"VER",
IF(ISNUMBER(SEARCH("MORADO",INVENTARIO!C105)),"MOR",
IF(ISNUMBER(SEARCH("PLATA",INVENTARIO!C105)),"PLA",
IF(ISNUMBER(SEARCH("ORO",INVENTARIO!C105)),"ORO",
IF(ISNUMBER(SEARCH("AMARILLO",INVENTARIO!C105)),"AMA",
IF(ISNUMBER(SEARCH("NARANJA",INVENTARIO!C105)),"NAR",
IF(ISNUMBER(SEARCH("NEGRO",INVENTARIO!C105)),"NEG",
IF(ISNUMBER(SEARCH("ROJO",INVENTARIO!C105)),"ROJ",
IF(ISNUMBER(SEARCH("AZUL",INVENTARIO!C105)),"AZU","")))))))))))))</f>
        <v/>
      </c>
      <c r="F105" t="str">
        <f>IF(ISNUMBER(SEARCH("ARLON",INVENTARIO!C105)),"ARL",
IF(ISNUMBER(SEARCH("SUNTHINKS",INVENTARIO!C105)),"SUN",
IF(ISNUMBER(SEARCH("FRIO",INVENTARIO!C105)),"FRI",
IF(ISNUMBER(SEARCH("CALIDO",INVENTARIO!C105)),"CAL",
IF(ISNUMBER(SEARCH("CEPILLADO",INVENTARIO!C105)),"CEP",
IF(ISNUMBER(SEARCH("ESPEJO",INVENTARIO!C105)),"ESP",
""))))))</f>
        <v/>
      </c>
      <c r="G105" t="str">
        <f>IF(ISNUMBER(SEARCH("LATEX",INVENTARIO!C105)),"LAT",
IF(ISNUMBER(SEARCH("RESP. NEGRO",INVENTARIO!C105)),"RES-NEG",
IF(ISNUMBER(SEARCH("RESPALDO CAFE",INVENTARIO!C105)),"RES-CAF",
IF(ISNUMBER(SEARCH("RESPALDO GRIS",INVENTARIO!C105)),"RES-GRI",
IF(ISNUMBER(SEARCH("OPTICO",INVENTARIO!C105)),"OPT",
IF(ISNUMBER(SEARCH("1,2 MM",INVENTARIO!C105)),"1MM2",
IF(ISNUMBER(SEARCH("2 MM",INVENTARIO!C105)),"2MM",
IF(ISNUMBER(SEARCH("3 MM",INVENTARIO!C105)),"3MM",
IF(ISNUMBER(SEARCH("4 MM",INVENTARIO!C105)),"4MM",
IF(ISNUMBER(SEARCH("5 MM",INVENTARIO!C105)),"5MM",
IF(ISNUMBER(SEARCH("6 MM",INVENTARIO!C105)),"6MM",
IF(ISNUMBER(SEARCH("9 MM",INVENTARIO!C105)),"9MM",
IF(ISNUMBER(SEARCH("10 MM",INVENTARIO!C105)),"10MM","")))))))))))))</f>
        <v/>
      </c>
      <c r="H105" t="str">
        <f>IF(ISNUMBER(SEARCH("GAMA BAJA",INVENTARIO!C105)),"GAM-BAJ",
IF(ISNUMBER(SEARCH("OPTIMIZADOR",INVENTARIO!C105)),"OPT",
IF(ISNUMBER(SEARCH("OVERCOAT",INVENTARIO!C105)),"OVE",
IF(ISNUMBER(SEARCH("WHITE",INVENTARIO!C105)),"WHI",
IF(ISNUMBER(SEARCH("LIGHT CYAN",INVENTARIO!C105)),"LIG-CYA",
IF(ISNUMBER(SEARCH("CYAN",INVENTARIO!C105)),"CYA",
IF(ISNUMBER(SEARCH("LIGHT MAGENTA",INVENTARIO!C105)),"LIG-MAG",
IF(ISNUMBER(SEARCH("MAGENTA",INVENTARIO!C105)),"MAG",
IF(ISNUMBER(SEARCH("BLACK",INVENTARIO!C105)),"BLA",
IF(ISNUMBER(SEARCH("YELLOW",INVENTARIO!C105)),"YEL",
IF(ISNUMBER(SEARCH("2 DIODOS",INVENTARIO!C105)),"2DI",
IF(ISNUMBER(SEARCH("3 DIODOS",INVENTARIO!C105)),"3DI",
IF(OR(ISNUMBER(SEARCH("TRASLUCIDO",INVENTARIO!C105)),ISNUMBER(SEARCH("TRANSLUCIDO",INVENTARIO!C105))),"TRA",
"")))))))))))))</f>
        <v/>
      </c>
      <c r="I105" t="str">
        <f>IF(ISNUMBER(SEARCH("SILED",INVENTARIO!C119)),"SI",
IF(ISNUMBER(SEARCH("SYDEMEX",INVENTARIO!C119)),"SY",
IF(ISNUMBER(SEARCH("ROHS",INVENTARIO!C119)),"RO",
IF(ISNUMBER(SEARCH("RISHANG",INVENTARIO!C119)),"RS",
IF(ISNUMBER(SEARCH("VYG",INVENTARIO!C119)),"VYG",
IF(ISNUMBER(SEARCH("COLED",INVENTARIO!C119)),"CO",""))))))</f>
        <v/>
      </c>
    </row>
    <row r="106" spans="1:9">
      <c r="A106" t="str">
        <f>IF(ISNUMBER(SEARCH("LONA",INVENTARIO!C106)),"LON",
IF(ISNUMBER(SEARCH("VINIL",INVENTARIO!C106)),"VIN",
IF(ISNUMBER(SEARCH("KROMACOTE",INVENTARIO!C106)),"KRO",
IF(ISNUMBER(SEARCH("STARDREAM",INVENTARIO!C106)),"STA",
IF(ISNUMBER(SEARCH("DISPLAY",INVENTARIO!C106)),"DIS",
IF(ISNUMBER(SEARCH("ROLL UP",INVENTARIO!C106)),"ROL-UP",
IF(ISNUMBER(SEARCH("TRANSFER DE PAPEL",INVENTARIO!C106)),"TRA-PAP",
IF(ISNUMBER(SEARCH("TRANSFER",INVENTARIO!C106)),"TRA",IF(ISNUMBER(SEARCH("KOLA LOKA",INVENTARIO!C106)),"KOL-LOK",
IF(ISNUMBER(SEARCH("PETG",INVENTARIO!C106)),"PET",
IF(ISNUMBER(SEARCH("OJILLO",INVENTARIO!C106)),"OJI",
IF(ISNUMBER(SEARCH("COUCHE",INVENTARIO!C106)),"COU",
IF(ISNUMBER(SEARCH("PANEL DE ALUMINIO",INVENTARIO!C106)),"PAN-ALU",
IF(ISNUMBER(SEARCH("PVC",INVENTARIO!C106)),"PVC",
IF(ISNUMBER(SEARCH("PAPEL",INVENTARIO!C106)),"PAP",
IF(ISNUMBER(SEARCH("TELA",INVENTARIO!C106)),"TEL",
IF(ISNUMBER(SEARCH("CARTULINA",INVENTARIO!C106)),"CAR",
IF(OR(ISNUMBER(SEARCH("LAMINA",INVENTARIO!C106)),ISNUMBER(SEARCH("LÁMINA",INVENTARIO!C106)),ISNUMBER(SEARCH("LAMPARAS",INVENTARIO!C106))),"LAM",
IF(ISNUMBER(SEARCH("ESTIRENO",INVENTARIO!C106)),"EST",
IF(ISNUMBER(SEARCH("FOAMBOARD",INVENTARIO!C106)),"FOA",
IF(ISNUMBER(SEARCH("SOLVENTE",INVENTARIO!C106)),"SOL",
IF(ISNUMBER(SEARCH("TINTA",INVENTARIO!C106)),"TIN",
IF(ISNUMBER(SEARCH("ACRILICO",INVENTARIO!C106)),"ACR",
IF(ISNUMBER(SEARCH("MICROLED",INVENTARIO!C106)),"MIC",
IF(ISNUMBER(SEARCH("LED",INVENTARIO!C106)),"LED",
IF(ISNUMBER(SEARCH("FUENTE DE PODER",INVENTARIO!C106)),"FUE-POD",
IF(ISNUMBER(SEARCH("PETG",INVENTARIO!C106)),"PET",
IF(ISNUMBER(SEARCH("ALUMINIO",INVENTARIO!C106)),"ALU",
IF(ISNUMBER(SEARCH("CANAL",INVENTARIO!C106)),"CAN",
IF(ISNUMBER(SEARCH("ESCUADRA",INVENTARIO!C106)),"ESC",
IF(ISNUMBER(SEARCH("SOPORTE",INVENTARIO!C106)),"SOP","OTR")
))))))))))))))))))))))))))))))</f>
        <v>EST</v>
      </c>
      <c r="B106" t="str">
        <f>IF(ISNUMBER(SEARCH("CORTE",INVENTARIO!C106)),"COR",
IF(ISNUMBER(SEARCH("CITYLIGHT",INVENTARIO!C106)),"CIT",
IF(ISNUMBER(SEARCH("LINO",INVENTARIO!C106)),"LIN",
IF(ISNUMBER(SEARCH("FABRIANO",INVENTARIO!C106)),"FAB",
IF(ISNUMBER(SEARCH("SUNDANCE",INVENTARIO!C106)),"SUN",
IF(ISNUMBER(SEARCH("SINTETICA",INVENTARIO!C106)),"SIN",
IF(ISNUMBER(SEARCH("CONTROL",INVENTARIO!C106)),"CON",
IF(ISNUMBER(SEARCH("TERMICO",INVENTARIO!C106)),"TER",
IF(ISNUMBER(SEARCH("C-15",INVENTARIO!C106)),"C15",
IF(ISNUMBER(SEARCH("C-20",INVENTARIO!C106)),"C20",
IF(ISNUMBER(SEARCH("C-30",INVENTARIO!C106)),"C30",
IF(ISNUMBER(SEARCH("C-40",INVENTARIO!C106)),"C40",
IF(ISNUMBER(SEARCH("C-60",INVENTARIO!C106)),"C60",
IF(ISNUMBER(SEARCH("C-80",INVENTARIO!C106)),"C80",
IF(ISNUMBER(SEARCH("EQUIPO",INVENTARIO!C106)),"EQU",
IF(ISNUMBER(SEARCH("FLOOR",INVENTARIO!C106)),"FLO",
IF(ISNUMBER(SEARCH("CRISTAL",INVENTARIO!C106)),"CRI",
IF(ISNUMBER(SEARCH(" SULFATADA",INVENTARIO!C117)),"SUL",
IF(ISNUMBER(SEARCH("OPALINA",INVENTARIO!C106)),"OPA",
IF(ISNUMBER(SEARCH("ADHERIBLE",INVENTARIO!C106)),"ADH",
IF(ISNUMBER(SEARCH("MICRO",INVENTARIO!C106)),"MIC","")))))))))))))))))))))</f>
        <v>C60</v>
      </c>
      <c r="C106" t="str">
        <f>IF(ISNUMBER(SEARCH("PARED",INVENTARIO!C106)),"PAR",
IF(ISNUMBER(SEARCH("FRONT",INVENTARIO!C106)),"FRO",
IF(ISNUMBER(SEARCH("ALTA RESISTENCIA",INVENTARIO!C106)),
"ALT-RES",IF(ISNUMBER(SEARCH("BACKLITE",INVENTARIO!C106)),"BAC",
IF(ISNUMBER(SEARCH("MATE",INVENTARIO!C106)),"MAT",
IF(ISNUMBER(SEARCH("MESH",INVENTARIO!C106)),"MES",
IF(ISNUMBER(SEARCH("BRILLANTE",INVENTARIO!C106)),"BRI",
IF(ISNUMBER(SEARCH("DELGADA",INVENTARIO!C106)),"DEL",
IF(ISNUMBER(SEARCH("GRUESA",INVENTARIO!C106)),"GRU",
IF(ISNUMBER(SEARCH("ESTATICO",INVENTARIO!C106)),"EST",
IF(ISNUMBER(SEARCH("REFLECTIVO",INVENTARIO!C106)),"REF",
IF(ISNUMBER(SEARCH("LX700",INVENTARIO!C106)),"LX7",
IF(ISNUMBER(SEARCH("GRANDO",INVENTARIO!C106)),"GRA",
IF(ISNUMBER(SEARCH("FB700",INVENTARIO!C106)),"FB7",
IF(ISNUMBER(SEARCH("LX360",INVENTARIO!C106)),"LX3",
IF(ISNUMBER(SEARCH("XEROX",INVENTARIO!C106)),"XER",
IF(ISNUMBER(SEARCH("CEPILLADO",INVENTARIO!C106)),"CEP",
IF(ISNUMBER(SEARCH("ESPEJO",INVENTARIO!C106)),"ESP",
IF(ISNUMBER(SEARCH("10 PTS",INVENTARIO!C106)),"10PT",
IF(ISNUMBER(SEARCH("12 PTS",INVENTARIO!C106)),"12PT",
IF(ISNUMBER(SEARCH("14 PTS",INVENTARIO!C106)),"14PT",
IF(ISNUMBER(SEARCH("CLASICO",INVENTARIO!C106)),"CLA",
""))))))))))))))))))))))</f>
        <v/>
      </c>
      <c r="D106" t="str">
        <f>IF(ISNUMBER(SEARCH("GRAN FORMATO",INVENTARIO!C106)),"GRA-FOR",
IF(ISNUMBER(SEARCH("CAMA PLANA",INVENTARIO!C106)),"CAM-PLA",
IF(ISNUMBER(SEARCH("GRADO INGENIERIA",INVENTARIO!C106)),"GRA-ING",
IF(ISNUMBER(SEARCH("130 GRS",INVENTARIO!C106)),"130GR",
IF(ISNUMBER(SEARCH("150 GRS",INVENTARIO!C106)),"150GR",
IF(ISNUMBER(SEARCH("185 GRS",INVENTARIO!C106)),"185GR",
IF(ISNUMBER(SEARCH("200 GRS",INVENTARIO!C106)),"200GR",
IF(ISNUMBER(SEARCH("250 GRS",INVENTARIO!C106)),"250GR",
IF(ISNUMBER(SEARCH("300 GRS",INVENTARIO!C106)),"300GR",
IF(ISNUMBER(SEARCH("350 GRS",INVENTARIO!C106)),"350GR",
IF(ISNUMBER(SEARCH("18 OZ",INVENTARIO!C106)),"18OZ",
IF(ISNUMBER(SEARCH("15 OZ",INVENTARIO!C106)),"15OZ",
IF(OR(ISNUMBER(SEARCH("13 OZ",INVENTARIO!C106)),ISNUMBER(SEARCH("13 ONZAS",INVENTARIO!C106))),"13OZ",
IF(OR(ISNUMBER(SEARCH("9 OZ",INVENTARIO!C106)),ISNUMBER(SEARCH("9 ONZAS",INVENTARIO!C106))),"09OZ",
IF(ISNUMBER(SEARCH("DOBLE CARA",INVENTARIO!C106)),"DOB-CAR",
"")))))))))))))))</f>
        <v/>
      </c>
      <c r="E106" t="str">
        <f>IF(OR(ISNUMBER(SEARCH("TRANSPARENTE",INVENTARIO!C106)),ISNUMBER(SEARCH("TRANSPARENTES",INVENTARIO!C106))),"TRA",
IF(OR(ISNUMBER(SEARCH("BLANCO",INVENTARIO!C106)),ISNUMBER(SEARCH("BCO",INVENTARIO!C106))),"BLA",
IF(ISNUMBER(SEARCH("FOTOGRAFICO",INVENTARIO!C106)),"FOT",
IF(ISNUMBER(SEARCH("MARFIL",INVENTARIO!C106)),"MAR",
IF(ISNUMBER(SEARCH("VERDE",INVENTARIO!C106)),"VER",
IF(ISNUMBER(SEARCH("MORADO",INVENTARIO!C106)),"MOR",
IF(ISNUMBER(SEARCH("PLATA",INVENTARIO!C106)),"PLA",
IF(ISNUMBER(SEARCH("ORO",INVENTARIO!C106)),"ORO",
IF(ISNUMBER(SEARCH("AMARILLO",INVENTARIO!C106)),"AMA",
IF(ISNUMBER(SEARCH("NARANJA",INVENTARIO!C106)),"NAR",
IF(ISNUMBER(SEARCH("NEGRO",INVENTARIO!C106)),"NEG",
IF(ISNUMBER(SEARCH("ROJO",INVENTARIO!C106)),"ROJ",
IF(ISNUMBER(SEARCH("AZUL",INVENTARIO!C106)),"AZU","")))))))))))))</f>
        <v/>
      </c>
      <c r="F106" t="str">
        <f>IF(ISNUMBER(SEARCH("ARLON",INVENTARIO!C106)),"ARL",
IF(ISNUMBER(SEARCH("SUNTHINKS",INVENTARIO!C106)),"SUN",
IF(ISNUMBER(SEARCH("FRIO",INVENTARIO!C106)),"FRI",
IF(ISNUMBER(SEARCH("CALIDO",INVENTARIO!C106)),"CAL",
IF(ISNUMBER(SEARCH("CEPILLADO",INVENTARIO!C106)),"CEP",
IF(ISNUMBER(SEARCH("ESPEJO",INVENTARIO!C106)),"ESP",
""))))))</f>
        <v/>
      </c>
      <c r="G106" t="str">
        <f>IF(ISNUMBER(SEARCH("LATEX",INVENTARIO!C106)),"LAT",
IF(ISNUMBER(SEARCH("RESP. NEGRO",INVENTARIO!C106)),"RES-NEG",
IF(ISNUMBER(SEARCH("RESPALDO CAFE",INVENTARIO!C106)),"RES-CAF",
IF(ISNUMBER(SEARCH("RESPALDO GRIS",INVENTARIO!C106)),"RES-GRI",
IF(ISNUMBER(SEARCH("OPTICO",INVENTARIO!C106)),"OPT",
IF(ISNUMBER(SEARCH("1,2 MM",INVENTARIO!C106)),"1MM2",
IF(ISNUMBER(SEARCH("2 MM",INVENTARIO!C106)),"2MM",
IF(ISNUMBER(SEARCH("3 MM",INVENTARIO!C106)),"3MM",
IF(ISNUMBER(SEARCH("4 MM",INVENTARIO!C106)),"4MM",
IF(ISNUMBER(SEARCH("5 MM",INVENTARIO!C106)),"5MM",
IF(ISNUMBER(SEARCH("6 MM",INVENTARIO!C106)),"6MM",
IF(ISNUMBER(SEARCH("9 MM",INVENTARIO!C106)),"9MM",
IF(ISNUMBER(SEARCH("10 MM",INVENTARIO!C106)),"10MM","")))))))))))))</f>
        <v/>
      </c>
      <c r="H106" t="str">
        <f>IF(ISNUMBER(SEARCH("GAMA BAJA",INVENTARIO!C106)),"GAM-BAJ",
IF(ISNUMBER(SEARCH("OPTIMIZADOR",INVENTARIO!C106)),"OPT",
IF(ISNUMBER(SEARCH("OVERCOAT",INVENTARIO!C106)),"OVE",
IF(ISNUMBER(SEARCH("WHITE",INVENTARIO!C106)),"WHI",
IF(ISNUMBER(SEARCH("LIGHT CYAN",INVENTARIO!C106)),"LIG-CYA",
IF(ISNUMBER(SEARCH("CYAN",INVENTARIO!C106)),"CYA",
IF(ISNUMBER(SEARCH("LIGHT MAGENTA",INVENTARIO!C106)),"LIG-MAG",
IF(ISNUMBER(SEARCH("MAGENTA",INVENTARIO!C106)),"MAG",
IF(ISNUMBER(SEARCH("BLACK",INVENTARIO!C106)),"BLA",
IF(ISNUMBER(SEARCH("YELLOW",INVENTARIO!C106)),"YEL",
IF(ISNUMBER(SEARCH("2 DIODOS",INVENTARIO!C106)),"2DI",
IF(ISNUMBER(SEARCH("3 DIODOS",INVENTARIO!C106)),"3DI",
IF(OR(ISNUMBER(SEARCH("TRASLUCIDO",INVENTARIO!C106)),ISNUMBER(SEARCH("TRANSLUCIDO",INVENTARIO!C106))),"TRA",
"")))))))))))))</f>
        <v/>
      </c>
      <c r="I106" t="str">
        <f>IF(ISNUMBER(SEARCH("SILED",INVENTARIO!C120)),"SI",
IF(ISNUMBER(SEARCH("SYDEMEX",INVENTARIO!C120)),"SY",
IF(ISNUMBER(SEARCH("ROHS",INVENTARIO!C120)),"RO",
IF(ISNUMBER(SEARCH("RISHANG",INVENTARIO!C120)),"RS",
IF(ISNUMBER(SEARCH("VYG",INVENTARIO!C120)),"VYG",
IF(ISNUMBER(SEARCH("COLED",INVENTARIO!C120)),"CO",""))))))</f>
        <v/>
      </c>
    </row>
    <row r="107" spans="1:9">
      <c r="A107" t="str">
        <f>IF(ISNUMBER(SEARCH("LONA",INVENTARIO!C107)),"LON",
IF(ISNUMBER(SEARCH("VINIL",INVENTARIO!C107)),"VIN",
IF(ISNUMBER(SEARCH("KROMACOTE",INVENTARIO!C107)),"KRO",
IF(ISNUMBER(SEARCH("STARDREAM",INVENTARIO!C107)),"STA",
IF(ISNUMBER(SEARCH("DISPLAY",INVENTARIO!C107)),"DIS",
IF(ISNUMBER(SEARCH("ROLL UP",INVENTARIO!C107)),"ROL-UP",
IF(ISNUMBER(SEARCH("TRANSFER DE PAPEL",INVENTARIO!C107)),"TRA-PAP",
IF(ISNUMBER(SEARCH("TRANSFER",INVENTARIO!C107)),"TRA",IF(ISNUMBER(SEARCH("KOLA LOKA",INVENTARIO!C107)),"KOL-LOK",
IF(ISNUMBER(SEARCH("PETG",INVENTARIO!C107)),"PET",
IF(ISNUMBER(SEARCH("OJILLO",INVENTARIO!C107)),"OJI",
IF(ISNUMBER(SEARCH("COUCHE",INVENTARIO!C107)),"COU",
IF(ISNUMBER(SEARCH("PANEL DE ALUMINIO",INVENTARIO!C107)),"PAN-ALU",
IF(ISNUMBER(SEARCH("PVC",INVENTARIO!C107)),"PVC",
IF(ISNUMBER(SEARCH("PAPEL",INVENTARIO!C107)),"PAP",
IF(ISNUMBER(SEARCH("TELA",INVENTARIO!C107)),"TEL",
IF(ISNUMBER(SEARCH("CARTULINA",INVENTARIO!C107)),"CAR",
IF(OR(ISNUMBER(SEARCH("LAMINA",INVENTARIO!C107)),ISNUMBER(SEARCH("LÁMINA",INVENTARIO!C107)),ISNUMBER(SEARCH("LAMPARAS",INVENTARIO!C107))),"LAM",
IF(ISNUMBER(SEARCH("ESTIRENO",INVENTARIO!C107)),"EST",
IF(ISNUMBER(SEARCH("FOAMBOARD",INVENTARIO!C107)),"FOA",
IF(ISNUMBER(SEARCH("SOLVENTE",INVENTARIO!C107)),"SOL",
IF(ISNUMBER(SEARCH("TINTA",INVENTARIO!C107)),"TIN",
IF(ISNUMBER(SEARCH("ACRILICO",INVENTARIO!C107)),"ACR",
IF(ISNUMBER(SEARCH("MICROLED",INVENTARIO!C107)),"MIC",
IF(ISNUMBER(SEARCH("LED",INVENTARIO!C107)),"LED",
IF(ISNUMBER(SEARCH("FUENTE DE PODER",INVENTARIO!C107)),"FUE-POD",
IF(ISNUMBER(SEARCH("PETG",INVENTARIO!C107)),"PET",
IF(ISNUMBER(SEARCH("ALUMINIO",INVENTARIO!C107)),"ALU",
IF(ISNUMBER(SEARCH("CANAL",INVENTARIO!C107)),"CAN",
IF(ISNUMBER(SEARCH("ESCUADRA",INVENTARIO!C107)),"ESC",
IF(ISNUMBER(SEARCH("SOPORTE",INVENTARIO!C107)),"SOP","OTR")
))))))))))))))))))))))))))))))</f>
        <v>EST</v>
      </c>
      <c r="B107" t="str">
        <f>IF(ISNUMBER(SEARCH("CORTE",INVENTARIO!C107)),"COR",
IF(ISNUMBER(SEARCH("CITYLIGHT",INVENTARIO!C107)),"CIT",
IF(ISNUMBER(SEARCH("LINO",INVENTARIO!C107)),"LIN",
IF(ISNUMBER(SEARCH("FABRIANO",INVENTARIO!C107)),"FAB",
IF(ISNUMBER(SEARCH("SUNDANCE",INVENTARIO!C107)),"SUN",
IF(ISNUMBER(SEARCH("SINTETICA",INVENTARIO!C107)),"SIN",
IF(ISNUMBER(SEARCH("CONTROL",INVENTARIO!C107)),"CON",
IF(ISNUMBER(SEARCH("TERMICO",INVENTARIO!C107)),"TER",
IF(ISNUMBER(SEARCH("C-15",INVENTARIO!C107)),"C15",
IF(ISNUMBER(SEARCH("C-20",INVENTARIO!C107)),"C20",
IF(ISNUMBER(SEARCH("C-30",INVENTARIO!C107)),"C30",
IF(ISNUMBER(SEARCH("C-40",INVENTARIO!C107)),"C40",
IF(ISNUMBER(SEARCH("C-60",INVENTARIO!C107)),"C60",
IF(ISNUMBER(SEARCH("C-80",INVENTARIO!C107)),"C80",
IF(ISNUMBER(SEARCH("EQUIPO",INVENTARIO!C107)),"EQU",
IF(ISNUMBER(SEARCH("FLOOR",INVENTARIO!C107)),"FLO",
IF(ISNUMBER(SEARCH("CRISTAL",INVENTARIO!C107)),"CRI",
IF(ISNUMBER(SEARCH(" SULFATADA",INVENTARIO!C118)),"SUL",
IF(ISNUMBER(SEARCH("OPALINA",INVENTARIO!C107)),"OPA",
IF(ISNUMBER(SEARCH("ADHERIBLE",INVENTARIO!C107)),"ADH",
IF(ISNUMBER(SEARCH("MICRO",INVENTARIO!C107)),"MIC","")))))))))))))))))))))</f>
        <v>C80</v>
      </c>
      <c r="C107" t="str">
        <f>IF(ISNUMBER(SEARCH("PARED",INVENTARIO!C107)),"PAR",
IF(ISNUMBER(SEARCH("FRONT",INVENTARIO!C107)),"FRO",
IF(ISNUMBER(SEARCH("ALTA RESISTENCIA",INVENTARIO!C107)),
"ALT-RES",IF(ISNUMBER(SEARCH("BACKLITE",INVENTARIO!C107)),"BAC",
IF(ISNUMBER(SEARCH("MATE",INVENTARIO!C107)),"MAT",
IF(ISNUMBER(SEARCH("MESH",INVENTARIO!C107)),"MES",
IF(ISNUMBER(SEARCH("BRILLANTE",INVENTARIO!C107)),"BRI",
IF(ISNUMBER(SEARCH("DELGADA",INVENTARIO!C107)),"DEL",
IF(ISNUMBER(SEARCH("GRUESA",INVENTARIO!C107)),"GRU",
IF(ISNUMBER(SEARCH("ESTATICO",INVENTARIO!C107)),"EST",
IF(ISNUMBER(SEARCH("REFLECTIVO",INVENTARIO!C107)),"REF",
IF(ISNUMBER(SEARCH("LX700",INVENTARIO!C107)),"LX7",
IF(ISNUMBER(SEARCH("GRANDO",INVENTARIO!C107)),"GRA",
IF(ISNUMBER(SEARCH("FB700",INVENTARIO!C107)),"FB7",
IF(ISNUMBER(SEARCH("LX360",INVENTARIO!C107)),"LX3",
IF(ISNUMBER(SEARCH("XEROX",INVENTARIO!C107)),"XER",
IF(ISNUMBER(SEARCH("CEPILLADO",INVENTARIO!C107)),"CEP",
IF(ISNUMBER(SEARCH("ESPEJO",INVENTARIO!C107)),"ESP",
IF(ISNUMBER(SEARCH("10 PTS",INVENTARIO!C107)),"10PT",
IF(ISNUMBER(SEARCH("12 PTS",INVENTARIO!C107)),"12PT",
IF(ISNUMBER(SEARCH("14 PTS",INVENTARIO!C107)),"14PT",
IF(ISNUMBER(SEARCH("CLASICO",INVENTARIO!C107)),"CLA",
""))))))))))))))))))))))</f>
        <v/>
      </c>
      <c r="D107" t="str">
        <f>IF(ISNUMBER(SEARCH("GRAN FORMATO",INVENTARIO!C107)),"GRA-FOR",
IF(ISNUMBER(SEARCH("CAMA PLANA",INVENTARIO!C107)),"CAM-PLA",
IF(ISNUMBER(SEARCH("GRADO INGENIERIA",INVENTARIO!C107)),"GRA-ING",
IF(ISNUMBER(SEARCH("130 GRS",INVENTARIO!C107)),"130GR",
IF(ISNUMBER(SEARCH("150 GRS",INVENTARIO!C107)),"150GR",
IF(ISNUMBER(SEARCH("185 GRS",INVENTARIO!C107)),"185GR",
IF(ISNUMBER(SEARCH("200 GRS",INVENTARIO!C107)),"200GR",
IF(ISNUMBER(SEARCH("250 GRS",INVENTARIO!C107)),"250GR",
IF(ISNUMBER(SEARCH("300 GRS",INVENTARIO!C107)),"300GR",
IF(ISNUMBER(SEARCH("350 GRS",INVENTARIO!C107)),"350GR",
IF(ISNUMBER(SEARCH("18 OZ",INVENTARIO!C107)),"18OZ",
IF(ISNUMBER(SEARCH("15 OZ",INVENTARIO!C107)),"15OZ",
IF(OR(ISNUMBER(SEARCH("13 OZ",INVENTARIO!C107)),ISNUMBER(SEARCH("13 ONZAS",INVENTARIO!C107))),"13OZ",
IF(OR(ISNUMBER(SEARCH("9 OZ",INVENTARIO!C107)),ISNUMBER(SEARCH("9 ONZAS",INVENTARIO!C107))),"09OZ",
IF(ISNUMBER(SEARCH("DOBLE CARA",INVENTARIO!C107)),"DOB-CAR",
"")))))))))))))))</f>
        <v/>
      </c>
      <c r="E107" t="str">
        <f>IF(OR(ISNUMBER(SEARCH("TRANSPARENTE",INVENTARIO!C107)),ISNUMBER(SEARCH("TRANSPARENTES",INVENTARIO!C107))),"TRA",
IF(OR(ISNUMBER(SEARCH("BLANCO",INVENTARIO!C107)),ISNUMBER(SEARCH("BCO",INVENTARIO!C107))),"BLA",
IF(ISNUMBER(SEARCH("FOTOGRAFICO",INVENTARIO!C107)),"FOT",
IF(ISNUMBER(SEARCH("MARFIL",INVENTARIO!C107)),"MAR",
IF(ISNUMBER(SEARCH("VERDE",INVENTARIO!C107)),"VER",
IF(ISNUMBER(SEARCH("MORADO",INVENTARIO!C107)),"MOR",
IF(ISNUMBER(SEARCH("PLATA",INVENTARIO!C107)),"PLA",
IF(ISNUMBER(SEARCH("ORO",INVENTARIO!C107)),"ORO",
IF(ISNUMBER(SEARCH("AMARILLO",INVENTARIO!C107)),"AMA",
IF(ISNUMBER(SEARCH("NARANJA",INVENTARIO!C107)),"NAR",
IF(ISNUMBER(SEARCH("NEGRO",INVENTARIO!C107)),"NEG",
IF(ISNUMBER(SEARCH("ROJO",INVENTARIO!C107)),"ROJ",
IF(ISNUMBER(SEARCH("AZUL",INVENTARIO!C107)),"AZU","")))))))))))))</f>
        <v/>
      </c>
      <c r="F107" t="str">
        <f>IF(ISNUMBER(SEARCH("ARLON",INVENTARIO!C107)),"ARL",
IF(ISNUMBER(SEARCH("SUNTHINKS",INVENTARIO!C107)),"SUN",
IF(ISNUMBER(SEARCH("FRIO",INVENTARIO!C107)),"FRI",
IF(ISNUMBER(SEARCH("CALIDO",INVENTARIO!C107)),"CAL",
IF(ISNUMBER(SEARCH("CEPILLADO",INVENTARIO!C107)),"CEP",
IF(ISNUMBER(SEARCH("ESPEJO",INVENTARIO!C107)),"ESP",
""))))))</f>
        <v/>
      </c>
      <c r="G107" t="str">
        <f>IF(ISNUMBER(SEARCH("LATEX",INVENTARIO!C107)),"LAT",
IF(ISNUMBER(SEARCH("RESP. NEGRO",INVENTARIO!C107)),"RES-NEG",
IF(ISNUMBER(SEARCH("RESPALDO CAFE",INVENTARIO!C107)),"RES-CAF",
IF(ISNUMBER(SEARCH("RESPALDO GRIS",INVENTARIO!C107)),"RES-GRI",
IF(ISNUMBER(SEARCH("OPTICO",INVENTARIO!C107)),"OPT",
IF(ISNUMBER(SEARCH("1,2 MM",INVENTARIO!C107)),"1MM2",
IF(ISNUMBER(SEARCH("2 MM",INVENTARIO!C107)),"2MM",
IF(ISNUMBER(SEARCH("3 MM",INVENTARIO!C107)),"3MM",
IF(ISNUMBER(SEARCH("4 MM",INVENTARIO!C107)),"4MM",
IF(ISNUMBER(SEARCH("5 MM",INVENTARIO!C107)),"5MM",
IF(ISNUMBER(SEARCH("6 MM",INVENTARIO!C107)),"6MM",
IF(ISNUMBER(SEARCH("9 MM",INVENTARIO!C107)),"9MM",
IF(ISNUMBER(SEARCH("10 MM",INVENTARIO!C107)),"10MM","")))))))))))))</f>
        <v/>
      </c>
      <c r="H107" t="str">
        <f>IF(ISNUMBER(SEARCH("GAMA BAJA",INVENTARIO!C107)),"GAM-BAJ",
IF(ISNUMBER(SEARCH("OPTIMIZADOR",INVENTARIO!C107)),"OPT",
IF(ISNUMBER(SEARCH("OVERCOAT",INVENTARIO!C107)),"OVE",
IF(ISNUMBER(SEARCH("WHITE",INVENTARIO!C107)),"WHI",
IF(ISNUMBER(SEARCH("LIGHT CYAN",INVENTARIO!C107)),"LIG-CYA",
IF(ISNUMBER(SEARCH("CYAN",INVENTARIO!C107)),"CYA",
IF(ISNUMBER(SEARCH("LIGHT MAGENTA",INVENTARIO!C107)),"LIG-MAG",
IF(ISNUMBER(SEARCH("MAGENTA",INVENTARIO!C107)),"MAG",
IF(ISNUMBER(SEARCH("BLACK",INVENTARIO!C107)),"BLA",
IF(ISNUMBER(SEARCH("YELLOW",INVENTARIO!C107)),"YEL",
IF(ISNUMBER(SEARCH("2 DIODOS",INVENTARIO!C107)),"2DI",
IF(ISNUMBER(SEARCH("3 DIODOS",INVENTARIO!C107)),"3DI",
IF(OR(ISNUMBER(SEARCH("TRASLUCIDO",INVENTARIO!C107)),ISNUMBER(SEARCH("TRANSLUCIDO",INVENTARIO!C107))),"TRA",
"")))))))))))))</f>
        <v/>
      </c>
      <c r="I107" t="str">
        <f>IF(ISNUMBER(SEARCH("SILED",INVENTARIO!C121)),"SI",
IF(ISNUMBER(SEARCH("SYDEMEX",INVENTARIO!C121)),"SY",
IF(ISNUMBER(SEARCH("ROHS",INVENTARIO!C121)),"RO",
IF(ISNUMBER(SEARCH("RISHANG",INVENTARIO!C121)),"RS",
IF(ISNUMBER(SEARCH("VYG",INVENTARIO!C121)),"VYG",
IF(ISNUMBER(SEARCH("COLED",INVENTARIO!C121)),"CO",""))))))</f>
        <v/>
      </c>
    </row>
    <row r="108" spans="1:9">
      <c r="A108" t="str">
        <f>IF(ISNUMBER(SEARCH("LONA",INVENTARIO!C108)),"LON",
IF(ISNUMBER(SEARCH("VINIL",INVENTARIO!C108)),"VIN",
IF(ISNUMBER(SEARCH("KROMACOTE",INVENTARIO!C108)),"KRO",
IF(ISNUMBER(SEARCH("STARDREAM",INVENTARIO!C108)),"STA",
IF(ISNUMBER(SEARCH("DISPLAY",INVENTARIO!C108)),"DIS",
IF(ISNUMBER(SEARCH("ROLL UP",INVENTARIO!C108)),"ROL-UP",
IF(ISNUMBER(SEARCH("TRANSFER DE PAPEL",INVENTARIO!C108)),"TRA-PAP",
IF(ISNUMBER(SEARCH("TRANSFER",INVENTARIO!C108)),"TRA",IF(ISNUMBER(SEARCH("KOLA LOKA",INVENTARIO!C108)),"KOL-LOK",
IF(ISNUMBER(SEARCH("PETG",INVENTARIO!C108)),"PET",
IF(ISNUMBER(SEARCH("OJILLO",INVENTARIO!C108)),"OJI",
IF(ISNUMBER(SEARCH("COUCHE",INVENTARIO!C108)),"COU",
IF(ISNUMBER(SEARCH("PANEL DE ALUMINIO",INVENTARIO!C108)),"PAN-ALU",
IF(ISNUMBER(SEARCH("PVC",INVENTARIO!C108)),"PVC",
IF(ISNUMBER(SEARCH("PAPEL",INVENTARIO!C108)),"PAP",
IF(ISNUMBER(SEARCH("TELA",INVENTARIO!C108)),"TEL",
IF(ISNUMBER(SEARCH("CARTULINA",INVENTARIO!C108)),"CAR",
IF(OR(ISNUMBER(SEARCH("LAMINA",INVENTARIO!C108)),ISNUMBER(SEARCH("LÁMINA",INVENTARIO!C108)),ISNUMBER(SEARCH("LAMPARAS",INVENTARIO!C108))),"LAM",
IF(ISNUMBER(SEARCH("ESTIRENO",INVENTARIO!C108)),"EST",
IF(ISNUMBER(SEARCH("FOAMBOARD",INVENTARIO!C108)),"FOA",
IF(ISNUMBER(SEARCH("SOLVENTE",INVENTARIO!C108)),"SOL",
IF(ISNUMBER(SEARCH("TINTA",INVENTARIO!C108)),"TIN",
IF(ISNUMBER(SEARCH("ACRILICO",INVENTARIO!C108)),"ACR",
IF(ISNUMBER(SEARCH("MICROLED",INVENTARIO!C108)),"MIC",
IF(ISNUMBER(SEARCH("LED",INVENTARIO!C108)),"LED",
IF(ISNUMBER(SEARCH("FUENTE DE PODER",INVENTARIO!C108)),"FUE-POD",
IF(ISNUMBER(SEARCH("PETG",INVENTARIO!C108)),"PET",
IF(ISNUMBER(SEARCH("ALUMINIO",INVENTARIO!C108)),"ALU",
IF(ISNUMBER(SEARCH("CANAL",INVENTARIO!C108)),"CAN",
IF(ISNUMBER(SEARCH("ESCUADRA",INVENTARIO!C108)),"ESC",
IF(ISNUMBER(SEARCH("SOPORTE",INVENTARIO!C108)),"SOP","OTR")
))))))))))))))))))))))))))))))</f>
        <v>DIS</v>
      </c>
      <c r="B108" t="str">
        <f>IF(ISNUMBER(SEARCH("CORTE",INVENTARIO!C108)),"COR",
IF(ISNUMBER(SEARCH("CITYLIGHT",INVENTARIO!C108)),"CIT",
IF(ISNUMBER(SEARCH("LINO",INVENTARIO!C108)),"LIN",
IF(ISNUMBER(SEARCH("FABRIANO",INVENTARIO!C108)),"FAB",
IF(ISNUMBER(SEARCH("SUNDANCE",INVENTARIO!C108)),"SUN",
IF(ISNUMBER(SEARCH("SINTETICA",INVENTARIO!C108)),"SIN",
IF(ISNUMBER(SEARCH("CONTROL",INVENTARIO!C108)),"CON",
IF(ISNUMBER(SEARCH("TERMICO",INVENTARIO!C108)),"TER",
IF(ISNUMBER(SEARCH("C-15",INVENTARIO!C108)),"C15",
IF(ISNUMBER(SEARCH("C-20",INVENTARIO!C108)),"C20",
IF(ISNUMBER(SEARCH("C-30",INVENTARIO!C108)),"C30",
IF(ISNUMBER(SEARCH("C-40",INVENTARIO!C108)),"C40",
IF(ISNUMBER(SEARCH("C-60",INVENTARIO!C108)),"C60",
IF(ISNUMBER(SEARCH("C-80",INVENTARIO!C108)),"C80",
IF(ISNUMBER(SEARCH("EQUIPO",INVENTARIO!C108)),"EQU",
IF(ISNUMBER(SEARCH("FLOOR",INVENTARIO!C108)),"FLO",
IF(ISNUMBER(SEARCH("CRISTAL",INVENTARIO!C108)),"CRI",
IF(ISNUMBER(SEARCH(" SULFATADA",INVENTARIO!C119)),"SUL",
IF(ISNUMBER(SEARCH("OPALINA",INVENTARIO!C108)),"OPA",
IF(ISNUMBER(SEARCH("ADHERIBLE",INVENTARIO!C108)),"ADH",
IF(ISNUMBER(SEARCH("MICRO",INVENTARIO!C108)),"MIC","")))))))))))))))))))))</f>
        <v/>
      </c>
      <c r="C108" t="str">
        <f>IF(ISNUMBER(SEARCH("PARED",INVENTARIO!C108)),"PAR",
IF(ISNUMBER(SEARCH("FRONT",INVENTARIO!C108)),"FRO",
IF(ISNUMBER(SEARCH("ALTA RESISTENCIA",INVENTARIO!C108)),
"ALT-RES",IF(ISNUMBER(SEARCH("BACKLITE",INVENTARIO!C108)),"BAC",
IF(ISNUMBER(SEARCH("MATE",INVENTARIO!C108)),"MAT",
IF(ISNUMBER(SEARCH("MESH",INVENTARIO!C108)),"MES",
IF(ISNUMBER(SEARCH("BRILLANTE",INVENTARIO!C108)),"BRI",
IF(ISNUMBER(SEARCH("DELGADA",INVENTARIO!C108)),"DEL",
IF(ISNUMBER(SEARCH("GRUESA",INVENTARIO!C108)),"GRU",
IF(ISNUMBER(SEARCH("ESTATICO",INVENTARIO!C108)),"EST",
IF(ISNUMBER(SEARCH("REFLECTIVO",INVENTARIO!C108)),"REF",
IF(ISNUMBER(SEARCH("LX700",INVENTARIO!C108)),"LX7",
IF(ISNUMBER(SEARCH("GRANDO",INVENTARIO!C108)),"GRA",
IF(ISNUMBER(SEARCH("FB700",INVENTARIO!C108)),"FB7",
IF(ISNUMBER(SEARCH("LX360",INVENTARIO!C108)),"LX3",
IF(ISNUMBER(SEARCH("XEROX",INVENTARIO!C108)),"XER",
IF(ISNUMBER(SEARCH("CEPILLADO",INVENTARIO!C108)),"CEP",
IF(ISNUMBER(SEARCH("ESPEJO",INVENTARIO!C108)),"ESP",
IF(ISNUMBER(SEARCH("10 PTS",INVENTARIO!C108)),"10PT",
IF(ISNUMBER(SEARCH("12 PTS",INVENTARIO!C108)),"12PT",
IF(ISNUMBER(SEARCH("14 PTS",INVENTARIO!C108)),"14PT",
IF(ISNUMBER(SEARCH("CLASICO",INVENTARIO!C108)),"CLA",
""))))))))))))))))))))))</f>
        <v/>
      </c>
      <c r="D108" t="str">
        <f>IF(ISNUMBER(SEARCH("GRAN FORMATO",INVENTARIO!C108)),"GRA-FOR",
IF(ISNUMBER(SEARCH("CAMA PLANA",INVENTARIO!C108)),"CAM-PLA",
IF(ISNUMBER(SEARCH("GRADO INGENIERIA",INVENTARIO!C108)),"GRA-ING",
IF(ISNUMBER(SEARCH("130 GRS",INVENTARIO!C108)),"130GR",
IF(ISNUMBER(SEARCH("150 GRS",INVENTARIO!C108)),"150GR",
IF(ISNUMBER(SEARCH("185 GRS",INVENTARIO!C108)),"185GR",
IF(ISNUMBER(SEARCH("200 GRS",INVENTARIO!C108)),"200GR",
IF(ISNUMBER(SEARCH("250 GRS",INVENTARIO!C108)),"250GR",
IF(ISNUMBER(SEARCH("300 GRS",INVENTARIO!C108)),"300GR",
IF(ISNUMBER(SEARCH("350 GRS",INVENTARIO!C108)),"350GR",
IF(ISNUMBER(SEARCH("18 OZ",INVENTARIO!C108)),"18OZ",
IF(ISNUMBER(SEARCH("15 OZ",INVENTARIO!C108)),"15OZ",
IF(OR(ISNUMBER(SEARCH("13 OZ",INVENTARIO!C108)),ISNUMBER(SEARCH("13 ONZAS",INVENTARIO!C108))),"13OZ",
IF(OR(ISNUMBER(SEARCH("9 OZ",INVENTARIO!C108)),ISNUMBER(SEARCH("9 ONZAS",INVENTARIO!C108))),"09OZ",
IF(ISNUMBER(SEARCH("DOBLE CARA",INVENTARIO!C108)),"DOB-CAR",
"")))))))))))))))</f>
        <v/>
      </c>
      <c r="E108" t="str">
        <f>IF(OR(ISNUMBER(SEARCH("TRANSPARENTE",INVENTARIO!C108)),ISNUMBER(SEARCH("TRANSPARENTES",INVENTARIO!C108))),"TRA",
IF(OR(ISNUMBER(SEARCH("BLANCO",INVENTARIO!C108)),ISNUMBER(SEARCH("BCO",INVENTARIO!C108))),"BLA",
IF(ISNUMBER(SEARCH("FOTOGRAFICO",INVENTARIO!C108)),"FOT",
IF(ISNUMBER(SEARCH("MARFIL",INVENTARIO!C108)),"MAR",
IF(ISNUMBER(SEARCH("VERDE",INVENTARIO!C108)),"VER",
IF(ISNUMBER(SEARCH("MORADO",INVENTARIO!C108)),"MOR",
IF(ISNUMBER(SEARCH("PLATA",INVENTARIO!C108)),"PLA",
IF(ISNUMBER(SEARCH("ORO",INVENTARIO!C108)),"ORO",
IF(ISNUMBER(SEARCH("AMARILLO",INVENTARIO!C108)),"AMA",
IF(ISNUMBER(SEARCH("NARANJA",INVENTARIO!C108)),"NAR",
IF(ISNUMBER(SEARCH("NEGRO",INVENTARIO!C108)),"NEG",
IF(ISNUMBER(SEARCH("ROJO",INVENTARIO!C108)),"ROJ",
IF(ISNUMBER(SEARCH("AZUL",INVENTARIO!C108)),"AZU","")))))))))))))</f>
        <v/>
      </c>
      <c r="F108" t="str">
        <f>IF(ISNUMBER(SEARCH("ARLON",INVENTARIO!C108)),"ARL",
IF(ISNUMBER(SEARCH("SUNTHINKS",INVENTARIO!C108)),"SUN",
IF(ISNUMBER(SEARCH("FRIO",INVENTARIO!C108)),"FRI",
IF(ISNUMBER(SEARCH("CALIDO",INVENTARIO!C108)),"CAL",
IF(ISNUMBER(SEARCH("CEPILLADO",INVENTARIO!C108)),"CEP",
IF(ISNUMBER(SEARCH("ESPEJO",INVENTARIO!C108)),"ESP",
""))))))</f>
        <v/>
      </c>
      <c r="G108" t="str">
        <f>IF(ISNUMBER(SEARCH("LATEX",INVENTARIO!C108)),"LAT",
IF(ISNUMBER(SEARCH("RESP. NEGRO",INVENTARIO!C108)),"RES-NEG",
IF(ISNUMBER(SEARCH("RESPALDO CAFE",INVENTARIO!C108)),"RES-CAF",
IF(ISNUMBER(SEARCH("RESPALDO GRIS",INVENTARIO!C108)),"RES-GRI",
IF(ISNUMBER(SEARCH("OPTICO",INVENTARIO!C108)),"OPT",
IF(ISNUMBER(SEARCH("1,2 MM",INVENTARIO!C108)),"1MM2",
IF(ISNUMBER(SEARCH("2 MM",INVENTARIO!C108)),"2MM",
IF(ISNUMBER(SEARCH("3 MM",INVENTARIO!C108)),"3MM",
IF(ISNUMBER(SEARCH("4 MM",INVENTARIO!C108)),"4MM",
IF(ISNUMBER(SEARCH("5 MM",INVENTARIO!C108)),"5MM",
IF(ISNUMBER(SEARCH("6 MM",INVENTARIO!C108)),"6MM",
IF(ISNUMBER(SEARCH("9 MM",INVENTARIO!C108)),"9MM",
IF(ISNUMBER(SEARCH("10 MM",INVENTARIO!C108)),"10MM","")))))))))))))</f>
        <v/>
      </c>
      <c r="H108" t="str">
        <f>IF(ISNUMBER(SEARCH("GAMA BAJA",INVENTARIO!C108)),"GAM-BAJ",
IF(ISNUMBER(SEARCH("OPTIMIZADOR",INVENTARIO!C108)),"OPT",
IF(ISNUMBER(SEARCH("OVERCOAT",INVENTARIO!C108)),"OVE",
IF(ISNUMBER(SEARCH("WHITE",INVENTARIO!C108)),"WHI",
IF(ISNUMBER(SEARCH("LIGHT CYAN",INVENTARIO!C108)),"LIG-CYA",
IF(ISNUMBER(SEARCH("CYAN",INVENTARIO!C108)),"CYA",
IF(ISNUMBER(SEARCH("LIGHT MAGENTA",INVENTARIO!C108)),"LIG-MAG",
IF(ISNUMBER(SEARCH("MAGENTA",INVENTARIO!C108)),"MAG",
IF(ISNUMBER(SEARCH("BLACK",INVENTARIO!C108)),"BLA",
IF(ISNUMBER(SEARCH("YELLOW",INVENTARIO!C108)),"YEL",
IF(ISNUMBER(SEARCH("2 DIODOS",INVENTARIO!C108)),"2DI",
IF(ISNUMBER(SEARCH("3 DIODOS",INVENTARIO!C108)),"3DI",
IF(OR(ISNUMBER(SEARCH("TRASLUCIDO",INVENTARIO!C108)),ISNUMBER(SEARCH("TRANSLUCIDO",INVENTARIO!C108))),"TRA",
"")))))))))))))</f>
        <v/>
      </c>
      <c r="I108" t="str">
        <f>IF(ISNUMBER(SEARCH("SILED",INVENTARIO!C122)),"SI",
IF(ISNUMBER(SEARCH("SYDEMEX",INVENTARIO!C122)),"SY",
IF(ISNUMBER(SEARCH("ROHS",INVENTARIO!C122)),"RO",
IF(ISNUMBER(SEARCH("RISHANG",INVENTARIO!C122)),"RS",
IF(ISNUMBER(SEARCH("VYG",INVENTARIO!C122)),"VYG",
IF(ISNUMBER(SEARCH("COLED",INVENTARIO!C122)),"CO",""))))))</f>
        <v/>
      </c>
    </row>
    <row r="109" spans="1:9">
      <c r="A109" t="str">
        <f>IF(ISNUMBER(SEARCH("LONA",INVENTARIO!C109)),"LON",
IF(ISNUMBER(SEARCH("VINIL",INVENTARIO!C109)),"VIN",
IF(ISNUMBER(SEARCH("KROMACOTE",INVENTARIO!C109)),"KRO",
IF(ISNUMBER(SEARCH("STARDREAM",INVENTARIO!C109)),"STA",
IF(ISNUMBER(SEARCH("DISPLAY",INVENTARIO!C109)),"DIS",
IF(ISNUMBER(SEARCH("ROLL UP",INVENTARIO!C109)),"ROL-UP",
IF(ISNUMBER(SEARCH("TRANSFER DE PAPEL",INVENTARIO!C109)),"TRA-PAP",
IF(ISNUMBER(SEARCH("TRANSFER",INVENTARIO!C109)),"TRA",IF(ISNUMBER(SEARCH("KOLA LOKA",INVENTARIO!C109)),"KOL-LOK",
IF(ISNUMBER(SEARCH("PETG",INVENTARIO!C109)),"PET",
IF(ISNUMBER(SEARCH("OJILLO",INVENTARIO!C109)),"OJI",
IF(ISNUMBER(SEARCH("COUCHE",INVENTARIO!C109)),"COU",
IF(ISNUMBER(SEARCH("PANEL DE ALUMINIO",INVENTARIO!C109)),"PAN-ALU",
IF(ISNUMBER(SEARCH("PVC",INVENTARIO!C109)),"PVC",
IF(ISNUMBER(SEARCH("PAPEL",INVENTARIO!C109)),"PAP",
IF(ISNUMBER(SEARCH("TELA",INVENTARIO!C109)),"TEL",
IF(ISNUMBER(SEARCH("CARTULINA",INVENTARIO!C109)),"CAR",
IF(OR(ISNUMBER(SEARCH("LAMINA",INVENTARIO!C109)),ISNUMBER(SEARCH("LÁMINA",INVENTARIO!C109)),ISNUMBER(SEARCH("LAMPARAS",INVENTARIO!C109))),"LAM",
IF(ISNUMBER(SEARCH("ESTIRENO",INVENTARIO!C109)),"EST",
IF(ISNUMBER(SEARCH("FOAMBOARD",INVENTARIO!C109)),"FOA",
IF(ISNUMBER(SEARCH("SOLVENTE",INVENTARIO!C109)),"SOL",
IF(ISNUMBER(SEARCH("TINTA",INVENTARIO!C109)),"TIN",
IF(ISNUMBER(SEARCH("ACRILICO",INVENTARIO!C109)),"ACR",
IF(ISNUMBER(SEARCH("MICROLED",INVENTARIO!C109)),"MIC",
IF(ISNUMBER(SEARCH("LED",INVENTARIO!C109)),"LED",
IF(ISNUMBER(SEARCH("FUENTE DE PODER",INVENTARIO!C109)),"FUE-POD",
IF(ISNUMBER(SEARCH("PETG",INVENTARIO!C109)),"PET",
IF(ISNUMBER(SEARCH("ALUMINIO",INVENTARIO!C109)),"ALU",
IF(ISNUMBER(SEARCH("CANAL",INVENTARIO!C109)),"CAN",
IF(ISNUMBER(SEARCH("ESCUADRA",INVENTARIO!C109)),"ESC",
IF(ISNUMBER(SEARCH("SOPORTE",INVENTARIO!C109)),"SOP","OTR")
))))))))))))))))))))))))))))))</f>
        <v>DIS</v>
      </c>
      <c r="B109" t="str">
        <f>IF(ISNUMBER(SEARCH("CORTE",INVENTARIO!C109)),"COR",
IF(ISNUMBER(SEARCH("CITYLIGHT",INVENTARIO!C109)),"CIT",
IF(ISNUMBER(SEARCH("LINO",INVENTARIO!C109)),"LIN",
IF(ISNUMBER(SEARCH("FABRIANO",INVENTARIO!C109)),"FAB",
IF(ISNUMBER(SEARCH("SUNDANCE",INVENTARIO!C109)),"SUN",
IF(ISNUMBER(SEARCH("SINTETICA",INVENTARIO!C109)),"SIN",
IF(ISNUMBER(SEARCH("CONTROL",INVENTARIO!C109)),"CON",
IF(ISNUMBER(SEARCH("TERMICO",INVENTARIO!C109)),"TER",
IF(ISNUMBER(SEARCH("C-15",INVENTARIO!C109)),"C15",
IF(ISNUMBER(SEARCH("C-20",INVENTARIO!C109)),"C20",
IF(ISNUMBER(SEARCH("C-30",INVENTARIO!C109)),"C30",
IF(ISNUMBER(SEARCH("C-40",INVENTARIO!C109)),"C40",
IF(ISNUMBER(SEARCH("C-60",INVENTARIO!C109)),"C60",
IF(ISNUMBER(SEARCH("C-80",INVENTARIO!C109)),"C80",
IF(ISNUMBER(SEARCH("EQUIPO",INVENTARIO!C109)),"EQU",
IF(ISNUMBER(SEARCH("FLOOR",INVENTARIO!C109)),"FLO",
IF(ISNUMBER(SEARCH("CRISTAL",INVENTARIO!C109)),"CRI",
IF(ISNUMBER(SEARCH(" SULFATADA",INVENTARIO!C120)),"SUL",
IF(ISNUMBER(SEARCH("OPALINA",INVENTARIO!C109)),"OPA",
IF(ISNUMBER(SEARCH("ADHERIBLE",INVENTARIO!C109)),"ADH",
IF(ISNUMBER(SEARCH("MICRO",INVENTARIO!C109)),"MIC","")))))))))))))))))))))</f>
        <v/>
      </c>
      <c r="C109" t="str">
        <f>IF(ISNUMBER(SEARCH("PARED",INVENTARIO!C109)),"PAR",
IF(ISNUMBER(SEARCH("FRONT",INVENTARIO!C109)),"FRO",
IF(ISNUMBER(SEARCH("ALTA RESISTENCIA",INVENTARIO!C109)),
"ALT-RES",IF(ISNUMBER(SEARCH("BACKLITE",INVENTARIO!C109)),"BAC",
IF(ISNUMBER(SEARCH("MATE",INVENTARIO!C109)),"MAT",
IF(ISNUMBER(SEARCH("MESH",INVENTARIO!C109)),"MES",
IF(ISNUMBER(SEARCH("BRILLANTE",INVENTARIO!C109)),"BRI",
IF(ISNUMBER(SEARCH("DELGADA",INVENTARIO!C109)),"DEL",
IF(ISNUMBER(SEARCH("GRUESA",INVENTARIO!C109)),"GRU",
IF(ISNUMBER(SEARCH("ESTATICO",INVENTARIO!C109)),"EST",
IF(ISNUMBER(SEARCH("REFLECTIVO",INVENTARIO!C109)),"REF",
IF(ISNUMBER(SEARCH("LX700",INVENTARIO!C109)),"LX7",
IF(ISNUMBER(SEARCH("GRANDO",INVENTARIO!C109)),"GRA",
IF(ISNUMBER(SEARCH("FB700",INVENTARIO!C109)),"FB7",
IF(ISNUMBER(SEARCH("LX360",INVENTARIO!C109)),"LX3",
IF(ISNUMBER(SEARCH("XEROX",INVENTARIO!C109)),"XER",
IF(ISNUMBER(SEARCH("CEPILLADO",INVENTARIO!C109)),"CEP",
IF(ISNUMBER(SEARCH("ESPEJO",INVENTARIO!C109)),"ESP",
IF(ISNUMBER(SEARCH("10 PTS",INVENTARIO!C109)),"10PT",
IF(ISNUMBER(SEARCH("12 PTS",INVENTARIO!C109)),"12PT",
IF(ISNUMBER(SEARCH("14 PTS",INVENTARIO!C109)),"14PT",
IF(ISNUMBER(SEARCH("CLASICO",INVENTARIO!C109)),"CLA",
""))))))))))))))))))))))</f>
        <v/>
      </c>
      <c r="D109" t="str">
        <f>IF(ISNUMBER(SEARCH("GRAN FORMATO",INVENTARIO!C109)),"GRA-FOR",
IF(ISNUMBER(SEARCH("CAMA PLANA",INVENTARIO!C109)),"CAM-PLA",
IF(ISNUMBER(SEARCH("GRADO INGENIERIA",INVENTARIO!C109)),"GRA-ING",
IF(ISNUMBER(SEARCH("130 GRS",INVENTARIO!C109)),"130GR",
IF(ISNUMBER(SEARCH("150 GRS",INVENTARIO!C109)),"150GR",
IF(ISNUMBER(SEARCH("185 GRS",INVENTARIO!C109)),"185GR",
IF(ISNUMBER(SEARCH("200 GRS",INVENTARIO!C109)),"200GR",
IF(ISNUMBER(SEARCH("250 GRS",INVENTARIO!C109)),"250GR",
IF(ISNUMBER(SEARCH("300 GRS",INVENTARIO!C109)),"300GR",
IF(ISNUMBER(SEARCH("350 GRS",INVENTARIO!C109)),"350GR",
IF(ISNUMBER(SEARCH("18 OZ",INVENTARIO!C109)),"18OZ",
IF(ISNUMBER(SEARCH("15 OZ",INVENTARIO!C109)),"15OZ",
IF(OR(ISNUMBER(SEARCH("13 OZ",INVENTARIO!C109)),ISNUMBER(SEARCH("13 ONZAS",INVENTARIO!C109))),"13OZ",
IF(OR(ISNUMBER(SEARCH("9 OZ",INVENTARIO!C109)),ISNUMBER(SEARCH("9 ONZAS",INVENTARIO!C109))),"09OZ",
IF(ISNUMBER(SEARCH("DOBLE CARA",INVENTARIO!C109)),"DOB-CAR",
"")))))))))))))))</f>
        <v/>
      </c>
      <c r="E109" t="str">
        <f>IF(OR(ISNUMBER(SEARCH("TRANSPARENTE",INVENTARIO!C109)),ISNUMBER(SEARCH("TRANSPARENTES",INVENTARIO!C109))),"TRA",
IF(OR(ISNUMBER(SEARCH("BLANCO",INVENTARIO!C109)),ISNUMBER(SEARCH("BCO",INVENTARIO!C109))),"BLA",
IF(ISNUMBER(SEARCH("FOTOGRAFICO",INVENTARIO!C109)),"FOT",
IF(ISNUMBER(SEARCH("MARFIL",INVENTARIO!C109)),"MAR",
IF(ISNUMBER(SEARCH("VERDE",INVENTARIO!C109)),"VER",
IF(ISNUMBER(SEARCH("MORADO",INVENTARIO!C109)),"MOR",
IF(ISNUMBER(SEARCH("PLATA",INVENTARIO!C109)),"PLA",
IF(ISNUMBER(SEARCH("ORO",INVENTARIO!C109)),"ORO",
IF(ISNUMBER(SEARCH("AMARILLO",INVENTARIO!C109)),"AMA",
IF(ISNUMBER(SEARCH("NARANJA",INVENTARIO!C109)),"NAR",
IF(ISNUMBER(SEARCH("NEGRO",INVENTARIO!C109)),"NEG",
IF(ISNUMBER(SEARCH("ROJO",INVENTARIO!C109)),"ROJ",
IF(ISNUMBER(SEARCH("AZUL",INVENTARIO!C109)),"AZU","")))))))))))))</f>
        <v/>
      </c>
      <c r="F109" t="str">
        <f>IF(ISNUMBER(SEARCH("ARLON",INVENTARIO!C109)),"ARL",
IF(ISNUMBER(SEARCH("SUNTHINKS",INVENTARIO!C109)),"SUN",
IF(ISNUMBER(SEARCH("FRIO",INVENTARIO!C109)),"FRI",
IF(ISNUMBER(SEARCH("CALIDO",INVENTARIO!C109)),"CAL",
IF(ISNUMBER(SEARCH("CEPILLADO",INVENTARIO!C109)),"CEP",
IF(ISNUMBER(SEARCH("ESPEJO",INVENTARIO!C109)),"ESP",
""))))))</f>
        <v/>
      </c>
      <c r="G109" t="str">
        <f>IF(ISNUMBER(SEARCH("LATEX",INVENTARIO!C109)),"LAT",
IF(ISNUMBER(SEARCH("RESP. NEGRO",INVENTARIO!C109)),"RES-NEG",
IF(ISNUMBER(SEARCH("RESPALDO CAFE",INVENTARIO!C109)),"RES-CAF",
IF(ISNUMBER(SEARCH("RESPALDO GRIS",INVENTARIO!C109)),"RES-GRI",
IF(ISNUMBER(SEARCH("OPTICO",INVENTARIO!C109)),"OPT",
IF(ISNUMBER(SEARCH("1,2 MM",INVENTARIO!C109)),"1MM2",
IF(ISNUMBER(SEARCH("2 MM",INVENTARIO!C109)),"2MM",
IF(ISNUMBER(SEARCH("3 MM",INVENTARIO!C109)),"3MM",
IF(ISNUMBER(SEARCH("4 MM",INVENTARIO!C109)),"4MM",
IF(ISNUMBER(SEARCH("5 MM",INVENTARIO!C109)),"5MM",
IF(ISNUMBER(SEARCH("6 MM",INVENTARIO!C109)),"6MM",
IF(ISNUMBER(SEARCH("9 MM",INVENTARIO!C109)),"9MM",
IF(ISNUMBER(SEARCH("10 MM",INVENTARIO!C109)),"10MM","")))))))))))))</f>
        <v/>
      </c>
      <c r="H109" t="str">
        <f>IF(ISNUMBER(SEARCH("GAMA BAJA",INVENTARIO!C109)),"GAM-BAJ",
IF(ISNUMBER(SEARCH("OPTIMIZADOR",INVENTARIO!C109)),"OPT",
IF(ISNUMBER(SEARCH("OVERCOAT",INVENTARIO!C109)),"OVE",
IF(ISNUMBER(SEARCH("WHITE",INVENTARIO!C109)),"WHI",
IF(ISNUMBER(SEARCH("LIGHT CYAN",INVENTARIO!C109)),"LIG-CYA",
IF(ISNUMBER(SEARCH("CYAN",INVENTARIO!C109)),"CYA",
IF(ISNUMBER(SEARCH("LIGHT MAGENTA",INVENTARIO!C109)),"LIG-MAG",
IF(ISNUMBER(SEARCH("MAGENTA",INVENTARIO!C109)),"MAG",
IF(ISNUMBER(SEARCH("BLACK",INVENTARIO!C109)),"BLA",
IF(ISNUMBER(SEARCH("YELLOW",INVENTARIO!C109)),"YEL",
IF(ISNUMBER(SEARCH("2 DIODOS",INVENTARIO!C109)),"2DI",
IF(ISNUMBER(SEARCH("3 DIODOS",INVENTARIO!C109)),"3DI",
IF(OR(ISNUMBER(SEARCH("TRASLUCIDO",INVENTARIO!C109)),ISNUMBER(SEARCH("TRANSLUCIDO",INVENTARIO!C109))),"TRA",
"")))))))))))))</f>
        <v/>
      </c>
      <c r="I109" t="str">
        <f>IF(ISNUMBER(SEARCH("SILED",INVENTARIO!C123)),"SI",
IF(ISNUMBER(SEARCH("SYDEMEX",INVENTARIO!C123)),"SY",
IF(ISNUMBER(SEARCH("ROHS",INVENTARIO!C123)),"RO",
IF(ISNUMBER(SEARCH("RISHANG",INVENTARIO!C123)),"RS",
IF(ISNUMBER(SEARCH("VYG",INVENTARIO!C123)),"VYG",
IF(ISNUMBER(SEARCH("COLED",INVENTARIO!C123)),"CO",""))))))</f>
        <v/>
      </c>
    </row>
    <row r="110" spans="1:9">
      <c r="A110" t="str">
        <f>IF(ISNUMBER(SEARCH("LONA",INVENTARIO!C110)),"LON",
IF(ISNUMBER(SEARCH("VINIL",INVENTARIO!C110)),"VIN",
IF(ISNUMBER(SEARCH("KROMACOTE",INVENTARIO!C110)),"KRO",
IF(ISNUMBER(SEARCH("STARDREAM",INVENTARIO!C110)),"STA",
IF(ISNUMBER(SEARCH("DISPLAY",INVENTARIO!C110)),"DIS",
IF(ISNUMBER(SEARCH("ROLL UP",INVENTARIO!C110)),"ROL-UP",
IF(ISNUMBER(SEARCH("TRANSFER DE PAPEL",INVENTARIO!C110)),"TRA-PAP",
IF(ISNUMBER(SEARCH("TRANSFER",INVENTARIO!C110)),"TRA",IF(ISNUMBER(SEARCH("KOLA LOKA",INVENTARIO!C110)),"KOL-LOK",
IF(ISNUMBER(SEARCH("PETG",INVENTARIO!C110)),"PET",
IF(ISNUMBER(SEARCH("OJILLO",INVENTARIO!C110)),"OJI",
IF(ISNUMBER(SEARCH("COUCHE",INVENTARIO!C110)),"COU",
IF(ISNUMBER(SEARCH("PANEL DE ALUMINIO",INVENTARIO!C110)),"PAN-ALU",
IF(ISNUMBER(SEARCH("PVC",INVENTARIO!C110)),"PVC",
IF(ISNUMBER(SEARCH("PAPEL",INVENTARIO!C110)),"PAP",
IF(ISNUMBER(SEARCH("TELA",INVENTARIO!C110)),"TEL",
IF(ISNUMBER(SEARCH("CARTULINA",INVENTARIO!C110)),"CAR",
IF(OR(ISNUMBER(SEARCH("LAMINA",INVENTARIO!C110)),ISNUMBER(SEARCH("LÁMINA",INVENTARIO!C110)),ISNUMBER(SEARCH("LAMPARAS",INVENTARIO!C110))),"LAM",
IF(ISNUMBER(SEARCH("ESTIRENO",INVENTARIO!C110)),"EST",
IF(ISNUMBER(SEARCH("FOAMBOARD",INVENTARIO!C110)),"FOA",
IF(ISNUMBER(SEARCH("SOLVENTE",INVENTARIO!C110)),"SOL",
IF(ISNUMBER(SEARCH("TINTA",INVENTARIO!C110)),"TIN",
IF(ISNUMBER(SEARCH("ACRILICO",INVENTARIO!C110)),"ACR",
IF(ISNUMBER(SEARCH("MICROLED",INVENTARIO!C110)),"MIC",
IF(ISNUMBER(SEARCH("LED",INVENTARIO!C110)),"LED",
IF(ISNUMBER(SEARCH("FUENTE DE PODER",INVENTARIO!C110)),"FUE-POD",
IF(ISNUMBER(SEARCH("PETG",INVENTARIO!C110)),"PET",
IF(ISNUMBER(SEARCH("ALUMINIO",INVENTARIO!C110)),"ALU",
IF(ISNUMBER(SEARCH("CANAL",INVENTARIO!C110)),"CAN",
IF(ISNUMBER(SEARCH("ESCUADRA",INVENTARIO!C110)),"ESC",
IF(ISNUMBER(SEARCH("SOPORTE",INVENTARIO!C110)),"SOP","OTR")
))))))))))))))))))))))))))))))</f>
        <v>DIS</v>
      </c>
      <c r="B110" t="str">
        <f>IF(ISNUMBER(SEARCH("CORTE",INVENTARIO!C110)),"COR",
IF(ISNUMBER(SEARCH("CITYLIGHT",INVENTARIO!C110)),"CIT",
IF(ISNUMBER(SEARCH("LINO",INVENTARIO!C110)),"LIN",
IF(ISNUMBER(SEARCH("FABRIANO",INVENTARIO!C110)),"FAB",
IF(ISNUMBER(SEARCH("SUNDANCE",INVENTARIO!C110)),"SUN",
IF(ISNUMBER(SEARCH("SINTETICA",INVENTARIO!C110)),"SIN",
IF(ISNUMBER(SEARCH("CONTROL",INVENTARIO!C110)),"CON",
IF(ISNUMBER(SEARCH("TERMICO",INVENTARIO!C110)),"TER",
IF(ISNUMBER(SEARCH("C-15",INVENTARIO!C110)),"C15",
IF(ISNUMBER(SEARCH("C-20",INVENTARIO!C110)),"C20",
IF(ISNUMBER(SEARCH("C-30",INVENTARIO!C110)),"C30",
IF(ISNUMBER(SEARCH("C-40",INVENTARIO!C110)),"C40",
IF(ISNUMBER(SEARCH("C-60",INVENTARIO!C110)),"C60",
IF(ISNUMBER(SEARCH("C-80",INVENTARIO!C110)),"C80",
IF(ISNUMBER(SEARCH("EQUIPO",INVENTARIO!C110)),"EQU",
IF(ISNUMBER(SEARCH("FLOOR",INVENTARIO!C110)),"FLO",
IF(ISNUMBER(SEARCH("CRISTAL",INVENTARIO!C110)),"CRI",
IF(ISNUMBER(SEARCH(" SULFATADA",INVENTARIO!C121)),"SUL",
IF(ISNUMBER(SEARCH("OPALINA",INVENTARIO!C110)),"OPA",
IF(ISNUMBER(SEARCH("ADHERIBLE",INVENTARIO!C110)),"ADH",
IF(ISNUMBER(SEARCH("MICRO",INVENTARIO!C110)),"MIC","")))))))))))))))))))))</f>
        <v/>
      </c>
      <c r="C110" t="str">
        <f>IF(ISNUMBER(SEARCH("PARED",INVENTARIO!C110)),"PAR",
IF(ISNUMBER(SEARCH("FRONT",INVENTARIO!C110)),"FRO",
IF(ISNUMBER(SEARCH("ALTA RESISTENCIA",INVENTARIO!C110)),
"ALT-RES",IF(ISNUMBER(SEARCH("BACKLITE",INVENTARIO!C110)),"BAC",
IF(ISNUMBER(SEARCH("MATE",INVENTARIO!C110)),"MAT",
IF(ISNUMBER(SEARCH("MESH",INVENTARIO!C110)),"MES",
IF(ISNUMBER(SEARCH("BRILLANTE",INVENTARIO!C110)),"BRI",
IF(ISNUMBER(SEARCH("DELGADA",INVENTARIO!C110)),"DEL",
IF(ISNUMBER(SEARCH("GRUESA",INVENTARIO!C110)),"GRU",
IF(ISNUMBER(SEARCH("ESTATICO",INVENTARIO!C110)),"EST",
IF(ISNUMBER(SEARCH("REFLECTIVO",INVENTARIO!C110)),"REF",
IF(ISNUMBER(SEARCH("LX700",INVENTARIO!C110)),"LX7",
IF(ISNUMBER(SEARCH("GRANDO",INVENTARIO!C110)),"GRA",
IF(ISNUMBER(SEARCH("FB700",INVENTARIO!C110)),"FB7",
IF(ISNUMBER(SEARCH("LX360",INVENTARIO!C110)),"LX3",
IF(ISNUMBER(SEARCH("XEROX",INVENTARIO!C110)),"XER",
IF(ISNUMBER(SEARCH("CEPILLADO",INVENTARIO!C110)),"CEP",
IF(ISNUMBER(SEARCH("ESPEJO",INVENTARIO!C110)),"ESP",
IF(ISNUMBER(SEARCH("10 PTS",INVENTARIO!C110)),"10PT",
IF(ISNUMBER(SEARCH("12 PTS",INVENTARIO!C110)),"12PT",
IF(ISNUMBER(SEARCH("14 PTS",INVENTARIO!C110)),"14PT",
IF(ISNUMBER(SEARCH("CLASICO",INVENTARIO!C110)),"CLA",
""))))))))))))))))))))))</f>
        <v/>
      </c>
      <c r="D110" t="str">
        <f>IF(ISNUMBER(SEARCH("GRAN FORMATO",INVENTARIO!C110)),"GRA-FOR",
IF(ISNUMBER(SEARCH("CAMA PLANA",INVENTARIO!C110)),"CAM-PLA",
IF(ISNUMBER(SEARCH("GRADO INGENIERIA",INVENTARIO!C110)),"GRA-ING",
IF(ISNUMBER(SEARCH("130 GRS",INVENTARIO!C110)),"130GR",
IF(ISNUMBER(SEARCH("150 GRS",INVENTARIO!C110)),"150GR",
IF(ISNUMBER(SEARCH("185 GRS",INVENTARIO!C110)),"185GR",
IF(ISNUMBER(SEARCH("200 GRS",INVENTARIO!C110)),"200GR",
IF(ISNUMBER(SEARCH("250 GRS",INVENTARIO!C110)),"250GR",
IF(ISNUMBER(SEARCH("300 GRS",INVENTARIO!C110)),"300GR",
IF(ISNUMBER(SEARCH("350 GRS",INVENTARIO!C110)),"350GR",
IF(ISNUMBER(SEARCH("18 OZ",INVENTARIO!C110)),"18OZ",
IF(ISNUMBER(SEARCH("15 OZ",INVENTARIO!C110)),"15OZ",
IF(OR(ISNUMBER(SEARCH("13 OZ",INVENTARIO!C110)),ISNUMBER(SEARCH("13 ONZAS",INVENTARIO!C110))),"13OZ",
IF(OR(ISNUMBER(SEARCH("9 OZ",INVENTARIO!C110)),ISNUMBER(SEARCH("9 ONZAS",INVENTARIO!C110))),"09OZ",
IF(ISNUMBER(SEARCH("DOBLE CARA",INVENTARIO!C110)),"DOB-CAR",
"")))))))))))))))</f>
        <v/>
      </c>
      <c r="E110" t="str">
        <f>IF(OR(ISNUMBER(SEARCH("TRANSPARENTE",INVENTARIO!C110)),ISNUMBER(SEARCH("TRANSPARENTES",INVENTARIO!C110))),"TRA",
IF(OR(ISNUMBER(SEARCH("BLANCO",INVENTARIO!C110)),ISNUMBER(SEARCH("BCO",INVENTARIO!C110))),"BLA",
IF(ISNUMBER(SEARCH("FOTOGRAFICO",INVENTARIO!C110)),"FOT",
IF(ISNUMBER(SEARCH("MARFIL",INVENTARIO!C110)),"MAR",
IF(ISNUMBER(SEARCH("VERDE",INVENTARIO!C110)),"VER",
IF(ISNUMBER(SEARCH("MORADO",INVENTARIO!C110)),"MOR",
IF(ISNUMBER(SEARCH("PLATA",INVENTARIO!C110)),"PLA",
IF(ISNUMBER(SEARCH("ORO",INVENTARIO!C110)),"ORO",
IF(ISNUMBER(SEARCH("AMARILLO",INVENTARIO!C110)),"AMA",
IF(ISNUMBER(SEARCH("NARANJA",INVENTARIO!C110)),"NAR",
IF(ISNUMBER(SEARCH("NEGRO",INVENTARIO!C110)),"NEG",
IF(ISNUMBER(SEARCH("ROJO",INVENTARIO!C110)),"ROJ",
IF(ISNUMBER(SEARCH("AZUL",INVENTARIO!C110)),"AZU","")))))))))))))</f>
        <v/>
      </c>
      <c r="F110" t="str">
        <f>IF(ISNUMBER(SEARCH("ARLON",INVENTARIO!C110)),"ARL",
IF(ISNUMBER(SEARCH("SUNTHINKS",INVENTARIO!C110)),"SUN",
IF(ISNUMBER(SEARCH("FRIO",INVENTARIO!C110)),"FRI",
IF(ISNUMBER(SEARCH("CALIDO",INVENTARIO!C110)),"CAL",
IF(ISNUMBER(SEARCH("CEPILLADO",INVENTARIO!C110)),"CEP",
IF(ISNUMBER(SEARCH("ESPEJO",INVENTARIO!C110)),"ESP",
""))))))</f>
        <v/>
      </c>
      <c r="G110" t="str">
        <f>IF(ISNUMBER(SEARCH("LATEX",INVENTARIO!C110)),"LAT",
IF(ISNUMBER(SEARCH("RESP. NEGRO",INVENTARIO!C110)),"RES-NEG",
IF(ISNUMBER(SEARCH("RESPALDO CAFE",INVENTARIO!C110)),"RES-CAF",
IF(ISNUMBER(SEARCH("RESPALDO GRIS",INVENTARIO!C110)),"RES-GRI",
IF(ISNUMBER(SEARCH("OPTICO",INVENTARIO!C110)),"OPT",
IF(ISNUMBER(SEARCH("1,2 MM",INVENTARIO!C110)),"1MM2",
IF(ISNUMBER(SEARCH("2 MM",INVENTARIO!C110)),"2MM",
IF(ISNUMBER(SEARCH("3 MM",INVENTARIO!C110)),"3MM",
IF(ISNUMBER(SEARCH("4 MM",INVENTARIO!C110)),"4MM",
IF(ISNUMBER(SEARCH("5 MM",INVENTARIO!C110)),"5MM",
IF(ISNUMBER(SEARCH("6 MM",INVENTARIO!C110)),"6MM",
IF(ISNUMBER(SEARCH("9 MM",INVENTARIO!C110)),"9MM",
IF(ISNUMBER(SEARCH("10 MM",INVENTARIO!C110)),"10MM","")))))))))))))</f>
        <v/>
      </c>
      <c r="H110" t="str">
        <f>IF(ISNUMBER(SEARCH("GAMA BAJA",INVENTARIO!C110)),"GAM-BAJ",
IF(ISNUMBER(SEARCH("OPTIMIZADOR",INVENTARIO!C110)),"OPT",
IF(ISNUMBER(SEARCH("OVERCOAT",INVENTARIO!C110)),"OVE",
IF(ISNUMBER(SEARCH("WHITE",INVENTARIO!C110)),"WHI",
IF(ISNUMBER(SEARCH("LIGHT CYAN",INVENTARIO!C110)),"LIG-CYA",
IF(ISNUMBER(SEARCH("CYAN",INVENTARIO!C110)),"CYA",
IF(ISNUMBER(SEARCH("LIGHT MAGENTA",INVENTARIO!C110)),"LIG-MAG",
IF(ISNUMBER(SEARCH("MAGENTA",INVENTARIO!C110)),"MAG",
IF(ISNUMBER(SEARCH("BLACK",INVENTARIO!C110)),"BLA",
IF(ISNUMBER(SEARCH("YELLOW",INVENTARIO!C110)),"YEL",
IF(ISNUMBER(SEARCH("2 DIODOS",INVENTARIO!C110)),"2DI",
IF(ISNUMBER(SEARCH("3 DIODOS",INVENTARIO!C110)),"3DI",
IF(OR(ISNUMBER(SEARCH("TRASLUCIDO",INVENTARIO!C110)),ISNUMBER(SEARCH("TRANSLUCIDO",INVENTARIO!C110))),"TRA",
"")))))))))))))</f>
        <v/>
      </c>
      <c r="I110" t="str">
        <f>IF(ISNUMBER(SEARCH("SILED",INVENTARIO!C124)),"SI",
IF(ISNUMBER(SEARCH("SYDEMEX",INVENTARIO!C124)),"SY",
IF(ISNUMBER(SEARCH("ROHS",INVENTARIO!C124)),"RO",
IF(ISNUMBER(SEARCH("RISHANG",INVENTARIO!C124)),"RS",
IF(ISNUMBER(SEARCH("VYG",INVENTARIO!C124)),"VYG",
IF(ISNUMBER(SEARCH("COLED",INVENTARIO!C124)),"CO",""))))))</f>
        <v/>
      </c>
    </row>
    <row r="111" spans="1:9">
      <c r="A111" t="str">
        <f>IF(ISNUMBER(SEARCH("LONA",INVENTARIO!C111)),"LON",
IF(ISNUMBER(SEARCH("VINIL",INVENTARIO!C111)),"VIN",
IF(ISNUMBER(SEARCH("KROMACOTE",INVENTARIO!C111)),"KRO",
IF(ISNUMBER(SEARCH("STARDREAM",INVENTARIO!C111)),"STA",
IF(ISNUMBER(SEARCH("DISPLAY",INVENTARIO!C111)),"DIS",
IF(ISNUMBER(SEARCH("ROLL UP",INVENTARIO!C111)),"ROL-UP",
IF(ISNUMBER(SEARCH("TRANSFER DE PAPEL",INVENTARIO!C111)),"TRA-PAP",
IF(ISNUMBER(SEARCH("TRANSFER",INVENTARIO!C111)),"TRA",IF(ISNUMBER(SEARCH("KOLA LOKA",INVENTARIO!C111)),"KOL-LOK",
IF(ISNUMBER(SEARCH("PETG",INVENTARIO!C111)),"PET",
IF(ISNUMBER(SEARCH("OJILLO",INVENTARIO!C111)),"OJI",
IF(ISNUMBER(SEARCH("COUCHE",INVENTARIO!C111)),"COU",
IF(ISNUMBER(SEARCH("PANEL DE ALUMINIO",INVENTARIO!C111)),"PAN-ALU",
IF(ISNUMBER(SEARCH("PVC",INVENTARIO!C111)),"PVC",
IF(ISNUMBER(SEARCH("PAPEL",INVENTARIO!C111)),"PAP",
IF(ISNUMBER(SEARCH("TELA",INVENTARIO!C111)),"TEL",
IF(ISNUMBER(SEARCH("CARTULINA",INVENTARIO!C111)),"CAR",
IF(OR(ISNUMBER(SEARCH("LAMINA",INVENTARIO!C111)),ISNUMBER(SEARCH("LÁMINA",INVENTARIO!C111)),ISNUMBER(SEARCH("LAMPARAS",INVENTARIO!C111))),"LAM",
IF(ISNUMBER(SEARCH("ESTIRENO",INVENTARIO!C111)),"EST",
IF(ISNUMBER(SEARCH("FOAMBOARD",INVENTARIO!C111)),"FOA",
IF(ISNUMBER(SEARCH("SOLVENTE",INVENTARIO!C111)),"SOL",
IF(ISNUMBER(SEARCH("TINTA",INVENTARIO!C111)),"TIN",
IF(ISNUMBER(SEARCH("ACRILICO",INVENTARIO!C111)),"ACR",
IF(ISNUMBER(SEARCH("MICROLED",INVENTARIO!C111)),"MIC",
IF(ISNUMBER(SEARCH("LED",INVENTARIO!C111)),"LED",
IF(ISNUMBER(SEARCH("FUENTE DE PODER",INVENTARIO!C111)),"FUE-POD",
IF(ISNUMBER(SEARCH("PETG",INVENTARIO!C111)),"PET",
IF(ISNUMBER(SEARCH("ALUMINIO",INVENTARIO!C111)),"ALU",
IF(ISNUMBER(SEARCH("CANAL",INVENTARIO!C111)),"CAN",
IF(ISNUMBER(SEARCH("ESCUADRA",INVENTARIO!C111)),"ESC",
IF(ISNUMBER(SEARCH("SOPORTE",INVENTARIO!C111)),"SOP","OTR")
))))))))))))))))))))))))))))))</f>
        <v>ROL-UP</v>
      </c>
      <c r="B111" t="str">
        <f>IF(ISNUMBER(SEARCH("CORTE",INVENTARIO!C111)),"COR",
IF(ISNUMBER(SEARCH("CITYLIGHT",INVENTARIO!C111)),"CIT",
IF(ISNUMBER(SEARCH("LINO",INVENTARIO!C111)),"LIN",
IF(ISNUMBER(SEARCH("FABRIANO",INVENTARIO!C111)),"FAB",
IF(ISNUMBER(SEARCH("SUNDANCE",INVENTARIO!C111)),"SUN",
IF(ISNUMBER(SEARCH("SINTETICA",INVENTARIO!C111)),"SIN",
IF(ISNUMBER(SEARCH("CONTROL",INVENTARIO!C111)),"CON",
IF(ISNUMBER(SEARCH("TERMICO",INVENTARIO!C111)),"TER",
IF(ISNUMBER(SEARCH("C-15",INVENTARIO!C111)),"C15",
IF(ISNUMBER(SEARCH("C-20",INVENTARIO!C111)),"C20",
IF(ISNUMBER(SEARCH("C-30",INVENTARIO!C111)),"C30",
IF(ISNUMBER(SEARCH("C-40",INVENTARIO!C111)),"C40",
IF(ISNUMBER(SEARCH("C-60",INVENTARIO!C111)),"C60",
IF(ISNUMBER(SEARCH("C-80",INVENTARIO!C111)),"C80",
IF(ISNUMBER(SEARCH("EQUIPO",INVENTARIO!C111)),"EQU",
IF(ISNUMBER(SEARCH("FLOOR",INVENTARIO!C111)),"FLO",
IF(ISNUMBER(SEARCH("CRISTAL",INVENTARIO!C111)),"CRI",
IF(ISNUMBER(SEARCH(" SULFATADA",INVENTARIO!C122)),"SUL",
IF(ISNUMBER(SEARCH("OPALINA",INVENTARIO!C111)),"OPA",
IF(ISNUMBER(SEARCH("ADHERIBLE",INVENTARIO!C111)),"ADH",
IF(ISNUMBER(SEARCH("MICRO",INVENTARIO!C111)),"MIC","")))))))))))))))))))))</f>
        <v/>
      </c>
      <c r="C111" t="str">
        <f>IF(ISNUMBER(SEARCH("PARED",INVENTARIO!C111)),"PAR",
IF(ISNUMBER(SEARCH("FRONT",INVENTARIO!C111)),"FRO",
IF(ISNUMBER(SEARCH("ALTA RESISTENCIA",INVENTARIO!C111)),
"ALT-RES",IF(ISNUMBER(SEARCH("BACKLITE",INVENTARIO!C111)),"BAC",
IF(ISNUMBER(SEARCH("MATE",INVENTARIO!C111)),"MAT",
IF(ISNUMBER(SEARCH("MESH",INVENTARIO!C111)),"MES",
IF(ISNUMBER(SEARCH("BRILLANTE",INVENTARIO!C111)),"BRI",
IF(ISNUMBER(SEARCH("DELGADA",INVENTARIO!C111)),"DEL",
IF(ISNUMBER(SEARCH("GRUESA",INVENTARIO!C111)),"GRU",
IF(ISNUMBER(SEARCH("ESTATICO",INVENTARIO!C111)),"EST",
IF(ISNUMBER(SEARCH("REFLECTIVO",INVENTARIO!C111)),"REF",
IF(ISNUMBER(SEARCH("LX700",INVENTARIO!C111)),"LX7",
IF(ISNUMBER(SEARCH("GRANDO",INVENTARIO!C111)),"GRA",
IF(ISNUMBER(SEARCH("FB700",INVENTARIO!C111)),"FB7",
IF(ISNUMBER(SEARCH("LX360",INVENTARIO!C111)),"LX3",
IF(ISNUMBER(SEARCH("XEROX",INVENTARIO!C111)),"XER",
IF(ISNUMBER(SEARCH("CEPILLADO",INVENTARIO!C111)),"CEP",
IF(ISNUMBER(SEARCH("ESPEJO",INVENTARIO!C111)),"ESP",
IF(ISNUMBER(SEARCH("10 PTS",INVENTARIO!C111)),"10PT",
IF(ISNUMBER(SEARCH("12 PTS",INVENTARIO!C111)),"12PT",
IF(ISNUMBER(SEARCH("14 PTS",INVENTARIO!C111)),"14PT",
IF(ISNUMBER(SEARCH("CLASICO",INVENTARIO!C111)),"CLA",
""))))))))))))))))))))))</f>
        <v/>
      </c>
      <c r="D111" t="str">
        <f>IF(ISNUMBER(SEARCH("GRAN FORMATO",INVENTARIO!C111)),"GRA-FOR",
IF(ISNUMBER(SEARCH("CAMA PLANA",INVENTARIO!C111)),"CAM-PLA",
IF(ISNUMBER(SEARCH("GRADO INGENIERIA",INVENTARIO!C111)),"GRA-ING",
IF(ISNUMBER(SEARCH("130 GRS",INVENTARIO!C111)),"130GR",
IF(ISNUMBER(SEARCH("150 GRS",INVENTARIO!C111)),"150GR",
IF(ISNUMBER(SEARCH("185 GRS",INVENTARIO!C111)),"185GR",
IF(ISNUMBER(SEARCH("200 GRS",INVENTARIO!C111)),"200GR",
IF(ISNUMBER(SEARCH("250 GRS",INVENTARIO!C111)),"250GR",
IF(ISNUMBER(SEARCH("300 GRS",INVENTARIO!C111)),"300GR",
IF(ISNUMBER(SEARCH("350 GRS",INVENTARIO!C111)),"350GR",
IF(ISNUMBER(SEARCH("18 OZ",INVENTARIO!C111)),"18OZ",
IF(ISNUMBER(SEARCH("15 OZ",INVENTARIO!C111)),"15OZ",
IF(OR(ISNUMBER(SEARCH("13 OZ",INVENTARIO!C111)),ISNUMBER(SEARCH("13 ONZAS",INVENTARIO!C111))),"13OZ",
IF(OR(ISNUMBER(SEARCH("9 OZ",INVENTARIO!C111)),ISNUMBER(SEARCH("9 ONZAS",INVENTARIO!C111))),"09OZ",
IF(ISNUMBER(SEARCH("DOBLE CARA",INVENTARIO!C111)),"DOB-CAR",
"")))))))))))))))</f>
        <v/>
      </c>
      <c r="E111" t="str">
        <f>IF(OR(ISNUMBER(SEARCH("TRANSPARENTE",INVENTARIO!C111)),ISNUMBER(SEARCH("TRANSPARENTES",INVENTARIO!C111))),"TRA",
IF(OR(ISNUMBER(SEARCH("BLANCO",INVENTARIO!C111)),ISNUMBER(SEARCH("BCO",INVENTARIO!C111))),"BLA",
IF(ISNUMBER(SEARCH("FOTOGRAFICO",INVENTARIO!C111)),"FOT",
IF(ISNUMBER(SEARCH("MARFIL",INVENTARIO!C111)),"MAR",
IF(ISNUMBER(SEARCH("VERDE",INVENTARIO!C111)),"VER",
IF(ISNUMBER(SEARCH("MORADO",INVENTARIO!C111)),"MOR",
IF(ISNUMBER(SEARCH("PLATA",INVENTARIO!C111)),"PLA",
IF(ISNUMBER(SEARCH("ORO",INVENTARIO!C111)),"ORO",
IF(ISNUMBER(SEARCH("AMARILLO",INVENTARIO!C111)),"AMA",
IF(ISNUMBER(SEARCH("NARANJA",INVENTARIO!C111)),"NAR",
IF(ISNUMBER(SEARCH("NEGRO",INVENTARIO!C111)),"NEG",
IF(ISNUMBER(SEARCH("ROJO",INVENTARIO!C111)),"ROJ",
IF(ISNUMBER(SEARCH("AZUL",INVENTARIO!C111)),"AZU","")))))))))))))</f>
        <v/>
      </c>
      <c r="F111" t="str">
        <f>IF(ISNUMBER(SEARCH("ARLON",INVENTARIO!C111)),"ARL",
IF(ISNUMBER(SEARCH("SUNTHINKS",INVENTARIO!C111)),"SUN",
IF(ISNUMBER(SEARCH("FRIO",INVENTARIO!C111)),"FRI",
IF(ISNUMBER(SEARCH("CALIDO",INVENTARIO!C111)),"CAL",
IF(ISNUMBER(SEARCH("CEPILLADO",INVENTARIO!C111)),"CEP",
IF(ISNUMBER(SEARCH("ESPEJO",INVENTARIO!C111)),"ESP",
""))))))</f>
        <v/>
      </c>
      <c r="G111" t="str">
        <f>IF(ISNUMBER(SEARCH("LATEX",INVENTARIO!C111)),"LAT",
IF(ISNUMBER(SEARCH("RESP. NEGRO",INVENTARIO!C111)),"RES-NEG",
IF(ISNUMBER(SEARCH("RESPALDO CAFE",INVENTARIO!C111)),"RES-CAF",
IF(ISNUMBER(SEARCH("RESPALDO GRIS",INVENTARIO!C111)),"RES-GRI",
IF(ISNUMBER(SEARCH("OPTICO",INVENTARIO!C111)),"OPT",
IF(ISNUMBER(SEARCH("1,2 MM",INVENTARIO!C111)),"1MM2",
IF(ISNUMBER(SEARCH("2 MM",INVENTARIO!C111)),"2MM",
IF(ISNUMBER(SEARCH("3 MM",INVENTARIO!C111)),"3MM",
IF(ISNUMBER(SEARCH("4 MM",INVENTARIO!C111)),"4MM",
IF(ISNUMBER(SEARCH("5 MM",INVENTARIO!C111)),"5MM",
IF(ISNUMBER(SEARCH("6 MM",INVENTARIO!C111)),"6MM",
IF(ISNUMBER(SEARCH("9 MM",INVENTARIO!C111)),"9MM",
IF(ISNUMBER(SEARCH("10 MM",INVENTARIO!C111)),"10MM","")))))))))))))</f>
        <v/>
      </c>
      <c r="H111" t="str">
        <f>IF(ISNUMBER(SEARCH("GAMA BAJA",INVENTARIO!C111)),"GAM-BAJ",
IF(ISNUMBER(SEARCH("OPTIMIZADOR",INVENTARIO!C111)),"OPT",
IF(ISNUMBER(SEARCH("OVERCOAT",INVENTARIO!C111)),"OVE",
IF(ISNUMBER(SEARCH("WHITE",INVENTARIO!C111)),"WHI",
IF(ISNUMBER(SEARCH("LIGHT CYAN",INVENTARIO!C111)),"LIG-CYA",
IF(ISNUMBER(SEARCH("CYAN",INVENTARIO!C111)),"CYA",
IF(ISNUMBER(SEARCH("LIGHT MAGENTA",INVENTARIO!C111)),"LIG-MAG",
IF(ISNUMBER(SEARCH("MAGENTA",INVENTARIO!C111)),"MAG",
IF(ISNUMBER(SEARCH("BLACK",INVENTARIO!C111)),"BLA",
IF(ISNUMBER(SEARCH("YELLOW",INVENTARIO!C111)),"YEL",
IF(ISNUMBER(SEARCH("2 DIODOS",INVENTARIO!C111)),"2DI",
IF(ISNUMBER(SEARCH("3 DIODOS",INVENTARIO!C111)),"3DI",
IF(OR(ISNUMBER(SEARCH("TRASLUCIDO",INVENTARIO!C111)),ISNUMBER(SEARCH("TRANSLUCIDO",INVENTARIO!C111))),"TRA",
"")))))))))))))</f>
        <v/>
      </c>
      <c r="I111" t="str">
        <f>IF(ISNUMBER(SEARCH("SILED",INVENTARIO!C125)),"SI",
IF(ISNUMBER(SEARCH("SYDEMEX",INVENTARIO!C125)),"SY",
IF(ISNUMBER(SEARCH("ROHS",INVENTARIO!C125)),"RO",
IF(ISNUMBER(SEARCH("RISHANG",INVENTARIO!C125)),"RS",
IF(ISNUMBER(SEARCH("VYG",INVENTARIO!C125)),"VYG",
IF(ISNUMBER(SEARCH("COLED",INVENTARIO!C125)),"CO",""))))))</f>
        <v/>
      </c>
    </row>
    <row r="112" spans="1:9">
      <c r="A112" t="str">
        <f>IF(ISNUMBER(SEARCH("LONA",INVENTARIO!C112)),"LON",
IF(ISNUMBER(SEARCH("VINIL",INVENTARIO!C112)),"VIN",
IF(ISNUMBER(SEARCH("KROMACOTE",INVENTARIO!C112)),"KRO",
IF(ISNUMBER(SEARCH("STARDREAM",INVENTARIO!C112)),"STA",
IF(ISNUMBER(SEARCH("DISPLAY",INVENTARIO!C112)),"DIS",
IF(ISNUMBER(SEARCH("ROLL UP",INVENTARIO!C112)),"ROL-UP",
IF(ISNUMBER(SEARCH("TRANSFER DE PAPEL",INVENTARIO!C112)),"TRA-PAP",
IF(ISNUMBER(SEARCH("TRANSFER",INVENTARIO!C112)),"TRA",IF(ISNUMBER(SEARCH("KOLA LOKA",INVENTARIO!C112)),"KOL-LOK",
IF(ISNUMBER(SEARCH("PETG",INVENTARIO!C112)),"PET",
IF(ISNUMBER(SEARCH("OJILLO",INVENTARIO!C112)),"OJI",
IF(ISNUMBER(SEARCH("COUCHE",INVENTARIO!C112)),"COU",
IF(ISNUMBER(SEARCH("PANEL DE ALUMINIO",INVENTARIO!C112)),"PAN-ALU",
IF(ISNUMBER(SEARCH("PVC",INVENTARIO!C112)),"PVC",
IF(ISNUMBER(SEARCH("PAPEL",INVENTARIO!C112)),"PAP",
IF(ISNUMBER(SEARCH("TELA",INVENTARIO!C112)),"TEL",
IF(ISNUMBER(SEARCH("CARTULINA",INVENTARIO!C112)),"CAR",
IF(OR(ISNUMBER(SEARCH("LAMINA",INVENTARIO!C112)),ISNUMBER(SEARCH("LÁMINA",INVENTARIO!C112)),ISNUMBER(SEARCH("LAMPARAS",INVENTARIO!C112))),"LAM",
IF(ISNUMBER(SEARCH("ESTIRENO",INVENTARIO!C112)),"EST",
IF(ISNUMBER(SEARCH("FOAMBOARD",INVENTARIO!C112)),"FOA",
IF(ISNUMBER(SEARCH("SOLVENTE",INVENTARIO!C112)),"SOL",
IF(ISNUMBER(SEARCH("TINTA",INVENTARIO!C112)),"TIN",
IF(ISNUMBER(SEARCH("ACRILICO",INVENTARIO!C112)),"ACR",
IF(ISNUMBER(SEARCH("MICROLED",INVENTARIO!C112)),"MIC",
IF(ISNUMBER(SEARCH("LED",INVENTARIO!C112)),"LED",
IF(ISNUMBER(SEARCH("FUENTE DE PODER",INVENTARIO!C112)),"FUE-POD",
IF(ISNUMBER(SEARCH("PETG",INVENTARIO!C112)),"PET",
IF(ISNUMBER(SEARCH("ALUMINIO",INVENTARIO!C112)),"ALU",
IF(ISNUMBER(SEARCH("CANAL",INVENTARIO!C112)),"CAN",
IF(ISNUMBER(SEARCH("ESCUADRA",INVENTARIO!C112)),"ESC",
IF(ISNUMBER(SEARCH("SOPORTE",INVENTARIO!C112)),"SOP","OTR")
))))))))))))))))))))))))))))))</f>
        <v>ROL-UP</v>
      </c>
      <c r="B112" t="str">
        <f>IF(ISNUMBER(SEARCH("CORTE",INVENTARIO!C112)),"COR",
IF(ISNUMBER(SEARCH("CITYLIGHT",INVENTARIO!C112)),"CIT",
IF(ISNUMBER(SEARCH("LINO",INVENTARIO!C112)),"LIN",
IF(ISNUMBER(SEARCH("FABRIANO",INVENTARIO!C112)),"FAB",
IF(ISNUMBER(SEARCH("SUNDANCE",INVENTARIO!C112)),"SUN",
IF(ISNUMBER(SEARCH("SINTETICA",INVENTARIO!C112)),"SIN",
IF(ISNUMBER(SEARCH("CONTROL",INVENTARIO!C112)),"CON",
IF(ISNUMBER(SEARCH("TERMICO",INVENTARIO!C112)),"TER",
IF(ISNUMBER(SEARCH("C-15",INVENTARIO!C112)),"C15",
IF(ISNUMBER(SEARCH("C-20",INVENTARIO!C112)),"C20",
IF(ISNUMBER(SEARCH("C-30",INVENTARIO!C112)),"C30",
IF(ISNUMBER(SEARCH("C-40",INVENTARIO!C112)),"C40",
IF(ISNUMBER(SEARCH("C-60",INVENTARIO!C112)),"C60",
IF(ISNUMBER(SEARCH("C-80",INVENTARIO!C112)),"C80",
IF(ISNUMBER(SEARCH("EQUIPO",INVENTARIO!C112)),"EQU",
IF(ISNUMBER(SEARCH("FLOOR",INVENTARIO!C112)),"FLO",
IF(ISNUMBER(SEARCH("CRISTAL",INVENTARIO!C112)),"CRI",
IF(ISNUMBER(SEARCH(" SULFATADA",INVENTARIO!C123)),"SUL",
IF(ISNUMBER(SEARCH("OPALINA",INVENTARIO!C112)),"OPA",
IF(ISNUMBER(SEARCH("ADHERIBLE",INVENTARIO!C112)),"ADH",
IF(ISNUMBER(SEARCH("MICRO",INVENTARIO!C112)),"MIC","")))))))))))))))))))))</f>
        <v/>
      </c>
      <c r="C112" t="str">
        <f>IF(ISNUMBER(SEARCH("PARED",INVENTARIO!C112)),"PAR",
IF(ISNUMBER(SEARCH("FRONT",INVENTARIO!C112)),"FRO",
IF(ISNUMBER(SEARCH("ALTA RESISTENCIA",INVENTARIO!C112)),
"ALT-RES",IF(ISNUMBER(SEARCH("BACKLITE",INVENTARIO!C112)),"BAC",
IF(ISNUMBER(SEARCH("MATE",INVENTARIO!C112)),"MAT",
IF(ISNUMBER(SEARCH("MESH",INVENTARIO!C112)),"MES",
IF(ISNUMBER(SEARCH("BRILLANTE",INVENTARIO!C112)),"BRI",
IF(ISNUMBER(SEARCH("DELGADA",INVENTARIO!C112)),"DEL",
IF(ISNUMBER(SEARCH("GRUESA",INVENTARIO!C112)),"GRU",
IF(ISNUMBER(SEARCH("ESTATICO",INVENTARIO!C112)),"EST",
IF(ISNUMBER(SEARCH("REFLECTIVO",INVENTARIO!C112)),"REF",
IF(ISNUMBER(SEARCH("LX700",INVENTARIO!C112)),"LX7",
IF(ISNUMBER(SEARCH("GRANDO",INVENTARIO!C112)),"GRA",
IF(ISNUMBER(SEARCH("FB700",INVENTARIO!C112)),"FB7",
IF(ISNUMBER(SEARCH("LX360",INVENTARIO!C112)),"LX3",
IF(ISNUMBER(SEARCH("XEROX",INVENTARIO!C112)),"XER",
IF(ISNUMBER(SEARCH("CEPILLADO",INVENTARIO!C112)),"CEP",
IF(ISNUMBER(SEARCH("ESPEJO",INVENTARIO!C112)),"ESP",
IF(ISNUMBER(SEARCH("10 PTS",INVENTARIO!C112)),"10PT",
IF(ISNUMBER(SEARCH("12 PTS",INVENTARIO!C112)),"12PT",
IF(ISNUMBER(SEARCH("14 PTS",INVENTARIO!C112)),"14PT",
IF(ISNUMBER(SEARCH("CLASICO",INVENTARIO!C112)),"CLA",
""))))))))))))))))))))))</f>
        <v/>
      </c>
      <c r="D112" t="str">
        <f>IF(ISNUMBER(SEARCH("GRAN FORMATO",INVENTARIO!C112)),"GRA-FOR",
IF(ISNUMBER(SEARCH("CAMA PLANA",INVENTARIO!C112)),"CAM-PLA",
IF(ISNUMBER(SEARCH("GRADO INGENIERIA",INVENTARIO!C112)),"GRA-ING",
IF(ISNUMBER(SEARCH("130 GRS",INVENTARIO!C112)),"130GR",
IF(ISNUMBER(SEARCH("150 GRS",INVENTARIO!C112)),"150GR",
IF(ISNUMBER(SEARCH("185 GRS",INVENTARIO!C112)),"185GR",
IF(ISNUMBER(SEARCH("200 GRS",INVENTARIO!C112)),"200GR",
IF(ISNUMBER(SEARCH("250 GRS",INVENTARIO!C112)),"250GR",
IF(ISNUMBER(SEARCH("300 GRS",INVENTARIO!C112)),"300GR",
IF(ISNUMBER(SEARCH("350 GRS",INVENTARIO!C112)),"350GR",
IF(ISNUMBER(SEARCH("18 OZ",INVENTARIO!C112)),"18OZ",
IF(ISNUMBER(SEARCH("15 OZ",INVENTARIO!C112)),"15OZ",
IF(OR(ISNUMBER(SEARCH("13 OZ",INVENTARIO!C112)),ISNUMBER(SEARCH("13 ONZAS",INVENTARIO!C112))),"13OZ",
IF(OR(ISNUMBER(SEARCH("9 OZ",INVENTARIO!C112)),ISNUMBER(SEARCH("9 ONZAS",INVENTARIO!C112))),"09OZ",
IF(ISNUMBER(SEARCH("DOBLE CARA",INVENTARIO!C112)),"DOB-CAR",
"")))))))))))))))</f>
        <v/>
      </c>
      <c r="E112" t="str">
        <f>IF(OR(ISNUMBER(SEARCH("TRANSPARENTE",INVENTARIO!C112)),ISNUMBER(SEARCH("TRANSPARENTES",INVENTARIO!C112))),"TRA",
IF(OR(ISNUMBER(SEARCH("BLANCO",INVENTARIO!C112)),ISNUMBER(SEARCH("BCO",INVENTARIO!C112))),"BLA",
IF(ISNUMBER(SEARCH("FOTOGRAFICO",INVENTARIO!C112)),"FOT",
IF(ISNUMBER(SEARCH("MARFIL",INVENTARIO!C112)),"MAR",
IF(ISNUMBER(SEARCH("VERDE",INVENTARIO!C112)),"VER",
IF(ISNUMBER(SEARCH("MORADO",INVENTARIO!C112)),"MOR",
IF(ISNUMBER(SEARCH("PLATA",INVENTARIO!C112)),"PLA",
IF(ISNUMBER(SEARCH("ORO",INVENTARIO!C112)),"ORO",
IF(ISNUMBER(SEARCH("AMARILLO",INVENTARIO!C112)),"AMA",
IF(ISNUMBER(SEARCH("NARANJA",INVENTARIO!C112)),"NAR",
IF(ISNUMBER(SEARCH("NEGRO",INVENTARIO!C112)),"NEG",
IF(ISNUMBER(SEARCH("ROJO",INVENTARIO!C112)),"ROJ",
IF(ISNUMBER(SEARCH("AZUL",INVENTARIO!C112)),"AZU","")))))))))))))</f>
        <v/>
      </c>
      <c r="F112" t="str">
        <f>IF(ISNUMBER(SEARCH("ARLON",INVENTARIO!C112)),"ARL",
IF(ISNUMBER(SEARCH("SUNTHINKS",INVENTARIO!C112)),"SUN",
IF(ISNUMBER(SEARCH("FRIO",INVENTARIO!C112)),"FRI",
IF(ISNUMBER(SEARCH("CALIDO",INVENTARIO!C112)),"CAL",
IF(ISNUMBER(SEARCH("CEPILLADO",INVENTARIO!C112)),"CEP",
IF(ISNUMBER(SEARCH("ESPEJO",INVENTARIO!C112)),"ESP",
""))))))</f>
        <v/>
      </c>
      <c r="G112" t="str">
        <f>IF(ISNUMBER(SEARCH("LATEX",INVENTARIO!C112)),"LAT",
IF(ISNUMBER(SEARCH("RESP. NEGRO",INVENTARIO!C112)),"RES-NEG",
IF(ISNUMBER(SEARCH("RESPALDO CAFE",INVENTARIO!C112)),"RES-CAF",
IF(ISNUMBER(SEARCH("RESPALDO GRIS",INVENTARIO!C112)),"RES-GRI",
IF(ISNUMBER(SEARCH("OPTICO",INVENTARIO!C112)),"OPT",
IF(ISNUMBER(SEARCH("1,2 MM",INVENTARIO!C112)),"1MM2",
IF(ISNUMBER(SEARCH("2 MM",INVENTARIO!C112)),"2MM",
IF(ISNUMBER(SEARCH("3 MM",INVENTARIO!C112)),"3MM",
IF(ISNUMBER(SEARCH("4 MM",INVENTARIO!C112)),"4MM",
IF(ISNUMBER(SEARCH("5 MM",INVENTARIO!C112)),"5MM",
IF(ISNUMBER(SEARCH("6 MM",INVENTARIO!C112)),"6MM",
IF(ISNUMBER(SEARCH("9 MM",INVENTARIO!C112)),"9MM",
IF(ISNUMBER(SEARCH("10 MM",INVENTARIO!C112)),"10MM","")))))))))))))</f>
        <v/>
      </c>
      <c r="H112" t="str">
        <f>IF(ISNUMBER(SEARCH("GAMA BAJA",INVENTARIO!C112)),"GAM-BAJ",
IF(ISNUMBER(SEARCH("OPTIMIZADOR",INVENTARIO!C112)),"OPT",
IF(ISNUMBER(SEARCH("OVERCOAT",INVENTARIO!C112)),"OVE",
IF(ISNUMBER(SEARCH("WHITE",INVENTARIO!C112)),"WHI",
IF(ISNUMBER(SEARCH("LIGHT CYAN",INVENTARIO!C112)),"LIG-CYA",
IF(ISNUMBER(SEARCH("CYAN",INVENTARIO!C112)),"CYA",
IF(ISNUMBER(SEARCH("LIGHT MAGENTA",INVENTARIO!C112)),"LIG-MAG",
IF(ISNUMBER(SEARCH("MAGENTA",INVENTARIO!C112)),"MAG",
IF(ISNUMBER(SEARCH("BLACK",INVENTARIO!C112)),"BLA",
IF(ISNUMBER(SEARCH("YELLOW",INVENTARIO!C112)),"YEL",
IF(ISNUMBER(SEARCH("2 DIODOS",INVENTARIO!C112)),"2DI",
IF(ISNUMBER(SEARCH("3 DIODOS",INVENTARIO!C112)),"3DI",
IF(OR(ISNUMBER(SEARCH("TRASLUCIDO",INVENTARIO!C112)),ISNUMBER(SEARCH("TRANSLUCIDO",INVENTARIO!C112))),"TRA",
"")))))))))))))</f>
        <v/>
      </c>
      <c r="I112" t="str">
        <f>IF(ISNUMBER(SEARCH("SILED",INVENTARIO!C126)),"SI",
IF(ISNUMBER(SEARCH("SYDEMEX",INVENTARIO!C126)),"SY",
IF(ISNUMBER(SEARCH("ROHS",INVENTARIO!C126)),"RO",
IF(ISNUMBER(SEARCH("RISHANG",INVENTARIO!C126)),"RS",
IF(ISNUMBER(SEARCH("VYG",INVENTARIO!C126)),"VYG",
IF(ISNUMBER(SEARCH("COLED",INVENTARIO!C126)),"CO",""))))))</f>
        <v/>
      </c>
    </row>
    <row r="113" spans="1:9">
      <c r="A113" t="str">
        <f>IF(ISNUMBER(SEARCH("LONA",INVENTARIO!C113)),"LON",
IF(ISNUMBER(SEARCH("VINIL",INVENTARIO!C113)),"VIN",
IF(ISNUMBER(SEARCH("KROMACOTE",INVENTARIO!C113)),"KRO",
IF(ISNUMBER(SEARCH("STARDREAM",INVENTARIO!C113)),"STA",
IF(ISNUMBER(SEARCH("DISPLAY",INVENTARIO!C113)),"DIS",
IF(ISNUMBER(SEARCH("ROLL UP",INVENTARIO!C113)),"ROL-UP",
IF(ISNUMBER(SEARCH("TRANSFER DE PAPEL",INVENTARIO!C113)),"TRA-PAP",
IF(ISNUMBER(SEARCH("TRANSFER",INVENTARIO!C113)),"TRA",IF(ISNUMBER(SEARCH("KOLA LOKA",INVENTARIO!C113)),"KOL-LOK",
IF(ISNUMBER(SEARCH("PETG",INVENTARIO!C113)),"PET",
IF(ISNUMBER(SEARCH("OJILLO",INVENTARIO!C113)),"OJI",
IF(ISNUMBER(SEARCH("COUCHE",INVENTARIO!C113)),"COU",
IF(ISNUMBER(SEARCH("PANEL DE ALUMINIO",INVENTARIO!C113)),"PAN-ALU",
IF(ISNUMBER(SEARCH("PVC",INVENTARIO!C113)),"PVC",
IF(ISNUMBER(SEARCH("PAPEL",INVENTARIO!C113)),"PAP",
IF(ISNUMBER(SEARCH("TELA",INVENTARIO!C113)),"TEL",
IF(ISNUMBER(SEARCH("CARTULINA",INVENTARIO!C113)),"CAR",
IF(OR(ISNUMBER(SEARCH("LAMINA",INVENTARIO!C113)),ISNUMBER(SEARCH("LÁMINA",INVENTARIO!C113)),ISNUMBER(SEARCH("LAMPARAS",INVENTARIO!C113))),"LAM",
IF(ISNUMBER(SEARCH("ESTIRENO",INVENTARIO!C113)),"EST",
IF(ISNUMBER(SEARCH("FOAMBOARD",INVENTARIO!C113)),"FOA",
IF(ISNUMBER(SEARCH("SOLVENTE",INVENTARIO!C113)),"SOL",
IF(ISNUMBER(SEARCH("TINTA",INVENTARIO!C113)),"TIN",
IF(ISNUMBER(SEARCH("ACRILICO",INVENTARIO!C113)),"ACR",
IF(ISNUMBER(SEARCH("MICROLED",INVENTARIO!C113)),"MIC",
IF(ISNUMBER(SEARCH("LED",INVENTARIO!C113)),"LED",
IF(ISNUMBER(SEARCH("FUENTE DE PODER",INVENTARIO!C113)),"FUE-POD",
IF(ISNUMBER(SEARCH("PETG",INVENTARIO!C113)),"PET",
IF(ISNUMBER(SEARCH("ALUMINIO",INVENTARIO!C113)),"ALU",
IF(ISNUMBER(SEARCH("CANAL",INVENTARIO!C113)),"CAN",
IF(ISNUMBER(SEARCH("ESCUADRA",INVENTARIO!C113)),"ESC",
IF(ISNUMBER(SEARCH("SOPORTE",INVENTARIO!C113)),"SOP","OTR")
))))))))))))))))))))))))))))))</f>
        <v>OTR</v>
      </c>
      <c r="B113" t="str">
        <f>IF(ISNUMBER(SEARCH("CORTE",INVENTARIO!C113)),"COR",
IF(ISNUMBER(SEARCH("CITYLIGHT",INVENTARIO!C113)),"CIT",
IF(ISNUMBER(SEARCH("LINO",INVENTARIO!C113)),"LIN",
IF(ISNUMBER(SEARCH("FABRIANO",INVENTARIO!C113)),"FAB",
IF(ISNUMBER(SEARCH("SUNDANCE",INVENTARIO!C113)),"SUN",
IF(ISNUMBER(SEARCH("SINTETICA",INVENTARIO!C113)),"SIN",
IF(ISNUMBER(SEARCH("CONTROL",INVENTARIO!C113)),"CON",
IF(ISNUMBER(SEARCH("TERMICO",INVENTARIO!C113)),"TER",
IF(ISNUMBER(SEARCH("C-15",INVENTARIO!C113)),"C15",
IF(ISNUMBER(SEARCH("C-20",INVENTARIO!C113)),"C20",
IF(ISNUMBER(SEARCH("C-30",INVENTARIO!C113)),"C30",
IF(ISNUMBER(SEARCH("C-40",INVENTARIO!C113)),"C40",
IF(ISNUMBER(SEARCH("C-60",INVENTARIO!C113)),"C60",
IF(ISNUMBER(SEARCH("C-80",INVENTARIO!C113)),"C80",
IF(ISNUMBER(SEARCH("EQUIPO",INVENTARIO!C113)),"EQU",
IF(ISNUMBER(SEARCH("FLOOR",INVENTARIO!C113)),"FLO",
IF(ISNUMBER(SEARCH("CRISTAL",INVENTARIO!C113)),"CRI",
IF(ISNUMBER(SEARCH(" SULFATADA",INVENTARIO!C124)),"SUL",
IF(ISNUMBER(SEARCH("OPALINA",INVENTARIO!C113)),"OPA",
IF(ISNUMBER(SEARCH("ADHERIBLE",INVENTARIO!C113)),"ADH",
IF(ISNUMBER(SEARCH("MICRO",INVENTARIO!C113)),"MIC","")))))))))))))))))))))</f>
        <v/>
      </c>
      <c r="C113" t="str">
        <f>IF(ISNUMBER(SEARCH("PARED",INVENTARIO!C113)),"PAR",
IF(ISNUMBER(SEARCH("FRONT",INVENTARIO!C113)),"FRO",
IF(ISNUMBER(SEARCH("ALTA RESISTENCIA",INVENTARIO!C113)),
"ALT-RES",IF(ISNUMBER(SEARCH("BACKLITE",INVENTARIO!C113)),"BAC",
IF(ISNUMBER(SEARCH("MATE",INVENTARIO!C113)),"MAT",
IF(ISNUMBER(SEARCH("MESH",INVENTARIO!C113)),"MES",
IF(ISNUMBER(SEARCH("BRILLANTE",INVENTARIO!C113)),"BRI",
IF(ISNUMBER(SEARCH("DELGADA",INVENTARIO!C113)),"DEL",
IF(ISNUMBER(SEARCH("GRUESA",INVENTARIO!C113)),"GRU",
IF(ISNUMBER(SEARCH("ESTATICO",INVENTARIO!C113)),"EST",
IF(ISNUMBER(SEARCH("REFLECTIVO",INVENTARIO!C113)),"REF",
IF(ISNUMBER(SEARCH("LX700",INVENTARIO!C113)),"LX7",
IF(ISNUMBER(SEARCH("GRANDO",INVENTARIO!C113)),"GRA",
IF(ISNUMBER(SEARCH("FB700",INVENTARIO!C113)),"FB7",
IF(ISNUMBER(SEARCH("LX360",INVENTARIO!C113)),"LX3",
IF(ISNUMBER(SEARCH("XEROX",INVENTARIO!C113)),"XER",
IF(ISNUMBER(SEARCH("CEPILLADO",INVENTARIO!C113)),"CEP",
IF(ISNUMBER(SEARCH("ESPEJO",INVENTARIO!C113)),"ESP",
IF(ISNUMBER(SEARCH("10 PTS",INVENTARIO!C113)),"10PT",
IF(ISNUMBER(SEARCH("12 PTS",INVENTARIO!C113)),"12PT",
IF(ISNUMBER(SEARCH("14 PTS",INVENTARIO!C113)),"14PT",
IF(ISNUMBER(SEARCH("CLASICO",INVENTARIO!C113)),"CLA",
""))))))))))))))))))))))</f>
        <v/>
      </c>
      <c r="D113" t="str">
        <f>IF(ISNUMBER(SEARCH("GRAN FORMATO",INVENTARIO!C113)),"GRA-FOR",
IF(ISNUMBER(SEARCH("CAMA PLANA",INVENTARIO!C113)),"CAM-PLA",
IF(ISNUMBER(SEARCH("GRADO INGENIERIA",INVENTARIO!C113)),"GRA-ING",
IF(ISNUMBER(SEARCH("130 GRS",INVENTARIO!C113)),"130GR",
IF(ISNUMBER(SEARCH("150 GRS",INVENTARIO!C113)),"150GR",
IF(ISNUMBER(SEARCH("185 GRS",INVENTARIO!C113)),"185GR",
IF(ISNUMBER(SEARCH("200 GRS",INVENTARIO!C113)),"200GR",
IF(ISNUMBER(SEARCH("250 GRS",INVENTARIO!C113)),"250GR",
IF(ISNUMBER(SEARCH("300 GRS",INVENTARIO!C113)),"300GR",
IF(ISNUMBER(SEARCH("350 GRS",INVENTARIO!C113)),"350GR",
IF(ISNUMBER(SEARCH("18 OZ",INVENTARIO!C113)),"18OZ",
IF(ISNUMBER(SEARCH("15 OZ",INVENTARIO!C113)),"15OZ",
IF(OR(ISNUMBER(SEARCH("13 OZ",INVENTARIO!C113)),ISNUMBER(SEARCH("13 ONZAS",INVENTARIO!C113))),"13OZ",
IF(OR(ISNUMBER(SEARCH("9 OZ",INVENTARIO!C113)),ISNUMBER(SEARCH("9 ONZAS",INVENTARIO!C113))),"09OZ",
IF(ISNUMBER(SEARCH("DOBLE CARA",INVENTARIO!C113)),"DOB-CAR",
"")))))))))))))))</f>
        <v/>
      </c>
      <c r="E113" t="str">
        <f>IF(OR(ISNUMBER(SEARCH("TRANSPARENTE",INVENTARIO!C113)),ISNUMBER(SEARCH("TRANSPARENTES",INVENTARIO!C113))),"TRA",
IF(OR(ISNUMBER(SEARCH("BLANCO",INVENTARIO!C113)),ISNUMBER(SEARCH("BCO",INVENTARIO!C113))),"BLA",
IF(ISNUMBER(SEARCH("FOTOGRAFICO",INVENTARIO!C113)),"FOT",
IF(ISNUMBER(SEARCH("MARFIL",INVENTARIO!C113)),"MAR",
IF(ISNUMBER(SEARCH("VERDE",INVENTARIO!C113)),"VER",
IF(ISNUMBER(SEARCH("MORADO",INVENTARIO!C113)),"MOR",
IF(ISNUMBER(SEARCH("PLATA",INVENTARIO!C113)),"PLA",
IF(ISNUMBER(SEARCH("ORO",INVENTARIO!C113)),"ORO",
IF(ISNUMBER(SEARCH("AMARILLO",INVENTARIO!C113)),"AMA",
IF(ISNUMBER(SEARCH("NARANJA",INVENTARIO!C113)),"NAR",
IF(ISNUMBER(SEARCH("NEGRO",INVENTARIO!C113)),"NEG",
IF(ISNUMBER(SEARCH("ROJO",INVENTARIO!C113)),"ROJ",
IF(ISNUMBER(SEARCH("AZUL",INVENTARIO!C113)),"AZU","")))))))))))))</f>
        <v/>
      </c>
      <c r="F113" t="str">
        <f>IF(ISNUMBER(SEARCH("ARLON",INVENTARIO!C113)),"ARL",
IF(ISNUMBER(SEARCH("SUNTHINKS",INVENTARIO!C113)),"SUN",
IF(ISNUMBER(SEARCH("FRIO",INVENTARIO!C113)),"FRI",
IF(ISNUMBER(SEARCH("CALIDO",INVENTARIO!C113)),"CAL",
IF(ISNUMBER(SEARCH("CEPILLADO",INVENTARIO!C113)),"CEP",
IF(ISNUMBER(SEARCH("ESPEJO",INVENTARIO!C113)),"ESP",
""))))))</f>
        <v/>
      </c>
      <c r="G113" t="str">
        <f>IF(ISNUMBER(SEARCH("LATEX",INVENTARIO!C113)),"LAT",
IF(ISNUMBER(SEARCH("RESP. NEGRO",INVENTARIO!C113)),"RES-NEG",
IF(ISNUMBER(SEARCH("RESPALDO CAFE",INVENTARIO!C113)),"RES-CAF",
IF(ISNUMBER(SEARCH("RESPALDO GRIS",INVENTARIO!C113)),"RES-GRI",
IF(ISNUMBER(SEARCH("OPTICO",INVENTARIO!C113)),"OPT",
IF(ISNUMBER(SEARCH("1,2 MM",INVENTARIO!C113)),"1MM2",
IF(ISNUMBER(SEARCH("2 MM",INVENTARIO!C113)),"2MM",
IF(ISNUMBER(SEARCH("3 MM",INVENTARIO!C113)),"3MM",
IF(ISNUMBER(SEARCH("4 MM",INVENTARIO!C113)),"4MM",
IF(ISNUMBER(SEARCH("5 MM",INVENTARIO!C113)),"5MM",
IF(ISNUMBER(SEARCH("6 MM",INVENTARIO!C113)),"6MM",
IF(ISNUMBER(SEARCH("9 MM",INVENTARIO!C113)),"9MM",
IF(ISNUMBER(SEARCH("10 MM",INVENTARIO!C113)),"10MM","")))))))))))))</f>
        <v/>
      </c>
      <c r="H113" t="str">
        <f>IF(ISNUMBER(SEARCH("GAMA BAJA",INVENTARIO!C113)),"GAM-BAJ",
IF(ISNUMBER(SEARCH("OPTIMIZADOR",INVENTARIO!C113)),"OPT",
IF(ISNUMBER(SEARCH("OVERCOAT",INVENTARIO!C113)),"OVE",
IF(ISNUMBER(SEARCH("WHITE",INVENTARIO!C113)),"WHI",
IF(ISNUMBER(SEARCH("LIGHT CYAN",INVENTARIO!C113)),"LIG-CYA",
IF(ISNUMBER(SEARCH("CYAN",INVENTARIO!C113)),"CYA",
IF(ISNUMBER(SEARCH("LIGHT MAGENTA",INVENTARIO!C113)),"LIG-MAG",
IF(ISNUMBER(SEARCH("MAGENTA",INVENTARIO!C113)),"MAG",
IF(ISNUMBER(SEARCH("BLACK",INVENTARIO!C113)),"BLA",
IF(ISNUMBER(SEARCH("YELLOW",INVENTARIO!C113)),"YEL",
IF(ISNUMBER(SEARCH("2 DIODOS",INVENTARIO!C113)),"2DI",
IF(ISNUMBER(SEARCH("3 DIODOS",INVENTARIO!C113)),"3DI",
IF(OR(ISNUMBER(SEARCH("TRASLUCIDO",INVENTARIO!C113)),ISNUMBER(SEARCH("TRANSLUCIDO",INVENTARIO!C113))),"TRA",
"")))))))))))))</f>
        <v/>
      </c>
      <c r="I113" t="str">
        <f>IF(ISNUMBER(SEARCH("SILED",INVENTARIO!C127)),"SI",
IF(ISNUMBER(SEARCH("SYDEMEX",INVENTARIO!C127)),"SY",
IF(ISNUMBER(SEARCH("ROHS",INVENTARIO!C127)),"RO",
IF(ISNUMBER(SEARCH("RISHANG",INVENTARIO!C127)),"RS",
IF(ISNUMBER(SEARCH("VYG",INVENTARIO!C127)),"VYG",
IF(ISNUMBER(SEARCH("COLED",INVENTARIO!C127)),"CO",""))))))</f>
        <v/>
      </c>
    </row>
    <row r="114" spans="1:9">
      <c r="A114" t="str">
        <f>IF(ISNUMBER(SEARCH("LONA",INVENTARIO!C114)),"LON",
IF(ISNUMBER(SEARCH("VINIL",INVENTARIO!C114)),"VIN",
IF(ISNUMBER(SEARCH("KROMACOTE",INVENTARIO!C114)),"KRO",
IF(ISNUMBER(SEARCH("STARDREAM",INVENTARIO!C114)),"STA",
IF(ISNUMBER(SEARCH("DISPLAY",INVENTARIO!C114)),"DIS",
IF(ISNUMBER(SEARCH("ROLL UP",INVENTARIO!C114)),"ROL-UP",
IF(ISNUMBER(SEARCH("TRANSFER DE PAPEL",INVENTARIO!C114)),"TRA-PAP",
IF(ISNUMBER(SEARCH("TRANSFER",INVENTARIO!C114)),"TRA",IF(ISNUMBER(SEARCH("KOLA LOKA",INVENTARIO!C114)),"KOL-LOK",
IF(ISNUMBER(SEARCH("PETG",INVENTARIO!C114)),"PET",
IF(ISNUMBER(SEARCH("OJILLO",INVENTARIO!C114)),"OJI",
IF(ISNUMBER(SEARCH("COUCHE",INVENTARIO!C114)),"COU",
IF(ISNUMBER(SEARCH("PANEL DE ALUMINIO",INVENTARIO!C114)),"PAN-ALU",
IF(ISNUMBER(SEARCH("PVC",INVENTARIO!C114)),"PVC",
IF(ISNUMBER(SEARCH("PAPEL",INVENTARIO!C114)),"PAP",
IF(ISNUMBER(SEARCH("TELA",INVENTARIO!C114)),"TEL",
IF(ISNUMBER(SEARCH("CARTULINA",INVENTARIO!C114)),"CAR",
IF(OR(ISNUMBER(SEARCH("LAMINA",INVENTARIO!C114)),ISNUMBER(SEARCH("LÁMINA",INVENTARIO!C114)),ISNUMBER(SEARCH("LAMPARAS",INVENTARIO!C114))),"LAM",
IF(ISNUMBER(SEARCH("ESTIRENO",INVENTARIO!C114)),"EST",
IF(ISNUMBER(SEARCH("FOAMBOARD",INVENTARIO!C114)),"FOA",
IF(ISNUMBER(SEARCH("SOLVENTE",INVENTARIO!C114)),"SOL",
IF(ISNUMBER(SEARCH("TINTA",INVENTARIO!C114)),"TIN",
IF(ISNUMBER(SEARCH("ACRILICO",INVENTARIO!C114)),"ACR",
IF(ISNUMBER(SEARCH("MICROLED",INVENTARIO!C114)),"MIC",
IF(ISNUMBER(SEARCH("LED",INVENTARIO!C114)),"LED",
IF(ISNUMBER(SEARCH("FUENTE DE PODER",INVENTARIO!C114)),"FUE-POD",
IF(ISNUMBER(SEARCH("PETG",INVENTARIO!C114)),"PET",
IF(ISNUMBER(SEARCH("ALUMINIO",INVENTARIO!C114)),"ALU",
IF(ISNUMBER(SEARCH("CANAL",INVENTARIO!C114)),"CAN",
IF(ISNUMBER(SEARCH("ESCUADRA",INVENTARIO!C114)),"ESC",
IF(ISNUMBER(SEARCH("SOPORTE",INVENTARIO!C114)),"SOP","OTR")
))))))))))))))))))))))))))))))</f>
        <v>SOL</v>
      </c>
      <c r="B114" t="str">
        <f>IF(ISNUMBER(SEARCH("CORTE",INVENTARIO!C114)),"COR",
IF(ISNUMBER(SEARCH("CITYLIGHT",INVENTARIO!C114)),"CIT",
IF(ISNUMBER(SEARCH("LINO",INVENTARIO!C114)),"LIN",
IF(ISNUMBER(SEARCH("FABRIANO",INVENTARIO!C114)),"FAB",
IF(ISNUMBER(SEARCH("SUNDANCE",INVENTARIO!C114)),"SUN",
IF(ISNUMBER(SEARCH("SINTETICA",INVENTARIO!C114)),"SIN",
IF(ISNUMBER(SEARCH("CONTROL",INVENTARIO!C114)),"CON",
IF(ISNUMBER(SEARCH("TERMICO",INVENTARIO!C114)),"TER",
IF(ISNUMBER(SEARCH("C-15",INVENTARIO!C114)),"C15",
IF(ISNUMBER(SEARCH("C-20",INVENTARIO!C114)),"C20",
IF(ISNUMBER(SEARCH("C-30",INVENTARIO!C114)),"C30",
IF(ISNUMBER(SEARCH("C-40",INVENTARIO!C114)),"C40",
IF(ISNUMBER(SEARCH("C-60",INVENTARIO!C114)),"C60",
IF(ISNUMBER(SEARCH("C-80",INVENTARIO!C114)),"C80",
IF(ISNUMBER(SEARCH("EQUIPO",INVENTARIO!C114)),"EQU",
IF(ISNUMBER(SEARCH("FLOOR",INVENTARIO!C114)),"FLO",
IF(ISNUMBER(SEARCH("CRISTAL",INVENTARIO!C114)),"CRI",
IF(ISNUMBER(SEARCH(" SULFATADA",INVENTARIO!C125)),"SUL",
IF(ISNUMBER(SEARCH("OPALINA",INVENTARIO!C114)),"OPA",
IF(ISNUMBER(SEARCH("ADHERIBLE",INVENTARIO!C114)),"ADH",
IF(ISNUMBER(SEARCH("MICRO",INVENTARIO!C114)),"MIC","")))))))))))))))))))))</f>
        <v>EQU</v>
      </c>
      <c r="C114" t="str">
        <f>IF(ISNUMBER(SEARCH("PARED",INVENTARIO!C114)),"PAR",
IF(ISNUMBER(SEARCH("FRONT",INVENTARIO!C114)),"FRO",
IF(ISNUMBER(SEARCH("ALTA RESISTENCIA",INVENTARIO!C114)),
"ALT-RES",IF(ISNUMBER(SEARCH("BACKLITE",INVENTARIO!C114)),"BAC",
IF(ISNUMBER(SEARCH("MATE",INVENTARIO!C114)),"MAT",
IF(ISNUMBER(SEARCH("MESH",INVENTARIO!C114)),"MES",
IF(ISNUMBER(SEARCH("BRILLANTE",INVENTARIO!C114)),"BRI",
IF(ISNUMBER(SEARCH("DELGADA",INVENTARIO!C114)),"DEL",
IF(ISNUMBER(SEARCH("GRUESA",INVENTARIO!C114)),"GRU",
IF(ISNUMBER(SEARCH("ESTATICO",INVENTARIO!C114)),"EST",
IF(ISNUMBER(SEARCH("REFLECTIVO",INVENTARIO!C114)),"REF",
IF(ISNUMBER(SEARCH("LX700",INVENTARIO!C114)),"LX7",
IF(ISNUMBER(SEARCH("GRANDO",INVENTARIO!C114)),"GRA",
IF(ISNUMBER(SEARCH("FB700",INVENTARIO!C114)),"FB7",
IF(ISNUMBER(SEARCH("LX360",INVENTARIO!C114)),"LX3",
IF(ISNUMBER(SEARCH("XEROX",INVENTARIO!C114)),"XER",
IF(ISNUMBER(SEARCH("CEPILLADO",INVENTARIO!C114)),"CEP",
IF(ISNUMBER(SEARCH("ESPEJO",INVENTARIO!C114)),"ESP",
IF(ISNUMBER(SEARCH("10 PTS",INVENTARIO!C114)),"10PT",
IF(ISNUMBER(SEARCH("12 PTS",INVENTARIO!C114)),"12PT",
IF(ISNUMBER(SEARCH("14 PTS",INVENTARIO!C114)),"14PT",
IF(ISNUMBER(SEARCH("CLASICO",INVENTARIO!C114)),"CLA",
""))))))))))))))))))))))</f>
        <v/>
      </c>
      <c r="D114" t="str">
        <f>IF(ISNUMBER(SEARCH("GRAN FORMATO",INVENTARIO!C114)),"GRA-FOR",
IF(ISNUMBER(SEARCH("CAMA PLANA",INVENTARIO!C114)),"CAM-PLA",
IF(ISNUMBER(SEARCH("GRADO INGENIERIA",INVENTARIO!C114)),"GRA-ING",
IF(ISNUMBER(SEARCH("130 GRS",INVENTARIO!C114)),"130GR",
IF(ISNUMBER(SEARCH("150 GRS",INVENTARIO!C114)),"150GR",
IF(ISNUMBER(SEARCH("185 GRS",INVENTARIO!C114)),"185GR",
IF(ISNUMBER(SEARCH("200 GRS",INVENTARIO!C114)),"200GR",
IF(ISNUMBER(SEARCH("250 GRS",INVENTARIO!C114)),"250GR",
IF(ISNUMBER(SEARCH("300 GRS",INVENTARIO!C114)),"300GR",
IF(ISNUMBER(SEARCH("350 GRS",INVENTARIO!C114)),"350GR",
IF(ISNUMBER(SEARCH("18 OZ",INVENTARIO!C114)),"18OZ",
IF(ISNUMBER(SEARCH("15 OZ",INVENTARIO!C114)),"15OZ",
IF(OR(ISNUMBER(SEARCH("13 OZ",INVENTARIO!C114)),ISNUMBER(SEARCH("13 ONZAS",INVENTARIO!C114))),"13OZ",
IF(OR(ISNUMBER(SEARCH("9 OZ",INVENTARIO!C114)),ISNUMBER(SEARCH("9 ONZAS",INVENTARIO!C114))),"09OZ",
IF(ISNUMBER(SEARCH("DOBLE CARA",INVENTARIO!C114)),"DOB-CAR",
"")))))))))))))))</f>
        <v>GRA-FOR</v>
      </c>
      <c r="E114" t="str">
        <f>IF(OR(ISNUMBER(SEARCH("TRANSPARENTE",INVENTARIO!C114)),ISNUMBER(SEARCH("TRANSPARENTES",INVENTARIO!C114))),"TRA",
IF(OR(ISNUMBER(SEARCH("BLANCO",INVENTARIO!C114)),ISNUMBER(SEARCH("BCO",INVENTARIO!C114))),"BLA",
IF(ISNUMBER(SEARCH("FOTOGRAFICO",INVENTARIO!C114)),"FOT",
IF(ISNUMBER(SEARCH("MARFIL",INVENTARIO!C114)),"MAR",
IF(ISNUMBER(SEARCH("VERDE",INVENTARIO!C114)),"VER",
IF(ISNUMBER(SEARCH("MORADO",INVENTARIO!C114)),"MOR",
IF(ISNUMBER(SEARCH("PLATA",INVENTARIO!C114)),"PLA",
IF(ISNUMBER(SEARCH("ORO",INVENTARIO!C114)),"ORO",
IF(ISNUMBER(SEARCH("AMARILLO",INVENTARIO!C114)),"AMA",
IF(ISNUMBER(SEARCH("NARANJA",INVENTARIO!C114)),"NAR",
IF(ISNUMBER(SEARCH("NEGRO",INVENTARIO!C114)),"NEG",
IF(ISNUMBER(SEARCH("ROJO",INVENTARIO!C114)),"ROJ",
IF(ISNUMBER(SEARCH("AZUL",INVENTARIO!C114)),"AZU","")))))))))))))</f>
        <v/>
      </c>
      <c r="F114" t="str">
        <f>IF(ISNUMBER(SEARCH("ARLON",INVENTARIO!C114)),"ARL",
IF(ISNUMBER(SEARCH("SUNTHINKS",INVENTARIO!C114)),"SUN",
IF(ISNUMBER(SEARCH("FRIO",INVENTARIO!C114)),"FRI",
IF(ISNUMBER(SEARCH("CALIDO",INVENTARIO!C114)),"CAL",
IF(ISNUMBER(SEARCH("CEPILLADO",INVENTARIO!C114)),"CEP",
IF(ISNUMBER(SEARCH("ESPEJO",INVENTARIO!C114)),"ESP",
""))))))</f>
        <v/>
      </c>
      <c r="G114" t="str">
        <f>IF(ISNUMBER(SEARCH("LATEX",INVENTARIO!C114)),"LAT",
IF(ISNUMBER(SEARCH("RESP. NEGRO",INVENTARIO!C114)),"RES-NEG",
IF(ISNUMBER(SEARCH("RESPALDO CAFE",INVENTARIO!C114)),"RES-CAF",
IF(ISNUMBER(SEARCH("RESPALDO GRIS",INVENTARIO!C114)),"RES-GRI",
IF(ISNUMBER(SEARCH("OPTICO",INVENTARIO!C114)),"OPT",
IF(ISNUMBER(SEARCH("1,2 MM",INVENTARIO!C114)),"1MM2",
IF(ISNUMBER(SEARCH("2 MM",INVENTARIO!C114)),"2MM",
IF(ISNUMBER(SEARCH("3 MM",INVENTARIO!C114)),"3MM",
IF(ISNUMBER(SEARCH("4 MM",INVENTARIO!C114)),"4MM",
IF(ISNUMBER(SEARCH("5 MM",INVENTARIO!C114)),"5MM",
IF(ISNUMBER(SEARCH("6 MM",INVENTARIO!C114)),"6MM",
IF(ISNUMBER(SEARCH("9 MM",INVENTARIO!C114)),"9MM",
IF(ISNUMBER(SEARCH("10 MM",INVENTARIO!C114)),"10MM","")))))))))))))</f>
        <v/>
      </c>
      <c r="H114" t="str">
        <f>IF(ISNUMBER(SEARCH("GAMA BAJA",INVENTARIO!C114)),"GAM-BAJ",
IF(ISNUMBER(SEARCH("OPTIMIZADOR",INVENTARIO!C114)),"OPT",
IF(ISNUMBER(SEARCH("OVERCOAT",INVENTARIO!C114)),"OVE",
IF(ISNUMBER(SEARCH("WHITE",INVENTARIO!C114)),"WHI",
IF(ISNUMBER(SEARCH("LIGHT CYAN",INVENTARIO!C114)),"LIG-CYA",
IF(ISNUMBER(SEARCH("CYAN",INVENTARIO!C114)),"CYA",
IF(ISNUMBER(SEARCH("LIGHT MAGENTA",INVENTARIO!C114)),"LIG-MAG",
IF(ISNUMBER(SEARCH("MAGENTA",INVENTARIO!C114)),"MAG",
IF(ISNUMBER(SEARCH("BLACK",INVENTARIO!C114)),"BLA",
IF(ISNUMBER(SEARCH("YELLOW",INVENTARIO!C114)),"YEL",
IF(ISNUMBER(SEARCH("2 DIODOS",INVENTARIO!C114)),"2DI",
IF(ISNUMBER(SEARCH("3 DIODOS",INVENTARIO!C114)),"3DI",
IF(OR(ISNUMBER(SEARCH("TRASLUCIDO",INVENTARIO!C114)),ISNUMBER(SEARCH("TRANSLUCIDO",INVENTARIO!C114))),"TRA",
"")))))))))))))</f>
        <v/>
      </c>
      <c r="I114" t="str">
        <f>IF(ISNUMBER(SEARCH("SILED",INVENTARIO!C128)),"SI",
IF(ISNUMBER(SEARCH("SYDEMEX",INVENTARIO!C128)),"SY",
IF(ISNUMBER(SEARCH("ROHS",INVENTARIO!C128)),"RO",
IF(ISNUMBER(SEARCH("RISHANG",INVENTARIO!C128)),"RS",
IF(ISNUMBER(SEARCH("VYG",INVENTARIO!C128)),"VYG",
IF(ISNUMBER(SEARCH("COLED",INVENTARIO!C128)),"CO",""))))))</f>
        <v/>
      </c>
    </row>
    <row r="115" spans="1:9">
      <c r="A115" t="str">
        <f>IF(ISNUMBER(SEARCH("LONA",INVENTARIO!C115)),"LON",
IF(ISNUMBER(SEARCH("VINIL",INVENTARIO!C115)),"VIN",
IF(ISNUMBER(SEARCH("KROMACOTE",INVENTARIO!C115)),"KRO",
IF(ISNUMBER(SEARCH("STARDREAM",INVENTARIO!C115)),"STA",
IF(ISNUMBER(SEARCH("DISPLAY",INVENTARIO!C115)),"DIS",
IF(ISNUMBER(SEARCH("ROLL UP",INVENTARIO!C115)),"ROL-UP",
IF(ISNUMBER(SEARCH("TRANSFER DE PAPEL",INVENTARIO!C115)),"TRA-PAP",
IF(ISNUMBER(SEARCH("TRANSFER",INVENTARIO!C115)),"TRA",IF(ISNUMBER(SEARCH("KOLA LOKA",INVENTARIO!C115)),"KOL-LOK",
IF(ISNUMBER(SEARCH("PETG",INVENTARIO!C115)),"PET",
IF(ISNUMBER(SEARCH("OJILLO",INVENTARIO!C115)),"OJI",
IF(ISNUMBER(SEARCH("COUCHE",INVENTARIO!C115)),"COU",
IF(ISNUMBER(SEARCH("PANEL DE ALUMINIO",INVENTARIO!C115)),"PAN-ALU",
IF(ISNUMBER(SEARCH("PVC",INVENTARIO!C115)),"PVC",
IF(ISNUMBER(SEARCH("PAPEL",INVENTARIO!C115)),"PAP",
IF(ISNUMBER(SEARCH("TELA",INVENTARIO!C115)),"TEL",
IF(ISNUMBER(SEARCH("CARTULINA",INVENTARIO!C115)),"CAR",
IF(OR(ISNUMBER(SEARCH("LAMINA",INVENTARIO!C115)),ISNUMBER(SEARCH("LÁMINA",INVENTARIO!C115)),ISNUMBER(SEARCH("LAMPARAS",INVENTARIO!C115))),"LAM",
IF(ISNUMBER(SEARCH("ESTIRENO",INVENTARIO!C115)),"EST",
IF(ISNUMBER(SEARCH("FOAMBOARD",INVENTARIO!C115)),"FOA",
IF(ISNUMBER(SEARCH("SOLVENTE",INVENTARIO!C115)),"SOL",
IF(ISNUMBER(SEARCH("TINTA",INVENTARIO!C115)),"TIN",
IF(ISNUMBER(SEARCH("ACRILICO",INVENTARIO!C115)),"ACR",
IF(ISNUMBER(SEARCH("MICROLED",INVENTARIO!C115)),"MIC",
IF(ISNUMBER(SEARCH("LED",INVENTARIO!C115)),"LED",
IF(ISNUMBER(SEARCH("FUENTE DE PODER",INVENTARIO!C115)),"FUE-POD",
IF(ISNUMBER(SEARCH("PETG",INVENTARIO!C115)),"PET",
IF(ISNUMBER(SEARCH("ALUMINIO",INVENTARIO!C115)),"ALU",
IF(ISNUMBER(SEARCH("CANAL",INVENTARIO!C115)),"CAN",
IF(ISNUMBER(SEARCH("ESCUADRA",INVENTARIO!C115)),"ESC",
IF(ISNUMBER(SEARCH("SOPORTE",INVENTARIO!C115)),"SOP","OTR")
))))))))))))))))))))))))))))))</f>
        <v>SOL</v>
      </c>
      <c r="B115" t="str">
        <f>IF(ISNUMBER(SEARCH("CORTE",INVENTARIO!C115)),"COR",
IF(ISNUMBER(SEARCH("CITYLIGHT",INVENTARIO!C115)),"CIT",
IF(ISNUMBER(SEARCH("LINO",INVENTARIO!C115)),"LIN",
IF(ISNUMBER(SEARCH("FABRIANO",INVENTARIO!C115)),"FAB",
IF(ISNUMBER(SEARCH("SUNDANCE",INVENTARIO!C115)),"SUN",
IF(ISNUMBER(SEARCH("SINTETICA",INVENTARIO!C115)),"SIN",
IF(ISNUMBER(SEARCH("CONTROL",INVENTARIO!C115)),"CON",
IF(ISNUMBER(SEARCH("TERMICO",INVENTARIO!C115)),"TER",
IF(ISNUMBER(SEARCH("C-15",INVENTARIO!C115)),"C15",
IF(ISNUMBER(SEARCH("C-20",INVENTARIO!C115)),"C20",
IF(ISNUMBER(SEARCH("C-30",INVENTARIO!C115)),"C30",
IF(ISNUMBER(SEARCH("C-40",INVENTARIO!C115)),"C40",
IF(ISNUMBER(SEARCH("C-60",INVENTARIO!C115)),"C60",
IF(ISNUMBER(SEARCH("C-80",INVENTARIO!C115)),"C80",
IF(ISNUMBER(SEARCH("EQUIPO",INVENTARIO!C115)),"EQU",
IF(ISNUMBER(SEARCH("FLOOR",INVENTARIO!C115)),"FLO",
IF(ISNUMBER(SEARCH("CRISTAL",INVENTARIO!C115)),"CRI",
IF(ISNUMBER(SEARCH(" SULFATADA",INVENTARIO!C126)),"SUL",
IF(ISNUMBER(SEARCH("OPALINA",INVENTARIO!C115)),"OPA",
IF(ISNUMBER(SEARCH("ADHERIBLE",INVENTARIO!C115)),"ADH",
IF(ISNUMBER(SEARCH("MICRO",INVENTARIO!C115)),"MIC","")))))))))))))))))))))</f>
        <v>EQU</v>
      </c>
      <c r="C115" t="str">
        <f>IF(ISNUMBER(SEARCH("PARED",INVENTARIO!C115)),"PAR",
IF(ISNUMBER(SEARCH("FRONT",INVENTARIO!C115)),"FRO",
IF(ISNUMBER(SEARCH("ALTA RESISTENCIA",INVENTARIO!C115)),
"ALT-RES",IF(ISNUMBER(SEARCH("BACKLITE",INVENTARIO!C115)),"BAC",
IF(ISNUMBER(SEARCH("MATE",INVENTARIO!C115)),"MAT",
IF(ISNUMBER(SEARCH("MESH",INVENTARIO!C115)),"MES",
IF(ISNUMBER(SEARCH("BRILLANTE",INVENTARIO!C115)),"BRI",
IF(ISNUMBER(SEARCH("DELGADA",INVENTARIO!C115)),"DEL",
IF(ISNUMBER(SEARCH("GRUESA",INVENTARIO!C115)),"GRU",
IF(ISNUMBER(SEARCH("ESTATICO",INVENTARIO!C115)),"EST",
IF(ISNUMBER(SEARCH("REFLECTIVO",INVENTARIO!C115)),"REF",
IF(ISNUMBER(SEARCH("LX700",INVENTARIO!C115)),"LX7",
IF(ISNUMBER(SEARCH("GRANDO",INVENTARIO!C115)),"GRA",
IF(ISNUMBER(SEARCH("FB700",INVENTARIO!C115)),"FB7",
IF(ISNUMBER(SEARCH("LX360",INVENTARIO!C115)),"LX3",
IF(ISNUMBER(SEARCH("XEROX",INVENTARIO!C115)),"XER",
IF(ISNUMBER(SEARCH("CEPILLADO",INVENTARIO!C115)),"CEP",
IF(ISNUMBER(SEARCH("ESPEJO",INVENTARIO!C115)),"ESP",
IF(ISNUMBER(SEARCH("10 PTS",INVENTARIO!C115)),"10PT",
IF(ISNUMBER(SEARCH("12 PTS",INVENTARIO!C115)),"12PT",
IF(ISNUMBER(SEARCH("14 PTS",INVENTARIO!C115)),"14PT",
IF(ISNUMBER(SEARCH("CLASICO",INVENTARIO!C115)),"CLA",
""))))))))))))))))))))))</f>
        <v/>
      </c>
      <c r="D115" t="str">
        <f>IF(ISNUMBER(SEARCH("GRAN FORMATO",INVENTARIO!C115)),"GRA-FOR",
IF(ISNUMBER(SEARCH("CAMA PLANA",INVENTARIO!C115)),"CAM-PLA",
IF(ISNUMBER(SEARCH("GRADO INGENIERIA",INVENTARIO!C115)),"GRA-ING",
IF(ISNUMBER(SEARCH("130 GRS",INVENTARIO!C115)),"130GR",
IF(ISNUMBER(SEARCH("150 GRS",INVENTARIO!C115)),"150GR",
IF(ISNUMBER(SEARCH("185 GRS",INVENTARIO!C115)),"185GR",
IF(ISNUMBER(SEARCH("200 GRS",INVENTARIO!C115)),"200GR",
IF(ISNUMBER(SEARCH("250 GRS",INVENTARIO!C115)),"250GR",
IF(ISNUMBER(SEARCH("300 GRS",INVENTARIO!C115)),"300GR",
IF(ISNUMBER(SEARCH("350 GRS",INVENTARIO!C115)),"350GR",
IF(ISNUMBER(SEARCH("18 OZ",INVENTARIO!C115)),"18OZ",
IF(ISNUMBER(SEARCH("15 OZ",INVENTARIO!C115)),"15OZ",
IF(OR(ISNUMBER(SEARCH("13 OZ",INVENTARIO!C115)),ISNUMBER(SEARCH("13 ONZAS",INVENTARIO!C115))),"13OZ",
IF(OR(ISNUMBER(SEARCH("9 OZ",INVENTARIO!C115)),ISNUMBER(SEARCH("9 ONZAS",INVENTARIO!C115))),"09OZ",
IF(ISNUMBER(SEARCH("DOBLE CARA",INVENTARIO!C115)),"DOB-CAR",
"")))))))))))))))</f>
        <v>CAM-PLA</v>
      </c>
      <c r="E115" t="str">
        <f>IF(OR(ISNUMBER(SEARCH("TRANSPARENTE",INVENTARIO!C115)),ISNUMBER(SEARCH("TRANSPARENTES",INVENTARIO!C115))),"TRA",
IF(OR(ISNUMBER(SEARCH("BLANCO",INVENTARIO!C115)),ISNUMBER(SEARCH("BCO",INVENTARIO!C115))),"BLA",
IF(ISNUMBER(SEARCH("FOTOGRAFICO",INVENTARIO!C115)),"FOT",
IF(ISNUMBER(SEARCH("MARFIL",INVENTARIO!C115)),"MAR",
IF(ISNUMBER(SEARCH("VERDE",INVENTARIO!C115)),"VER",
IF(ISNUMBER(SEARCH("MORADO",INVENTARIO!C115)),"MOR",
IF(ISNUMBER(SEARCH("PLATA",INVENTARIO!C115)),"PLA",
IF(ISNUMBER(SEARCH("ORO",INVENTARIO!C115)),"ORO",
IF(ISNUMBER(SEARCH("AMARILLO",INVENTARIO!C115)),"AMA",
IF(ISNUMBER(SEARCH("NARANJA",INVENTARIO!C115)),"NAR",
IF(ISNUMBER(SEARCH("NEGRO",INVENTARIO!C115)),"NEG",
IF(ISNUMBER(SEARCH("ROJO",INVENTARIO!C115)),"ROJ",
IF(ISNUMBER(SEARCH("AZUL",INVENTARIO!C115)),"AZU","")))))))))))))</f>
        <v/>
      </c>
      <c r="F115" t="str">
        <f>IF(ISNUMBER(SEARCH("ARLON",INVENTARIO!C115)),"ARL",
IF(ISNUMBER(SEARCH("SUNTHINKS",INVENTARIO!C115)),"SUN",
IF(ISNUMBER(SEARCH("FRIO",INVENTARIO!C115)),"FRI",
IF(ISNUMBER(SEARCH("CALIDO",INVENTARIO!C115)),"CAL",
IF(ISNUMBER(SEARCH("CEPILLADO",INVENTARIO!C115)),"CEP",
IF(ISNUMBER(SEARCH("ESPEJO",INVENTARIO!C115)),"ESP",
""))))))</f>
        <v/>
      </c>
      <c r="G115" t="str">
        <f>IF(ISNUMBER(SEARCH("LATEX",INVENTARIO!C115)),"LAT",
IF(ISNUMBER(SEARCH("RESP. NEGRO",INVENTARIO!C115)),"RES-NEG",
IF(ISNUMBER(SEARCH("RESPALDO CAFE",INVENTARIO!C115)),"RES-CAF",
IF(ISNUMBER(SEARCH("RESPALDO GRIS",INVENTARIO!C115)),"RES-GRI",
IF(ISNUMBER(SEARCH("OPTICO",INVENTARIO!C115)),"OPT",
IF(ISNUMBER(SEARCH("1,2 MM",INVENTARIO!C115)),"1MM2",
IF(ISNUMBER(SEARCH("2 MM",INVENTARIO!C115)),"2MM",
IF(ISNUMBER(SEARCH("3 MM",INVENTARIO!C115)),"3MM",
IF(ISNUMBER(SEARCH("4 MM",INVENTARIO!C115)),"4MM",
IF(ISNUMBER(SEARCH("5 MM",INVENTARIO!C115)),"5MM",
IF(ISNUMBER(SEARCH("6 MM",INVENTARIO!C115)),"6MM",
IF(ISNUMBER(SEARCH("9 MM",INVENTARIO!C115)),"9MM",
IF(ISNUMBER(SEARCH("10 MM",INVENTARIO!C115)),"10MM","")))))))))))))</f>
        <v/>
      </c>
      <c r="H115" t="str">
        <f>IF(ISNUMBER(SEARCH("GAMA BAJA",INVENTARIO!C115)),"GAM-BAJ",
IF(ISNUMBER(SEARCH("OPTIMIZADOR",INVENTARIO!C115)),"OPT",
IF(ISNUMBER(SEARCH("OVERCOAT",INVENTARIO!C115)),"OVE",
IF(ISNUMBER(SEARCH("WHITE",INVENTARIO!C115)),"WHI",
IF(ISNUMBER(SEARCH("LIGHT CYAN",INVENTARIO!C115)),"LIG-CYA",
IF(ISNUMBER(SEARCH("CYAN",INVENTARIO!C115)),"CYA",
IF(ISNUMBER(SEARCH("LIGHT MAGENTA",INVENTARIO!C115)),"LIG-MAG",
IF(ISNUMBER(SEARCH("MAGENTA",INVENTARIO!C115)),"MAG",
IF(ISNUMBER(SEARCH("BLACK",INVENTARIO!C115)),"BLA",
IF(ISNUMBER(SEARCH("YELLOW",INVENTARIO!C115)),"YEL",
IF(ISNUMBER(SEARCH("2 DIODOS",INVENTARIO!C115)),"2DI",
IF(ISNUMBER(SEARCH("3 DIODOS",INVENTARIO!C115)),"3DI",
IF(OR(ISNUMBER(SEARCH("TRASLUCIDO",INVENTARIO!C115)),ISNUMBER(SEARCH("TRANSLUCIDO",INVENTARIO!C115))),"TRA",
"")))))))))))))</f>
        <v/>
      </c>
      <c r="I115" t="str">
        <f>IF(ISNUMBER(SEARCH("SILED",INVENTARIO!C129)),"SI",
IF(ISNUMBER(SEARCH("SYDEMEX",INVENTARIO!C129)),"SY",
IF(ISNUMBER(SEARCH("ROHS",INVENTARIO!C129)),"RO",
IF(ISNUMBER(SEARCH("RISHANG",INVENTARIO!C129)),"RS",
IF(ISNUMBER(SEARCH("VYG",INVENTARIO!C129)),"VYG",
IF(ISNUMBER(SEARCH("COLED",INVENTARIO!C129)),"CO",""))))))</f>
        <v/>
      </c>
    </row>
    <row r="116" spans="1:9">
      <c r="A116" t="str">
        <f>IF(ISNUMBER(SEARCH("LONA",INVENTARIO!C116)),"LON",
IF(ISNUMBER(SEARCH("VINIL",INVENTARIO!C116)),"VIN",
IF(ISNUMBER(SEARCH("KROMACOTE",INVENTARIO!C116)),"KRO",
IF(ISNUMBER(SEARCH("STARDREAM",INVENTARIO!C116)),"STA",
IF(ISNUMBER(SEARCH("DISPLAY",INVENTARIO!C116)),"DIS",
IF(ISNUMBER(SEARCH("ROLL UP",INVENTARIO!C116)),"ROL-UP",
IF(ISNUMBER(SEARCH("TRANSFER DE PAPEL",INVENTARIO!C116)),"TRA-PAP",
IF(ISNUMBER(SEARCH("TRANSFER",INVENTARIO!C116)),"TRA",IF(ISNUMBER(SEARCH("KOLA LOKA",INVENTARIO!C116)),"KOL-LOK",
IF(ISNUMBER(SEARCH("PETG",INVENTARIO!C116)),"PET",
IF(ISNUMBER(SEARCH("OJILLO",INVENTARIO!C116)),"OJI",
IF(ISNUMBER(SEARCH("COUCHE",INVENTARIO!C116)),"COU",
IF(ISNUMBER(SEARCH("PANEL DE ALUMINIO",INVENTARIO!C116)),"PAN-ALU",
IF(ISNUMBER(SEARCH("PVC",INVENTARIO!C116)),"PVC",
IF(ISNUMBER(SEARCH("PAPEL",INVENTARIO!C116)),"PAP",
IF(ISNUMBER(SEARCH("TELA",INVENTARIO!C116)),"TEL",
IF(ISNUMBER(SEARCH("CARTULINA",INVENTARIO!C116)),"CAR",
IF(OR(ISNUMBER(SEARCH("LAMINA",INVENTARIO!C116)),ISNUMBER(SEARCH("LÁMINA",INVENTARIO!C116)),ISNUMBER(SEARCH("LAMPARAS",INVENTARIO!C116))),"LAM",
IF(ISNUMBER(SEARCH("ESTIRENO",INVENTARIO!C116)),"EST",
IF(ISNUMBER(SEARCH("FOAMBOARD",INVENTARIO!C116)),"FOA",
IF(ISNUMBER(SEARCH("SOLVENTE",INVENTARIO!C116)),"SOL",
IF(ISNUMBER(SEARCH("TINTA",INVENTARIO!C116)),"TIN",
IF(ISNUMBER(SEARCH("ACRILICO",INVENTARIO!C116)),"ACR",
IF(ISNUMBER(SEARCH("MICROLED",INVENTARIO!C116)),"MIC",
IF(ISNUMBER(SEARCH("LED",INVENTARIO!C116)),"LED",
IF(ISNUMBER(SEARCH("FUENTE DE PODER",INVENTARIO!C116)),"FUE-POD",
IF(ISNUMBER(SEARCH("PETG",INVENTARIO!C116)),"PET",
IF(ISNUMBER(SEARCH("ALUMINIO",INVENTARIO!C116)),"ALU",
IF(ISNUMBER(SEARCH("CANAL",INVENTARIO!C116)),"CAN",
IF(ISNUMBER(SEARCH("ESCUADRA",INVENTARIO!C116)),"ESC",
IF(ISNUMBER(SEARCH("SOPORTE",INVENTARIO!C116)),"SOP","OTR")
))))))))))))))))))))))))))))))</f>
        <v>TIN</v>
      </c>
      <c r="B116" t="str">
        <f>IF(ISNUMBER(SEARCH("CORTE",INVENTARIO!C116)),"COR",
IF(ISNUMBER(SEARCH("CITYLIGHT",INVENTARIO!C116)),"CIT",
IF(ISNUMBER(SEARCH("LINO",INVENTARIO!C116)),"LIN",
IF(ISNUMBER(SEARCH("FABRIANO",INVENTARIO!C116)),"FAB",
IF(ISNUMBER(SEARCH("SUNDANCE",INVENTARIO!C116)),"SUN",
IF(ISNUMBER(SEARCH("SINTETICA",INVENTARIO!C116)),"SIN",
IF(ISNUMBER(SEARCH("CONTROL",INVENTARIO!C116)),"CON",
IF(ISNUMBER(SEARCH("TERMICO",INVENTARIO!C116)),"TER",
IF(ISNUMBER(SEARCH("C-15",INVENTARIO!C116)),"C15",
IF(ISNUMBER(SEARCH("C-20",INVENTARIO!C116)),"C20",
IF(ISNUMBER(SEARCH("C-30",INVENTARIO!C116)),"C30",
IF(ISNUMBER(SEARCH("C-40",INVENTARIO!C116)),"C40",
IF(ISNUMBER(SEARCH("C-60",INVENTARIO!C116)),"C60",
IF(ISNUMBER(SEARCH("C-80",INVENTARIO!C116)),"C80",
IF(ISNUMBER(SEARCH("EQUIPO",INVENTARIO!C116)),"EQU",
IF(ISNUMBER(SEARCH("FLOOR",INVENTARIO!C116)),"FLO",
IF(ISNUMBER(SEARCH("CRISTAL",INVENTARIO!C116)),"CRI",
IF(ISNUMBER(SEARCH(" SULFATADA",INVENTARIO!C127)),"SUL",
IF(ISNUMBER(SEARCH("OPALINA",INVENTARIO!C116)),"OPA",
IF(ISNUMBER(SEARCH("ADHERIBLE",INVENTARIO!C116)),"ADH",
IF(ISNUMBER(SEARCH("MICRO",INVENTARIO!C116)),"MIC","")))))))))))))))))))))</f>
        <v/>
      </c>
      <c r="C116" t="str">
        <f>IF(ISNUMBER(SEARCH("PARED",INVENTARIO!C116)),"PAR",
IF(ISNUMBER(SEARCH("FRONT",INVENTARIO!C116)),"FRO",
IF(ISNUMBER(SEARCH("ALTA RESISTENCIA",INVENTARIO!C116)),
"ALT-RES",IF(ISNUMBER(SEARCH("BACKLITE",INVENTARIO!C116)),"BAC",
IF(ISNUMBER(SEARCH("MATE",INVENTARIO!C116)),"MAT",
IF(ISNUMBER(SEARCH("MESH",INVENTARIO!C116)),"MES",
IF(ISNUMBER(SEARCH("BRILLANTE",INVENTARIO!C116)),"BRI",
IF(ISNUMBER(SEARCH("DELGADA",INVENTARIO!C116)),"DEL",
IF(ISNUMBER(SEARCH("GRUESA",INVENTARIO!C116)),"GRU",
IF(ISNUMBER(SEARCH("ESTATICO",INVENTARIO!C116)),"EST",
IF(ISNUMBER(SEARCH("REFLECTIVO",INVENTARIO!C116)),"REF",
IF(ISNUMBER(SEARCH("LX700",INVENTARIO!C116)),"LX7",
IF(ISNUMBER(SEARCH("GRANDO",INVENTARIO!C116)),"GRA",
IF(ISNUMBER(SEARCH("FB700",INVENTARIO!C116)),"FB7",
IF(ISNUMBER(SEARCH("LX360",INVENTARIO!C116)),"LX3",
IF(ISNUMBER(SEARCH("XEROX",INVENTARIO!C116)),"XER",
IF(ISNUMBER(SEARCH("CEPILLADO",INVENTARIO!C116)),"CEP",
IF(ISNUMBER(SEARCH("ESPEJO",INVENTARIO!C116)),"ESP",
IF(ISNUMBER(SEARCH("10 PTS",INVENTARIO!C116)),"10PT",
IF(ISNUMBER(SEARCH("12 PTS",INVENTARIO!C116)),"12PT",
IF(ISNUMBER(SEARCH("14 PTS",INVENTARIO!C116)),"14PT",
IF(ISNUMBER(SEARCH("CLASICO",INVENTARIO!C116)),"CLA",
""))))))))))))))))))))))</f>
        <v>LX7</v>
      </c>
      <c r="D116" t="str">
        <f>IF(ISNUMBER(SEARCH("GRAN FORMATO",INVENTARIO!C116)),"GRA-FOR",
IF(ISNUMBER(SEARCH("CAMA PLANA",INVENTARIO!C116)),"CAM-PLA",
IF(ISNUMBER(SEARCH("GRADO INGENIERIA",INVENTARIO!C116)),"GRA-ING",
IF(ISNUMBER(SEARCH("130 GRS",INVENTARIO!C116)),"130GR",
IF(ISNUMBER(SEARCH("150 GRS",INVENTARIO!C116)),"150GR",
IF(ISNUMBER(SEARCH("185 GRS",INVENTARIO!C116)),"185GR",
IF(ISNUMBER(SEARCH("200 GRS",INVENTARIO!C116)),"200GR",
IF(ISNUMBER(SEARCH("250 GRS",INVENTARIO!C116)),"250GR",
IF(ISNUMBER(SEARCH("300 GRS",INVENTARIO!C116)),"300GR",
IF(ISNUMBER(SEARCH("350 GRS",INVENTARIO!C116)),"350GR",
IF(ISNUMBER(SEARCH("18 OZ",INVENTARIO!C116)),"18OZ",
IF(ISNUMBER(SEARCH("15 OZ",INVENTARIO!C116)),"15OZ",
IF(OR(ISNUMBER(SEARCH("13 OZ",INVENTARIO!C116)),ISNUMBER(SEARCH("13 ONZAS",INVENTARIO!C116))),"13OZ",
IF(OR(ISNUMBER(SEARCH("9 OZ",INVENTARIO!C116)),ISNUMBER(SEARCH("9 ONZAS",INVENTARIO!C116))),"09OZ",
IF(ISNUMBER(SEARCH("DOBLE CARA",INVENTARIO!C116)),"DOB-CAR",
"")))))))))))))))</f>
        <v/>
      </c>
      <c r="E116" t="str">
        <f>IF(OR(ISNUMBER(SEARCH("TRANSPARENTE",INVENTARIO!C116)),ISNUMBER(SEARCH("TRANSPARENTES",INVENTARIO!C116))),"TRA",
IF(OR(ISNUMBER(SEARCH("BLANCO",INVENTARIO!C116)),ISNUMBER(SEARCH("BCO",INVENTARIO!C116))),"BLA",
IF(ISNUMBER(SEARCH("FOTOGRAFICO",INVENTARIO!C116)),"FOT",
IF(ISNUMBER(SEARCH("MARFIL",INVENTARIO!C116)),"MAR",
IF(ISNUMBER(SEARCH("VERDE",INVENTARIO!C116)),"VER",
IF(ISNUMBER(SEARCH("MORADO",INVENTARIO!C116)),"MOR",
IF(ISNUMBER(SEARCH("PLATA",INVENTARIO!C116)),"PLA",
IF(ISNUMBER(SEARCH("ORO",INVENTARIO!C116)),"ORO",
IF(ISNUMBER(SEARCH("AMARILLO",INVENTARIO!C116)),"AMA",
IF(ISNUMBER(SEARCH("NARANJA",INVENTARIO!C116)),"NAR",
IF(ISNUMBER(SEARCH("NEGRO",INVENTARIO!C116)),"NEG",
IF(ISNUMBER(SEARCH("ROJO",INVENTARIO!C116)),"ROJ",
IF(ISNUMBER(SEARCH("AZUL",INVENTARIO!C116)),"AZU","")))))))))))))</f>
        <v/>
      </c>
      <c r="F116" t="str">
        <f>IF(ISNUMBER(SEARCH("ARLON",INVENTARIO!C116)),"ARL",
IF(ISNUMBER(SEARCH("SUNTHINKS",INVENTARIO!C116)),"SUN",
IF(ISNUMBER(SEARCH("FRIO",INVENTARIO!C116)),"FRI",
IF(ISNUMBER(SEARCH("CALIDO",INVENTARIO!C116)),"CAL",
IF(ISNUMBER(SEARCH("CEPILLADO",INVENTARIO!C116)),"CEP",
IF(ISNUMBER(SEARCH("ESPEJO",INVENTARIO!C116)),"ESP",
""))))))</f>
        <v/>
      </c>
      <c r="G116" t="str">
        <f>IF(ISNUMBER(SEARCH("LATEX",INVENTARIO!C116)),"LAT",
IF(ISNUMBER(SEARCH("RESP. NEGRO",INVENTARIO!C116)),"RES-NEG",
IF(ISNUMBER(SEARCH("RESPALDO CAFE",INVENTARIO!C116)),"RES-CAF",
IF(ISNUMBER(SEARCH("RESPALDO GRIS",INVENTARIO!C116)),"RES-GRI",
IF(ISNUMBER(SEARCH("OPTICO",INVENTARIO!C116)),"OPT",
IF(ISNUMBER(SEARCH("1,2 MM",INVENTARIO!C116)),"1MM2",
IF(ISNUMBER(SEARCH("2 MM",INVENTARIO!C116)),"2MM",
IF(ISNUMBER(SEARCH("3 MM",INVENTARIO!C116)),"3MM",
IF(ISNUMBER(SEARCH("4 MM",INVENTARIO!C116)),"4MM",
IF(ISNUMBER(SEARCH("5 MM",INVENTARIO!C116)),"5MM",
IF(ISNUMBER(SEARCH("6 MM",INVENTARIO!C116)),"6MM",
IF(ISNUMBER(SEARCH("9 MM",INVENTARIO!C116)),"9MM",
IF(ISNUMBER(SEARCH("10 MM",INVENTARIO!C116)),"10MM","")))))))))))))</f>
        <v>LAT</v>
      </c>
      <c r="H116" t="str">
        <f>IF(ISNUMBER(SEARCH("GAMA BAJA",INVENTARIO!C116)),"GAM-BAJ",
IF(ISNUMBER(SEARCH("OPTIMIZADOR",INVENTARIO!C116)),"OPT",
IF(ISNUMBER(SEARCH("OVERCOAT",INVENTARIO!C116)),"OVE",
IF(ISNUMBER(SEARCH("WHITE",INVENTARIO!C116)),"WHI",
IF(ISNUMBER(SEARCH("LIGHT CYAN",INVENTARIO!C116)),"LIG-CYA",
IF(ISNUMBER(SEARCH("CYAN",INVENTARIO!C116)),"CYA",
IF(ISNUMBER(SEARCH("LIGHT MAGENTA",INVENTARIO!C116)),"LIG-MAG",
IF(ISNUMBER(SEARCH("MAGENTA",INVENTARIO!C116)),"MAG",
IF(ISNUMBER(SEARCH("BLACK",INVENTARIO!C116)),"BLA",
IF(ISNUMBER(SEARCH("YELLOW",INVENTARIO!C116)),"YEL",
IF(ISNUMBER(SEARCH("2 DIODOS",INVENTARIO!C116)),"2DI",
IF(ISNUMBER(SEARCH("3 DIODOS",INVENTARIO!C116)),"3DI",
IF(OR(ISNUMBER(SEARCH("TRASLUCIDO",INVENTARIO!C116)),ISNUMBER(SEARCH("TRANSLUCIDO",INVENTARIO!C116))),"TRA",
"")))))))))))))</f>
        <v>CYA</v>
      </c>
      <c r="I116" t="str">
        <f>IF(ISNUMBER(SEARCH("SILED",INVENTARIO!C130)),"SI",
IF(ISNUMBER(SEARCH("SYDEMEX",INVENTARIO!C130)),"SY",
IF(ISNUMBER(SEARCH("ROHS",INVENTARIO!C130)),"RO",
IF(ISNUMBER(SEARCH("RISHANG",INVENTARIO!C130)),"RS",
IF(ISNUMBER(SEARCH("VYG",INVENTARIO!C130)),"VYG",
IF(ISNUMBER(SEARCH("COLED",INVENTARIO!C130)),"CO",""))))))</f>
        <v/>
      </c>
    </row>
    <row r="117" spans="1:9">
      <c r="A117" t="str">
        <f>IF(ISNUMBER(SEARCH("LONA",INVENTARIO!C117)),"LON",
IF(ISNUMBER(SEARCH("VINIL",INVENTARIO!C117)),"VIN",
IF(ISNUMBER(SEARCH("KROMACOTE",INVENTARIO!C117)),"KRO",
IF(ISNUMBER(SEARCH("STARDREAM",INVENTARIO!C117)),"STA",
IF(ISNUMBER(SEARCH("DISPLAY",INVENTARIO!C117)),"DIS",
IF(ISNUMBER(SEARCH("ROLL UP",INVENTARIO!C117)),"ROL-UP",
IF(ISNUMBER(SEARCH("TRANSFER DE PAPEL",INVENTARIO!C117)),"TRA-PAP",
IF(ISNUMBER(SEARCH("TRANSFER",INVENTARIO!C117)),"TRA",IF(ISNUMBER(SEARCH("KOLA LOKA",INVENTARIO!C117)),"KOL-LOK",
IF(ISNUMBER(SEARCH("PETG",INVENTARIO!C117)),"PET",
IF(ISNUMBER(SEARCH("OJILLO",INVENTARIO!C117)),"OJI",
IF(ISNUMBER(SEARCH("COUCHE",INVENTARIO!C117)),"COU",
IF(ISNUMBER(SEARCH("PANEL DE ALUMINIO",INVENTARIO!C117)),"PAN-ALU",
IF(ISNUMBER(SEARCH("PVC",INVENTARIO!C117)),"PVC",
IF(ISNUMBER(SEARCH("PAPEL",INVENTARIO!C117)),"PAP",
IF(ISNUMBER(SEARCH("TELA",INVENTARIO!C117)),"TEL",
IF(ISNUMBER(SEARCH("CARTULINA",INVENTARIO!C117)),"CAR",
IF(OR(ISNUMBER(SEARCH("LAMINA",INVENTARIO!C117)),ISNUMBER(SEARCH("LÁMINA",INVENTARIO!C117)),ISNUMBER(SEARCH("LAMPARAS",INVENTARIO!C117))),"LAM",
IF(ISNUMBER(SEARCH("ESTIRENO",INVENTARIO!C117)),"EST",
IF(ISNUMBER(SEARCH("FOAMBOARD",INVENTARIO!C117)),"FOA",
IF(ISNUMBER(SEARCH("SOLVENTE",INVENTARIO!C117)),"SOL",
IF(ISNUMBER(SEARCH("TINTA",INVENTARIO!C117)),"TIN",
IF(ISNUMBER(SEARCH("ACRILICO",INVENTARIO!C117)),"ACR",
IF(ISNUMBER(SEARCH("MICROLED",INVENTARIO!C117)),"MIC",
IF(ISNUMBER(SEARCH("LED",INVENTARIO!C117)),"LED",
IF(ISNUMBER(SEARCH("FUENTE DE PODER",INVENTARIO!C117)),"FUE-POD",
IF(ISNUMBER(SEARCH("PETG",INVENTARIO!C117)),"PET",
IF(ISNUMBER(SEARCH("ALUMINIO",INVENTARIO!C117)),"ALU",
IF(ISNUMBER(SEARCH("CANAL",INVENTARIO!C117)),"CAN",
IF(ISNUMBER(SEARCH("ESCUADRA",INVENTARIO!C117)),"ESC",
IF(ISNUMBER(SEARCH("SOPORTE",INVENTARIO!C117)),"SOP","OTR")
))))))))))))))))))))))))))))))</f>
        <v>TIN</v>
      </c>
      <c r="B117" t="str">
        <f>IF(ISNUMBER(SEARCH("CORTE",INVENTARIO!C117)),"COR",
IF(ISNUMBER(SEARCH("CITYLIGHT",INVENTARIO!C117)),"CIT",
IF(ISNUMBER(SEARCH("LINO",INVENTARIO!C117)),"LIN",
IF(ISNUMBER(SEARCH("FABRIANO",INVENTARIO!C117)),"FAB",
IF(ISNUMBER(SEARCH("SUNDANCE",INVENTARIO!C117)),"SUN",
IF(ISNUMBER(SEARCH("SINTETICA",INVENTARIO!C117)),"SIN",
IF(ISNUMBER(SEARCH("CONTROL",INVENTARIO!C117)),"CON",
IF(ISNUMBER(SEARCH("TERMICO",INVENTARIO!C117)),"TER",
IF(ISNUMBER(SEARCH("C-15",INVENTARIO!C117)),"C15",
IF(ISNUMBER(SEARCH("C-20",INVENTARIO!C117)),"C20",
IF(ISNUMBER(SEARCH("C-30",INVENTARIO!C117)),"C30",
IF(ISNUMBER(SEARCH("C-40",INVENTARIO!C117)),"C40",
IF(ISNUMBER(SEARCH("C-60",INVENTARIO!C117)),"C60",
IF(ISNUMBER(SEARCH("C-80",INVENTARIO!C117)),"C80",
IF(ISNUMBER(SEARCH("EQUIPO",INVENTARIO!C117)),"EQU",
IF(ISNUMBER(SEARCH("FLOOR",INVENTARIO!C117)),"FLO",
IF(ISNUMBER(SEARCH("CRISTAL",INVENTARIO!C117)),"CRI",
IF(ISNUMBER(SEARCH(" SULFATADA",INVENTARIO!C128)),"SUL",
IF(ISNUMBER(SEARCH("OPALINA",INVENTARIO!C117)),"OPA",
IF(ISNUMBER(SEARCH("ADHERIBLE",INVENTARIO!C117)),"ADH",
IF(ISNUMBER(SEARCH("MICRO",INVENTARIO!C117)),"MIC","")))))))))))))))))))))</f>
        <v/>
      </c>
      <c r="C117" t="str">
        <f>IF(ISNUMBER(SEARCH("PARED",INVENTARIO!C117)),"PAR",
IF(ISNUMBER(SEARCH("FRONT",INVENTARIO!C117)),"FRO",
IF(ISNUMBER(SEARCH("ALTA RESISTENCIA",INVENTARIO!C117)),
"ALT-RES",IF(ISNUMBER(SEARCH("BACKLITE",INVENTARIO!C117)),"BAC",
IF(ISNUMBER(SEARCH("MATE",INVENTARIO!C117)),"MAT",
IF(ISNUMBER(SEARCH("MESH",INVENTARIO!C117)),"MES",
IF(ISNUMBER(SEARCH("BRILLANTE",INVENTARIO!C117)),"BRI",
IF(ISNUMBER(SEARCH("DELGADA",INVENTARIO!C117)),"DEL",
IF(ISNUMBER(SEARCH("GRUESA",INVENTARIO!C117)),"GRU",
IF(ISNUMBER(SEARCH("ESTATICO",INVENTARIO!C117)),"EST",
IF(ISNUMBER(SEARCH("REFLECTIVO",INVENTARIO!C117)),"REF",
IF(ISNUMBER(SEARCH("LX700",INVENTARIO!C117)),"LX7",
IF(ISNUMBER(SEARCH("GRANDO",INVENTARIO!C117)),"GRA",
IF(ISNUMBER(SEARCH("FB700",INVENTARIO!C117)),"FB7",
IF(ISNUMBER(SEARCH("LX360",INVENTARIO!C117)),"LX3",
IF(ISNUMBER(SEARCH("XEROX",INVENTARIO!C117)),"XER",
IF(ISNUMBER(SEARCH("CEPILLADO",INVENTARIO!C117)),"CEP",
IF(ISNUMBER(SEARCH("ESPEJO",INVENTARIO!C117)),"ESP",
IF(ISNUMBER(SEARCH("10 PTS",INVENTARIO!C117)),"10PT",
IF(ISNUMBER(SEARCH("12 PTS",INVENTARIO!C117)),"12PT",
IF(ISNUMBER(SEARCH("14 PTS",INVENTARIO!C117)),"14PT",
IF(ISNUMBER(SEARCH("CLASICO",INVENTARIO!C117)),"CLA",
""))))))))))))))))))))))</f>
        <v>LX7</v>
      </c>
      <c r="D117" t="str">
        <f>IF(ISNUMBER(SEARCH("GRAN FORMATO",INVENTARIO!C117)),"GRA-FOR",
IF(ISNUMBER(SEARCH("CAMA PLANA",INVENTARIO!C117)),"CAM-PLA",
IF(ISNUMBER(SEARCH("GRADO INGENIERIA",INVENTARIO!C117)),"GRA-ING",
IF(ISNUMBER(SEARCH("130 GRS",INVENTARIO!C117)),"130GR",
IF(ISNUMBER(SEARCH("150 GRS",INVENTARIO!C117)),"150GR",
IF(ISNUMBER(SEARCH("185 GRS",INVENTARIO!C117)),"185GR",
IF(ISNUMBER(SEARCH("200 GRS",INVENTARIO!C117)),"200GR",
IF(ISNUMBER(SEARCH("250 GRS",INVENTARIO!C117)),"250GR",
IF(ISNUMBER(SEARCH("300 GRS",INVENTARIO!C117)),"300GR",
IF(ISNUMBER(SEARCH("350 GRS",INVENTARIO!C117)),"350GR",
IF(ISNUMBER(SEARCH("18 OZ",INVENTARIO!C117)),"18OZ",
IF(ISNUMBER(SEARCH("15 OZ",INVENTARIO!C117)),"15OZ",
IF(OR(ISNUMBER(SEARCH("13 OZ",INVENTARIO!C117)),ISNUMBER(SEARCH("13 ONZAS",INVENTARIO!C117))),"13OZ",
IF(OR(ISNUMBER(SEARCH("9 OZ",INVENTARIO!C117)),ISNUMBER(SEARCH("9 ONZAS",INVENTARIO!C117))),"09OZ",
IF(ISNUMBER(SEARCH("DOBLE CARA",INVENTARIO!C117)),"DOB-CAR",
"")))))))))))))))</f>
        <v/>
      </c>
      <c r="E117" t="str">
        <f>IF(OR(ISNUMBER(SEARCH("TRANSPARENTE",INVENTARIO!C117)),ISNUMBER(SEARCH("TRANSPARENTES",INVENTARIO!C117))),"TRA",
IF(OR(ISNUMBER(SEARCH("BLANCO",INVENTARIO!C117)),ISNUMBER(SEARCH("BCO",INVENTARIO!C117))),"BLA",
IF(ISNUMBER(SEARCH("FOTOGRAFICO",INVENTARIO!C117)),"FOT",
IF(ISNUMBER(SEARCH("MARFIL",INVENTARIO!C117)),"MAR",
IF(ISNUMBER(SEARCH("VERDE",INVENTARIO!C117)),"VER",
IF(ISNUMBER(SEARCH("MORADO",INVENTARIO!C117)),"MOR",
IF(ISNUMBER(SEARCH("PLATA",INVENTARIO!C117)),"PLA",
IF(ISNUMBER(SEARCH("ORO",INVENTARIO!C117)),"ORO",
IF(ISNUMBER(SEARCH("AMARILLO",INVENTARIO!C117)),"AMA",
IF(ISNUMBER(SEARCH("NARANJA",INVENTARIO!C117)),"NAR",
IF(ISNUMBER(SEARCH("NEGRO",INVENTARIO!C117)),"NEG",
IF(ISNUMBER(SEARCH("ROJO",INVENTARIO!C117)),"ROJ",
IF(ISNUMBER(SEARCH("AZUL",INVENTARIO!C117)),"AZU","")))))))))))))</f>
        <v/>
      </c>
      <c r="F117" t="str">
        <f>IF(ISNUMBER(SEARCH("ARLON",INVENTARIO!C117)),"ARL",
IF(ISNUMBER(SEARCH("SUNTHINKS",INVENTARIO!C117)),"SUN",
IF(ISNUMBER(SEARCH("FRIO",INVENTARIO!C117)),"FRI",
IF(ISNUMBER(SEARCH("CALIDO",INVENTARIO!C117)),"CAL",
IF(ISNUMBER(SEARCH("CEPILLADO",INVENTARIO!C117)),"CEP",
IF(ISNUMBER(SEARCH("ESPEJO",INVENTARIO!C117)),"ESP",
""))))))</f>
        <v/>
      </c>
      <c r="G117" t="str">
        <f>IF(ISNUMBER(SEARCH("LATEX",INVENTARIO!C117)),"LAT",
IF(ISNUMBER(SEARCH("RESP. NEGRO",INVENTARIO!C117)),"RES-NEG",
IF(ISNUMBER(SEARCH("RESPALDO CAFE",INVENTARIO!C117)),"RES-CAF",
IF(ISNUMBER(SEARCH("RESPALDO GRIS",INVENTARIO!C117)),"RES-GRI",
IF(ISNUMBER(SEARCH("OPTICO",INVENTARIO!C117)),"OPT",
IF(ISNUMBER(SEARCH("1,2 MM",INVENTARIO!C117)),"1MM2",
IF(ISNUMBER(SEARCH("2 MM",INVENTARIO!C117)),"2MM",
IF(ISNUMBER(SEARCH("3 MM",INVENTARIO!C117)),"3MM",
IF(ISNUMBER(SEARCH("4 MM",INVENTARIO!C117)),"4MM",
IF(ISNUMBER(SEARCH("5 MM",INVENTARIO!C117)),"5MM",
IF(ISNUMBER(SEARCH("6 MM",INVENTARIO!C117)),"6MM",
IF(ISNUMBER(SEARCH("9 MM",INVENTARIO!C117)),"9MM",
IF(ISNUMBER(SEARCH("10 MM",INVENTARIO!C117)),"10MM","")))))))))))))</f>
        <v>LAT</v>
      </c>
      <c r="H117" t="str">
        <f>IF(ISNUMBER(SEARCH("GAMA BAJA",INVENTARIO!C117)),"GAM-BAJ",
IF(ISNUMBER(SEARCH("OPTIMIZADOR",INVENTARIO!C117)),"OPT",
IF(ISNUMBER(SEARCH("OVERCOAT",INVENTARIO!C117)),"OVE",
IF(ISNUMBER(SEARCH("WHITE",INVENTARIO!C117)),"WHI",
IF(ISNUMBER(SEARCH("LIGHT CYAN",INVENTARIO!C117)),"LIG-CYA",
IF(ISNUMBER(SEARCH("CYAN",INVENTARIO!C117)),"CYA",
IF(ISNUMBER(SEARCH("LIGHT MAGENTA",INVENTARIO!C117)),"LIG-MAG",
IF(ISNUMBER(SEARCH("MAGENTA",INVENTARIO!C117)),"MAG",
IF(ISNUMBER(SEARCH("BLACK",INVENTARIO!C117)),"BLA",
IF(ISNUMBER(SEARCH("YELLOW",INVENTARIO!C117)),"YEL",
IF(ISNUMBER(SEARCH("2 DIODOS",INVENTARIO!C117)),"2DI",
IF(ISNUMBER(SEARCH("3 DIODOS",INVENTARIO!C117)),"3DI",
IF(OR(ISNUMBER(SEARCH("TRASLUCIDO",INVENTARIO!C117)),ISNUMBER(SEARCH("TRANSLUCIDO",INVENTARIO!C117))),"TRA",
"")))))))))))))</f>
        <v>MAG</v>
      </c>
      <c r="I117" t="str">
        <f>IF(ISNUMBER(SEARCH("SILED",INVENTARIO!C131)),"SI",
IF(ISNUMBER(SEARCH("SYDEMEX",INVENTARIO!C131)),"SY",
IF(ISNUMBER(SEARCH("ROHS",INVENTARIO!C131)),"RO",
IF(ISNUMBER(SEARCH("RISHANG",INVENTARIO!C131)),"RS",
IF(ISNUMBER(SEARCH("VYG",INVENTARIO!C131)),"VYG",
IF(ISNUMBER(SEARCH("COLED",INVENTARIO!C131)),"CO",""))))))</f>
        <v/>
      </c>
    </row>
    <row r="118" spans="1:9">
      <c r="A118" t="str">
        <f>IF(ISNUMBER(SEARCH("LONA",INVENTARIO!C118)),"LON",
IF(ISNUMBER(SEARCH("VINIL",INVENTARIO!C118)),"VIN",
IF(ISNUMBER(SEARCH("KROMACOTE",INVENTARIO!C118)),"KRO",
IF(ISNUMBER(SEARCH("STARDREAM",INVENTARIO!C118)),"STA",
IF(ISNUMBER(SEARCH("DISPLAY",INVENTARIO!C118)),"DIS",
IF(ISNUMBER(SEARCH("ROLL UP",INVENTARIO!C118)),"ROL-UP",
IF(ISNUMBER(SEARCH("TRANSFER DE PAPEL",INVENTARIO!C118)),"TRA-PAP",
IF(ISNUMBER(SEARCH("TRANSFER",INVENTARIO!C118)),"TRA",IF(ISNUMBER(SEARCH("KOLA LOKA",INVENTARIO!C118)),"KOL-LOK",
IF(ISNUMBER(SEARCH("PETG",INVENTARIO!C118)),"PET",
IF(ISNUMBER(SEARCH("OJILLO",INVENTARIO!C118)),"OJI",
IF(ISNUMBER(SEARCH("COUCHE",INVENTARIO!C118)),"COU",
IF(ISNUMBER(SEARCH("PANEL DE ALUMINIO",INVENTARIO!C118)),"PAN-ALU",
IF(ISNUMBER(SEARCH("PVC",INVENTARIO!C118)),"PVC",
IF(ISNUMBER(SEARCH("PAPEL",INVENTARIO!C118)),"PAP",
IF(ISNUMBER(SEARCH("TELA",INVENTARIO!C118)),"TEL",
IF(ISNUMBER(SEARCH("CARTULINA",INVENTARIO!C118)),"CAR",
IF(OR(ISNUMBER(SEARCH("LAMINA",INVENTARIO!C118)),ISNUMBER(SEARCH("LÁMINA",INVENTARIO!C118)),ISNUMBER(SEARCH("LAMPARAS",INVENTARIO!C118))),"LAM",
IF(ISNUMBER(SEARCH("ESTIRENO",INVENTARIO!C118)),"EST",
IF(ISNUMBER(SEARCH("FOAMBOARD",INVENTARIO!C118)),"FOA",
IF(ISNUMBER(SEARCH("SOLVENTE",INVENTARIO!C118)),"SOL",
IF(ISNUMBER(SEARCH("TINTA",INVENTARIO!C118)),"TIN",
IF(ISNUMBER(SEARCH("ACRILICO",INVENTARIO!C118)),"ACR",
IF(ISNUMBER(SEARCH("MICROLED",INVENTARIO!C118)),"MIC",
IF(ISNUMBER(SEARCH("LED",INVENTARIO!C118)),"LED",
IF(ISNUMBER(SEARCH("FUENTE DE PODER",INVENTARIO!C118)),"FUE-POD",
IF(ISNUMBER(SEARCH("PETG",INVENTARIO!C118)),"PET",
IF(ISNUMBER(SEARCH("ALUMINIO",INVENTARIO!C118)),"ALU",
IF(ISNUMBER(SEARCH("CANAL",INVENTARIO!C118)),"CAN",
IF(ISNUMBER(SEARCH("ESCUADRA",INVENTARIO!C118)),"ESC",
IF(ISNUMBER(SEARCH("SOPORTE",INVENTARIO!C118)),"SOP","OTR")
))))))))))))))))))))))))))))))</f>
        <v>TIN</v>
      </c>
      <c r="B118" t="str">
        <f>IF(ISNUMBER(SEARCH("CORTE",INVENTARIO!C118)),"COR",
IF(ISNUMBER(SEARCH("CITYLIGHT",INVENTARIO!C118)),"CIT",
IF(ISNUMBER(SEARCH("LINO",INVENTARIO!C118)),"LIN",
IF(ISNUMBER(SEARCH("FABRIANO",INVENTARIO!C118)),"FAB",
IF(ISNUMBER(SEARCH("SUNDANCE",INVENTARIO!C118)),"SUN",
IF(ISNUMBER(SEARCH("SINTETICA",INVENTARIO!C118)),"SIN",
IF(ISNUMBER(SEARCH("CONTROL",INVENTARIO!C118)),"CON",
IF(ISNUMBER(SEARCH("TERMICO",INVENTARIO!C118)),"TER",
IF(ISNUMBER(SEARCH("C-15",INVENTARIO!C118)),"C15",
IF(ISNUMBER(SEARCH("C-20",INVENTARIO!C118)),"C20",
IF(ISNUMBER(SEARCH("C-30",INVENTARIO!C118)),"C30",
IF(ISNUMBER(SEARCH("C-40",INVENTARIO!C118)),"C40",
IF(ISNUMBER(SEARCH("C-60",INVENTARIO!C118)),"C60",
IF(ISNUMBER(SEARCH("C-80",INVENTARIO!C118)),"C80",
IF(ISNUMBER(SEARCH("EQUIPO",INVENTARIO!C118)),"EQU",
IF(ISNUMBER(SEARCH("FLOOR",INVENTARIO!C118)),"FLO",
IF(ISNUMBER(SEARCH("CRISTAL",INVENTARIO!C118)),"CRI",
IF(ISNUMBER(SEARCH(" SULFATADA",INVENTARIO!C129)),"SUL",
IF(ISNUMBER(SEARCH("OPALINA",INVENTARIO!C118)),"OPA",
IF(ISNUMBER(SEARCH("ADHERIBLE",INVENTARIO!C118)),"ADH",
IF(ISNUMBER(SEARCH("MICRO",INVENTARIO!C118)),"MIC","")))))))))))))))))))))</f>
        <v/>
      </c>
      <c r="C118" t="str">
        <f>IF(ISNUMBER(SEARCH("PARED",INVENTARIO!C118)),"PAR",
IF(ISNUMBER(SEARCH("FRONT",INVENTARIO!C118)),"FRO",
IF(ISNUMBER(SEARCH("ALTA RESISTENCIA",INVENTARIO!C118)),
"ALT-RES",IF(ISNUMBER(SEARCH("BACKLITE",INVENTARIO!C118)),"BAC",
IF(ISNUMBER(SEARCH("MATE",INVENTARIO!C118)),"MAT",
IF(ISNUMBER(SEARCH("MESH",INVENTARIO!C118)),"MES",
IF(ISNUMBER(SEARCH("BRILLANTE",INVENTARIO!C118)),"BRI",
IF(ISNUMBER(SEARCH("DELGADA",INVENTARIO!C118)),"DEL",
IF(ISNUMBER(SEARCH("GRUESA",INVENTARIO!C118)),"GRU",
IF(ISNUMBER(SEARCH("ESTATICO",INVENTARIO!C118)),"EST",
IF(ISNUMBER(SEARCH("REFLECTIVO",INVENTARIO!C118)),"REF",
IF(ISNUMBER(SEARCH("LX700",INVENTARIO!C118)),"LX7",
IF(ISNUMBER(SEARCH("GRANDO",INVENTARIO!C118)),"GRA",
IF(ISNUMBER(SEARCH("FB700",INVENTARIO!C118)),"FB7",
IF(ISNUMBER(SEARCH("LX360",INVENTARIO!C118)),"LX3",
IF(ISNUMBER(SEARCH("XEROX",INVENTARIO!C118)),"XER",
IF(ISNUMBER(SEARCH("CEPILLADO",INVENTARIO!C118)),"CEP",
IF(ISNUMBER(SEARCH("ESPEJO",INVENTARIO!C118)),"ESP",
IF(ISNUMBER(SEARCH("10 PTS",INVENTARIO!C118)),"10PT",
IF(ISNUMBER(SEARCH("12 PTS",INVENTARIO!C118)),"12PT",
IF(ISNUMBER(SEARCH("14 PTS",INVENTARIO!C118)),"14PT",
IF(ISNUMBER(SEARCH("CLASICO",INVENTARIO!C118)),"CLA",
""))))))))))))))))))))))</f>
        <v>LX7</v>
      </c>
      <c r="D118" t="str">
        <f>IF(ISNUMBER(SEARCH("GRAN FORMATO",INVENTARIO!C118)),"GRA-FOR",
IF(ISNUMBER(SEARCH("CAMA PLANA",INVENTARIO!C118)),"CAM-PLA",
IF(ISNUMBER(SEARCH("GRADO INGENIERIA",INVENTARIO!C118)),"GRA-ING",
IF(ISNUMBER(SEARCH("130 GRS",INVENTARIO!C118)),"130GR",
IF(ISNUMBER(SEARCH("150 GRS",INVENTARIO!C118)),"150GR",
IF(ISNUMBER(SEARCH("185 GRS",INVENTARIO!C118)),"185GR",
IF(ISNUMBER(SEARCH("200 GRS",INVENTARIO!C118)),"200GR",
IF(ISNUMBER(SEARCH("250 GRS",INVENTARIO!C118)),"250GR",
IF(ISNUMBER(SEARCH("300 GRS",INVENTARIO!C118)),"300GR",
IF(ISNUMBER(SEARCH("350 GRS",INVENTARIO!C118)),"350GR",
IF(ISNUMBER(SEARCH("18 OZ",INVENTARIO!C118)),"18OZ",
IF(ISNUMBER(SEARCH("15 OZ",INVENTARIO!C118)),"15OZ",
IF(OR(ISNUMBER(SEARCH("13 OZ",INVENTARIO!C118)),ISNUMBER(SEARCH("13 ONZAS",INVENTARIO!C118))),"13OZ",
IF(OR(ISNUMBER(SEARCH("9 OZ",INVENTARIO!C118)),ISNUMBER(SEARCH("9 ONZAS",INVENTARIO!C118))),"09OZ",
IF(ISNUMBER(SEARCH("DOBLE CARA",INVENTARIO!C118)),"DOB-CAR",
"")))))))))))))))</f>
        <v/>
      </c>
      <c r="E118" t="str">
        <f>IF(OR(ISNUMBER(SEARCH("TRANSPARENTE",INVENTARIO!C118)),ISNUMBER(SEARCH("TRANSPARENTES",INVENTARIO!C118))),"TRA",
IF(OR(ISNUMBER(SEARCH("BLANCO",INVENTARIO!C118)),ISNUMBER(SEARCH("BCO",INVENTARIO!C118))),"BLA",
IF(ISNUMBER(SEARCH("FOTOGRAFICO",INVENTARIO!C118)),"FOT",
IF(ISNUMBER(SEARCH("MARFIL",INVENTARIO!C118)),"MAR",
IF(ISNUMBER(SEARCH("VERDE",INVENTARIO!C118)),"VER",
IF(ISNUMBER(SEARCH("MORADO",INVENTARIO!C118)),"MOR",
IF(ISNUMBER(SEARCH("PLATA",INVENTARIO!C118)),"PLA",
IF(ISNUMBER(SEARCH("ORO",INVENTARIO!C118)),"ORO",
IF(ISNUMBER(SEARCH("AMARILLO",INVENTARIO!C118)),"AMA",
IF(ISNUMBER(SEARCH("NARANJA",INVENTARIO!C118)),"NAR",
IF(ISNUMBER(SEARCH("NEGRO",INVENTARIO!C118)),"NEG",
IF(ISNUMBER(SEARCH("ROJO",INVENTARIO!C118)),"ROJ",
IF(ISNUMBER(SEARCH("AZUL",INVENTARIO!C118)),"AZU","")))))))))))))</f>
        <v/>
      </c>
      <c r="F118" t="str">
        <f>IF(ISNUMBER(SEARCH("ARLON",INVENTARIO!C118)),"ARL",
IF(ISNUMBER(SEARCH("SUNTHINKS",INVENTARIO!C118)),"SUN",
IF(ISNUMBER(SEARCH("FRIO",INVENTARIO!C118)),"FRI",
IF(ISNUMBER(SEARCH("CALIDO",INVENTARIO!C118)),"CAL",
IF(ISNUMBER(SEARCH("CEPILLADO",INVENTARIO!C118)),"CEP",
IF(ISNUMBER(SEARCH("ESPEJO",INVENTARIO!C118)),"ESP",
""))))))</f>
        <v/>
      </c>
      <c r="G118" t="str">
        <f>IF(ISNUMBER(SEARCH("LATEX",INVENTARIO!C118)),"LAT",
IF(ISNUMBER(SEARCH("RESP. NEGRO",INVENTARIO!C118)),"RES-NEG",
IF(ISNUMBER(SEARCH("RESPALDO CAFE",INVENTARIO!C118)),"RES-CAF",
IF(ISNUMBER(SEARCH("RESPALDO GRIS",INVENTARIO!C118)),"RES-GRI",
IF(ISNUMBER(SEARCH("OPTICO",INVENTARIO!C118)),"OPT",
IF(ISNUMBER(SEARCH("1,2 MM",INVENTARIO!C118)),"1MM2",
IF(ISNUMBER(SEARCH("2 MM",INVENTARIO!C118)),"2MM",
IF(ISNUMBER(SEARCH("3 MM",INVENTARIO!C118)),"3MM",
IF(ISNUMBER(SEARCH("4 MM",INVENTARIO!C118)),"4MM",
IF(ISNUMBER(SEARCH("5 MM",INVENTARIO!C118)),"5MM",
IF(ISNUMBER(SEARCH("6 MM",INVENTARIO!C118)),"6MM",
IF(ISNUMBER(SEARCH("9 MM",INVENTARIO!C118)),"9MM",
IF(ISNUMBER(SEARCH("10 MM",INVENTARIO!C118)),"10MM","")))))))))))))</f>
        <v>LAT</v>
      </c>
      <c r="H118" t="str">
        <f>IF(ISNUMBER(SEARCH("GAMA BAJA",INVENTARIO!C118)),"GAM-BAJ",
IF(ISNUMBER(SEARCH("OPTIMIZADOR",INVENTARIO!C118)),"OPT",
IF(ISNUMBER(SEARCH("OVERCOAT",INVENTARIO!C118)),"OVE",
IF(ISNUMBER(SEARCH("WHITE",INVENTARIO!C118)),"WHI",
IF(ISNUMBER(SEARCH("LIGHT CYAN",INVENTARIO!C118)),"LIG-CYA",
IF(ISNUMBER(SEARCH("CYAN",INVENTARIO!C118)),"CYA",
IF(ISNUMBER(SEARCH("LIGHT MAGENTA",INVENTARIO!C118)),"LIG-MAG",
IF(ISNUMBER(SEARCH("MAGENTA",INVENTARIO!C118)),"MAG",
IF(ISNUMBER(SEARCH("BLACK",INVENTARIO!C118)),"BLA",
IF(ISNUMBER(SEARCH("YELLOW",INVENTARIO!C118)),"YEL",
IF(ISNUMBER(SEARCH("2 DIODOS",INVENTARIO!C118)),"2DI",
IF(ISNUMBER(SEARCH("3 DIODOS",INVENTARIO!C118)),"3DI",
IF(OR(ISNUMBER(SEARCH("TRASLUCIDO",INVENTARIO!C118)),ISNUMBER(SEARCH("TRANSLUCIDO",INVENTARIO!C118))),"TRA",
"")))))))))))))</f>
        <v>YEL</v>
      </c>
      <c r="I118" t="str">
        <f>IF(ISNUMBER(SEARCH("SILED",INVENTARIO!C132)),"SI",
IF(ISNUMBER(SEARCH("SYDEMEX",INVENTARIO!C132)),"SY",
IF(ISNUMBER(SEARCH("ROHS",INVENTARIO!C132)),"RO",
IF(ISNUMBER(SEARCH("RISHANG",INVENTARIO!C132)),"RS",
IF(ISNUMBER(SEARCH("VYG",INVENTARIO!C132)),"VYG",
IF(ISNUMBER(SEARCH("COLED",INVENTARIO!C132)),"CO",""))))))</f>
        <v/>
      </c>
    </row>
    <row r="119" spans="1:9">
      <c r="A119" t="str">
        <f>IF(ISNUMBER(SEARCH("LONA",INVENTARIO!C119)),"LON",
IF(ISNUMBER(SEARCH("VINIL",INVENTARIO!C119)),"VIN",
IF(ISNUMBER(SEARCH("KROMACOTE",INVENTARIO!C119)),"KRO",
IF(ISNUMBER(SEARCH("STARDREAM",INVENTARIO!C119)),"STA",
IF(ISNUMBER(SEARCH("DISPLAY",INVENTARIO!C119)),"DIS",
IF(ISNUMBER(SEARCH("ROLL UP",INVENTARIO!C119)),"ROL-UP",
IF(ISNUMBER(SEARCH("TRANSFER DE PAPEL",INVENTARIO!C119)),"TRA-PAP",
IF(ISNUMBER(SEARCH("TRANSFER",INVENTARIO!C119)),"TRA",IF(ISNUMBER(SEARCH("KOLA LOKA",INVENTARIO!C119)),"KOL-LOK",
IF(ISNUMBER(SEARCH("PETG",INVENTARIO!C119)),"PET",
IF(ISNUMBER(SEARCH("OJILLO",INVENTARIO!C119)),"OJI",
IF(ISNUMBER(SEARCH("COUCHE",INVENTARIO!C119)),"COU",
IF(ISNUMBER(SEARCH("PANEL DE ALUMINIO",INVENTARIO!C119)),"PAN-ALU",
IF(ISNUMBER(SEARCH("PVC",INVENTARIO!C119)),"PVC",
IF(ISNUMBER(SEARCH("PAPEL",INVENTARIO!C119)),"PAP",
IF(ISNUMBER(SEARCH("TELA",INVENTARIO!C119)),"TEL",
IF(ISNUMBER(SEARCH("CARTULINA",INVENTARIO!C119)),"CAR",
IF(OR(ISNUMBER(SEARCH("LAMINA",INVENTARIO!C119)),ISNUMBER(SEARCH("LÁMINA",INVENTARIO!C119)),ISNUMBER(SEARCH("LAMPARAS",INVENTARIO!C119))),"LAM",
IF(ISNUMBER(SEARCH("ESTIRENO",INVENTARIO!C119)),"EST",
IF(ISNUMBER(SEARCH("FOAMBOARD",INVENTARIO!C119)),"FOA",
IF(ISNUMBER(SEARCH("SOLVENTE",INVENTARIO!C119)),"SOL",
IF(ISNUMBER(SEARCH("TINTA",INVENTARIO!C119)),"TIN",
IF(ISNUMBER(SEARCH("ACRILICO",INVENTARIO!C119)),"ACR",
IF(ISNUMBER(SEARCH("MICROLED",INVENTARIO!C119)),"MIC",
IF(ISNUMBER(SEARCH("LED",INVENTARIO!C119)),"LED",
IF(ISNUMBER(SEARCH("FUENTE DE PODER",INVENTARIO!C119)),"FUE-POD",
IF(ISNUMBER(SEARCH("PETG",INVENTARIO!C119)),"PET",
IF(ISNUMBER(SEARCH("ALUMINIO",INVENTARIO!C119)),"ALU",
IF(ISNUMBER(SEARCH("CANAL",INVENTARIO!C119)),"CAN",
IF(ISNUMBER(SEARCH("ESCUADRA",INVENTARIO!C119)),"ESC",
IF(ISNUMBER(SEARCH("SOPORTE",INVENTARIO!C119)),"SOP","OTR")
))))))))))))))))))))))))))))))</f>
        <v>TIN</v>
      </c>
      <c r="B119" t="str">
        <f>IF(ISNUMBER(SEARCH("CORTE",INVENTARIO!C119)),"COR",
IF(ISNUMBER(SEARCH("CITYLIGHT",INVENTARIO!C119)),"CIT",
IF(ISNUMBER(SEARCH("LINO",INVENTARIO!C119)),"LIN",
IF(ISNUMBER(SEARCH("FABRIANO",INVENTARIO!C119)),"FAB",
IF(ISNUMBER(SEARCH("SUNDANCE",INVENTARIO!C119)),"SUN",
IF(ISNUMBER(SEARCH("SINTETICA",INVENTARIO!C119)),"SIN",
IF(ISNUMBER(SEARCH("CONTROL",INVENTARIO!C119)),"CON",
IF(ISNUMBER(SEARCH("TERMICO",INVENTARIO!C119)),"TER",
IF(ISNUMBER(SEARCH("C-15",INVENTARIO!C119)),"C15",
IF(ISNUMBER(SEARCH("C-20",INVENTARIO!C119)),"C20",
IF(ISNUMBER(SEARCH("C-30",INVENTARIO!C119)),"C30",
IF(ISNUMBER(SEARCH("C-40",INVENTARIO!C119)),"C40",
IF(ISNUMBER(SEARCH("C-60",INVENTARIO!C119)),"C60",
IF(ISNUMBER(SEARCH("C-80",INVENTARIO!C119)),"C80",
IF(ISNUMBER(SEARCH("EQUIPO",INVENTARIO!C119)),"EQU",
IF(ISNUMBER(SEARCH("FLOOR",INVENTARIO!C119)),"FLO",
IF(ISNUMBER(SEARCH("CRISTAL",INVENTARIO!C119)),"CRI",
IF(ISNUMBER(SEARCH(" SULFATADA",INVENTARIO!C130)),"SUL",
IF(ISNUMBER(SEARCH("OPALINA",INVENTARIO!C119)),"OPA",
IF(ISNUMBER(SEARCH("ADHERIBLE",INVENTARIO!C119)),"ADH",
IF(ISNUMBER(SEARCH("MICRO",INVENTARIO!C119)),"MIC","")))))))))))))))))))))</f>
        <v/>
      </c>
      <c r="C119" t="str">
        <f>IF(ISNUMBER(SEARCH("PARED",INVENTARIO!C119)),"PAR",
IF(ISNUMBER(SEARCH("FRONT",INVENTARIO!C119)),"FRO",
IF(ISNUMBER(SEARCH("ALTA RESISTENCIA",INVENTARIO!C119)),
"ALT-RES",IF(ISNUMBER(SEARCH("BACKLITE",INVENTARIO!C119)),"BAC",
IF(ISNUMBER(SEARCH("MATE",INVENTARIO!C119)),"MAT",
IF(ISNUMBER(SEARCH("MESH",INVENTARIO!C119)),"MES",
IF(ISNUMBER(SEARCH("BRILLANTE",INVENTARIO!C119)),"BRI",
IF(ISNUMBER(SEARCH("DELGADA",INVENTARIO!C119)),"DEL",
IF(ISNUMBER(SEARCH("GRUESA",INVENTARIO!C119)),"GRU",
IF(ISNUMBER(SEARCH("ESTATICO",INVENTARIO!C119)),"EST",
IF(ISNUMBER(SEARCH("REFLECTIVO",INVENTARIO!C119)),"REF",
IF(ISNUMBER(SEARCH("LX700",INVENTARIO!C119)),"LX7",
IF(ISNUMBER(SEARCH("GRANDO",INVENTARIO!C119)),"GRA",
IF(ISNUMBER(SEARCH("FB700",INVENTARIO!C119)),"FB7",
IF(ISNUMBER(SEARCH("LX360",INVENTARIO!C119)),"LX3",
IF(ISNUMBER(SEARCH("XEROX",INVENTARIO!C119)),"XER",
IF(ISNUMBER(SEARCH("CEPILLADO",INVENTARIO!C119)),"CEP",
IF(ISNUMBER(SEARCH("ESPEJO",INVENTARIO!C119)),"ESP",
IF(ISNUMBER(SEARCH("10 PTS",INVENTARIO!C119)),"10PT",
IF(ISNUMBER(SEARCH("12 PTS",INVENTARIO!C119)),"12PT",
IF(ISNUMBER(SEARCH("14 PTS",INVENTARIO!C119)),"14PT",
IF(ISNUMBER(SEARCH("CLASICO",INVENTARIO!C119)),"CLA",
""))))))))))))))))))))))</f>
        <v>LX7</v>
      </c>
      <c r="D119" t="str">
        <f>IF(ISNUMBER(SEARCH("GRAN FORMATO",INVENTARIO!C119)),"GRA-FOR",
IF(ISNUMBER(SEARCH("CAMA PLANA",INVENTARIO!C119)),"CAM-PLA",
IF(ISNUMBER(SEARCH("GRADO INGENIERIA",INVENTARIO!C119)),"GRA-ING",
IF(ISNUMBER(SEARCH("130 GRS",INVENTARIO!C119)),"130GR",
IF(ISNUMBER(SEARCH("150 GRS",INVENTARIO!C119)),"150GR",
IF(ISNUMBER(SEARCH("185 GRS",INVENTARIO!C119)),"185GR",
IF(ISNUMBER(SEARCH("200 GRS",INVENTARIO!C119)),"200GR",
IF(ISNUMBER(SEARCH("250 GRS",INVENTARIO!C119)),"250GR",
IF(ISNUMBER(SEARCH("300 GRS",INVENTARIO!C119)),"300GR",
IF(ISNUMBER(SEARCH("350 GRS",INVENTARIO!C119)),"350GR",
IF(ISNUMBER(SEARCH("18 OZ",INVENTARIO!C119)),"18OZ",
IF(ISNUMBER(SEARCH("15 OZ",INVENTARIO!C119)),"15OZ",
IF(OR(ISNUMBER(SEARCH("13 OZ",INVENTARIO!C119)),ISNUMBER(SEARCH("13 ONZAS",INVENTARIO!C119))),"13OZ",
IF(OR(ISNUMBER(SEARCH("9 OZ",INVENTARIO!C119)),ISNUMBER(SEARCH("9 ONZAS",INVENTARIO!C119))),"09OZ",
IF(ISNUMBER(SEARCH("DOBLE CARA",INVENTARIO!C119)),"DOB-CAR",
"")))))))))))))))</f>
        <v/>
      </c>
      <c r="E119" t="str">
        <f>IF(OR(ISNUMBER(SEARCH("TRANSPARENTE",INVENTARIO!C119)),ISNUMBER(SEARCH("TRANSPARENTES",INVENTARIO!C119))),"TRA",
IF(OR(ISNUMBER(SEARCH("BLANCO",INVENTARIO!C119)),ISNUMBER(SEARCH("BCO",INVENTARIO!C119))),"BLA",
IF(ISNUMBER(SEARCH("FOTOGRAFICO",INVENTARIO!C119)),"FOT",
IF(ISNUMBER(SEARCH("MARFIL",INVENTARIO!C119)),"MAR",
IF(ISNUMBER(SEARCH("VERDE",INVENTARIO!C119)),"VER",
IF(ISNUMBER(SEARCH("MORADO",INVENTARIO!C119)),"MOR",
IF(ISNUMBER(SEARCH("PLATA",INVENTARIO!C119)),"PLA",
IF(ISNUMBER(SEARCH("ORO",INVENTARIO!C119)),"ORO",
IF(ISNUMBER(SEARCH("AMARILLO",INVENTARIO!C119)),"AMA",
IF(ISNUMBER(SEARCH("NARANJA",INVENTARIO!C119)),"NAR",
IF(ISNUMBER(SEARCH("NEGRO",INVENTARIO!C119)),"NEG",
IF(ISNUMBER(SEARCH("ROJO",INVENTARIO!C119)),"ROJ",
IF(ISNUMBER(SEARCH("AZUL",INVENTARIO!C119)),"AZU","")))))))))))))</f>
        <v/>
      </c>
      <c r="F119" t="str">
        <f>IF(ISNUMBER(SEARCH("ARLON",INVENTARIO!C119)),"ARL",
IF(ISNUMBER(SEARCH("SUNTHINKS",INVENTARIO!C119)),"SUN",
IF(ISNUMBER(SEARCH("FRIO",INVENTARIO!C119)),"FRI",
IF(ISNUMBER(SEARCH("CALIDO",INVENTARIO!C119)),"CAL",
IF(ISNUMBER(SEARCH("CEPILLADO",INVENTARIO!C119)),"CEP",
IF(ISNUMBER(SEARCH("ESPEJO",INVENTARIO!C119)),"ESP",
""))))))</f>
        <v/>
      </c>
      <c r="G119" t="str">
        <f>IF(ISNUMBER(SEARCH("LATEX",INVENTARIO!C119)),"LAT",
IF(ISNUMBER(SEARCH("RESP. NEGRO",INVENTARIO!C119)),"RES-NEG",
IF(ISNUMBER(SEARCH("RESPALDO CAFE",INVENTARIO!C119)),"RES-CAF",
IF(ISNUMBER(SEARCH("RESPALDO GRIS",INVENTARIO!C119)),"RES-GRI",
IF(ISNUMBER(SEARCH("OPTICO",INVENTARIO!C119)),"OPT",
IF(ISNUMBER(SEARCH("1,2 MM",INVENTARIO!C119)),"1MM2",
IF(ISNUMBER(SEARCH("2 MM",INVENTARIO!C119)),"2MM",
IF(ISNUMBER(SEARCH("3 MM",INVENTARIO!C119)),"3MM",
IF(ISNUMBER(SEARCH("4 MM",INVENTARIO!C119)),"4MM",
IF(ISNUMBER(SEARCH("5 MM",INVENTARIO!C119)),"5MM",
IF(ISNUMBER(SEARCH("6 MM",INVENTARIO!C119)),"6MM",
IF(ISNUMBER(SEARCH("9 MM",INVENTARIO!C119)),"9MM",
IF(ISNUMBER(SEARCH("10 MM",INVENTARIO!C119)),"10MM","")))))))))))))</f>
        <v>LAT</v>
      </c>
      <c r="H119" t="str">
        <f>IF(ISNUMBER(SEARCH("GAMA BAJA",INVENTARIO!C119)),"GAM-BAJ",
IF(ISNUMBER(SEARCH("OPTIMIZADOR",INVENTARIO!C119)),"OPT",
IF(ISNUMBER(SEARCH("OVERCOAT",INVENTARIO!C119)),"OVE",
IF(ISNUMBER(SEARCH("WHITE",INVENTARIO!C119)),"WHI",
IF(ISNUMBER(SEARCH("LIGHT CYAN",INVENTARIO!C119)),"LIG-CYA",
IF(ISNUMBER(SEARCH("CYAN",INVENTARIO!C119)),"CYA",
IF(ISNUMBER(SEARCH("LIGHT MAGENTA",INVENTARIO!C119)),"LIG-MAG",
IF(ISNUMBER(SEARCH("MAGENTA",INVENTARIO!C119)),"MAG",
IF(ISNUMBER(SEARCH("BLACK",INVENTARIO!C119)),"BLA",
IF(ISNUMBER(SEARCH("YELLOW",INVENTARIO!C119)),"YEL",
IF(ISNUMBER(SEARCH("2 DIODOS",INVENTARIO!C119)),"2DI",
IF(ISNUMBER(SEARCH("3 DIODOS",INVENTARIO!C119)),"3DI",
IF(OR(ISNUMBER(SEARCH("TRASLUCIDO",INVENTARIO!C119)),ISNUMBER(SEARCH("TRANSLUCIDO",INVENTARIO!C119))),"TRA",
"")))))))))))))</f>
        <v>BLA</v>
      </c>
      <c r="I119" t="str">
        <f>IF(ISNUMBER(SEARCH("SILED",INVENTARIO!C133)),"SI",
IF(ISNUMBER(SEARCH("SYDEMEX",INVENTARIO!C133)),"SY",
IF(ISNUMBER(SEARCH("ROHS",INVENTARIO!C133)),"RO",
IF(ISNUMBER(SEARCH("RISHANG",INVENTARIO!C133)),"RS",
IF(ISNUMBER(SEARCH("VYG",INVENTARIO!C133)),"VYG",
IF(ISNUMBER(SEARCH("COLED",INVENTARIO!C133)),"CO",""))))))</f>
        <v/>
      </c>
    </row>
    <row r="120" spans="1:9">
      <c r="A120" t="str">
        <f>IF(ISNUMBER(SEARCH("LONA",INVENTARIO!C120)),"LON",
IF(ISNUMBER(SEARCH("VINIL",INVENTARIO!C120)),"VIN",
IF(ISNUMBER(SEARCH("KROMACOTE",INVENTARIO!C120)),"KRO",
IF(ISNUMBER(SEARCH("STARDREAM",INVENTARIO!C120)),"STA",
IF(ISNUMBER(SEARCH("DISPLAY",INVENTARIO!C120)),"DIS",
IF(ISNUMBER(SEARCH("ROLL UP",INVENTARIO!C120)),"ROL-UP",
IF(ISNUMBER(SEARCH("TRANSFER DE PAPEL",INVENTARIO!C120)),"TRA-PAP",
IF(ISNUMBER(SEARCH("TRANSFER",INVENTARIO!C120)),"TRA",IF(ISNUMBER(SEARCH("KOLA LOKA",INVENTARIO!C120)),"KOL-LOK",
IF(ISNUMBER(SEARCH("PETG",INVENTARIO!C120)),"PET",
IF(ISNUMBER(SEARCH("OJILLO",INVENTARIO!C120)),"OJI",
IF(ISNUMBER(SEARCH("COUCHE",INVENTARIO!C120)),"COU",
IF(ISNUMBER(SEARCH("PANEL DE ALUMINIO",INVENTARIO!C120)),"PAN-ALU",
IF(ISNUMBER(SEARCH("PVC",INVENTARIO!C120)),"PVC",
IF(ISNUMBER(SEARCH("PAPEL",INVENTARIO!C120)),"PAP",
IF(ISNUMBER(SEARCH("TELA",INVENTARIO!C120)),"TEL",
IF(ISNUMBER(SEARCH("CARTULINA",INVENTARIO!C120)),"CAR",
IF(OR(ISNUMBER(SEARCH("LAMINA",INVENTARIO!C120)),ISNUMBER(SEARCH("LÁMINA",INVENTARIO!C120)),ISNUMBER(SEARCH("LAMPARAS",INVENTARIO!C120))),"LAM",
IF(ISNUMBER(SEARCH("ESTIRENO",INVENTARIO!C120)),"EST",
IF(ISNUMBER(SEARCH("FOAMBOARD",INVENTARIO!C120)),"FOA",
IF(ISNUMBER(SEARCH("SOLVENTE",INVENTARIO!C120)),"SOL",
IF(ISNUMBER(SEARCH("TINTA",INVENTARIO!C120)),"TIN",
IF(ISNUMBER(SEARCH("ACRILICO",INVENTARIO!C120)),"ACR",
IF(ISNUMBER(SEARCH("MICROLED",INVENTARIO!C120)),"MIC",
IF(ISNUMBER(SEARCH("LED",INVENTARIO!C120)),"LED",
IF(ISNUMBER(SEARCH("FUENTE DE PODER",INVENTARIO!C120)),"FUE-POD",
IF(ISNUMBER(SEARCH("PETG",INVENTARIO!C120)),"PET",
IF(ISNUMBER(SEARCH("ALUMINIO",INVENTARIO!C120)),"ALU",
IF(ISNUMBER(SEARCH("CANAL",INVENTARIO!C120)),"CAN",
IF(ISNUMBER(SEARCH("ESCUADRA",INVENTARIO!C120)),"ESC",
IF(ISNUMBER(SEARCH("SOPORTE",INVENTARIO!C120)),"SOP","OTR")
))))))))))))))))))))))))))))))</f>
        <v>TIN</v>
      </c>
      <c r="B120" t="str">
        <f>IF(ISNUMBER(SEARCH("CORTE",INVENTARIO!C120)),"COR",
IF(ISNUMBER(SEARCH("CITYLIGHT",INVENTARIO!C120)),"CIT",
IF(ISNUMBER(SEARCH("LINO",INVENTARIO!C120)),"LIN",
IF(ISNUMBER(SEARCH("FABRIANO",INVENTARIO!C120)),"FAB",
IF(ISNUMBER(SEARCH("SUNDANCE",INVENTARIO!C120)),"SUN",
IF(ISNUMBER(SEARCH("SINTETICA",INVENTARIO!C120)),"SIN",
IF(ISNUMBER(SEARCH("CONTROL",INVENTARIO!C120)),"CON",
IF(ISNUMBER(SEARCH("TERMICO",INVENTARIO!C120)),"TER",
IF(ISNUMBER(SEARCH("C-15",INVENTARIO!C120)),"C15",
IF(ISNUMBER(SEARCH("C-20",INVENTARIO!C120)),"C20",
IF(ISNUMBER(SEARCH("C-30",INVENTARIO!C120)),"C30",
IF(ISNUMBER(SEARCH("C-40",INVENTARIO!C120)),"C40",
IF(ISNUMBER(SEARCH("C-60",INVENTARIO!C120)),"C60",
IF(ISNUMBER(SEARCH("C-80",INVENTARIO!C120)),"C80",
IF(ISNUMBER(SEARCH("EQUIPO",INVENTARIO!C120)),"EQU",
IF(ISNUMBER(SEARCH("FLOOR",INVENTARIO!C120)),"FLO",
IF(ISNUMBER(SEARCH("CRISTAL",INVENTARIO!C120)),"CRI",
IF(ISNUMBER(SEARCH(" SULFATADA",INVENTARIO!C131)),"SUL",
IF(ISNUMBER(SEARCH("OPALINA",INVENTARIO!C120)),"OPA",
IF(ISNUMBER(SEARCH("ADHERIBLE",INVENTARIO!C120)),"ADH",
IF(ISNUMBER(SEARCH("MICRO",INVENTARIO!C120)),"MIC","")))))))))))))))))))))</f>
        <v/>
      </c>
      <c r="C120" t="str">
        <f>IF(ISNUMBER(SEARCH("PARED",INVENTARIO!C120)),"PAR",
IF(ISNUMBER(SEARCH("FRONT",INVENTARIO!C120)),"FRO",
IF(ISNUMBER(SEARCH("ALTA RESISTENCIA",INVENTARIO!C120)),
"ALT-RES",IF(ISNUMBER(SEARCH("BACKLITE",INVENTARIO!C120)),"BAC",
IF(ISNUMBER(SEARCH("MATE",INVENTARIO!C120)),"MAT",
IF(ISNUMBER(SEARCH("MESH",INVENTARIO!C120)),"MES",
IF(ISNUMBER(SEARCH("BRILLANTE",INVENTARIO!C120)),"BRI",
IF(ISNUMBER(SEARCH("DELGADA",INVENTARIO!C120)),"DEL",
IF(ISNUMBER(SEARCH("GRUESA",INVENTARIO!C120)),"GRU",
IF(ISNUMBER(SEARCH("ESTATICO",INVENTARIO!C120)),"EST",
IF(ISNUMBER(SEARCH("REFLECTIVO",INVENTARIO!C120)),"REF",
IF(ISNUMBER(SEARCH("LX700",INVENTARIO!C120)),"LX7",
IF(ISNUMBER(SEARCH("GRANDO",INVENTARIO!C120)),"GRA",
IF(ISNUMBER(SEARCH("FB700",INVENTARIO!C120)),"FB7",
IF(ISNUMBER(SEARCH("LX360",INVENTARIO!C120)),"LX3",
IF(ISNUMBER(SEARCH("XEROX",INVENTARIO!C120)),"XER",
IF(ISNUMBER(SEARCH("CEPILLADO",INVENTARIO!C120)),"CEP",
IF(ISNUMBER(SEARCH("ESPEJO",INVENTARIO!C120)),"ESP",
IF(ISNUMBER(SEARCH("10 PTS",INVENTARIO!C120)),"10PT",
IF(ISNUMBER(SEARCH("12 PTS",INVENTARIO!C120)),"12PT",
IF(ISNUMBER(SEARCH("14 PTS",INVENTARIO!C120)),"14PT",
IF(ISNUMBER(SEARCH("CLASICO",INVENTARIO!C120)),"CLA",
""))))))))))))))))))))))</f>
        <v>LX7</v>
      </c>
      <c r="D120" t="str">
        <f>IF(ISNUMBER(SEARCH("GRAN FORMATO",INVENTARIO!C120)),"GRA-FOR",
IF(ISNUMBER(SEARCH("CAMA PLANA",INVENTARIO!C120)),"CAM-PLA",
IF(ISNUMBER(SEARCH("GRADO INGENIERIA",INVENTARIO!C120)),"GRA-ING",
IF(ISNUMBER(SEARCH("130 GRS",INVENTARIO!C120)),"130GR",
IF(ISNUMBER(SEARCH("150 GRS",INVENTARIO!C120)),"150GR",
IF(ISNUMBER(SEARCH("185 GRS",INVENTARIO!C120)),"185GR",
IF(ISNUMBER(SEARCH("200 GRS",INVENTARIO!C120)),"200GR",
IF(ISNUMBER(SEARCH("250 GRS",INVENTARIO!C120)),"250GR",
IF(ISNUMBER(SEARCH("300 GRS",INVENTARIO!C120)),"300GR",
IF(ISNUMBER(SEARCH("350 GRS",INVENTARIO!C120)),"350GR",
IF(ISNUMBER(SEARCH("18 OZ",INVENTARIO!C120)),"18OZ",
IF(ISNUMBER(SEARCH("15 OZ",INVENTARIO!C120)),"15OZ",
IF(OR(ISNUMBER(SEARCH("13 OZ",INVENTARIO!C120)),ISNUMBER(SEARCH("13 ONZAS",INVENTARIO!C120))),"13OZ",
IF(OR(ISNUMBER(SEARCH("9 OZ",INVENTARIO!C120)),ISNUMBER(SEARCH("9 ONZAS",INVENTARIO!C120))),"09OZ",
IF(ISNUMBER(SEARCH("DOBLE CARA",INVENTARIO!C120)),"DOB-CAR",
"")))))))))))))))</f>
        <v/>
      </c>
      <c r="E120" t="str">
        <f>IF(OR(ISNUMBER(SEARCH("TRANSPARENTE",INVENTARIO!C120)),ISNUMBER(SEARCH("TRANSPARENTES",INVENTARIO!C120))),"TRA",
IF(OR(ISNUMBER(SEARCH("BLANCO",INVENTARIO!C120)),ISNUMBER(SEARCH("BCO",INVENTARIO!C120))),"BLA",
IF(ISNUMBER(SEARCH("FOTOGRAFICO",INVENTARIO!C120)),"FOT",
IF(ISNUMBER(SEARCH("MARFIL",INVENTARIO!C120)),"MAR",
IF(ISNUMBER(SEARCH("VERDE",INVENTARIO!C120)),"VER",
IF(ISNUMBER(SEARCH("MORADO",INVENTARIO!C120)),"MOR",
IF(ISNUMBER(SEARCH("PLATA",INVENTARIO!C120)),"PLA",
IF(ISNUMBER(SEARCH("ORO",INVENTARIO!C120)),"ORO",
IF(ISNUMBER(SEARCH("AMARILLO",INVENTARIO!C120)),"AMA",
IF(ISNUMBER(SEARCH("NARANJA",INVENTARIO!C120)),"NAR",
IF(ISNUMBER(SEARCH("NEGRO",INVENTARIO!C120)),"NEG",
IF(ISNUMBER(SEARCH("ROJO",INVENTARIO!C120)),"ROJ",
IF(ISNUMBER(SEARCH("AZUL",INVENTARIO!C120)),"AZU","")))))))))))))</f>
        <v/>
      </c>
      <c r="F120" t="str">
        <f>IF(ISNUMBER(SEARCH("ARLON",INVENTARIO!C120)),"ARL",
IF(ISNUMBER(SEARCH("SUNTHINKS",INVENTARIO!C120)),"SUN",
IF(ISNUMBER(SEARCH("FRIO",INVENTARIO!C120)),"FRI",
IF(ISNUMBER(SEARCH("CALIDO",INVENTARIO!C120)),"CAL",
IF(ISNUMBER(SEARCH("CEPILLADO",INVENTARIO!C120)),"CEP",
IF(ISNUMBER(SEARCH("ESPEJO",INVENTARIO!C120)),"ESP",
""))))))</f>
        <v/>
      </c>
      <c r="G120" t="str">
        <f>IF(ISNUMBER(SEARCH("LATEX",INVENTARIO!C120)),"LAT",
IF(ISNUMBER(SEARCH("RESP. NEGRO",INVENTARIO!C120)),"RES-NEG",
IF(ISNUMBER(SEARCH("RESPALDO CAFE",INVENTARIO!C120)),"RES-CAF",
IF(ISNUMBER(SEARCH("RESPALDO GRIS",INVENTARIO!C120)),"RES-GRI",
IF(ISNUMBER(SEARCH("OPTICO",INVENTARIO!C120)),"OPT",
IF(ISNUMBER(SEARCH("1,2 MM",INVENTARIO!C120)),"1MM2",
IF(ISNUMBER(SEARCH("2 MM",INVENTARIO!C120)),"2MM",
IF(ISNUMBER(SEARCH("3 MM",INVENTARIO!C120)),"3MM",
IF(ISNUMBER(SEARCH("4 MM",INVENTARIO!C120)),"4MM",
IF(ISNUMBER(SEARCH("5 MM",INVENTARIO!C120)),"5MM",
IF(ISNUMBER(SEARCH("6 MM",INVENTARIO!C120)),"6MM",
IF(ISNUMBER(SEARCH("9 MM",INVENTARIO!C120)),"9MM",
IF(ISNUMBER(SEARCH("10 MM",INVENTARIO!C120)),"10MM","")))))))))))))</f>
        <v>LAT</v>
      </c>
      <c r="H120" t="str">
        <f>IF(ISNUMBER(SEARCH("GAMA BAJA",INVENTARIO!C120)),"GAM-BAJ",
IF(ISNUMBER(SEARCH("OPTIMIZADOR",INVENTARIO!C120)),"OPT",
IF(ISNUMBER(SEARCH("OVERCOAT",INVENTARIO!C120)),"OVE",
IF(ISNUMBER(SEARCH("WHITE",INVENTARIO!C120)),"WHI",
IF(ISNUMBER(SEARCH("LIGHT CYAN",INVENTARIO!C120)),"LIG-CYA",
IF(ISNUMBER(SEARCH("CYAN",INVENTARIO!C120)),"CYA",
IF(ISNUMBER(SEARCH("LIGHT MAGENTA",INVENTARIO!C120)),"LIG-MAG",
IF(ISNUMBER(SEARCH("MAGENTA",INVENTARIO!C120)),"MAG",
IF(ISNUMBER(SEARCH("BLACK",INVENTARIO!C120)),"BLA",
IF(ISNUMBER(SEARCH("YELLOW",INVENTARIO!C120)),"YEL",
IF(ISNUMBER(SEARCH("2 DIODOS",INVENTARIO!C120)),"2DI",
IF(ISNUMBER(SEARCH("3 DIODOS",INVENTARIO!C120)),"3DI",
IF(OR(ISNUMBER(SEARCH("TRASLUCIDO",INVENTARIO!C120)),ISNUMBER(SEARCH("TRANSLUCIDO",INVENTARIO!C120))),"TRA",
"")))))))))))))</f>
        <v>LIG-CYA</v>
      </c>
      <c r="I120" t="str">
        <f>IF(ISNUMBER(SEARCH("SILED",INVENTARIO!C134)),"SI",
IF(ISNUMBER(SEARCH("SYDEMEX",INVENTARIO!C134)),"SY",
IF(ISNUMBER(SEARCH("ROHS",INVENTARIO!C134)),"RO",
IF(ISNUMBER(SEARCH("RISHANG",INVENTARIO!C134)),"RS",
IF(ISNUMBER(SEARCH("VYG",INVENTARIO!C134)),"VYG",
IF(ISNUMBER(SEARCH("COLED",INVENTARIO!C134)),"CO",""))))))</f>
        <v/>
      </c>
    </row>
    <row r="121" spans="1:9">
      <c r="A121" t="str">
        <f>IF(ISNUMBER(SEARCH("LONA",INVENTARIO!C121)),"LON",
IF(ISNUMBER(SEARCH("VINIL",INVENTARIO!C121)),"VIN",
IF(ISNUMBER(SEARCH("KROMACOTE",INVENTARIO!C121)),"KRO",
IF(ISNUMBER(SEARCH("STARDREAM",INVENTARIO!C121)),"STA",
IF(ISNUMBER(SEARCH("DISPLAY",INVENTARIO!C121)),"DIS",
IF(ISNUMBER(SEARCH("ROLL UP",INVENTARIO!C121)),"ROL-UP",
IF(ISNUMBER(SEARCH("TRANSFER DE PAPEL",INVENTARIO!C121)),"TRA-PAP",
IF(ISNUMBER(SEARCH("TRANSFER",INVENTARIO!C121)),"TRA",IF(ISNUMBER(SEARCH("KOLA LOKA",INVENTARIO!C121)),"KOL-LOK",
IF(ISNUMBER(SEARCH("PETG",INVENTARIO!C121)),"PET",
IF(ISNUMBER(SEARCH("OJILLO",INVENTARIO!C121)),"OJI",
IF(ISNUMBER(SEARCH("COUCHE",INVENTARIO!C121)),"COU",
IF(ISNUMBER(SEARCH("PANEL DE ALUMINIO",INVENTARIO!C121)),"PAN-ALU",
IF(ISNUMBER(SEARCH("PVC",INVENTARIO!C121)),"PVC",
IF(ISNUMBER(SEARCH("PAPEL",INVENTARIO!C121)),"PAP",
IF(ISNUMBER(SEARCH("TELA",INVENTARIO!C121)),"TEL",
IF(ISNUMBER(SEARCH("CARTULINA",INVENTARIO!C121)),"CAR",
IF(OR(ISNUMBER(SEARCH("LAMINA",INVENTARIO!C121)),ISNUMBER(SEARCH("LÁMINA",INVENTARIO!C121)),ISNUMBER(SEARCH("LAMPARAS",INVENTARIO!C121))),"LAM",
IF(ISNUMBER(SEARCH("ESTIRENO",INVENTARIO!C121)),"EST",
IF(ISNUMBER(SEARCH("FOAMBOARD",INVENTARIO!C121)),"FOA",
IF(ISNUMBER(SEARCH("SOLVENTE",INVENTARIO!C121)),"SOL",
IF(ISNUMBER(SEARCH("TINTA",INVENTARIO!C121)),"TIN",
IF(ISNUMBER(SEARCH("ACRILICO",INVENTARIO!C121)),"ACR",
IF(ISNUMBER(SEARCH("MICROLED",INVENTARIO!C121)),"MIC",
IF(ISNUMBER(SEARCH("LED",INVENTARIO!C121)),"LED",
IF(ISNUMBER(SEARCH("FUENTE DE PODER",INVENTARIO!C121)),"FUE-POD",
IF(ISNUMBER(SEARCH("PETG",INVENTARIO!C121)),"PET",
IF(ISNUMBER(SEARCH("ALUMINIO",INVENTARIO!C121)),"ALU",
IF(ISNUMBER(SEARCH("CANAL",INVENTARIO!C121)),"CAN",
IF(ISNUMBER(SEARCH("ESCUADRA",INVENTARIO!C121)),"ESC",
IF(ISNUMBER(SEARCH("SOPORTE",INVENTARIO!C121)),"SOP","OTR")
))))))))))))))))))))))))))))))</f>
        <v>TIN</v>
      </c>
      <c r="B121" t="str">
        <f>IF(ISNUMBER(SEARCH("CORTE",INVENTARIO!C121)),"COR",
IF(ISNUMBER(SEARCH("CITYLIGHT",INVENTARIO!C121)),"CIT",
IF(ISNUMBER(SEARCH("LINO",INVENTARIO!C121)),"LIN",
IF(ISNUMBER(SEARCH("FABRIANO",INVENTARIO!C121)),"FAB",
IF(ISNUMBER(SEARCH("SUNDANCE",INVENTARIO!C121)),"SUN",
IF(ISNUMBER(SEARCH("SINTETICA",INVENTARIO!C121)),"SIN",
IF(ISNUMBER(SEARCH("CONTROL",INVENTARIO!C121)),"CON",
IF(ISNUMBER(SEARCH("TERMICO",INVENTARIO!C121)),"TER",
IF(ISNUMBER(SEARCH("C-15",INVENTARIO!C121)),"C15",
IF(ISNUMBER(SEARCH("C-20",INVENTARIO!C121)),"C20",
IF(ISNUMBER(SEARCH("C-30",INVENTARIO!C121)),"C30",
IF(ISNUMBER(SEARCH("C-40",INVENTARIO!C121)),"C40",
IF(ISNUMBER(SEARCH("C-60",INVENTARIO!C121)),"C60",
IF(ISNUMBER(SEARCH("C-80",INVENTARIO!C121)),"C80",
IF(ISNUMBER(SEARCH("EQUIPO",INVENTARIO!C121)),"EQU",
IF(ISNUMBER(SEARCH("FLOOR",INVENTARIO!C121)),"FLO",
IF(ISNUMBER(SEARCH("CRISTAL",INVENTARIO!C121)),"CRI",
IF(ISNUMBER(SEARCH(" SULFATADA",INVENTARIO!C132)),"SUL",
IF(ISNUMBER(SEARCH("OPALINA",INVENTARIO!C121)),"OPA",
IF(ISNUMBER(SEARCH("ADHERIBLE",INVENTARIO!C121)),"ADH",
IF(ISNUMBER(SEARCH("MICRO",INVENTARIO!C121)),"MIC","")))))))))))))))))))))</f>
        <v/>
      </c>
      <c r="C121" t="str">
        <f>IF(ISNUMBER(SEARCH("PARED",INVENTARIO!C121)),"PAR",
IF(ISNUMBER(SEARCH("FRONT",INVENTARIO!C121)),"FRO",
IF(ISNUMBER(SEARCH("ALTA RESISTENCIA",INVENTARIO!C121)),
"ALT-RES",IF(ISNUMBER(SEARCH("BACKLITE",INVENTARIO!C121)),"BAC",
IF(ISNUMBER(SEARCH("MATE",INVENTARIO!C121)),"MAT",
IF(ISNUMBER(SEARCH("MESH",INVENTARIO!C121)),"MES",
IF(ISNUMBER(SEARCH("BRILLANTE",INVENTARIO!C121)),"BRI",
IF(ISNUMBER(SEARCH("DELGADA",INVENTARIO!C121)),"DEL",
IF(ISNUMBER(SEARCH("GRUESA",INVENTARIO!C121)),"GRU",
IF(ISNUMBER(SEARCH("ESTATICO",INVENTARIO!C121)),"EST",
IF(ISNUMBER(SEARCH("REFLECTIVO",INVENTARIO!C121)),"REF",
IF(ISNUMBER(SEARCH("LX700",INVENTARIO!C121)),"LX7",
IF(ISNUMBER(SEARCH("GRANDO",INVENTARIO!C121)),"GRA",
IF(ISNUMBER(SEARCH("FB700",INVENTARIO!C121)),"FB7",
IF(ISNUMBER(SEARCH("LX360",INVENTARIO!C121)),"LX3",
IF(ISNUMBER(SEARCH("XEROX",INVENTARIO!C121)),"XER",
IF(ISNUMBER(SEARCH("CEPILLADO",INVENTARIO!C121)),"CEP",
IF(ISNUMBER(SEARCH("ESPEJO",INVENTARIO!C121)),"ESP",
IF(ISNUMBER(SEARCH("10 PTS",INVENTARIO!C121)),"10PT",
IF(ISNUMBER(SEARCH("12 PTS",INVENTARIO!C121)),"12PT",
IF(ISNUMBER(SEARCH("14 PTS",INVENTARIO!C121)),"14PT",
IF(ISNUMBER(SEARCH("CLASICO",INVENTARIO!C121)),"CLA",
""))))))))))))))))))))))</f>
        <v>LX7</v>
      </c>
      <c r="D121" t="str">
        <f>IF(ISNUMBER(SEARCH("GRAN FORMATO",INVENTARIO!C121)),"GRA-FOR",
IF(ISNUMBER(SEARCH("CAMA PLANA",INVENTARIO!C121)),"CAM-PLA",
IF(ISNUMBER(SEARCH("GRADO INGENIERIA",INVENTARIO!C121)),"GRA-ING",
IF(ISNUMBER(SEARCH("130 GRS",INVENTARIO!C121)),"130GR",
IF(ISNUMBER(SEARCH("150 GRS",INVENTARIO!C121)),"150GR",
IF(ISNUMBER(SEARCH("185 GRS",INVENTARIO!C121)),"185GR",
IF(ISNUMBER(SEARCH("200 GRS",INVENTARIO!C121)),"200GR",
IF(ISNUMBER(SEARCH("250 GRS",INVENTARIO!C121)),"250GR",
IF(ISNUMBER(SEARCH("300 GRS",INVENTARIO!C121)),"300GR",
IF(ISNUMBER(SEARCH("350 GRS",INVENTARIO!C121)),"350GR",
IF(ISNUMBER(SEARCH("18 OZ",INVENTARIO!C121)),"18OZ",
IF(ISNUMBER(SEARCH("15 OZ",INVENTARIO!C121)),"15OZ",
IF(OR(ISNUMBER(SEARCH("13 OZ",INVENTARIO!C121)),ISNUMBER(SEARCH("13 ONZAS",INVENTARIO!C121))),"13OZ",
IF(OR(ISNUMBER(SEARCH("9 OZ",INVENTARIO!C121)),ISNUMBER(SEARCH("9 ONZAS",INVENTARIO!C121))),"09OZ",
IF(ISNUMBER(SEARCH("DOBLE CARA",INVENTARIO!C121)),"DOB-CAR",
"")))))))))))))))</f>
        <v/>
      </c>
      <c r="E121" t="str">
        <f>IF(OR(ISNUMBER(SEARCH("TRANSPARENTE",INVENTARIO!C121)),ISNUMBER(SEARCH("TRANSPARENTES",INVENTARIO!C121))),"TRA",
IF(OR(ISNUMBER(SEARCH("BLANCO",INVENTARIO!C121)),ISNUMBER(SEARCH("BCO",INVENTARIO!C121))),"BLA",
IF(ISNUMBER(SEARCH("FOTOGRAFICO",INVENTARIO!C121)),"FOT",
IF(ISNUMBER(SEARCH("MARFIL",INVENTARIO!C121)),"MAR",
IF(ISNUMBER(SEARCH("VERDE",INVENTARIO!C121)),"VER",
IF(ISNUMBER(SEARCH("MORADO",INVENTARIO!C121)),"MOR",
IF(ISNUMBER(SEARCH("PLATA",INVENTARIO!C121)),"PLA",
IF(ISNUMBER(SEARCH("ORO",INVENTARIO!C121)),"ORO",
IF(ISNUMBER(SEARCH("AMARILLO",INVENTARIO!C121)),"AMA",
IF(ISNUMBER(SEARCH("NARANJA",INVENTARIO!C121)),"NAR",
IF(ISNUMBER(SEARCH("NEGRO",INVENTARIO!C121)),"NEG",
IF(ISNUMBER(SEARCH("ROJO",INVENTARIO!C121)),"ROJ",
IF(ISNUMBER(SEARCH("AZUL",INVENTARIO!C121)),"AZU","")))))))))))))</f>
        <v/>
      </c>
      <c r="F121" t="str">
        <f>IF(ISNUMBER(SEARCH("ARLON",INVENTARIO!C121)),"ARL",
IF(ISNUMBER(SEARCH("SUNTHINKS",INVENTARIO!C121)),"SUN",
IF(ISNUMBER(SEARCH("FRIO",INVENTARIO!C121)),"FRI",
IF(ISNUMBER(SEARCH("CALIDO",INVENTARIO!C121)),"CAL",
IF(ISNUMBER(SEARCH("CEPILLADO",INVENTARIO!C121)),"CEP",
IF(ISNUMBER(SEARCH("ESPEJO",INVENTARIO!C121)),"ESP",
""))))))</f>
        <v/>
      </c>
      <c r="G121" t="str">
        <f>IF(ISNUMBER(SEARCH("LATEX",INVENTARIO!C121)),"LAT",
IF(ISNUMBER(SEARCH("RESP. NEGRO",INVENTARIO!C121)),"RES-NEG",
IF(ISNUMBER(SEARCH("RESPALDO CAFE",INVENTARIO!C121)),"RES-CAF",
IF(ISNUMBER(SEARCH("RESPALDO GRIS",INVENTARIO!C121)),"RES-GRI",
IF(ISNUMBER(SEARCH("OPTICO",INVENTARIO!C121)),"OPT",
IF(ISNUMBER(SEARCH("1,2 MM",INVENTARIO!C121)),"1MM2",
IF(ISNUMBER(SEARCH("2 MM",INVENTARIO!C121)),"2MM",
IF(ISNUMBER(SEARCH("3 MM",INVENTARIO!C121)),"3MM",
IF(ISNUMBER(SEARCH("4 MM",INVENTARIO!C121)),"4MM",
IF(ISNUMBER(SEARCH("5 MM",INVENTARIO!C121)),"5MM",
IF(ISNUMBER(SEARCH("6 MM",INVENTARIO!C121)),"6MM",
IF(ISNUMBER(SEARCH("9 MM",INVENTARIO!C121)),"9MM",
IF(ISNUMBER(SEARCH("10 MM",INVENTARIO!C121)),"10MM","")))))))))))))</f>
        <v>LAT</v>
      </c>
      <c r="H121" t="str">
        <f>IF(ISNUMBER(SEARCH("GAMA BAJA",INVENTARIO!C121)),"GAM-BAJ",
IF(ISNUMBER(SEARCH("OPTIMIZADOR",INVENTARIO!C121)),"OPT",
IF(ISNUMBER(SEARCH("OVERCOAT",INVENTARIO!C121)),"OVE",
IF(ISNUMBER(SEARCH("WHITE",INVENTARIO!C121)),"WHI",
IF(ISNUMBER(SEARCH("LIGHT CYAN",INVENTARIO!C121)),"LIG-CYA",
IF(ISNUMBER(SEARCH("CYAN",INVENTARIO!C121)),"CYA",
IF(ISNUMBER(SEARCH("LIGHT MAGENTA",INVENTARIO!C121)),"LIG-MAG",
IF(ISNUMBER(SEARCH("MAGENTA",INVENTARIO!C121)),"MAG",
IF(ISNUMBER(SEARCH("BLACK",INVENTARIO!C121)),"BLA",
IF(ISNUMBER(SEARCH("YELLOW",INVENTARIO!C121)),"YEL",
IF(ISNUMBER(SEARCH("2 DIODOS",INVENTARIO!C121)),"2DI",
IF(ISNUMBER(SEARCH("3 DIODOS",INVENTARIO!C121)),"3DI",
IF(OR(ISNUMBER(SEARCH("TRASLUCIDO",INVENTARIO!C121)),ISNUMBER(SEARCH("TRANSLUCIDO",INVENTARIO!C121))),"TRA",
"")))))))))))))</f>
        <v>LIG-MAG</v>
      </c>
      <c r="I121" t="str">
        <f>IF(ISNUMBER(SEARCH("SILED",INVENTARIO!C135)),"SI",
IF(ISNUMBER(SEARCH("SYDEMEX",INVENTARIO!C135)),"SY",
IF(ISNUMBER(SEARCH("ROHS",INVENTARIO!C135)),"RO",
IF(ISNUMBER(SEARCH("RISHANG",INVENTARIO!C135)),"RS",
IF(ISNUMBER(SEARCH("VYG",INVENTARIO!C135)),"VYG",
IF(ISNUMBER(SEARCH("COLED",INVENTARIO!C135)),"CO",""))))))</f>
        <v/>
      </c>
    </row>
    <row r="122" spans="1:9">
      <c r="A122" t="str">
        <f>IF(ISNUMBER(SEARCH("LONA",INVENTARIO!C122)),"LON",
IF(ISNUMBER(SEARCH("VINIL",INVENTARIO!C122)),"VIN",
IF(ISNUMBER(SEARCH("KROMACOTE",INVENTARIO!C122)),"KRO",
IF(ISNUMBER(SEARCH("STARDREAM",INVENTARIO!C122)),"STA",
IF(ISNUMBER(SEARCH("DISPLAY",INVENTARIO!C122)),"DIS",
IF(ISNUMBER(SEARCH("ROLL UP",INVENTARIO!C122)),"ROL-UP",
IF(ISNUMBER(SEARCH("TRANSFER DE PAPEL",INVENTARIO!C122)),"TRA-PAP",
IF(ISNUMBER(SEARCH("TRANSFER",INVENTARIO!C122)),"TRA",IF(ISNUMBER(SEARCH("KOLA LOKA",INVENTARIO!C122)),"KOL-LOK",
IF(ISNUMBER(SEARCH("PETG",INVENTARIO!C122)),"PET",
IF(ISNUMBER(SEARCH("OJILLO",INVENTARIO!C122)),"OJI",
IF(ISNUMBER(SEARCH("COUCHE",INVENTARIO!C122)),"COU",
IF(ISNUMBER(SEARCH("PANEL DE ALUMINIO",INVENTARIO!C122)),"PAN-ALU",
IF(ISNUMBER(SEARCH("PVC",INVENTARIO!C122)),"PVC",
IF(ISNUMBER(SEARCH("PAPEL",INVENTARIO!C122)),"PAP",
IF(ISNUMBER(SEARCH("TELA",INVENTARIO!C122)),"TEL",
IF(ISNUMBER(SEARCH("CARTULINA",INVENTARIO!C122)),"CAR",
IF(OR(ISNUMBER(SEARCH("LAMINA",INVENTARIO!C122)),ISNUMBER(SEARCH("LÁMINA",INVENTARIO!C122)),ISNUMBER(SEARCH("LAMPARAS",INVENTARIO!C122))),"LAM",
IF(ISNUMBER(SEARCH("ESTIRENO",INVENTARIO!C122)),"EST",
IF(ISNUMBER(SEARCH("FOAMBOARD",INVENTARIO!C122)),"FOA",
IF(ISNUMBER(SEARCH("SOLVENTE",INVENTARIO!C122)),"SOL",
IF(ISNUMBER(SEARCH("TINTA",INVENTARIO!C122)),"TIN",
IF(ISNUMBER(SEARCH("ACRILICO",INVENTARIO!C122)),"ACR",
IF(ISNUMBER(SEARCH("MICROLED",INVENTARIO!C122)),"MIC",
IF(ISNUMBER(SEARCH("LED",INVENTARIO!C122)),"LED",
IF(ISNUMBER(SEARCH("FUENTE DE PODER",INVENTARIO!C122)),"FUE-POD",
IF(ISNUMBER(SEARCH("PETG",INVENTARIO!C122)),"PET",
IF(ISNUMBER(SEARCH("ALUMINIO",INVENTARIO!C122)),"ALU",
IF(ISNUMBER(SEARCH("CANAL",INVENTARIO!C122)),"CAN",
IF(ISNUMBER(SEARCH("ESCUADRA",INVENTARIO!C122)),"ESC",
IF(ISNUMBER(SEARCH("SOPORTE",INVENTARIO!C122)),"SOP","OTR")
))))))))))))))))))))))))))))))</f>
        <v>TIN</v>
      </c>
      <c r="B122" t="str">
        <f>IF(ISNUMBER(SEARCH("CORTE",INVENTARIO!C122)),"COR",
IF(ISNUMBER(SEARCH("CITYLIGHT",INVENTARIO!C122)),"CIT",
IF(ISNUMBER(SEARCH("LINO",INVENTARIO!C122)),"LIN",
IF(ISNUMBER(SEARCH("FABRIANO",INVENTARIO!C122)),"FAB",
IF(ISNUMBER(SEARCH("SUNDANCE",INVENTARIO!C122)),"SUN",
IF(ISNUMBER(SEARCH("SINTETICA",INVENTARIO!C122)),"SIN",
IF(ISNUMBER(SEARCH("CONTROL",INVENTARIO!C122)),"CON",
IF(ISNUMBER(SEARCH("TERMICO",INVENTARIO!C122)),"TER",
IF(ISNUMBER(SEARCH("C-15",INVENTARIO!C122)),"C15",
IF(ISNUMBER(SEARCH("C-20",INVENTARIO!C122)),"C20",
IF(ISNUMBER(SEARCH("C-30",INVENTARIO!C122)),"C30",
IF(ISNUMBER(SEARCH("C-40",INVENTARIO!C122)),"C40",
IF(ISNUMBER(SEARCH("C-60",INVENTARIO!C122)),"C60",
IF(ISNUMBER(SEARCH("C-80",INVENTARIO!C122)),"C80",
IF(ISNUMBER(SEARCH("EQUIPO",INVENTARIO!C122)),"EQU",
IF(ISNUMBER(SEARCH("FLOOR",INVENTARIO!C122)),"FLO",
IF(ISNUMBER(SEARCH("CRISTAL",INVENTARIO!C122)),"CRI",
IF(ISNUMBER(SEARCH(" SULFATADA",INVENTARIO!C133)),"SUL",
IF(ISNUMBER(SEARCH("OPALINA",INVENTARIO!C122)),"OPA",
IF(ISNUMBER(SEARCH("ADHERIBLE",INVENTARIO!C122)),"ADH",
IF(ISNUMBER(SEARCH("MICRO",INVENTARIO!C122)),"MIC","")))))))))))))))))))))</f>
        <v/>
      </c>
      <c r="C122" t="str">
        <f>IF(ISNUMBER(SEARCH("PARED",INVENTARIO!C122)),"PAR",
IF(ISNUMBER(SEARCH("FRONT",INVENTARIO!C122)),"FRO",
IF(ISNUMBER(SEARCH("ALTA RESISTENCIA",INVENTARIO!C122)),
"ALT-RES",IF(ISNUMBER(SEARCH("BACKLITE",INVENTARIO!C122)),"BAC",
IF(ISNUMBER(SEARCH("MATE",INVENTARIO!C122)),"MAT",
IF(ISNUMBER(SEARCH("MESH",INVENTARIO!C122)),"MES",
IF(ISNUMBER(SEARCH("BRILLANTE",INVENTARIO!C122)),"BRI",
IF(ISNUMBER(SEARCH("DELGADA",INVENTARIO!C122)),"DEL",
IF(ISNUMBER(SEARCH("GRUESA",INVENTARIO!C122)),"GRU",
IF(ISNUMBER(SEARCH("ESTATICO",INVENTARIO!C122)),"EST",
IF(ISNUMBER(SEARCH("REFLECTIVO",INVENTARIO!C122)),"REF",
IF(ISNUMBER(SEARCH("LX700",INVENTARIO!C122)),"LX7",
IF(ISNUMBER(SEARCH("GRANDO",INVENTARIO!C122)),"GRA",
IF(ISNUMBER(SEARCH("FB700",INVENTARIO!C122)),"FB7",
IF(ISNUMBER(SEARCH("LX360",INVENTARIO!C122)),"LX3",
IF(ISNUMBER(SEARCH("XEROX",INVENTARIO!C122)),"XER",
IF(ISNUMBER(SEARCH("CEPILLADO",INVENTARIO!C122)),"CEP",
IF(ISNUMBER(SEARCH("ESPEJO",INVENTARIO!C122)),"ESP",
IF(ISNUMBER(SEARCH("10 PTS",INVENTARIO!C122)),"10PT",
IF(ISNUMBER(SEARCH("12 PTS",INVENTARIO!C122)),"12PT",
IF(ISNUMBER(SEARCH("14 PTS",INVENTARIO!C122)),"14PT",
IF(ISNUMBER(SEARCH("CLASICO",INVENTARIO!C122)),"CLA",
""))))))))))))))))))))))</f>
        <v>LX7</v>
      </c>
      <c r="D122" t="str">
        <f>IF(ISNUMBER(SEARCH("GRAN FORMATO",INVENTARIO!C122)),"GRA-FOR",
IF(ISNUMBER(SEARCH("CAMA PLANA",INVENTARIO!C122)),"CAM-PLA",
IF(ISNUMBER(SEARCH("GRADO INGENIERIA",INVENTARIO!C122)),"GRA-ING",
IF(ISNUMBER(SEARCH("130 GRS",INVENTARIO!C122)),"130GR",
IF(ISNUMBER(SEARCH("150 GRS",INVENTARIO!C122)),"150GR",
IF(ISNUMBER(SEARCH("185 GRS",INVENTARIO!C122)),"185GR",
IF(ISNUMBER(SEARCH("200 GRS",INVENTARIO!C122)),"200GR",
IF(ISNUMBER(SEARCH("250 GRS",INVENTARIO!C122)),"250GR",
IF(ISNUMBER(SEARCH("300 GRS",INVENTARIO!C122)),"300GR",
IF(ISNUMBER(SEARCH("350 GRS",INVENTARIO!C122)),"350GR",
IF(ISNUMBER(SEARCH("18 OZ",INVENTARIO!C122)),"18OZ",
IF(ISNUMBER(SEARCH("15 OZ",INVENTARIO!C122)),"15OZ",
IF(OR(ISNUMBER(SEARCH("13 OZ",INVENTARIO!C122)),ISNUMBER(SEARCH("13 ONZAS",INVENTARIO!C122))),"13OZ",
IF(OR(ISNUMBER(SEARCH("9 OZ",INVENTARIO!C122)),ISNUMBER(SEARCH("9 ONZAS",INVENTARIO!C122))),"09OZ",
IF(ISNUMBER(SEARCH("DOBLE CARA",INVENTARIO!C122)),"DOB-CAR",
"")))))))))))))))</f>
        <v/>
      </c>
      <c r="E122" t="str">
        <f>IF(OR(ISNUMBER(SEARCH("TRANSPARENTE",INVENTARIO!C122)),ISNUMBER(SEARCH("TRANSPARENTES",INVENTARIO!C122))),"TRA",
IF(OR(ISNUMBER(SEARCH("BLANCO",INVENTARIO!C122)),ISNUMBER(SEARCH("BCO",INVENTARIO!C122))),"BLA",
IF(ISNUMBER(SEARCH("FOTOGRAFICO",INVENTARIO!C122)),"FOT",
IF(ISNUMBER(SEARCH("MARFIL",INVENTARIO!C122)),"MAR",
IF(ISNUMBER(SEARCH("VERDE",INVENTARIO!C122)),"VER",
IF(ISNUMBER(SEARCH("MORADO",INVENTARIO!C122)),"MOR",
IF(ISNUMBER(SEARCH("PLATA",INVENTARIO!C122)),"PLA",
IF(ISNUMBER(SEARCH("ORO",INVENTARIO!C122)),"ORO",
IF(ISNUMBER(SEARCH("AMARILLO",INVENTARIO!C122)),"AMA",
IF(ISNUMBER(SEARCH("NARANJA",INVENTARIO!C122)),"NAR",
IF(ISNUMBER(SEARCH("NEGRO",INVENTARIO!C122)),"NEG",
IF(ISNUMBER(SEARCH("ROJO",INVENTARIO!C122)),"ROJ",
IF(ISNUMBER(SEARCH("AZUL",INVENTARIO!C122)),"AZU","")))))))))))))</f>
        <v/>
      </c>
      <c r="F122" t="str">
        <f>IF(ISNUMBER(SEARCH("ARLON",INVENTARIO!C122)),"ARL",
IF(ISNUMBER(SEARCH("SUNTHINKS",INVENTARIO!C122)),"SUN",
IF(ISNUMBER(SEARCH("FRIO",INVENTARIO!C122)),"FRI",
IF(ISNUMBER(SEARCH("CALIDO",INVENTARIO!C122)),"CAL",
IF(ISNUMBER(SEARCH("CEPILLADO",INVENTARIO!C122)),"CEP",
IF(ISNUMBER(SEARCH("ESPEJO",INVENTARIO!C122)),"ESP",
""))))))</f>
        <v/>
      </c>
      <c r="G122" t="str">
        <f>IF(ISNUMBER(SEARCH("LATEX",INVENTARIO!C122)),"LAT",
IF(ISNUMBER(SEARCH("RESP. NEGRO",INVENTARIO!C122)),"RES-NEG",
IF(ISNUMBER(SEARCH("RESPALDO CAFE",INVENTARIO!C122)),"RES-CAF",
IF(ISNUMBER(SEARCH("RESPALDO GRIS",INVENTARIO!C122)),"RES-GRI",
IF(ISNUMBER(SEARCH("OPTICO",INVENTARIO!C122)),"OPT",
IF(ISNUMBER(SEARCH("1,2 MM",INVENTARIO!C122)),"1MM2",
IF(ISNUMBER(SEARCH("2 MM",INVENTARIO!C122)),"2MM",
IF(ISNUMBER(SEARCH("3 MM",INVENTARIO!C122)),"3MM",
IF(ISNUMBER(SEARCH("4 MM",INVENTARIO!C122)),"4MM",
IF(ISNUMBER(SEARCH("5 MM",INVENTARIO!C122)),"5MM",
IF(ISNUMBER(SEARCH("6 MM",INVENTARIO!C122)),"6MM",
IF(ISNUMBER(SEARCH("9 MM",INVENTARIO!C122)),"9MM",
IF(ISNUMBER(SEARCH("10 MM",INVENTARIO!C122)),"10MM","")))))))))))))</f>
        <v>LAT</v>
      </c>
      <c r="H122" t="str">
        <f>IF(ISNUMBER(SEARCH("GAMA BAJA",INVENTARIO!C122)),"GAM-BAJ",
IF(ISNUMBER(SEARCH("OPTIMIZADOR",INVENTARIO!C122)),"OPT",
IF(ISNUMBER(SEARCH("OVERCOAT",INVENTARIO!C122)),"OVE",
IF(ISNUMBER(SEARCH("WHITE",INVENTARIO!C122)),"WHI",
IF(ISNUMBER(SEARCH("LIGHT CYAN",INVENTARIO!C122)),"LIG-CYA",
IF(ISNUMBER(SEARCH("CYAN",INVENTARIO!C122)),"CYA",
IF(ISNUMBER(SEARCH("LIGHT MAGENTA",INVENTARIO!C122)),"LIG-MAG",
IF(ISNUMBER(SEARCH("MAGENTA",INVENTARIO!C122)),"MAG",
IF(ISNUMBER(SEARCH("BLACK",INVENTARIO!C122)),"BLA",
IF(ISNUMBER(SEARCH("YELLOW",INVENTARIO!C122)),"YEL",
IF(ISNUMBER(SEARCH("2 DIODOS",INVENTARIO!C122)),"2DI",
IF(ISNUMBER(SEARCH("3 DIODOS",INVENTARIO!C122)),"3DI",
IF(OR(ISNUMBER(SEARCH("TRASLUCIDO",INVENTARIO!C122)),ISNUMBER(SEARCH("TRANSLUCIDO",INVENTARIO!C122))),"TRA",
"")))))))))))))</f>
        <v>OPT</v>
      </c>
      <c r="I122" t="str">
        <f>IF(ISNUMBER(SEARCH("SILED",INVENTARIO!C136)),"SI",
IF(ISNUMBER(SEARCH("SYDEMEX",INVENTARIO!C136)),"SY",
IF(ISNUMBER(SEARCH("ROHS",INVENTARIO!C136)),"RO",
IF(ISNUMBER(SEARCH("RISHANG",INVENTARIO!C136)),"RS",
IF(ISNUMBER(SEARCH("VYG",INVENTARIO!C136)),"VYG",
IF(ISNUMBER(SEARCH("COLED",INVENTARIO!C136)),"CO",""))))))</f>
        <v/>
      </c>
    </row>
    <row r="123" spans="1:9">
      <c r="A123" t="str">
        <f>IF(ISNUMBER(SEARCH("LONA",INVENTARIO!C123)),"LON",
IF(ISNUMBER(SEARCH("VINIL",INVENTARIO!C123)),"VIN",
IF(ISNUMBER(SEARCH("KROMACOTE",INVENTARIO!C123)),"KRO",
IF(ISNUMBER(SEARCH("STARDREAM",INVENTARIO!C123)),"STA",
IF(ISNUMBER(SEARCH("DISPLAY",INVENTARIO!C123)),"DIS",
IF(ISNUMBER(SEARCH("ROLL UP",INVENTARIO!C123)),"ROL-UP",
IF(ISNUMBER(SEARCH("TRANSFER DE PAPEL",INVENTARIO!C123)),"TRA-PAP",
IF(ISNUMBER(SEARCH("TRANSFER",INVENTARIO!C123)),"TRA",IF(ISNUMBER(SEARCH("KOLA LOKA",INVENTARIO!C123)),"KOL-LOK",
IF(ISNUMBER(SEARCH("PETG",INVENTARIO!C123)),"PET",
IF(ISNUMBER(SEARCH("OJILLO",INVENTARIO!C123)),"OJI",
IF(ISNUMBER(SEARCH("COUCHE",INVENTARIO!C123)),"COU",
IF(ISNUMBER(SEARCH("PANEL DE ALUMINIO",INVENTARIO!C123)),"PAN-ALU",
IF(ISNUMBER(SEARCH("PVC",INVENTARIO!C123)),"PVC",
IF(ISNUMBER(SEARCH("PAPEL",INVENTARIO!C123)),"PAP",
IF(ISNUMBER(SEARCH("TELA",INVENTARIO!C123)),"TEL",
IF(ISNUMBER(SEARCH("CARTULINA",INVENTARIO!C123)),"CAR",
IF(OR(ISNUMBER(SEARCH("LAMINA",INVENTARIO!C123)),ISNUMBER(SEARCH("LÁMINA",INVENTARIO!C123)),ISNUMBER(SEARCH("LAMPARAS",INVENTARIO!C123))),"LAM",
IF(ISNUMBER(SEARCH("ESTIRENO",INVENTARIO!C123)),"EST",
IF(ISNUMBER(SEARCH("FOAMBOARD",INVENTARIO!C123)),"FOA",
IF(ISNUMBER(SEARCH("SOLVENTE",INVENTARIO!C123)),"SOL",
IF(ISNUMBER(SEARCH("TINTA",INVENTARIO!C123)),"TIN",
IF(ISNUMBER(SEARCH("ACRILICO",INVENTARIO!C123)),"ACR",
IF(ISNUMBER(SEARCH("MICROLED",INVENTARIO!C123)),"MIC",
IF(ISNUMBER(SEARCH("LED",INVENTARIO!C123)),"LED",
IF(ISNUMBER(SEARCH("FUENTE DE PODER",INVENTARIO!C123)),"FUE-POD",
IF(ISNUMBER(SEARCH("PETG",INVENTARIO!C123)),"PET",
IF(ISNUMBER(SEARCH("ALUMINIO",INVENTARIO!C123)),"ALU",
IF(ISNUMBER(SEARCH("CANAL",INVENTARIO!C123)),"CAN",
IF(ISNUMBER(SEARCH("ESCUADRA",INVENTARIO!C123)),"ESC",
IF(ISNUMBER(SEARCH("SOPORTE",INVENTARIO!C123)),"SOP","OTR")
))))))))))))))))))))))))))))))</f>
        <v>TIN</v>
      </c>
      <c r="B123" t="str">
        <f>IF(ISNUMBER(SEARCH("CORTE",INVENTARIO!C123)),"COR",
IF(ISNUMBER(SEARCH("CITYLIGHT",INVENTARIO!C123)),"CIT",
IF(ISNUMBER(SEARCH("LINO",INVENTARIO!C123)),"LIN",
IF(ISNUMBER(SEARCH("FABRIANO",INVENTARIO!C123)),"FAB",
IF(ISNUMBER(SEARCH("SUNDANCE",INVENTARIO!C123)),"SUN",
IF(ISNUMBER(SEARCH("SINTETICA",INVENTARIO!C123)),"SIN",
IF(ISNUMBER(SEARCH("CONTROL",INVENTARIO!C123)),"CON",
IF(ISNUMBER(SEARCH("TERMICO",INVENTARIO!C123)),"TER",
IF(ISNUMBER(SEARCH("C-15",INVENTARIO!C123)),"C15",
IF(ISNUMBER(SEARCH("C-20",INVENTARIO!C123)),"C20",
IF(ISNUMBER(SEARCH("C-30",INVENTARIO!C123)),"C30",
IF(ISNUMBER(SEARCH("C-40",INVENTARIO!C123)),"C40",
IF(ISNUMBER(SEARCH("C-60",INVENTARIO!C123)),"C60",
IF(ISNUMBER(SEARCH("C-80",INVENTARIO!C123)),"C80",
IF(ISNUMBER(SEARCH("EQUIPO",INVENTARIO!C123)),"EQU",
IF(ISNUMBER(SEARCH("FLOOR",INVENTARIO!C123)),"FLO",
IF(ISNUMBER(SEARCH("CRISTAL",INVENTARIO!C123)),"CRI",
IF(ISNUMBER(SEARCH(" SULFATADA",INVENTARIO!C134)),"SUL",
IF(ISNUMBER(SEARCH("OPALINA",INVENTARIO!C123)),"OPA",
IF(ISNUMBER(SEARCH("ADHERIBLE",INVENTARIO!C123)),"ADH",
IF(ISNUMBER(SEARCH("MICRO",INVENTARIO!C123)),"MIC","")))))))))))))))))))))</f>
        <v/>
      </c>
      <c r="C123" t="str">
        <f>IF(ISNUMBER(SEARCH("PARED",INVENTARIO!C123)),"PAR",
IF(ISNUMBER(SEARCH("FRONT",INVENTARIO!C123)),"FRO",
IF(ISNUMBER(SEARCH("ALTA RESISTENCIA",INVENTARIO!C123)),
"ALT-RES",IF(ISNUMBER(SEARCH("BACKLITE",INVENTARIO!C123)),"BAC",
IF(ISNUMBER(SEARCH("MATE",INVENTARIO!C123)),"MAT",
IF(ISNUMBER(SEARCH("MESH",INVENTARIO!C123)),"MES",
IF(ISNUMBER(SEARCH("BRILLANTE",INVENTARIO!C123)),"BRI",
IF(ISNUMBER(SEARCH("DELGADA",INVENTARIO!C123)),"DEL",
IF(ISNUMBER(SEARCH("GRUESA",INVENTARIO!C123)),"GRU",
IF(ISNUMBER(SEARCH("ESTATICO",INVENTARIO!C123)),"EST",
IF(ISNUMBER(SEARCH("REFLECTIVO",INVENTARIO!C123)),"REF",
IF(ISNUMBER(SEARCH("LX700",INVENTARIO!C123)),"LX7",
IF(ISNUMBER(SEARCH("GRANDO",INVENTARIO!C123)),"GRA",
IF(ISNUMBER(SEARCH("FB700",INVENTARIO!C123)),"FB7",
IF(ISNUMBER(SEARCH("LX360",INVENTARIO!C123)),"LX3",
IF(ISNUMBER(SEARCH("XEROX",INVENTARIO!C123)),"XER",
IF(ISNUMBER(SEARCH("CEPILLADO",INVENTARIO!C123)),"CEP",
IF(ISNUMBER(SEARCH("ESPEJO",INVENTARIO!C123)),"ESP",
IF(ISNUMBER(SEARCH("10 PTS",INVENTARIO!C123)),"10PT",
IF(ISNUMBER(SEARCH("12 PTS",INVENTARIO!C123)),"12PT",
IF(ISNUMBER(SEARCH("14 PTS",INVENTARIO!C123)),"14PT",
IF(ISNUMBER(SEARCH("CLASICO",INVENTARIO!C123)),"CLA",
""))))))))))))))))))))))</f>
        <v>LX7</v>
      </c>
      <c r="D123" t="str">
        <f>IF(ISNUMBER(SEARCH("GRAN FORMATO",INVENTARIO!C123)),"GRA-FOR",
IF(ISNUMBER(SEARCH("CAMA PLANA",INVENTARIO!C123)),"CAM-PLA",
IF(ISNUMBER(SEARCH("GRADO INGENIERIA",INVENTARIO!C123)),"GRA-ING",
IF(ISNUMBER(SEARCH("130 GRS",INVENTARIO!C123)),"130GR",
IF(ISNUMBER(SEARCH("150 GRS",INVENTARIO!C123)),"150GR",
IF(ISNUMBER(SEARCH("185 GRS",INVENTARIO!C123)),"185GR",
IF(ISNUMBER(SEARCH("200 GRS",INVENTARIO!C123)),"200GR",
IF(ISNUMBER(SEARCH("250 GRS",INVENTARIO!C123)),"250GR",
IF(ISNUMBER(SEARCH("300 GRS",INVENTARIO!C123)),"300GR",
IF(ISNUMBER(SEARCH("350 GRS",INVENTARIO!C123)),"350GR",
IF(ISNUMBER(SEARCH("18 OZ",INVENTARIO!C123)),"18OZ",
IF(ISNUMBER(SEARCH("15 OZ",INVENTARIO!C123)),"15OZ",
IF(OR(ISNUMBER(SEARCH("13 OZ",INVENTARIO!C123)),ISNUMBER(SEARCH("13 ONZAS",INVENTARIO!C123))),"13OZ",
IF(OR(ISNUMBER(SEARCH("9 OZ",INVENTARIO!C123)),ISNUMBER(SEARCH("9 ONZAS",INVENTARIO!C123))),"09OZ",
IF(ISNUMBER(SEARCH("DOBLE CARA",INVENTARIO!C123)),"DOB-CAR",
"")))))))))))))))</f>
        <v/>
      </c>
      <c r="E123" t="str">
        <f>IF(OR(ISNUMBER(SEARCH("TRANSPARENTE",INVENTARIO!C123)),ISNUMBER(SEARCH("TRANSPARENTES",INVENTARIO!C123))),"TRA",
IF(OR(ISNUMBER(SEARCH("BLANCO",INVENTARIO!C123)),ISNUMBER(SEARCH("BCO",INVENTARIO!C123))),"BLA",
IF(ISNUMBER(SEARCH("FOTOGRAFICO",INVENTARIO!C123)),"FOT",
IF(ISNUMBER(SEARCH("MARFIL",INVENTARIO!C123)),"MAR",
IF(ISNUMBER(SEARCH("VERDE",INVENTARIO!C123)),"VER",
IF(ISNUMBER(SEARCH("MORADO",INVENTARIO!C123)),"MOR",
IF(ISNUMBER(SEARCH("PLATA",INVENTARIO!C123)),"PLA",
IF(ISNUMBER(SEARCH("ORO",INVENTARIO!C123)),"ORO",
IF(ISNUMBER(SEARCH("AMARILLO",INVENTARIO!C123)),"AMA",
IF(ISNUMBER(SEARCH("NARANJA",INVENTARIO!C123)),"NAR",
IF(ISNUMBER(SEARCH("NEGRO",INVENTARIO!C123)),"NEG",
IF(ISNUMBER(SEARCH("ROJO",INVENTARIO!C123)),"ROJ",
IF(ISNUMBER(SEARCH("AZUL",INVENTARIO!C123)),"AZU","")))))))))))))</f>
        <v/>
      </c>
      <c r="F123" t="str">
        <f>IF(ISNUMBER(SEARCH("ARLON",INVENTARIO!C123)),"ARL",
IF(ISNUMBER(SEARCH("SUNTHINKS",INVENTARIO!C123)),"SUN",
IF(ISNUMBER(SEARCH("FRIO",INVENTARIO!C123)),"FRI",
IF(ISNUMBER(SEARCH("CALIDO",INVENTARIO!C123)),"CAL",
IF(ISNUMBER(SEARCH("CEPILLADO",INVENTARIO!C123)),"CEP",
IF(ISNUMBER(SEARCH("ESPEJO",INVENTARIO!C123)),"ESP",
""))))))</f>
        <v/>
      </c>
      <c r="G123" t="str">
        <f>IF(ISNUMBER(SEARCH("LATEX",INVENTARIO!C123)),"LAT",
IF(ISNUMBER(SEARCH("RESP. NEGRO",INVENTARIO!C123)),"RES-NEG",
IF(ISNUMBER(SEARCH("RESPALDO CAFE",INVENTARIO!C123)),"RES-CAF",
IF(ISNUMBER(SEARCH("RESPALDO GRIS",INVENTARIO!C123)),"RES-GRI",
IF(ISNUMBER(SEARCH("OPTICO",INVENTARIO!C123)),"OPT",
IF(ISNUMBER(SEARCH("1,2 MM",INVENTARIO!C123)),"1MM2",
IF(ISNUMBER(SEARCH("2 MM",INVENTARIO!C123)),"2MM",
IF(ISNUMBER(SEARCH("3 MM",INVENTARIO!C123)),"3MM",
IF(ISNUMBER(SEARCH("4 MM",INVENTARIO!C123)),"4MM",
IF(ISNUMBER(SEARCH("5 MM",INVENTARIO!C123)),"5MM",
IF(ISNUMBER(SEARCH("6 MM",INVENTARIO!C123)),"6MM",
IF(ISNUMBER(SEARCH("9 MM",INVENTARIO!C123)),"9MM",
IF(ISNUMBER(SEARCH("10 MM",INVENTARIO!C123)),"10MM","")))))))))))))</f>
        <v>LAT</v>
      </c>
      <c r="H123" t="str">
        <f>IF(ISNUMBER(SEARCH("GAMA BAJA",INVENTARIO!C123)),"GAM-BAJ",
IF(ISNUMBER(SEARCH("OPTIMIZADOR",INVENTARIO!C123)),"OPT",
IF(ISNUMBER(SEARCH("OVERCOAT",INVENTARIO!C123)),"OVE",
IF(ISNUMBER(SEARCH("WHITE",INVENTARIO!C123)),"WHI",
IF(ISNUMBER(SEARCH("LIGHT CYAN",INVENTARIO!C123)),"LIG-CYA",
IF(ISNUMBER(SEARCH("CYAN",INVENTARIO!C123)),"CYA",
IF(ISNUMBER(SEARCH("LIGHT MAGENTA",INVENTARIO!C123)),"LIG-MAG",
IF(ISNUMBER(SEARCH("MAGENTA",INVENTARIO!C123)),"MAG",
IF(ISNUMBER(SEARCH("BLACK",INVENTARIO!C123)),"BLA",
IF(ISNUMBER(SEARCH("YELLOW",INVENTARIO!C123)),"YEL",
IF(ISNUMBER(SEARCH("2 DIODOS",INVENTARIO!C123)),"2DI",
IF(ISNUMBER(SEARCH("3 DIODOS",INVENTARIO!C123)),"3DI",
IF(OR(ISNUMBER(SEARCH("TRASLUCIDO",INVENTARIO!C123)),ISNUMBER(SEARCH("TRANSLUCIDO",INVENTARIO!C123))),"TRA",
"")))))))))))))</f>
        <v>OVE</v>
      </c>
      <c r="I123" t="str">
        <f>IF(ISNUMBER(SEARCH("SILED",INVENTARIO!C137)),"SI",
IF(ISNUMBER(SEARCH("SYDEMEX",INVENTARIO!C137)),"SY",
IF(ISNUMBER(SEARCH("ROHS",INVENTARIO!C137)),"RO",
IF(ISNUMBER(SEARCH("RISHANG",INVENTARIO!C137)),"RS",
IF(ISNUMBER(SEARCH("VYG",INVENTARIO!C137)),"VYG",
IF(ISNUMBER(SEARCH("COLED",INVENTARIO!C137)),"CO",""))))))</f>
        <v/>
      </c>
    </row>
    <row r="124" spans="1:9">
      <c r="A124" t="str">
        <f>IF(ISNUMBER(SEARCH("LONA",INVENTARIO!C124)),"LON",
IF(ISNUMBER(SEARCH("VINIL",INVENTARIO!C124)),"VIN",
IF(ISNUMBER(SEARCH("KROMACOTE",INVENTARIO!C124)),"KRO",
IF(ISNUMBER(SEARCH("STARDREAM",INVENTARIO!C124)),"STA",
IF(ISNUMBER(SEARCH("DISPLAY",INVENTARIO!C124)),"DIS",
IF(ISNUMBER(SEARCH("ROLL UP",INVENTARIO!C124)),"ROL-UP",
IF(ISNUMBER(SEARCH("TRANSFER DE PAPEL",INVENTARIO!C124)),"TRA-PAP",
IF(ISNUMBER(SEARCH("TRANSFER",INVENTARIO!C124)),"TRA",IF(ISNUMBER(SEARCH("KOLA LOKA",INVENTARIO!C124)),"KOL-LOK",
IF(ISNUMBER(SEARCH("PETG",INVENTARIO!C124)),"PET",
IF(ISNUMBER(SEARCH("OJILLO",INVENTARIO!C124)),"OJI",
IF(ISNUMBER(SEARCH("COUCHE",INVENTARIO!C124)),"COU",
IF(ISNUMBER(SEARCH("PANEL DE ALUMINIO",INVENTARIO!C124)),"PAN-ALU",
IF(ISNUMBER(SEARCH("PVC",INVENTARIO!C124)),"PVC",
IF(ISNUMBER(SEARCH("PAPEL",INVENTARIO!C124)),"PAP",
IF(ISNUMBER(SEARCH("TELA",INVENTARIO!C124)),"TEL",
IF(ISNUMBER(SEARCH("CARTULINA",INVENTARIO!C124)),"CAR",
IF(OR(ISNUMBER(SEARCH("LAMINA",INVENTARIO!C124)),ISNUMBER(SEARCH("LÁMINA",INVENTARIO!C124)),ISNUMBER(SEARCH("LAMPARAS",INVENTARIO!C124))),"LAM",
IF(ISNUMBER(SEARCH("ESTIRENO",INVENTARIO!C124)),"EST",
IF(ISNUMBER(SEARCH("FOAMBOARD",INVENTARIO!C124)),"FOA",
IF(ISNUMBER(SEARCH("SOLVENTE",INVENTARIO!C124)),"SOL",
IF(ISNUMBER(SEARCH("TINTA",INVENTARIO!C124)),"TIN",
IF(ISNUMBER(SEARCH("ACRILICO",INVENTARIO!C124)),"ACR",
IF(ISNUMBER(SEARCH("MICROLED",INVENTARIO!C124)),"MIC",
IF(ISNUMBER(SEARCH("LED",INVENTARIO!C124)),"LED",
IF(ISNUMBER(SEARCH("FUENTE DE PODER",INVENTARIO!C124)),"FUE-POD",
IF(ISNUMBER(SEARCH("PETG",INVENTARIO!C124)),"PET",
IF(ISNUMBER(SEARCH("ALUMINIO",INVENTARIO!C124)),"ALU",
IF(ISNUMBER(SEARCH("CANAL",INVENTARIO!C124)),"CAN",
IF(ISNUMBER(SEARCH("ESCUADRA",INVENTARIO!C124)),"ESC",
IF(ISNUMBER(SEARCH("SOPORTE",INVENTARIO!C124)),"SOP","OTR")
))))))))))))))))))))))))))))))</f>
        <v>TIN</v>
      </c>
      <c r="B124" t="str">
        <f>IF(ISNUMBER(SEARCH("CORTE",INVENTARIO!C124)),"COR",
IF(ISNUMBER(SEARCH("CITYLIGHT",INVENTARIO!C124)),"CIT",
IF(ISNUMBER(SEARCH("LINO",INVENTARIO!C124)),"LIN",
IF(ISNUMBER(SEARCH("FABRIANO",INVENTARIO!C124)),"FAB",
IF(ISNUMBER(SEARCH("SUNDANCE",INVENTARIO!C124)),"SUN",
IF(ISNUMBER(SEARCH("SINTETICA",INVENTARIO!C124)),"SIN",
IF(ISNUMBER(SEARCH("CONTROL",INVENTARIO!C124)),"CON",
IF(ISNUMBER(SEARCH("TERMICO",INVENTARIO!C124)),"TER",
IF(ISNUMBER(SEARCH("C-15",INVENTARIO!C124)),"C15",
IF(ISNUMBER(SEARCH("C-20",INVENTARIO!C124)),"C20",
IF(ISNUMBER(SEARCH("C-30",INVENTARIO!C124)),"C30",
IF(ISNUMBER(SEARCH("C-40",INVENTARIO!C124)),"C40",
IF(ISNUMBER(SEARCH("C-60",INVENTARIO!C124)),"C60",
IF(ISNUMBER(SEARCH("C-80",INVENTARIO!C124)),"C80",
IF(ISNUMBER(SEARCH("EQUIPO",INVENTARIO!C124)),"EQU",
IF(ISNUMBER(SEARCH("FLOOR",INVENTARIO!C124)),"FLO",
IF(ISNUMBER(SEARCH("CRISTAL",INVENTARIO!C124)),"CRI",
IF(ISNUMBER(SEARCH(" SULFATADA",INVENTARIO!C135)),"SUL",
IF(ISNUMBER(SEARCH("OPALINA",INVENTARIO!C124)),"OPA",
IF(ISNUMBER(SEARCH("ADHERIBLE",INVENTARIO!C124)),"ADH",
IF(ISNUMBER(SEARCH("MICRO",INVENTARIO!C124)),"MIC","")))))))))))))))))))))</f>
        <v/>
      </c>
      <c r="C124" t="str">
        <f>IF(ISNUMBER(SEARCH("PARED",INVENTARIO!C124)),"PAR",
IF(ISNUMBER(SEARCH("FRONT",INVENTARIO!C124)),"FRO",
IF(ISNUMBER(SEARCH("ALTA RESISTENCIA",INVENTARIO!C124)),
"ALT-RES",IF(ISNUMBER(SEARCH("BACKLITE",INVENTARIO!C124)),"BAC",
IF(ISNUMBER(SEARCH("MATE",INVENTARIO!C124)),"MAT",
IF(ISNUMBER(SEARCH("MESH",INVENTARIO!C124)),"MES",
IF(ISNUMBER(SEARCH("BRILLANTE",INVENTARIO!C124)),"BRI",
IF(ISNUMBER(SEARCH("DELGADA",INVENTARIO!C124)),"DEL",
IF(ISNUMBER(SEARCH("GRUESA",INVENTARIO!C124)),"GRU",
IF(ISNUMBER(SEARCH("ESTATICO",INVENTARIO!C124)),"EST",
IF(ISNUMBER(SEARCH("REFLECTIVO",INVENTARIO!C124)),"REF",
IF(ISNUMBER(SEARCH("LX700",INVENTARIO!C124)),"LX7",
IF(ISNUMBER(SEARCH("GRANDO",INVENTARIO!C124)),"GRA",
IF(ISNUMBER(SEARCH("FB700",INVENTARIO!C124)),"FB7",
IF(ISNUMBER(SEARCH("LX360",INVENTARIO!C124)),"LX3",
IF(ISNUMBER(SEARCH("XEROX",INVENTARIO!C124)),"XER",
IF(ISNUMBER(SEARCH("CEPILLADO",INVENTARIO!C124)),"CEP",
IF(ISNUMBER(SEARCH("ESPEJO",INVENTARIO!C124)),"ESP",
IF(ISNUMBER(SEARCH("10 PTS",INVENTARIO!C124)),"10PT",
IF(ISNUMBER(SEARCH("12 PTS",INVENTARIO!C124)),"12PT",
IF(ISNUMBER(SEARCH("14 PTS",INVENTARIO!C124)),"14PT",
IF(ISNUMBER(SEARCH("CLASICO",INVENTARIO!C124)),"CLA",
""))))))))))))))))))))))</f>
        <v>GRA</v>
      </c>
      <c r="D124" t="str">
        <f>IF(ISNUMBER(SEARCH("GRAN FORMATO",INVENTARIO!C124)),"GRA-FOR",
IF(ISNUMBER(SEARCH("CAMA PLANA",INVENTARIO!C124)),"CAM-PLA",
IF(ISNUMBER(SEARCH("GRADO INGENIERIA",INVENTARIO!C124)),"GRA-ING",
IF(ISNUMBER(SEARCH("130 GRS",INVENTARIO!C124)),"130GR",
IF(ISNUMBER(SEARCH("150 GRS",INVENTARIO!C124)),"150GR",
IF(ISNUMBER(SEARCH("185 GRS",INVENTARIO!C124)),"185GR",
IF(ISNUMBER(SEARCH("200 GRS",INVENTARIO!C124)),"200GR",
IF(ISNUMBER(SEARCH("250 GRS",INVENTARIO!C124)),"250GR",
IF(ISNUMBER(SEARCH("300 GRS",INVENTARIO!C124)),"300GR",
IF(ISNUMBER(SEARCH("350 GRS",INVENTARIO!C124)),"350GR",
IF(ISNUMBER(SEARCH("18 OZ",INVENTARIO!C124)),"18OZ",
IF(ISNUMBER(SEARCH("15 OZ",INVENTARIO!C124)),"15OZ",
IF(OR(ISNUMBER(SEARCH("13 OZ",INVENTARIO!C124)),ISNUMBER(SEARCH("13 ONZAS",INVENTARIO!C124))),"13OZ",
IF(OR(ISNUMBER(SEARCH("9 OZ",INVENTARIO!C124)),ISNUMBER(SEARCH("9 ONZAS",INVENTARIO!C124))),"09OZ",
IF(ISNUMBER(SEARCH("DOBLE CARA",INVENTARIO!C124)),"DOB-CAR",
"")))))))))))))))</f>
        <v/>
      </c>
      <c r="E124" t="str">
        <f>IF(OR(ISNUMBER(SEARCH("TRANSPARENTE",INVENTARIO!C124)),ISNUMBER(SEARCH("TRANSPARENTES",INVENTARIO!C124))),"TRA",
IF(OR(ISNUMBER(SEARCH("BLANCO",INVENTARIO!C124)),ISNUMBER(SEARCH("BCO",INVENTARIO!C124))),"BLA",
IF(ISNUMBER(SEARCH("FOTOGRAFICO",INVENTARIO!C124)),"FOT",
IF(ISNUMBER(SEARCH("MARFIL",INVENTARIO!C124)),"MAR",
IF(ISNUMBER(SEARCH("VERDE",INVENTARIO!C124)),"VER",
IF(ISNUMBER(SEARCH("MORADO",INVENTARIO!C124)),"MOR",
IF(ISNUMBER(SEARCH("PLATA",INVENTARIO!C124)),"PLA",
IF(ISNUMBER(SEARCH("ORO",INVENTARIO!C124)),"ORO",
IF(ISNUMBER(SEARCH("AMARILLO",INVENTARIO!C124)),"AMA",
IF(ISNUMBER(SEARCH("NARANJA",INVENTARIO!C124)),"NAR",
IF(ISNUMBER(SEARCH("NEGRO",INVENTARIO!C124)),"NEG",
IF(ISNUMBER(SEARCH("ROJO",INVENTARIO!C124)),"ROJ",
IF(ISNUMBER(SEARCH("AZUL",INVENTARIO!C124)),"AZU","")))))))))))))</f>
        <v/>
      </c>
      <c r="F124" t="str">
        <f>IF(ISNUMBER(SEARCH("ARLON",INVENTARIO!C124)),"ARL",
IF(ISNUMBER(SEARCH("SUNTHINKS",INVENTARIO!C124)),"SUN",
IF(ISNUMBER(SEARCH("FRIO",INVENTARIO!C124)),"FRI",
IF(ISNUMBER(SEARCH("CALIDO",INVENTARIO!C124)),"CAL",
IF(ISNUMBER(SEARCH("CEPILLADO",INVENTARIO!C124)),"CEP",
IF(ISNUMBER(SEARCH("ESPEJO",INVENTARIO!C124)),"ESP",
""))))))</f>
        <v/>
      </c>
      <c r="G124" t="str">
        <f>IF(ISNUMBER(SEARCH("LATEX",INVENTARIO!C124)),"LAT",
IF(ISNUMBER(SEARCH("RESP. NEGRO",INVENTARIO!C124)),"RES-NEG",
IF(ISNUMBER(SEARCH("RESPALDO CAFE",INVENTARIO!C124)),"RES-CAF",
IF(ISNUMBER(SEARCH("RESPALDO GRIS",INVENTARIO!C124)),"RES-GRI",
IF(ISNUMBER(SEARCH("OPTICO",INVENTARIO!C124)),"OPT",
IF(ISNUMBER(SEARCH("1,2 MM",INVENTARIO!C124)),"1MM2",
IF(ISNUMBER(SEARCH("2 MM",INVENTARIO!C124)),"2MM",
IF(ISNUMBER(SEARCH("3 MM",INVENTARIO!C124)),"3MM",
IF(ISNUMBER(SEARCH("4 MM",INVENTARIO!C124)),"4MM",
IF(ISNUMBER(SEARCH("5 MM",INVENTARIO!C124)),"5MM",
IF(ISNUMBER(SEARCH("6 MM",INVENTARIO!C124)),"6MM",
IF(ISNUMBER(SEARCH("9 MM",INVENTARIO!C124)),"9MM",
IF(ISNUMBER(SEARCH("10 MM",INVENTARIO!C124)),"10MM","")))))))))))))</f>
        <v/>
      </c>
      <c r="H124" t="str">
        <f>IF(ISNUMBER(SEARCH("GAMA BAJA",INVENTARIO!C124)),"GAM-BAJ",
IF(ISNUMBER(SEARCH("OPTIMIZADOR",INVENTARIO!C124)),"OPT",
IF(ISNUMBER(SEARCH("OVERCOAT",INVENTARIO!C124)),"OVE",
IF(ISNUMBER(SEARCH("WHITE",INVENTARIO!C124)),"WHI",
IF(ISNUMBER(SEARCH("LIGHT CYAN",INVENTARIO!C124)),"LIG-CYA",
IF(ISNUMBER(SEARCH("CYAN",INVENTARIO!C124)),"CYA",
IF(ISNUMBER(SEARCH("LIGHT MAGENTA",INVENTARIO!C124)),"LIG-MAG",
IF(ISNUMBER(SEARCH("MAGENTA",INVENTARIO!C124)),"MAG",
IF(ISNUMBER(SEARCH("BLACK",INVENTARIO!C124)),"BLA",
IF(ISNUMBER(SEARCH("YELLOW",INVENTARIO!C124)),"YEL",
IF(ISNUMBER(SEARCH("2 DIODOS",INVENTARIO!C124)),"2DI",
IF(ISNUMBER(SEARCH("3 DIODOS",INVENTARIO!C124)),"3DI",
IF(OR(ISNUMBER(SEARCH("TRASLUCIDO",INVENTARIO!C124)),ISNUMBER(SEARCH("TRANSLUCIDO",INVENTARIO!C124))),"TRA",
"")))))))))))))</f>
        <v>CYA</v>
      </c>
      <c r="I124" t="str">
        <f>IF(ISNUMBER(SEARCH("SILED",INVENTARIO!C138)),"SI",
IF(ISNUMBER(SEARCH("SYDEMEX",INVENTARIO!C138)),"SY",
IF(ISNUMBER(SEARCH("ROHS",INVENTARIO!C138)),"RO",
IF(ISNUMBER(SEARCH("RISHANG",INVENTARIO!C138)),"RS",
IF(ISNUMBER(SEARCH("VYG",INVENTARIO!C138)),"VYG",
IF(ISNUMBER(SEARCH("COLED",INVENTARIO!C138)),"CO",""))))))</f>
        <v/>
      </c>
    </row>
    <row r="125" spans="1:9">
      <c r="A125" t="str">
        <f>IF(ISNUMBER(SEARCH("LONA",INVENTARIO!C125)),"LON",
IF(ISNUMBER(SEARCH("VINIL",INVENTARIO!C125)),"VIN",
IF(ISNUMBER(SEARCH("KROMACOTE",INVENTARIO!C125)),"KRO",
IF(ISNUMBER(SEARCH("STARDREAM",INVENTARIO!C125)),"STA",
IF(ISNUMBER(SEARCH("DISPLAY",INVENTARIO!C125)),"DIS",
IF(ISNUMBER(SEARCH("ROLL UP",INVENTARIO!C125)),"ROL-UP",
IF(ISNUMBER(SEARCH("TRANSFER DE PAPEL",INVENTARIO!C125)),"TRA-PAP",
IF(ISNUMBER(SEARCH("TRANSFER",INVENTARIO!C125)),"TRA",IF(ISNUMBER(SEARCH("KOLA LOKA",INVENTARIO!C125)),"KOL-LOK",
IF(ISNUMBER(SEARCH("PETG",INVENTARIO!C125)),"PET",
IF(ISNUMBER(SEARCH("OJILLO",INVENTARIO!C125)),"OJI",
IF(ISNUMBER(SEARCH("COUCHE",INVENTARIO!C125)),"COU",
IF(ISNUMBER(SEARCH("PANEL DE ALUMINIO",INVENTARIO!C125)),"PAN-ALU",
IF(ISNUMBER(SEARCH("PVC",INVENTARIO!C125)),"PVC",
IF(ISNUMBER(SEARCH("PAPEL",INVENTARIO!C125)),"PAP",
IF(ISNUMBER(SEARCH("TELA",INVENTARIO!C125)),"TEL",
IF(ISNUMBER(SEARCH("CARTULINA",INVENTARIO!C125)),"CAR",
IF(OR(ISNUMBER(SEARCH("LAMINA",INVENTARIO!C125)),ISNUMBER(SEARCH("LÁMINA",INVENTARIO!C125)),ISNUMBER(SEARCH("LAMPARAS",INVENTARIO!C125))),"LAM",
IF(ISNUMBER(SEARCH("ESTIRENO",INVENTARIO!C125)),"EST",
IF(ISNUMBER(SEARCH("FOAMBOARD",INVENTARIO!C125)),"FOA",
IF(ISNUMBER(SEARCH("SOLVENTE",INVENTARIO!C125)),"SOL",
IF(ISNUMBER(SEARCH("TINTA",INVENTARIO!C125)),"TIN",
IF(ISNUMBER(SEARCH("ACRILICO",INVENTARIO!C125)),"ACR",
IF(ISNUMBER(SEARCH("MICROLED",INVENTARIO!C125)),"MIC",
IF(ISNUMBER(SEARCH("LED",INVENTARIO!C125)),"LED",
IF(ISNUMBER(SEARCH("FUENTE DE PODER",INVENTARIO!C125)),"FUE-POD",
IF(ISNUMBER(SEARCH("PETG",INVENTARIO!C125)),"PET",
IF(ISNUMBER(SEARCH("ALUMINIO",INVENTARIO!C125)),"ALU",
IF(ISNUMBER(SEARCH("CANAL",INVENTARIO!C125)),"CAN",
IF(ISNUMBER(SEARCH("ESCUADRA",INVENTARIO!C125)),"ESC",
IF(ISNUMBER(SEARCH("SOPORTE",INVENTARIO!C125)),"SOP","OTR")
))))))))))))))))))))))))))))))</f>
        <v>TIN</v>
      </c>
      <c r="B125" t="str">
        <f>IF(ISNUMBER(SEARCH("CORTE",INVENTARIO!C125)),"COR",
IF(ISNUMBER(SEARCH("CITYLIGHT",INVENTARIO!C125)),"CIT",
IF(ISNUMBER(SEARCH("LINO",INVENTARIO!C125)),"LIN",
IF(ISNUMBER(SEARCH("FABRIANO",INVENTARIO!C125)),"FAB",
IF(ISNUMBER(SEARCH("SUNDANCE",INVENTARIO!C125)),"SUN",
IF(ISNUMBER(SEARCH("SINTETICA",INVENTARIO!C125)),"SIN",
IF(ISNUMBER(SEARCH("CONTROL",INVENTARIO!C125)),"CON",
IF(ISNUMBER(SEARCH("TERMICO",INVENTARIO!C125)),"TER",
IF(ISNUMBER(SEARCH("C-15",INVENTARIO!C125)),"C15",
IF(ISNUMBER(SEARCH("C-20",INVENTARIO!C125)),"C20",
IF(ISNUMBER(SEARCH("C-30",INVENTARIO!C125)),"C30",
IF(ISNUMBER(SEARCH("C-40",INVENTARIO!C125)),"C40",
IF(ISNUMBER(SEARCH("C-60",INVENTARIO!C125)),"C60",
IF(ISNUMBER(SEARCH("C-80",INVENTARIO!C125)),"C80",
IF(ISNUMBER(SEARCH("EQUIPO",INVENTARIO!C125)),"EQU",
IF(ISNUMBER(SEARCH("FLOOR",INVENTARIO!C125)),"FLO",
IF(ISNUMBER(SEARCH("CRISTAL",INVENTARIO!C125)),"CRI",
IF(ISNUMBER(SEARCH(" SULFATADA",INVENTARIO!C136)),"SUL",
IF(ISNUMBER(SEARCH("OPALINA",INVENTARIO!C125)),"OPA",
IF(ISNUMBER(SEARCH("ADHERIBLE",INVENTARIO!C125)),"ADH",
IF(ISNUMBER(SEARCH("MICRO",INVENTARIO!C125)),"MIC","")))))))))))))))))))))</f>
        <v/>
      </c>
      <c r="C125" t="str">
        <f>IF(ISNUMBER(SEARCH("PARED",INVENTARIO!C125)),"PAR",
IF(ISNUMBER(SEARCH("FRONT",INVENTARIO!C125)),"FRO",
IF(ISNUMBER(SEARCH("ALTA RESISTENCIA",INVENTARIO!C125)),
"ALT-RES",IF(ISNUMBER(SEARCH("BACKLITE",INVENTARIO!C125)),"BAC",
IF(ISNUMBER(SEARCH("MATE",INVENTARIO!C125)),"MAT",
IF(ISNUMBER(SEARCH("MESH",INVENTARIO!C125)),"MES",
IF(ISNUMBER(SEARCH("BRILLANTE",INVENTARIO!C125)),"BRI",
IF(ISNUMBER(SEARCH("DELGADA",INVENTARIO!C125)),"DEL",
IF(ISNUMBER(SEARCH("GRUESA",INVENTARIO!C125)),"GRU",
IF(ISNUMBER(SEARCH("ESTATICO",INVENTARIO!C125)),"EST",
IF(ISNUMBER(SEARCH("REFLECTIVO",INVENTARIO!C125)),"REF",
IF(ISNUMBER(SEARCH("LX700",INVENTARIO!C125)),"LX7",
IF(ISNUMBER(SEARCH("GRANDO",INVENTARIO!C125)),"GRA",
IF(ISNUMBER(SEARCH("FB700",INVENTARIO!C125)),"FB7",
IF(ISNUMBER(SEARCH("LX360",INVENTARIO!C125)),"LX3",
IF(ISNUMBER(SEARCH("XEROX",INVENTARIO!C125)),"XER",
IF(ISNUMBER(SEARCH("CEPILLADO",INVENTARIO!C125)),"CEP",
IF(ISNUMBER(SEARCH("ESPEJO",INVENTARIO!C125)),"ESP",
IF(ISNUMBER(SEARCH("10 PTS",INVENTARIO!C125)),"10PT",
IF(ISNUMBER(SEARCH("12 PTS",INVENTARIO!C125)),"12PT",
IF(ISNUMBER(SEARCH("14 PTS",INVENTARIO!C125)),"14PT",
IF(ISNUMBER(SEARCH("CLASICO",INVENTARIO!C125)),"CLA",
""))))))))))))))))))))))</f>
        <v>GRA</v>
      </c>
      <c r="D125" t="str">
        <f>IF(ISNUMBER(SEARCH("GRAN FORMATO",INVENTARIO!C125)),"GRA-FOR",
IF(ISNUMBER(SEARCH("CAMA PLANA",INVENTARIO!C125)),"CAM-PLA",
IF(ISNUMBER(SEARCH("GRADO INGENIERIA",INVENTARIO!C125)),"GRA-ING",
IF(ISNUMBER(SEARCH("130 GRS",INVENTARIO!C125)),"130GR",
IF(ISNUMBER(SEARCH("150 GRS",INVENTARIO!C125)),"150GR",
IF(ISNUMBER(SEARCH("185 GRS",INVENTARIO!C125)),"185GR",
IF(ISNUMBER(SEARCH("200 GRS",INVENTARIO!C125)),"200GR",
IF(ISNUMBER(SEARCH("250 GRS",INVENTARIO!C125)),"250GR",
IF(ISNUMBER(SEARCH("300 GRS",INVENTARIO!C125)),"300GR",
IF(ISNUMBER(SEARCH("350 GRS",INVENTARIO!C125)),"350GR",
IF(ISNUMBER(SEARCH("18 OZ",INVENTARIO!C125)),"18OZ",
IF(ISNUMBER(SEARCH("15 OZ",INVENTARIO!C125)),"15OZ",
IF(OR(ISNUMBER(SEARCH("13 OZ",INVENTARIO!C125)),ISNUMBER(SEARCH("13 ONZAS",INVENTARIO!C125))),"13OZ",
IF(OR(ISNUMBER(SEARCH("9 OZ",INVENTARIO!C125)),ISNUMBER(SEARCH("9 ONZAS",INVENTARIO!C125))),"09OZ",
IF(ISNUMBER(SEARCH("DOBLE CARA",INVENTARIO!C125)),"DOB-CAR",
"")))))))))))))))</f>
        <v/>
      </c>
      <c r="E125" t="str">
        <f>IF(OR(ISNUMBER(SEARCH("TRANSPARENTE",INVENTARIO!C125)),ISNUMBER(SEARCH("TRANSPARENTES",INVENTARIO!C125))),"TRA",
IF(OR(ISNUMBER(SEARCH("BLANCO",INVENTARIO!C125)),ISNUMBER(SEARCH("BCO",INVENTARIO!C125))),"BLA",
IF(ISNUMBER(SEARCH("FOTOGRAFICO",INVENTARIO!C125)),"FOT",
IF(ISNUMBER(SEARCH("MARFIL",INVENTARIO!C125)),"MAR",
IF(ISNUMBER(SEARCH("VERDE",INVENTARIO!C125)),"VER",
IF(ISNUMBER(SEARCH("MORADO",INVENTARIO!C125)),"MOR",
IF(ISNUMBER(SEARCH("PLATA",INVENTARIO!C125)),"PLA",
IF(ISNUMBER(SEARCH("ORO",INVENTARIO!C125)),"ORO",
IF(ISNUMBER(SEARCH("AMARILLO",INVENTARIO!C125)),"AMA",
IF(ISNUMBER(SEARCH("NARANJA",INVENTARIO!C125)),"NAR",
IF(ISNUMBER(SEARCH("NEGRO",INVENTARIO!C125)),"NEG",
IF(ISNUMBER(SEARCH("ROJO",INVENTARIO!C125)),"ROJ",
IF(ISNUMBER(SEARCH("AZUL",INVENTARIO!C125)),"AZU","")))))))))))))</f>
        <v/>
      </c>
      <c r="F125" t="str">
        <f>IF(ISNUMBER(SEARCH("ARLON",INVENTARIO!C125)),"ARL",
IF(ISNUMBER(SEARCH("SUNTHINKS",INVENTARIO!C125)),"SUN",
IF(ISNUMBER(SEARCH("FRIO",INVENTARIO!C125)),"FRI",
IF(ISNUMBER(SEARCH("CALIDO",INVENTARIO!C125)),"CAL",
IF(ISNUMBER(SEARCH("CEPILLADO",INVENTARIO!C125)),"CEP",
IF(ISNUMBER(SEARCH("ESPEJO",INVENTARIO!C125)),"ESP",
""))))))</f>
        <v/>
      </c>
      <c r="G125" t="str">
        <f>IF(ISNUMBER(SEARCH("LATEX",INVENTARIO!C125)),"LAT",
IF(ISNUMBER(SEARCH("RESP. NEGRO",INVENTARIO!C125)),"RES-NEG",
IF(ISNUMBER(SEARCH("RESPALDO CAFE",INVENTARIO!C125)),"RES-CAF",
IF(ISNUMBER(SEARCH("RESPALDO GRIS",INVENTARIO!C125)),"RES-GRI",
IF(ISNUMBER(SEARCH("OPTICO",INVENTARIO!C125)),"OPT",
IF(ISNUMBER(SEARCH("1,2 MM",INVENTARIO!C125)),"1MM2",
IF(ISNUMBER(SEARCH("2 MM",INVENTARIO!C125)),"2MM",
IF(ISNUMBER(SEARCH("3 MM",INVENTARIO!C125)),"3MM",
IF(ISNUMBER(SEARCH("4 MM",INVENTARIO!C125)),"4MM",
IF(ISNUMBER(SEARCH("5 MM",INVENTARIO!C125)),"5MM",
IF(ISNUMBER(SEARCH("6 MM",INVENTARIO!C125)),"6MM",
IF(ISNUMBER(SEARCH("9 MM",INVENTARIO!C125)),"9MM",
IF(ISNUMBER(SEARCH("10 MM",INVENTARIO!C125)),"10MM","")))))))))))))</f>
        <v/>
      </c>
      <c r="H125" t="str">
        <f>IF(ISNUMBER(SEARCH("GAMA BAJA",INVENTARIO!C125)),"GAM-BAJ",
IF(ISNUMBER(SEARCH("OPTIMIZADOR",INVENTARIO!C125)),"OPT",
IF(ISNUMBER(SEARCH("OVERCOAT",INVENTARIO!C125)),"OVE",
IF(ISNUMBER(SEARCH("WHITE",INVENTARIO!C125)),"WHI",
IF(ISNUMBER(SEARCH("LIGHT CYAN",INVENTARIO!C125)),"LIG-CYA",
IF(ISNUMBER(SEARCH("CYAN",INVENTARIO!C125)),"CYA",
IF(ISNUMBER(SEARCH("LIGHT MAGENTA",INVENTARIO!C125)),"LIG-MAG",
IF(ISNUMBER(SEARCH("MAGENTA",INVENTARIO!C125)),"MAG",
IF(ISNUMBER(SEARCH("BLACK",INVENTARIO!C125)),"BLA",
IF(ISNUMBER(SEARCH("YELLOW",INVENTARIO!C125)),"YEL",
IF(ISNUMBER(SEARCH("2 DIODOS",INVENTARIO!C125)),"2DI",
IF(ISNUMBER(SEARCH("3 DIODOS",INVENTARIO!C125)),"3DI",
IF(OR(ISNUMBER(SEARCH("TRASLUCIDO",INVENTARIO!C125)),ISNUMBER(SEARCH("TRANSLUCIDO",INVENTARIO!C125))),"TRA",
"")))))))))))))</f>
        <v>MAG</v>
      </c>
      <c r="I125" t="str">
        <f>IF(ISNUMBER(SEARCH("SILED",INVENTARIO!C139)),"SI",
IF(ISNUMBER(SEARCH("SYDEMEX",INVENTARIO!C139)),"SY",
IF(ISNUMBER(SEARCH("ROHS",INVENTARIO!C139)),"RO",
IF(ISNUMBER(SEARCH("RISHANG",INVENTARIO!C139)),"RS",
IF(ISNUMBER(SEARCH("VYG",INVENTARIO!C139)),"VYG",
IF(ISNUMBER(SEARCH("COLED",INVENTARIO!C139)),"CO",""))))))</f>
        <v/>
      </c>
    </row>
    <row r="126" spans="1:9">
      <c r="A126" t="str">
        <f>IF(ISNUMBER(SEARCH("LONA",INVENTARIO!C126)),"LON",
IF(ISNUMBER(SEARCH("VINIL",INVENTARIO!C126)),"VIN",
IF(ISNUMBER(SEARCH("KROMACOTE",INVENTARIO!C126)),"KRO",
IF(ISNUMBER(SEARCH("STARDREAM",INVENTARIO!C126)),"STA",
IF(ISNUMBER(SEARCH("DISPLAY",INVENTARIO!C126)),"DIS",
IF(ISNUMBER(SEARCH("ROLL UP",INVENTARIO!C126)),"ROL-UP",
IF(ISNUMBER(SEARCH("TRANSFER DE PAPEL",INVENTARIO!C126)),"TRA-PAP",
IF(ISNUMBER(SEARCH("TRANSFER",INVENTARIO!C126)),"TRA",IF(ISNUMBER(SEARCH("KOLA LOKA",INVENTARIO!C126)),"KOL-LOK",
IF(ISNUMBER(SEARCH("PETG",INVENTARIO!C126)),"PET",
IF(ISNUMBER(SEARCH("OJILLO",INVENTARIO!C126)),"OJI",
IF(ISNUMBER(SEARCH("COUCHE",INVENTARIO!C126)),"COU",
IF(ISNUMBER(SEARCH("PANEL DE ALUMINIO",INVENTARIO!C126)),"PAN-ALU",
IF(ISNUMBER(SEARCH("PVC",INVENTARIO!C126)),"PVC",
IF(ISNUMBER(SEARCH("PAPEL",INVENTARIO!C126)),"PAP",
IF(ISNUMBER(SEARCH("TELA",INVENTARIO!C126)),"TEL",
IF(ISNUMBER(SEARCH("CARTULINA",INVENTARIO!C126)),"CAR",
IF(OR(ISNUMBER(SEARCH("LAMINA",INVENTARIO!C126)),ISNUMBER(SEARCH("LÁMINA",INVENTARIO!C126)),ISNUMBER(SEARCH("LAMPARAS",INVENTARIO!C126))),"LAM",
IF(ISNUMBER(SEARCH("ESTIRENO",INVENTARIO!C126)),"EST",
IF(ISNUMBER(SEARCH("FOAMBOARD",INVENTARIO!C126)),"FOA",
IF(ISNUMBER(SEARCH("SOLVENTE",INVENTARIO!C126)),"SOL",
IF(ISNUMBER(SEARCH("TINTA",INVENTARIO!C126)),"TIN",
IF(ISNUMBER(SEARCH("ACRILICO",INVENTARIO!C126)),"ACR",
IF(ISNUMBER(SEARCH("MICROLED",INVENTARIO!C126)),"MIC",
IF(ISNUMBER(SEARCH("LED",INVENTARIO!C126)),"LED",
IF(ISNUMBER(SEARCH("FUENTE DE PODER",INVENTARIO!C126)),"FUE-POD",
IF(ISNUMBER(SEARCH("PETG",INVENTARIO!C126)),"PET",
IF(ISNUMBER(SEARCH("ALUMINIO",INVENTARIO!C126)),"ALU",
IF(ISNUMBER(SEARCH("CANAL",INVENTARIO!C126)),"CAN",
IF(ISNUMBER(SEARCH("ESCUADRA",INVENTARIO!C126)),"ESC",
IF(ISNUMBER(SEARCH("SOPORTE",INVENTARIO!C126)),"SOP","OTR")
))))))))))))))))))))))))))))))</f>
        <v>TIN</v>
      </c>
      <c r="B126" t="str">
        <f>IF(ISNUMBER(SEARCH("CORTE",INVENTARIO!C126)),"COR",
IF(ISNUMBER(SEARCH("CITYLIGHT",INVENTARIO!C126)),"CIT",
IF(ISNUMBER(SEARCH("LINO",INVENTARIO!C126)),"LIN",
IF(ISNUMBER(SEARCH("FABRIANO",INVENTARIO!C126)),"FAB",
IF(ISNUMBER(SEARCH("SUNDANCE",INVENTARIO!C126)),"SUN",
IF(ISNUMBER(SEARCH("SINTETICA",INVENTARIO!C126)),"SIN",
IF(ISNUMBER(SEARCH("CONTROL",INVENTARIO!C126)),"CON",
IF(ISNUMBER(SEARCH("TERMICO",INVENTARIO!C126)),"TER",
IF(ISNUMBER(SEARCH("C-15",INVENTARIO!C126)),"C15",
IF(ISNUMBER(SEARCH("C-20",INVENTARIO!C126)),"C20",
IF(ISNUMBER(SEARCH("C-30",INVENTARIO!C126)),"C30",
IF(ISNUMBER(SEARCH("C-40",INVENTARIO!C126)),"C40",
IF(ISNUMBER(SEARCH("C-60",INVENTARIO!C126)),"C60",
IF(ISNUMBER(SEARCH("C-80",INVENTARIO!C126)),"C80",
IF(ISNUMBER(SEARCH("EQUIPO",INVENTARIO!C126)),"EQU",
IF(ISNUMBER(SEARCH("FLOOR",INVENTARIO!C126)),"FLO",
IF(ISNUMBER(SEARCH("CRISTAL",INVENTARIO!C126)),"CRI",
IF(ISNUMBER(SEARCH(" SULFATADA",INVENTARIO!C137)),"SUL",
IF(ISNUMBER(SEARCH("OPALINA",INVENTARIO!C126)),"OPA",
IF(ISNUMBER(SEARCH("ADHERIBLE",INVENTARIO!C126)),"ADH",
IF(ISNUMBER(SEARCH("MICRO",INVENTARIO!C126)),"MIC","")))))))))))))))))))))</f>
        <v/>
      </c>
      <c r="C126" t="str">
        <f>IF(ISNUMBER(SEARCH("PARED",INVENTARIO!C126)),"PAR",
IF(ISNUMBER(SEARCH("FRONT",INVENTARIO!C126)),"FRO",
IF(ISNUMBER(SEARCH("ALTA RESISTENCIA",INVENTARIO!C126)),
"ALT-RES",IF(ISNUMBER(SEARCH("BACKLITE",INVENTARIO!C126)),"BAC",
IF(ISNUMBER(SEARCH("MATE",INVENTARIO!C126)),"MAT",
IF(ISNUMBER(SEARCH("MESH",INVENTARIO!C126)),"MES",
IF(ISNUMBER(SEARCH("BRILLANTE",INVENTARIO!C126)),"BRI",
IF(ISNUMBER(SEARCH("DELGADA",INVENTARIO!C126)),"DEL",
IF(ISNUMBER(SEARCH("GRUESA",INVENTARIO!C126)),"GRU",
IF(ISNUMBER(SEARCH("ESTATICO",INVENTARIO!C126)),"EST",
IF(ISNUMBER(SEARCH("REFLECTIVO",INVENTARIO!C126)),"REF",
IF(ISNUMBER(SEARCH("LX700",INVENTARIO!C126)),"LX7",
IF(ISNUMBER(SEARCH("GRANDO",INVENTARIO!C126)),"GRA",
IF(ISNUMBER(SEARCH("FB700",INVENTARIO!C126)),"FB7",
IF(ISNUMBER(SEARCH("LX360",INVENTARIO!C126)),"LX3",
IF(ISNUMBER(SEARCH("XEROX",INVENTARIO!C126)),"XER",
IF(ISNUMBER(SEARCH("CEPILLADO",INVENTARIO!C126)),"CEP",
IF(ISNUMBER(SEARCH("ESPEJO",INVENTARIO!C126)),"ESP",
IF(ISNUMBER(SEARCH("10 PTS",INVENTARIO!C126)),"10PT",
IF(ISNUMBER(SEARCH("12 PTS",INVENTARIO!C126)),"12PT",
IF(ISNUMBER(SEARCH("14 PTS",INVENTARIO!C126)),"14PT",
IF(ISNUMBER(SEARCH("CLASICO",INVENTARIO!C126)),"CLA",
""))))))))))))))))))))))</f>
        <v>GRA</v>
      </c>
      <c r="D126" t="str">
        <f>IF(ISNUMBER(SEARCH("GRAN FORMATO",INVENTARIO!C126)),"GRA-FOR",
IF(ISNUMBER(SEARCH("CAMA PLANA",INVENTARIO!C126)),"CAM-PLA",
IF(ISNUMBER(SEARCH("GRADO INGENIERIA",INVENTARIO!C126)),"GRA-ING",
IF(ISNUMBER(SEARCH("130 GRS",INVENTARIO!C126)),"130GR",
IF(ISNUMBER(SEARCH("150 GRS",INVENTARIO!C126)),"150GR",
IF(ISNUMBER(SEARCH("185 GRS",INVENTARIO!C126)),"185GR",
IF(ISNUMBER(SEARCH("200 GRS",INVENTARIO!C126)),"200GR",
IF(ISNUMBER(SEARCH("250 GRS",INVENTARIO!C126)),"250GR",
IF(ISNUMBER(SEARCH("300 GRS",INVENTARIO!C126)),"300GR",
IF(ISNUMBER(SEARCH("350 GRS",INVENTARIO!C126)),"350GR",
IF(ISNUMBER(SEARCH("18 OZ",INVENTARIO!C126)),"18OZ",
IF(ISNUMBER(SEARCH("15 OZ",INVENTARIO!C126)),"15OZ",
IF(OR(ISNUMBER(SEARCH("13 OZ",INVENTARIO!C126)),ISNUMBER(SEARCH("13 ONZAS",INVENTARIO!C126))),"13OZ",
IF(OR(ISNUMBER(SEARCH("9 OZ",INVENTARIO!C126)),ISNUMBER(SEARCH("9 ONZAS",INVENTARIO!C126))),"09OZ",
IF(ISNUMBER(SEARCH("DOBLE CARA",INVENTARIO!C126)),"DOB-CAR",
"")))))))))))))))</f>
        <v/>
      </c>
      <c r="E126" t="str">
        <f>IF(OR(ISNUMBER(SEARCH("TRANSPARENTE",INVENTARIO!C126)),ISNUMBER(SEARCH("TRANSPARENTES",INVENTARIO!C126))),"TRA",
IF(OR(ISNUMBER(SEARCH("BLANCO",INVENTARIO!C126)),ISNUMBER(SEARCH("BCO",INVENTARIO!C126))),"BLA",
IF(ISNUMBER(SEARCH("FOTOGRAFICO",INVENTARIO!C126)),"FOT",
IF(ISNUMBER(SEARCH("MARFIL",INVENTARIO!C126)),"MAR",
IF(ISNUMBER(SEARCH("VERDE",INVENTARIO!C126)),"VER",
IF(ISNUMBER(SEARCH("MORADO",INVENTARIO!C126)),"MOR",
IF(ISNUMBER(SEARCH("PLATA",INVENTARIO!C126)),"PLA",
IF(ISNUMBER(SEARCH("ORO",INVENTARIO!C126)),"ORO",
IF(ISNUMBER(SEARCH("AMARILLO",INVENTARIO!C126)),"AMA",
IF(ISNUMBER(SEARCH("NARANJA",INVENTARIO!C126)),"NAR",
IF(ISNUMBER(SEARCH("NEGRO",INVENTARIO!C126)),"NEG",
IF(ISNUMBER(SEARCH("ROJO",INVENTARIO!C126)),"ROJ",
IF(ISNUMBER(SEARCH("AZUL",INVENTARIO!C126)),"AZU","")))))))))))))</f>
        <v/>
      </c>
      <c r="F126" t="str">
        <f>IF(ISNUMBER(SEARCH("ARLON",INVENTARIO!C126)),"ARL",
IF(ISNUMBER(SEARCH("SUNTHINKS",INVENTARIO!C126)),"SUN",
IF(ISNUMBER(SEARCH("FRIO",INVENTARIO!C126)),"FRI",
IF(ISNUMBER(SEARCH("CALIDO",INVENTARIO!C126)),"CAL",
IF(ISNUMBER(SEARCH("CEPILLADO",INVENTARIO!C126)),"CEP",
IF(ISNUMBER(SEARCH("ESPEJO",INVENTARIO!C126)),"ESP",
""))))))</f>
        <v/>
      </c>
      <c r="G126" t="str">
        <f>IF(ISNUMBER(SEARCH("LATEX",INVENTARIO!C126)),"LAT",
IF(ISNUMBER(SEARCH("RESP. NEGRO",INVENTARIO!C126)),"RES-NEG",
IF(ISNUMBER(SEARCH("RESPALDO CAFE",INVENTARIO!C126)),"RES-CAF",
IF(ISNUMBER(SEARCH("RESPALDO GRIS",INVENTARIO!C126)),"RES-GRI",
IF(ISNUMBER(SEARCH("OPTICO",INVENTARIO!C126)),"OPT",
IF(ISNUMBER(SEARCH("1,2 MM",INVENTARIO!C126)),"1MM2",
IF(ISNUMBER(SEARCH("2 MM",INVENTARIO!C126)),"2MM",
IF(ISNUMBER(SEARCH("3 MM",INVENTARIO!C126)),"3MM",
IF(ISNUMBER(SEARCH("4 MM",INVENTARIO!C126)),"4MM",
IF(ISNUMBER(SEARCH("5 MM",INVENTARIO!C126)),"5MM",
IF(ISNUMBER(SEARCH("6 MM",INVENTARIO!C126)),"6MM",
IF(ISNUMBER(SEARCH("9 MM",INVENTARIO!C126)),"9MM",
IF(ISNUMBER(SEARCH("10 MM",INVENTARIO!C126)),"10MM","")))))))))))))</f>
        <v/>
      </c>
      <c r="H126" t="str">
        <f>IF(ISNUMBER(SEARCH("GAMA BAJA",INVENTARIO!C126)),"GAM-BAJ",
IF(ISNUMBER(SEARCH("OPTIMIZADOR",INVENTARIO!C126)),"OPT",
IF(ISNUMBER(SEARCH("OVERCOAT",INVENTARIO!C126)),"OVE",
IF(ISNUMBER(SEARCH("WHITE",INVENTARIO!C126)),"WHI",
IF(ISNUMBER(SEARCH("LIGHT CYAN",INVENTARIO!C126)),"LIG-CYA",
IF(ISNUMBER(SEARCH("CYAN",INVENTARIO!C126)),"CYA",
IF(ISNUMBER(SEARCH("LIGHT MAGENTA",INVENTARIO!C126)),"LIG-MAG",
IF(ISNUMBER(SEARCH("MAGENTA",INVENTARIO!C126)),"MAG",
IF(ISNUMBER(SEARCH("BLACK",INVENTARIO!C126)),"BLA",
IF(ISNUMBER(SEARCH("YELLOW",INVENTARIO!C126)),"YEL",
IF(ISNUMBER(SEARCH("2 DIODOS",INVENTARIO!C126)),"2DI",
IF(ISNUMBER(SEARCH("3 DIODOS",INVENTARIO!C126)),"3DI",
IF(OR(ISNUMBER(SEARCH("TRASLUCIDO",INVENTARIO!C126)),ISNUMBER(SEARCH("TRANSLUCIDO",INVENTARIO!C126))),"TRA",
"")))))))))))))</f>
        <v>YEL</v>
      </c>
      <c r="I126" t="str">
        <f>IF(ISNUMBER(SEARCH("SILED",INVENTARIO!C140)),"SI",
IF(ISNUMBER(SEARCH("SYDEMEX",INVENTARIO!C140)),"SY",
IF(ISNUMBER(SEARCH("ROHS",INVENTARIO!C140)),"RO",
IF(ISNUMBER(SEARCH("RISHANG",INVENTARIO!C140)),"RS",
IF(ISNUMBER(SEARCH("VYG",INVENTARIO!C140)),"VYG",
IF(ISNUMBER(SEARCH("COLED",INVENTARIO!C140)),"CO",""))))))</f>
        <v/>
      </c>
    </row>
    <row r="127" spans="1:9">
      <c r="A127" t="str">
        <f>IF(ISNUMBER(SEARCH("LONA",INVENTARIO!C127)),"LON",
IF(ISNUMBER(SEARCH("VINIL",INVENTARIO!C127)),"VIN",
IF(ISNUMBER(SEARCH("KROMACOTE",INVENTARIO!C127)),"KRO",
IF(ISNUMBER(SEARCH("STARDREAM",INVENTARIO!C127)),"STA",
IF(ISNUMBER(SEARCH("DISPLAY",INVENTARIO!C127)),"DIS",
IF(ISNUMBER(SEARCH("ROLL UP",INVENTARIO!C127)),"ROL-UP",
IF(ISNUMBER(SEARCH("TRANSFER DE PAPEL",INVENTARIO!C127)),"TRA-PAP",
IF(ISNUMBER(SEARCH("TRANSFER",INVENTARIO!C127)),"TRA",IF(ISNUMBER(SEARCH("KOLA LOKA",INVENTARIO!C127)),"KOL-LOK",
IF(ISNUMBER(SEARCH("PETG",INVENTARIO!C127)),"PET",
IF(ISNUMBER(SEARCH("OJILLO",INVENTARIO!C127)),"OJI",
IF(ISNUMBER(SEARCH("COUCHE",INVENTARIO!C127)),"COU",
IF(ISNUMBER(SEARCH("PANEL DE ALUMINIO",INVENTARIO!C127)),"PAN-ALU",
IF(ISNUMBER(SEARCH("PVC",INVENTARIO!C127)),"PVC",
IF(ISNUMBER(SEARCH("PAPEL",INVENTARIO!C127)),"PAP",
IF(ISNUMBER(SEARCH("TELA",INVENTARIO!C127)),"TEL",
IF(ISNUMBER(SEARCH("CARTULINA",INVENTARIO!C127)),"CAR",
IF(OR(ISNUMBER(SEARCH("LAMINA",INVENTARIO!C127)),ISNUMBER(SEARCH("LÁMINA",INVENTARIO!C127)),ISNUMBER(SEARCH("LAMPARAS",INVENTARIO!C127))),"LAM",
IF(ISNUMBER(SEARCH("ESTIRENO",INVENTARIO!C127)),"EST",
IF(ISNUMBER(SEARCH("FOAMBOARD",INVENTARIO!C127)),"FOA",
IF(ISNUMBER(SEARCH("SOLVENTE",INVENTARIO!C127)),"SOL",
IF(ISNUMBER(SEARCH("TINTA",INVENTARIO!C127)),"TIN",
IF(ISNUMBER(SEARCH("ACRILICO",INVENTARIO!C127)),"ACR",
IF(ISNUMBER(SEARCH("MICROLED",INVENTARIO!C127)),"MIC",
IF(ISNUMBER(SEARCH("LED",INVENTARIO!C127)),"LED",
IF(ISNUMBER(SEARCH("FUENTE DE PODER",INVENTARIO!C127)),"FUE-POD",
IF(ISNUMBER(SEARCH("PETG",INVENTARIO!C127)),"PET",
IF(ISNUMBER(SEARCH("ALUMINIO",INVENTARIO!C127)),"ALU",
IF(ISNUMBER(SEARCH("CANAL",INVENTARIO!C127)),"CAN",
IF(ISNUMBER(SEARCH("ESCUADRA",INVENTARIO!C127)),"ESC",
IF(ISNUMBER(SEARCH("SOPORTE",INVENTARIO!C127)),"SOP","OTR")
))))))))))))))))))))))))))))))</f>
        <v>TIN</v>
      </c>
      <c r="B127" t="str">
        <f>IF(ISNUMBER(SEARCH("CORTE",INVENTARIO!C127)),"COR",
IF(ISNUMBER(SEARCH("CITYLIGHT",INVENTARIO!C127)),"CIT",
IF(ISNUMBER(SEARCH("LINO",INVENTARIO!C127)),"LIN",
IF(ISNUMBER(SEARCH("FABRIANO",INVENTARIO!C127)),"FAB",
IF(ISNUMBER(SEARCH("SUNDANCE",INVENTARIO!C127)),"SUN",
IF(ISNUMBER(SEARCH("SINTETICA",INVENTARIO!C127)),"SIN",
IF(ISNUMBER(SEARCH("CONTROL",INVENTARIO!C127)),"CON",
IF(ISNUMBER(SEARCH("TERMICO",INVENTARIO!C127)),"TER",
IF(ISNUMBER(SEARCH("C-15",INVENTARIO!C127)),"C15",
IF(ISNUMBER(SEARCH("C-20",INVENTARIO!C127)),"C20",
IF(ISNUMBER(SEARCH("C-30",INVENTARIO!C127)),"C30",
IF(ISNUMBER(SEARCH("C-40",INVENTARIO!C127)),"C40",
IF(ISNUMBER(SEARCH("C-60",INVENTARIO!C127)),"C60",
IF(ISNUMBER(SEARCH("C-80",INVENTARIO!C127)),"C80",
IF(ISNUMBER(SEARCH("EQUIPO",INVENTARIO!C127)),"EQU",
IF(ISNUMBER(SEARCH("FLOOR",INVENTARIO!C127)),"FLO",
IF(ISNUMBER(SEARCH("CRISTAL",INVENTARIO!C127)),"CRI",
IF(ISNUMBER(SEARCH(" SULFATADA",INVENTARIO!C138)),"SUL",
IF(ISNUMBER(SEARCH("OPALINA",INVENTARIO!C127)),"OPA",
IF(ISNUMBER(SEARCH("ADHERIBLE",INVENTARIO!C127)),"ADH",
IF(ISNUMBER(SEARCH("MICRO",INVENTARIO!C127)),"MIC","")))))))))))))))))))))</f>
        <v/>
      </c>
      <c r="C127" t="str">
        <f>IF(ISNUMBER(SEARCH("PARED",INVENTARIO!C127)),"PAR",
IF(ISNUMBER(SEARCH("FRONT",INVENTARIO!C127)),"FRO",
IF(ISNUMBER(SEARCH("ALTA RESISTENCIA",INVENTARIO!C127)),
"ALT-RES",IF(ISNUMBER(SEARCH("BACKLITE",INVENTARIO!C127)),"BAC",
IF(ISNUMBER(SEARCH("MATE",INVENTARIO!C127)),"MAT",
IF(ISNUMBER(SEARCH("MESH",INVENTARIO!C127)),"MES",
IF(ISNUMBER(SEARCH("BRILLANTE",INVENTARIO!C127)),"BRI",
IF(ISNUMBER(SEARCH("DELGADA",INVENTARIO!C127)),"DEL",
IF(ISNUMBER(SEARCH("GRUESA",INVENTARIO!C127)),"GRU",
IF(ISNUMBER(SEARCH("ESTATICO",INVENTARIO!C127)),"EST",
IF(ISNUMBER(SEARCH("REFLECTIVO",INVENTARIO!C127)),"REF",
IF(ISNUMBER(SEARCH("LX700",INVENTARIO!C127)),"LX7",
IF(ISNUMBER(SEARCH("GRANDO",INVENTARIO!C127)),"GRA",
IF(ISNUMBER(SEARCH("FB700",INVENTARIO!C127)),"FB7",
IF(ISNUMBER(SEARCH("LX360",INVENTARIO!C127)),"LX3",
IF(ISNUMBER(SEARCH("XEROX",INVENTARIO!C127)),"XER",
IF(ISNUMBER(SEARCH("CEPILLADO",INVENTARIO!C127)),"CEP",
IF(ISNUMBER(SEARCH("ESPEJO",INVENTARIO!C127)),"ESP",
IF(ISNUMBER(SEARCH("10 PTS",INVENTARIO!C127)),"10PT",
IF(ISNUMBER(SEARCH("12 PTS",INVENTARIO!C127)),"12PT",
IF(ISNUMBER(SEARCH("14 PTS",INVENTARIO!C127)),"14PT",
IF(ISNUMBER(SEARCH("CLASICO",INVENTARIO!C127)),"CLA",
""))))))))))))))))))))))</f>
        <v>GRA</v>
      </c>
      <c r="D127" t="str">
        <f>IF(ISNUMBER(SEARCH("GRAN FORMATO",INVENTARIO!C127)),"GRA-FOR",
IF(ISNUMBER(SEARCH("CAMA PLANA",INVENTARIO!C127)),"CAM-PLA",
IF(ISNUMBER(SEARCH("GRADO INGENIERIA",INVENTARIO!C127)),"GRA-ING",
IF(ISNUMBER(SEARCH("130 GRS",INVENTARIO!C127)),"130GR",
IF(ISNUMBER(SEARCH("150 GRS",INVENTARIO!C127)),"150GR",
IF(ISNUMBER(SEARCH("185 GRS",INVENTARIO!C127)),"185GR",
IF(ISNUMBER(SEARCH("200 GRS",INVENTARIO!C127)),"200GR",
IF(ISNUMBER(SEARCH("250 GRS",INVENTARIO!C127)),"250GR",
IF(ISNUMBER(SEARCH("300 GRS",INVENTARIO!C127)),"300GR",
IF(ISNUMBER(SEARCH("350 GRS",INVENTARIO!C127)),"350GR",
IF(ISNUMBER(SEARCH("18 OZ",INVENTARIO!C127)),"18OZ",
IF(ISNUMBER(SEARCH("15 OZ",INVENTARIO!C127)),"15OZ",
IF(OR(ISNUMBER(SEARCH("13 OZ",INVENTARIO!C127)),ISNUMBER(SEARCH("13 ONZAS",INVENTARIO!C127))),"13OZ",
IF(OR(ISNUMBER(SEARCH("9 OZ",INVENTARIO!C127)),ISNUMBER(SEARCH("9 ONZAS",INVENTARIO!C127))),"09OZ",
IF(ISNUMBER(SEARCH("DOBLE CARA",INVENTARIO!C127)),"DOB-CAR",
"")))))))))))))))</f>
        <v/>
      </c>
      <c r="E127" t="str">
        <f>IF(OR(ISNUMBER(SEARCH("TRANSPARENTE",INVENTARIO!C127)),ISNUMBER(SEARCH("TRANSPARENTES",INVENTARIO!C127))),"TRA",
IF(OR(ISNUMBER(SEARCH("BLANCO",INVENTARIO!C127)),ISNUMBER(SEARCH("BCO",INVENTARIO!C127))),"BLA",
IF(ISNUMBER(SEARCH("FOTOGRAFICO",INVENTARIO!C127)),"FOT",
IF(ISNUMBER(SEARCH("MARFIL",INVENTARIO!C127)),"MAR",
IF(ISNUMBER(SEARCH("VERDE",INVENTARIO!C127)),"VER",
IF(ISNUMBER(SEARCH("MORADO",INVENTARIO!C127)),"MOR",
IF(ISNUMBER(SEARCH("PLATA",INVENTARIO!C127)),"PLA",
IF(ISNUMBER(SEARCH("ORO",INVENTARIO!C127)),"ORO",
IF(ISNUMBER(SEARCH("AMARILLO",INVENTARIO!C127)),"AMA",
IF(ISNUMBER(SEARCH("NARANJA",INVENTARIO!C127)),"NAR",
IF(ISNUMBER(SEARCH("NEGRO",INVENTARIO!C127)),"NEG",
IF(ISNUMBER(SEARCH("ROJO",INVENTARIO!C127)),"ROJ",
IF(ISNUMBER(SEARCH("AZUL",INVENTARIO!C127)),"AZU","")))))))))))))</f>
        <v/>
      </c>
      <c r="F127" t="str">
        <f>IF(ISNUMBER(SEARCH("ARLON",INVENTARIO!C127)),"ARL",
IF(ISNUMBER(SEARCH("SUNTHINKS",INVENTARIO!C127)),"SUN",
IF(ISNUMBER(SEARCH("FRIO",INVENTARIO!C127)),"FRI",
IF(ISNUMBER(SEARCH("CALIDO",INVENTARIO!C127)),"CAL",
IF(ISNUMBER(SEARCH("CEPILLADO",INVENTARIO!C127)),"CEP",
IF(ISNUMBER(SEARCH("ESPEJO",INVENTARIO!C127)),"ESP",
""))))))</f>
        <v/>
      </c>
      <c r="G127" t="str">
        <f>IF(ISNUMBER(SEARCH("LATEX",INVENTARIO!C127)),"LAT",
IF(ISNUMBER(SEARCH("RESP. NEGRO",INVENTARIO!C127)),"RES-NEG",
IF(ISNUMBER(SEARCH("RESPALDO CAFE",INVENTARIO!C127)),"RES-CAF",
IF(ISNUMBER(SEARCH("RESPALDO GRIS",INVENTARIO!C127)),"RES-GRI",
IF(ISNUMBER(SEARCH("OPTICO",INVENTARIO!C127)),"OPT",
IF(ISNUMBER(SEARCH("1,2 MM",INVENTARIO!C127)),"1MM2",
IF(ISNUMBER(SEARCH("2 MM",INVENTARIO!C127)),"2MM",
IF(ISNUMBER(SEARCH("3 MM",INVENTARIO!C127)),"3MM",
IF(ISNUMBER(SEARCH("4 MM",INVENTARIO!C127)),"4MM",
IF(ISNUMBER(SEARCH("5 MM",INVENTARIO!C127)),"5MM",
IF(ISNUMBER(SEARCH("6 MM",INVENTARIO!C127)),"6MM",
IF(ISNUMBER(SEARCH("9 MM",INVENTARIO!C127)),"9MM",
IF(ISNUMBER(SEARCH("10 MM",INVENTARIO!C127)),"10MM","")))))))))))))</f>
        <v/>
      </c>
      <c r="H127" t="str">
        <f>IF(ISNUMBER(SEARCH("GAMA BAJA",INVENTARIO!C127)),"GAM-BAJ",
IF(ISNUMBER(SEARCH("OPTIMIZADOR",INVENTARIO!C127)),"OPT",
IF(ISNUMBER(SEARCH("OVERCOAT",INVENTARIO!C127)),"OVE",
IF(ISNUMBER(SEARCH("WHITE",INVENTARIO!C127)),"WHI",
IF(ISNUMBER(SEARCH("LIGHT CYAN",INVENTARIO!C127)),"LIG-CYA",
IF(ISNUMBER(SEARCH("CYAN",INVENTARIO!C127)),"CYA",
IF(ISNUMBER(SEARCH("LIGHT MAGENTA",INVENTARIO!C127)),"LIG-MAG",
IF(ISNUMBER(SEARCH("MAGENTA",INVENTARIO!C127)),"MAG",
IF(ISNUMBER(SEARCH("BLACK",INVENTARIO!C127)),"BLA",
IF(ISNUMBER(SEARCH("YELLOW",INVENTARIO!C127)),"YEL",
IF(ISNUMBER(SEARCH("2 DIODOS",INVENTARIO!C127)),"2DI",
IF(ISNUMBER(SEARCH("3 DIODOS",INVENTARIO!C127)),"3DI",
IF(OR(ISNUMBER(SEARCH("TRASLUCIDO",INVENTARIO!C127)),ISNUMBER(SEARCH("TRANSLUCIDO",INVENTARIO!C127))),"TRA",
"")))))))))))))</f>
        <v>BLA</v>
      </c>
      <c r="I127" t="str">
        <f>IF(ISNUMBER(SEARCH("SILED",INVENTARIO!C141)),"SI",
IF(ISNUMBER(SEARCH("SYDEMEX",INVENTARIO!C141)),"SY",
IF(ISNUMBER(SEARCH("ROHS",INVENTARIO!C141)),"RO",
IF(ISNUMBER(SEARCH("RISHANG",INVENTARIO!C141)),"RS",
IF(ISNUMBER(SEARCH("VYG",INVENTARIO!C141)),"VYG",
IF(ISNUMBER(SEARCH("COLED",INVENTARIO!C141)),"CO",""))))))</f>
        <v/>
      </c>
    </row>
    <row r="128" spans="1:9">
      <c r="A128" t="str">
        <f>IF(ISNUMBER(SEARCH("LONA",INVENTARIO!C128)),"LON",
IF(ISNUMBER(SEARCH("VINIL",INVENTARIO!C128)),"VIN",
IF(ISNUMBER(SEARCH("KROMACOTE",INVENTARIO!C128)),"KRO",
IF(ISNUMBER(SEARCH("STARDREAM",INVENTARIO!C128)),"STA",
IF(ISNUMBER(SEARCH("DISPLAY",INVENTARIO!C128)),"DIS",
IF(ISNUMBER(SEARCH("ROLL UP",INVENTARIO!C128)),"ROL-UP",
IF(ISNUMBER(SEARCH("TRANSFER DE PAPEL",INVENTARIO!C128)),"TRA-PAP",
IF(ISNUMBER(SEARCH("TRANSFER",INVENTARIO!C128)),"TRA",IF(ISNUMBER(SEARCH("KOLA LOKA",INVENTARIO!C128)),"KOL-LOK",
IF(ISNUMBER(SEARCH("PETG",INVENTARIO!C128)),"PET",
IF(ISNUMBER(SEARCH("OJILLO",INVENTARIO!C128)),"OJI",
IF(ISNUMBER(SEARCH("COUCHE",INVENTARIO!C128)),"COU",
IF(ISNUMBER(SEARCH("PANEL DE ALUMINIO",INVENTARIO!C128)),"PAN-ALU",
IF(ISNUMBER(SEARCH("PVC",INVENTARIO!C128)),"PVC",
IF(ISNUMBER(SEARCH("PAPEL",INVENTARIO!C128)),"PAP",
IF(ISNUMBER(SEARCH("TELA",INVENTARIO!C128)),"TEL",
IF(ISNUMBER(SEARCH("CARTULINA",INVENTARIO!C128)),"CAR",
IF(OR(ISNUMBER(SEARCH("LAMINA",INVENTARIO!C128)),ISNUMBER(SEARCH("LÁMINA",INVENTARIO!C128)),ISNUMBER(SEARCH("LAMPARAS",INVENTARIO!C128))),"LAM",
IF(ISNUMBER(SEARCH("ESTIRENO",INVENTARIO!C128)),"EST",
IF(ISNUMBER(SEARCH("FOAMBOARD",INVENTARIO!C128)),"FOA",
IF(ISNUMBER(SEARCH("SOLVENTE",INVENTARIO!C128)),"SOL",
IF(ISNUMBER(SEARCH("TINTA",INVENTARIO!C128)),"TIN",
IF(ISNUMBER(SEARCH("ACRILICO",INVENTARIO!C128)),"ACR",
IF(ISNUMBER(SEARCH("MICROLED",INVENTARIO!C128)),"MIC",
IF(ISNUMBER(SEARCH("LED",INVENTARIO!C128)),"LED",
IF(ISNUMBER(SEARCH("FUENTE DE PODER",INVENTARIO!C128)),"FUE-POD",
IF(ISNUMBER(SEARCH("PETG",INVENTARIO!C128)),"PET",
IF(ISNUMBER(SEARCH("ALUMINIO",INVENTARIO!C128)),"ALU",
IF(ISNUMBER(SEARCH("CANAL",INVENTARIO!C128)),"CAN",
IF(ISNUMBER(SEARCH("ESCUADRA",INVENTARIO!C128)),"ESC",
IF(ISNUMBER(SEARCH("SOPORTE",INVENTARIO!C128)),"SOP","OTR")
))))))))))))))))))))))))))))))</f>
        <v>TIN</v>
      </c>
      <c r="B128" t="str">
        <f>IF(ISNUMBER(SEARCH("CORTE",INVENTARIO!C128)),"COR",
IF(ISNUMBER(SEARCH("CITYLIGHT",INVENTARIO!C128)),"CIT",
IF(ISNUMBER(SEARCH("LINO",INVENTARIO!C128)),"LIN",
IF(ISNUMBER(SEARCH("FABRIANO",INVENTARIO!C128)),"FAB",
IF(ISNUMBER(SEARCH("SUNDANCE",INVENTARIO!C128)),"SUN",
IF(ISNUMBER(SEARCH("SINTETICA",INVENTARIO!C128)),"SIN",
IF(ISNUMBER(SEARCH("CONTROL",INVENTARIO!C128)),"CON",
IF(ISNUMBER(SEARCH("TERMICO",INVENTARIO!C128)),"TER",
IF(ISNUMBER(SEARCH("C-15",INVENTARIO!C128)),"C15",
IF(ISNUMBER(SEARCH("C-20",INVENTARIO!C128)),"C20",
IF(ISNUMBER(SEARCH("C-30",INVENTARIO!C128)),"C30",
IF(ISNUMBER(SEARCH("C-40",INVENTARIO!C128)),"C40",
IF(ISNUMBER(SEARCH("C-60",INVENTARIO!C128)),"C60",
IF(ISNUMBER(SEARCH("C-80",INVENTARIO!C128)),"C80",
IF(ISNUMBER(SEARCH("EQUIPO",INVENTARIO!C128)),"EQU",
IF(ISNUMBER(SEARCH("FLOOR",INVENTARIO!C128)),"FLO",
IF(ISNUMBER(SEARCH("CRISTAL",INVENTARIO!C128)),"CRI",
IF(ISNUMBER(SEARCH(" SULFATADA",INVENTARIO!C139)),"SUL",
IF(ISNUMBER(SEARCH("OPALINA",INVENTARIO!C128)),"OPA",
IF(ISNUMBER(SEARCH("ADHERIBLE",INVENTARIO!C128)),"ADH",
IF(ISNUMBER(SEARCH("MICRO",INVENTARIO!C128)),"MIC","")))))))))))))))))))))</f>
        <v/>
      </c>
      <c r="C128" t="str">
        <f>IF(ISNUMBER(SEARCH("PARED",INVENTARIO!C128)),"PAR",
IF(ISNUMBER(SEARCH("FRONT",INVENTARIO!C128)),"FRO",
IF(ISNUMBER(SEARCH("ALTA RESISTENCIA",INVENTARIO!C128)),
"ALT-RES",IF(ISNUMBER(SEARCH("BACKLITE",INVENTARIO!C128)),"BAC",
IF(ISNUMBER(SEARCH("MATE",INVENTARIO!C128)),"MAT",
IF(ISNUMBER(SEARCH("MESH",INVENTARIO!C128)),"MES",
IF(ISNUMBER(SEARCH("BRILLANTE",INVENTARIO!C128)),"BRI",
IF(ISNUMBER(SEARCH("DELGADA",INVENTARIO!C128)),"DEL",
IF(ISNUMBER(SEARCH("GRUESA",INVENTARIO!C128)),"GRU",
IF(ISNUMBER(SEARCH("ESTATICO",INVENTARIO!C128)),"EST",
IF(ISNUMBER(SEARCH("REFLECTIVO",INVENTARIO!C128)),"REF",
IF(ISNUMBER(SEARCH("LX700",INVENTARIO!C128)),"LX7",
IF(ISNUMBER(SEARCH("GRANDO",INVENTARIO!C128)),"GRA",
IF(ISNUMBER(SEARCH("FB700",INVENTARIO!C128)),"FB7",
IF(ISNUMBER(SEARCH("LX360",INVENTARIO!C128)),"LX3",
IF(ISNUMBER(SEARCH("XEROX",INVENTARIO!C128)),"XER",
IF(ISNUMBER(SEARCH("CEPILLADO",INVENTARIO!C128)),"CEP",
IF(ISNUMBER(SEARCH("ESPEJO",INVENTARIO!C128)),"ESP",
IF(ISNUMBER(SEARCH("10 PTS",INVENTARIO!C128)),"10PT",
IF(ISNUMBER(SEARCH("12 PTS",INVENTARIO!C128)),"12PT",
IF(ISNUMBER(SEARCH("14 PTS",INVENTARIO!C128)),"14PT",
IF(ISNUMBER(SEARCH("CLASICO",INVENTARIO!C128)),"CLA",
""))))))))))))))))))))))</f>
        <v/>
      </c>
      <c r="D128" t="str">
        <f>IF(ISNUMBER(SEARCH("GRAN FORMATO",INVENTARIO!C128)),"GRA-FOR",
IF(ISNUMBER(SEARCH("CAMA PLANA",INVENTARIO!C128)),"CAM-PLA",
IF(ISNUMBER(SEARCH("GRADO INGENIERIA",INVENTARIO!C128)),"GRA-ING",
IF(ISNUMBER(SEARCH("130 GRS",INVENTARIO!C128)),"130GR",
IF(ISNUMBER(SEARCH("150 GRS",INVENTARIO!C128)),"150GR",
IF(ISNUMBER(SEARCH("185 GRS",INVENTARIO!C128)),"185GR",
IF(ISNUMBER(SEARCH("200 GRS",INVENTARIO!C128)),"200GR",
IF(ISNUMBER(SEARCH("250 GRS",INVENTARIO!C128)),"250GR",
IF(ISNUMBER(SEARCH("300 GRS",INVENTARIO!C128)),"300GR",
IF(ISNUMBER(SEARCH("350 GRS",INVENTARIO!C128)),"350GR",
IF(ISNUMBER(SEARCH("18 OZ",INVENTARIO!C128)),"18OZ",
IF(ISNUMBER(SEARCH("15 OZ",INVENTARIO!C128)),"15OZ",
IF(OR(ISNUMBER(SEARCH("13 OZ",INVENTARIO!C128)),ISNUMBER(SEARCH("13 ONZAS",INVENTARIO!C128))),"13OZ",
IF(OR(ISNUMBER(SEARCH("9 OZ",INVENTARIO!C128)),ISNUMBER(SEARCH("9 ONZAS",INVENTARIO!C128))),"09OZ",
IF(ISNUMBER(SEARCH("DOBLE CARA",INVENTARIO!C128)),"DOB-CAR",
"")))))))))))))))</f>
        <v>CAM-PLA</v>
      </c>
      <c r="E128" t="str">
        <f>IF(OR(ISNUMBER(SEARCH("TRANSPARENTE",INVENTARIO!C128)),ISNUMBER(SEARCH("TRANSPARENTES",INVENTARIO!C128))),"TRA",
IF(OR(ISNUMBER(SEARCH("BLANCO",INVENTARIO!C128)),ISNUMBER(SEARCH("BCO",INVENTARIO!C128))),"BLA",
IF(ISNUMBER(SEARCH("FOTOGRAFICO",INVENTARIO!C128)),"FOT",
IF(ISNUMBER(SEARCH("MARFIL",INVENTARIO!C128)),"MAR",
IF(ISNUMBER(SEARCH("VERDE",INVENTARIO!C128)),"VER",
IF(ISNUMBER(SEARCH("MORADO",INVENTARIO!C128)),"MOR",
IF(ISNUMBER(SEARCH("PLATA",INVENTARIO!C128)),"PLA",
IF(ISNUMBER(SEARCH("ORO",INVENTARIO!C128)),"ORO",
IF(ISNUMBER(SEARCH("AMARILLO",INVENTARIO!C128)),"AMA",
IF(ISNUMBER(SEARCH("NARANJA",INVENTARIO!C128)),"NAR",
IF(ISNUMBER(SEARCH("NEGRO",INVENTARIO!C128)),"NEG",
IF(ISNUMBER(SEARCH("ROJO",INVENTARIO!C128)),"ROJ",
IF(ISNUMBER(SEARCH("AZUL",INVENTARIO!C128)),"AZU","")))))))))))))</f>
        <v/>
      </c>
      <c r="F128" t="str">
        <f>IF(ISNUMBER(SEARCH("ARLON",INVENTARIO!C128)),"ARL",
IF(ISNUMBER(SEARCH("SUNTHINKS",INVENTARIO!C128)),"SUN",
IF(ISNUMBER(SEARCH("FRIO",INVENTARIO!C128)),"FRI",
IF(ISNUMBER(SEARCH("CALIDO",INVENTARIO!C128)),"CAL",
IF(ISNUMBER(SEARCH("CEPILLADO",INVENTARIO!C128)),"CEP",
IF(ISNUMBER(SEARCH("ESPEJO",INVENTARIO!C128)),"ESP",
""))))))</f>
        <v>SUN</v>
      </c>
      <c r="G128" t="str">
        <f>IF(ISNUMBER(SEARCH("LATEX",INVENTARIO!C128)),"LAT",
IF(ISNUMBER(SEARCH("RESP. NEGRO",INVENTARIO!C128)),"RES-NEG",
IF(ISNUMBER(SEARCH("RESPALDO CAFE",INVENTARIO!C128)),"RES-CAF",
IF(ISNUMBER(SEARCH("RESPALDO GRIS",INVENTARIO!C128)),"RES-GRI",
IF(ISNUMBER(SEARCH("OPTICO",INVENTARIO!C128)),"OPT",
IF(ISNUMBER(SEARCH("1,2 MM",INVENTARIO!C128)),"1MM2",
IF(ISNUMBER(SEARCH("2 MM",INVENTARIO!C128)),"2MM",
IF(ISNUMBER(SEARCH("3 MM",INVENTARIO!C128)),"3MM",
IF(ISNUMBER(SEARCH("4 MM",INVENTARIO!C128)),"4MM",
IF(ISNUMBER(SEARCH("5 MM",INVENTARIO!C128)),"5MM",
IF(ISNUMBER(SEARCH("6 MM",INVENTARIO!C128)),"6MM",
IF(ISNUMBER(SEARCH("9 MM",INVENTARIO!C128)),"9MM",
IF(ISNUMBER(SEARCH("10 MM",INVENTARIO!C128)),"10MM","")))))))))))))</f>
        <v/>
      </c>
      <c r="H128" t="str">
        <f>IF(ISNUMBER(SEARCH("GAMA BAJA",INVENTARIO!C128)),"GAM-BAJ",
IF(ISNUMBER(SEARCH("OPTIMIZADOR",INVENTARIO!C128)),"OPT",
IF(ISNUMBER(SEARCH("OVERCOAT",INVENTARIO!C128)),"OVE",
IF(ISNUMBER(SEARCH("WHITE",INVENTARIO!C128)),"WHI",
IF(ISNUMBER(SEARCH("LIGHT CYAN",INVENTARIO!C128)),"LIG-CYA",
IF(ISNUMBER(SEARCH("CYAN",INVENTARIO!C128)),"CYA",
IF(ISNUMBER(SEARCH("LIGHT MAGENTA",INVENTARIO!C128)),"LIG-MAG",
IF(ISNUMBER(SEARCH("MAGENTA",INVENTARIO!C128)),"MAG",
IF(ISNUMBER(SEARCH("BLACK",INVENTARIO!C128)),"BLA",
IF(ISNUMBER(SEARCH("YELLOW",INVENTARIO!C128)),"YEL",
IF(ISNUMBER(SEARCH("2 DIODOS",INVENTARIO!C128)),"2DI",
IF(ISNUMBER(SEARCH("3 DIODOS",INVENTARIO!C128)),"3DI",
IF(OR(ISNUMBER(SEARCH("TRASLUCIDO",INVENTARIO!C128)),ISNUMBER(SEARCH("TRANSLUCIDO",INVENTARIO!C128))),"TRA",
"")))))))))))))</f>
        <v>CYA</v>
      </c>
      <c r="I128" t="str">
        <f>IF(ISNUMBER(SEARCH("SILED",INVENTARIO!C142)),"SI",
IF(ISNUMBER(SEARCH("SYDEMEX",INVENTARIO!C142)),"SY",
IF(ISNUMBER(SEARCH("ROHS",INVENTARIO!C142)),"RO",
IF(ISNUMBER(SEARCH("RISHANG",INVENTARIO!C142)),"RS",
IF(ISNUMBER(SEARCH("VYG",INVENTARIO!C142)),"VYG",
IF(ISNUMBER(SEARCH("COLED",INVENTARIO!C142)),"CO",""))))))</f>
        <v/>
      </c>
    </row>
    <row r="129" spans="1:9">
      <c r="A129" t="str">
        <f>IF(ISNUMBER(SEARCH("LONA",INVENTARIO!C129)),"LON",
IF(ISNUMBER(SEARCH("VINIL",INVENTARIO!C129)),"VIN",
IF(ISNUMBER(SEARCH("KROMACOTE",INVENTARIO!C129)),"KRO",
IF(ISNUMBER(SEARCH("STARDREAM",INVENTARIO!C129)),"STA",
IF(ISNUMBER(SEARCH("DISPLAY",INVENTARIO!C129)),"DIS",
IF(ISNUMBER(SEARCH("ROLL UP",INVENTARIO!C129)),"ROL-UP",
IF(ISNUMBER(SEARCH("TRANSFER DE PAPEL",INVENTARIO!C129)),"TRA-PAP",
IF(ISNUMBER(SEARCH("TRANSFER",INVENTARIO!C129)),"TRA",IF(ISNUMBER(SEARCH("KOLA LOKA",INVENTARIO!C129)),"KOL-LOK",
IF(ISNUMBER(SEARCH("PETG",INVENTARIO!C129)),"PET",
IF(ISNUMBER(SEARCH("OJILLO",INVENTARIO!C129)),"OJI",
IF(ISNUMBER(SEARCH("COUCHE",INVENTARIO!C129)),"COU",
IF(ISNUMBER(SEARCH("PANEL DE ALUMINIO",INVENTARIO!C129)),"PAN-ALU",
IF(ISNUMBER(SEARCH("PVC",INVENTARIO!C129)),"PVC",
IF(ISNUMBER(SEARCH("PAPEL",INVENTARIO!C129)),"PAP",
IF(ISNUMBER(SEARCH("TELA",INVENTARIO!C129)),"TEL",
IF(ISNUMBER(SEARCH("CARTULINA",INVENTARIO!C129)),"CAR",
IF(OR(ISNUMBER(SEARCH("LAMINA",INVENTARIO!C129)),ISNUMBER(SEARCH("LÁMINA",INVENTARIO!C129)),ISNUMBER(SEARCH("LAMPARAS",INVENTARIO!C129))),"LAM",
IF(ISNUMBER(SEARCH("ESTIRENO",INVENTARIO!C129)),"EST",
IF(ISNUMBER(SEARCH("FOAMBOARD",INVENTARIO!C129)),"FOA",
IF(ISNUMBER(SEARCH("SOLVENTE",INVENTARIO!C129)),"SOL",
IF(ISNUMBER(SEARCH("TINTA",INVENTARIO!C129)),"TIN",
IF(ISNUMBER(SEARCH("ACRILICO",INVENTARIO!C129)),"ACR",
IF(ISNUMBER(SEARCH("MICROLED",INVENTARIO!C129)),"MIC",
IF(ISNUMBER(SEARCH("LED",INVENTARIO!C129)),"LED",
IF(ISNUMBER(SEARCH("FUENTE DE PODER",INVENTARIO!C129)),"FUE-POD",
IF(ISNUMBER(SEARCH("PETG",INVENTARIO!C129)),"PET",
IF(ISNUMBER(SEARCH("ALUMINIO",INVENTARIO!C129)),"ALU",
IF(ISNUMBER(SEARCH("CANAL",INVENTARIO!C129)),"CAN",
IF(ISNUMBER(SEARCH("ESCUADRA",INVENTARIO!C129)),"ESC",
IF(ISNUMBER(SEARCH("SOPORTE",INVENTARIO!C129)),"SOP","OTR")
))))))))))))))))))))))))))))))</f>
        <v>TIN</v>
      </c>
      <c r="B129" t="str">
        <f>IF(ISNUMBER(SEARCH("CORTE",INVENTARIO!C129)),"COR",
IF(ISNUMBER(SEARCH("CITYLIGHT",INVENTARIO!C129)),"CIT",
IF(ISNUMBER(SEARCH("LINO",INVENTARIO!C129)),"LIN",
IF(ISNUMBER(SEARCH("FABRIANO",INVENTARIO!C129)),"FAB",
IF(ISNUMBER(SEARCH("SUNDANCE",INVENTARIO!C129)),"SUN",
IF(ISNUMBER(SEARCH("SINTETICA",INVENTARIO!C129)),"SIN",
IF(ISNUMBER(SEARCH("CONTROL",INVENTARIO!C129)),"CON",
IF(ISNUMBER(SEARCH("TERMICO",INVENTARIO!C129)),"TER",
IF(ISNUMBER(SEARCH("C-15",INVENTARIO!C129)),"C15",
IF(ISNUMBER(SEARCH("C-20",INVENTARIO!C129)),"C20",
IF(ISNUMBER(SEARCH("C-30",INVENTARIO!C129)),"C30",
IF(ISNUMBER(SEARCH("C-40",INVENTARIO!C129)),"C40",
IF(ISNUMBER(SEARCH("C-60",INVENTARIO!C129)),"C60",
IF(ISNUMBER(SEARCH("C-80",INVENTARIO!C129)),"C80",
IF(ISNUMBER(SEARCH("EQUIPO",INVENTARIO!C129)),"EQU",
IF(ISNUMBER(SEARCH("FLOOR",INVENTARIO!C129)),"FLO",
IF(ISNUMBER(SEARCH("CRISTAL",INVENTARIO!C129)),"CRI",
IF(ISNUMBER(SEARCH(" SULFATADA",INVENTARIO!C140)),"SUL",
IF(ISNUMBER(SEARCH("OPALINA",INVENTARIO!C129)),"OPA",
IF(ISNUMBER(SEARCH("ADHERIBLE",INVENTARIO!C129)),"ADH",
IF(ISNUMBER(SEARCH("MICRO",INVENTARIO!C129)),"MIC","")))))))))))))))))))))</f>
        <v/>
      </c>
      <c r="C129" t="str">
        <f>IF(ISNUMBER(SEARCH("PARED",INVENTARIO!C129)),"PAR",
IF(ISNUMBER(SEARCH("FRONT",INVENTARIO!C129)),"FRO",
IF(ISNUMBER(SEARCH("ALTA RESISTENCIA",INVENTARIO!C129)),
"ALT-RES",IF(ISNUMBER(SEARCH("BACKLITE",INVENTARIO!C129)),"BAC",
IF(ISNUMBER(SEARCH("MATE",INVENTARIO!C129)),"MAT",
IF(ISNUMBER(SEARCH("MESH",INVENTARIO!C129)),"MES",
IF(ISNUMBER(SEARCH("BRILLANTE",INVENTARIO!C129)),"BRI",
IF(ISNUMBER(SEARCH("DELGADA",INVENTARIO!C129)),"DEL",
IF(ISNUMBER(SEARCH("GRUESA",INVENTARIO!C129)),"GRU",
IF(ISNUMBER(SEARCH("ESTATICO",INVENTARIO!C129)),"EST",
IF(ISNUMBER(SEARCH("REFLECTIVO",INVENTARIO!C129)),"REF",
IF(ISNUMBER(SEARCH("LX700",INVENTARIO!C129)),"LX7",
IF(ISNUMBER(SEARCH("GRANDO",INVENTARIO!C129)),"GRA",
IF(ISNUMBER(SEARCH("FB700",INVENTARIO!C129)),"FB7",
IF(ISNUMBER(SEARCH("LX360",INVENTARIO!C129)),"LX3",
IF(ISNUMBER(SEARCH("XEROX",INVENTARIO!C129)),"XER",
IF(ISNUMBER(SEARCH("CEPILLADO",INVENTARIO!C129)),"CEP",
IF(ISNUMBER(SEARCH("ESPEJO",INVENTARIO!C129)),"ESP",
IF(ISNUMBER(SEARCH("10 PTS",INVENTARIO!C129)),"10PT",
IF(ISNUMBER(SEARCH("12 PTS",INVENTARIO!C129)),"12PT",
IF(ISNUMBER(SEARCH("14 PTS",INVENTARIO!C129)),"14PT",
IF(ISNUMBER(SEARCH("CLASICO",INVENTARIO!C129)),"CLA",
""))))))))))))))))))))))</f>
        <v/>
      </c>
      <c r="D129" t="str">
        <f>IF(ISNUMBER(SEARCH("GRAN FORMATO",INVENTARIO!C129)),"GRA-FOR",
IF(ISNUMBER(SEARCH("CAMA PLANA",INVENTARIO!C129)),"CAM-PLA",
IF(ISNUMBER(SEARCH("GRADO INGENIERIA",INVENTARIO!C129)),"GRA-ING",
IF(ISNUMBER(SEARCH("130 GRS",INVENTARIO!C129)),"130GR",
IF(ISNUMBER(SEARCH("150 GRS",INVENTARIO!C129)),"150GR",
IF(ISNUMBER(SEARCH("185 GRS",INVENTARIO!C129)),"185GR",
IF(ISNUMBER(SEARCH("200 GRS",INVENTARIO!C129)),"200GR",
IF(ISNUMBER(SEARCH("250 GRS",INVENTARIO!C129)),"250GR",
IF(ISNUMBER(SEARCH("300 GRS",INVENTARIO!C129)),"300GR",
IF(ISNUMBER(SEARCH("350 GRS",INVENTARIO!C129)),"350GR",
IF(ISNUMBER(SEARCH("18 OZ",INVENTARIO!C129)),"18OZ",
IF(ISNUMBER(SEARCH("15 OZ",INVENTARIO!C129)),"15OZ",
IF(OR(ISNUMBER(SEARCH("13 OZ",INVENTARIO!C129)),ISNUMBER(SEARCH("13 ONZAS",INVENTARIO!C129))),"13OZ",
IF(OR(ISNUMBER(SEARCH("9 OZ",INVENTARIO!C129)),ISNUMBER(SEARCH("9 ONZAS",INVENTARIO!C129))),"09OZ",
IF(ISNUMBER(SEARCH("DOBLE CARA",INVENTARIO!C129)),"DOB-CAR",
"")))))))))))))))</f>
        <v>CAM-PLA</v>
      </c>
      <c r="E129" t="str">
        <f>IF(OR(ISNUMBER(SEARCH("TRANSPARENTE",INVENTARIO!C129)),ISNUMBER(SEARCH("TRANSPARENTES",INVENTARIO!C129))),"TRA",
IF(OR(ISNUMBER(SEARCH("BLANCO",INVENTARIO!C129)),ISNUMBER(SEARCH("BCO",INVENTARIO!C129))),"BLA",
IF(ISNUMBER(SEARCH("FOTOGRAFICO",INVENTARIO!C129)),"FOT",
IF(ISNUMBER(SEARCH("MARFIL",INVENTARIO!C129)),"MAR",
IF(ISNUMBER(SEARCH("VERDE",INVENTARIO!C129)),"VER",
IF(ISNUMBER(SEARCH("MORADO",INVENTARIO!C129)),"MOR",
IF(ISNUMBER(SEARCH("PLATA",INVENTARIO!C129)),"PLA",
IF(ISNUMBER(SEARCH("ORO",INVENTARIO!C129)),"ORO",
IF(ISNUMBER(SEARCH("AMARILLO",INVENTARIO!C129)),"AMA",
IF(ISNUMBER(SEARCH("NARANJA",INVENTARIO!C129)),"NAR",
IF(ISNUMBER(SEARCH("NEGRO",INVENTARIO!C129)),"NEG",
IF(ISNUMBER(SEARCH("ROJO",INVENTARIO!C129)),"ROJ",
IF(ISNUMBER(SEARCH("AZUL",INVENTARIO!C129)),"AZU","")))))))))))))</f>
        <v/>
      </c>
      <c r="F129" t="str">
        <f>IF(ISNUMBER(SEARCH("ARLON",INVENTARIO!C129)),"ARL",
IF(ISNUMBER(SEARCH("SUNTHINKS",INVENTARIO!C129)),"SUN",
IF(ISNUMBER(SEARCH("FRIO",INVENTARIO!C129)),"FRI",
IF(ISNUMBER(SEARCH("CALIDO",INVENTARIO!C129)),"CAL",
IF(ISNUMBER(SEARCH("CEPILLADO",INVENTARIO!C129)),"CEP",
IF(ISNUMBER(SEARCH("ESPEJO",INVENTARIO!C129)),"ESP",
""))))))</f>
        <v>SUN</v>
      </c>
      <c r="G129" t="str">
        <f>IF(ISNUMBER(SEARCH("LATEX",INVENTARIO!C129)),"LAT",
IF(ISNUMBER(SEARCH("RESP. NEGRO",INVENTARIO!C129)),"RES-NEG",
IF(ISNUMBER(SEARCH("RESPALDO CAFE",INVENTARIO!C129)),"RES-CAF",
IF(ISNUMBER(SEARCH("RESPALDO GRIS",INVENTARIO!C129)),"RES-GRI",
IF(ISNUMBER(SEARCH("OPTICO",INVENTARIO!C129)),"OPT",
IF(ISNUMBER(SEARCH("1,2 MM",INVENTARIO!C129)),"1MM2",
IF(ISNUMBER(SEARCH("2 MM",INVENTARIO!C129)),"2MM",
IF(ISNUMBER(SEARCH("3 MM",INVENTARIO!C129)),"3MM",
IF(ISNUMBER(SEARCH("4 MM",INVENTARIO!C129)),"4MM",
IF(ISNUMBER(SEARCH("5 MM",INVENTARIO!C129)),"5MM",
IF(ISNUMBER(SEARCH("6 MM",INVENTARIO!C129)),"6MM",
IF(ISNUMBER(SEARCH("9 MM",INVENTARIO!C129)),"9MM",
IF(ISNUMBER(SEARCH("10 MM",INVENTARIO!C129)),"10MM","")))))))))))))</f>
        <v/>
      </c>
      <c r="H129" t="str">
        <f>IF(ISNUMBER(SEARCH("GAMA BAJA",INVENTARIO!C129)),"GAM-BAJ",
IF(ISNUMBER(SEARCH("OPTIMIZADOR",INVENTARIO!C129)),"OPT",
IF(ISNUMBER(SEARCH("OVERCOAT",INVENTARIO!C129)),"OVE",
IF(ISNUMBER(SEARCH("WHITE",INVENTARIO!C129)),"WHI",
IF(ISNUMBER(SEARCH("LIGHT CYAN",INVENTARIO!C129)),"LIG-CYA",
IF(ISNUMBER(SEARCH("CYAN",INVENTARIO!C129)),"CYA",
IF(ISNUMBER(SEARCH("LIGHT MAGENTA",INVENTARIO!C129)),"LIG-MAG",
IF(ISNUMBER(SEARCH("MAGENTA",INVENTARIO!C129)),"MAG",
IF(ISNUMBER(SEARCH("BLACK",INVENTARIO!C129)),"BLA",
IF(ISNUMBER(SEARCH("YELLOW",INVENTARIO!C129)),"YEL",
IF(ISNUMBER(SEARCH("2 DIODOS",INVENTARIO!C129)),"2DI",
IF(ISNUMBER(SEARCH("3 DIODOS",INVENTARIO!C129)),"3DI",
IF(OR(ISNUMBER(SEARCH("TRASLUCIDO",INVENTARIO!C129)),ISNUMBER(SEARCH("TRANSLUCIDO",INVENTARIO!C129))),"TRA",
"")))))))))))))</f>
        <v>MAG</v>
      </c>
      <c r="I129" t="str">
        <f>IF(ISNUMBER(SEARCH("SILED",INVENTARIO!C143)),"SI",
IF(ISNUMBER(SEARCH("SYDEMEX",INVENTARIO!C143)),"SY",
IF(ISNUMBER(SEARCH("ROHS",INVENTARIO!C143)),"RO",
IF(ISNUMBER(SEARCH("RISHANG",INVENTARIO!C143)),"RS",
IF(ISNUMBER(SEARCH("VYG",INVENTARIO!C143)),"VYG",
IF(ISNUMBER(SEARCH("COLED",INVENTARIO!C143)),"CO",""))))))</f>
        <v/>
      </c>
    </row>
    <row r="130" spans="1:9">
      <c r="A130" t="str">
        <f>IF(ISNUMBER(SEARCH("LONA",INVENTARIO!C130)),"LON",
IF(ISNUMBER(SEARCH("VINIL",INVENTARIO!C130)),"VIN",
IF(ISNUMBER(SEARCH("KROMACOTE",INVENTARIO!C130)),"KRO",
IF(ISNUMBER(SEARCH("STARDREAM",INVENTARIO!C130)),"STA",
IF(ISNUMBER(SEARCH("DISPLAY",INVENTARIO!C130)),"DIS",
IF(ISNUMBER(SEARCH("ROLL UP",INVENTARIO!C130)),"ROL-UP",
IF(ISNUMBER(SEARCH("TRANSFER DE PAPEL",INVENTARIO!C130)),"TRA-PAP",
IF(ISNUMBER(SEARCH("TRANSFER",INVENTARIO!C130)),"TRA",IF(ISNUMBER(SEARCH("KOLA LOKA",INVENTARIO!C130)),"KOL-LOK",
IF(ISNUMBER(SEARCH("PETG",INVENTARIO!C130)),"PET",
IF(ISNUMBER(SEARCH("OJILLO",INVENTARIO!C130)),"OJI",
IF(ISNUMBER(SEARCH("COUCHE",INVENTARIO!C130)),"COU",
IF(ISNUMBER(SEARCH("PANEL DE ALUMINIO",INVENTARIO!C130)),"PAN-ALU",
IF(ISNUMBER(SEARCH("PVC",INVENTARIO!C130)),"PVC",
IF(ISNUMBER(SEARCH("PAPEL",INVENTARIO!C130)),"PAP",
IF(ISNUMBER(SEARCH("TELA",INVENTARIO!C130)),"TEL",
IF(ISNUMBER(SEARCH("CARTULINA",INVENTARIO!C130)),"CAR",
IF(OR(ISNUMBER(SEARCH("LAMINA",INVENTARIO!C130)),ISNUMBER(SEARCH("LÁMINA",INVENTARIO!C130)),ISNUMBER(SEARCH("LAMPARAS",INVENTARIO!C130))),"LAM",
IF(ISNUMBER(SEARCH("ESTIRENO",INVENTARIO!C130)),"EST",
IF(ISNUMBER(SEARCH("FOAMBOARD",INVENTARIO!C130)),"FOA",
IF(ISNUMBER(SEARCH("SOLVENTE",INVENTARIO!C130)),"SOL",
IF(ISNUMBER(SEARCH("TINTA",INVENTARIO!C130)),"TIN",
IF(ISNUMBER(SEARCH("ACRILICO",INVENTARIO!C130)),"ACR",
IF(ISNUMBER(SEARCH("MICROLED",INVENTARIO!C130)),"MIC",
IF(ISNUMBER(SEARCH("LED",INVENTARIO!C130)),"LED",
IF(ISNUMBER(SEARCH("FUENTE DE PODER",INVENTARIO!C130)),"FUE-POD",
IF(ISNUMBER(SEARCH("PETG",INVENTARIO!C130)),"PET",
IF(ISNUMBER(SEARCH("ALUMINIO",INVENTARIO!C130)),"ALU",
IF(ISNUMBER(SEARCH("CANAL",INVENTARIO!C130)),"CAN",
IF(ISNUMBER(SEARCH("ESCUADRA",INVENTARIO!C130)),"ESC",
IF(ISNUMBER(SEARCH("SOPORTE",INVENTARIO!C130)),"SOP","OTR")
))))))))))))))))))))))))))))))</f>
        <v>TIN</v>
      </c>
      <c r="B130" t="str">
        <f>IF(ISNUMBER(SEARCH("CORTE",INVENTARIO!C130)),"COR",
IF(ISNUMBER(SEARCH("CITYLIGHT",INVENTARIO!C130)),"CIT",
IF(ISNUMBER(SEARCH("LINO",INVENTARIO!C130)),"LIN",
IF(ISNUMBER(SEARCH("FABRIANO",INVENTARIO!C130)),"FAB",
IF(ISNUMBER(SEARCH("SUNDANCE",INVENTARIO!C130)),"SUN",
IF(ISNUMBER(SEARCH("SINTETICA",INVENTARIO!C130)),"SIN",
IF(ISNUMBER(SEARCH("CONTROL",INVENTARIO!C130)),"CON",
IF(ISNUMBER(SEARCH("TERMICO",INVENTARIO!C130)),"TER",
IF(ISNUMBER(SEARCH("C-15",INVENTARIO!C130)),"C15",
IF(ISNUMBER(SEARCH("C-20",INVENTARIO!C130)),"C20",
IF(ISNUMBER(SEARCH("C-30",INVENTARIO!C130)),"C30",
IF(ISNUMBER(SEARCH("C-40",INVENTARIO!C130)),"C40",
IF(ISNUMBER(SEARCH("C-60",INVENTARIO!C130)),"C60",
IF(ISNUMBER(SEARCH("C-80",INVENTARIO!C130)),"C80",
IF(ISNUMBER(SEARCH("EQUIPO",INVENTARIO!C130)),"EQU",
IF(ISNUMBER(SEARCH("FLOOR",INVENTARIO!C130)),"FLO",
IF(ISNUMBER(SEARCH("CRISTAL",INVENTARIO!C130)),"CRI",
IF(ISNUMBER(SEARCH(" SULFATADA",INVENTARIO!C141)),"SUL",
IF(ISNUMBER(SEARCH("OPALINA",INVENTARIO!C130)),"OPA",
IF(ISNUMBER(SEARCH("ADHERIBLE",INVENTARIO!C130)),"ADH",
IF(ISNUMBER(SEARCH("MICRO",INVENTARIO!C130)),"MIC","")))))))))))))))))))))</f>
        <v/>
      </c>
      <c r="C130" t="str">
        <f>IF(ISNUMBER(SEARCH("PARED",INVENTARIO!C130)),"PAR",
IF(ISNUMBER(SEARCH("FRONT",INVENTARIO!C130)),"FRO",
IF(ISNUMBER(SEARCH("ALTA RESISTENCIA",INVENTARIO!C130)),
"ALT-RES",IF(ISNUMBER(SEARCH("BACKLITE",INVENTARIO!C130)),"BAC",
IF(ISNUMBER(SEARCH("MATE",INVENTARIO!C130)),"MAT",
IF(ISNUMBER(SEARCH("MESH",INVENTARIO!C130)),"MES",
IF(ISNUMBER(SEARCH("BRILLANTE",INVENTARIO!C130)),"BRI",
IF(ISNUMBER(SEARCH("DELGADA",INVENTARIO!C130)),"DEL",
IF(ISNUMBER(SEARCH("GRUESA",INVENTARIO!C130)),"GRU",
IF(ISNUMBER(SEARCH("ESTATICO",INVENTARIO!C130)),"EST",
IF(ISNUMBER(SEARCH("REFLECTIVO",INVENTARIO!C130)),"REF",
IF(ISNUMBER(SEARCH("LX700",INVENTARIO!C130)),"LX7",
IF(ISNUMBER(SEARCH("GRANDO",INVENTARIO!C130)),"GRA",
IF(ISNUMBER(SEARCH("FB700",INVENTARIO!C130)),"FB7",
IF(ISNUMBER(SEARCH("LX360",INVENTARIO!C130)),"LX3",
IF(ISNUMBER(SEARCH("XEROX",INVENTARIO!C130)),"XER",
IF(ISNUMBER(SEARCH("CEPILLADO",INVENTARIO!C130)),"CEP",
IF(ISNUMBER(SEARCH("ESPEJO",INVENTARIO!C130)),"ESP",
IF(ISNUMBER(SEARCH("10 PTS",INVENTARIO!C130)),"10PT",
IF(ISNUMBER(SEARCH("12 PTS",INVENTARIO!C130)),"12PT",
IF(ISNUMBER(SEARCH("14 PTS",INVENTARIO!C130)),"14PT",
IF(ISNUMBER(SEARCH("CLASICO",INVENTARIO!C130)),"CLA",
""))))))))))))))))))))))</f>
        <v/>
      </c>
      <c r="D130" t="str">
        <f>IF(ISNUMBER(SEARCH("GRAN FORMATO",INVENTARIO!C130)),"GRA-FOR",
IF(ISNUMBER(SEARCH("CAMA PLANA",INVENTARIO!C130)),"CAM-PLA",
IF(ISNUMBER(SEARCH("GRADO INGENIERIA",INVENTARIO!C130)),"GRA-ING",
IF(ISNUMBER(SEARCH("130 GRS",INVENTARIO!C130)),"130GR",
IF(ISNUMBER(SEARCH("150 GRS",INVENTARIO!C130)),"150GR",
IF(ISNUMBER(SEARCH("185 GRS",INVENTARIO!C130)),"185GR",
IF(ISNUMBER(SEARCH("200 GRS",INVENTARIO!C130)),"200GR",
IF(ISNUMBER(SEARCH("250 GRS",INVENTARIO!C130)),"250GR",
IF(ISNUMBER(SEARCH("300 GRS",INVENTARIO!C130)),"300GR",
IF(ISNUMBER(SEARCH("350 GRS",INVENTARIO!C130)),"350GR",
IF(ISNUMBER(SEARCH("18 OZ",INVENTARIO!C130)),"18OZ",
IF(ISNUMBER(SEARCH("15 OZ",INVENTARIO!C130)),"15OZ",
IF(OR(ISNUMBER(SEARCH("13 OZ",INVENTARIO!C130)),ISNUMBER(SEARCH("13 ONZAS",INVENTARIO!C130))),"13OZ",
IF(OR(ISNUMBER(SEARCH("9 OZ",INVENTARIO!C130)),ISNUMBER(SEARCH("9 ONZAS",INVENTARIO!C130))),"09OZ",
IF(ISNUMBER(SEARCH("DOBLE CARA",INVENTARIO!C130)),"DOB-CAR",
"")))))))))))))))</f>
        <v>CAM-PLA</v>
      </c>
      <c r="E130" t="str">
        <f>IF(OR(ISNUMBER(SEARCH("TRANSPARENTE",INVENTARIO!C130)),ISNUMBER(SEARCH("TRANSPARENTES",INVENTARIO!C130))),"TRA",
IF(OR(ISNUMBER(SEARCH("BLANCO",INVENTARIO!C130)),ISNUMBER(SEARCH("BCO",INVENTARIO!C130))),"BLA",
IF(ISNUMBER(SEARCH("FOTOGRAFICO",INVENTARIO!C130)),"FOT",
IF(ISNUMBER(SEARCH("MARFIL",INVENTARIO!C130)),"MAR",
IF(ISNUMBER(SEARCH("VERDE",INVENTARIO!C130)),"VER",
IF(ISNUMBER(SEARCH("MORADO",INVENTARIO!C130)),"MOR",
IF(ISNUMBER(SEARCH("PLATA",INVENTARIO!C130)),"PLA",
IF(ISNUMBER(SEARCH("ORO",INVENTARIO!C130)),"ORO",
IF(ISNUMBER(SEARCH("AMARILLO",INVENTARIO!C130)),"AMA",
IF(ISNUMBER(SEARCH("NARANJA",INVENTARIO!C130)),"NAR",
IF(ISNUMBER(SEARCH("NEGRO",INVENTARIO!C130)),"NEG",
IF(ISNUMBER(SEARCH("ROJO",INVENTARIO!C130)),"ROJ",
IF(ISNUMBER(SEARCH("AZUL",INVENTARIO!C130)),"AZU","")))))))))))))</f>
        <v/>
      </c>
      <c r="F130" t="str">
        <f>IF(ISNUMBER(SEARCH("ARLON",INVENTARIO!C130)),"ARL",
IF(ISNUMBER(SEARCH("SUNTHINKS",INVENTARIO!C130)),"SUN",
IF(ISNUMBER(SEARCH("FRIO",INVENTARIO!C130)),"FRI",
IF(ISNUMBER(SEARCH("CALIDO",INVENTARIO!C130)),"CAL",
IF(ISNUMBER(SEARCH("CEPILLADO",INVENTARIO!C130)),"CEP",
IF(ISNUMBER(SEARCH("ESPEJO",INVENTARIO!C130)),"ESP",
""))))))</f>
        <v>SUN</v>
      </c>
      <c r="G130" t="str">
        <f>IF(ISNUMBER(SEARCH("LATEX",INVENTARIO!C130)),"LAT",
IF(ISNUMBER(SEARCH("RESP. NEGRO",INVENTARIO!C130)),"RES-NEG",
IF(ISNUMBER(SEARCH("RESPALDO CAFE",INVENTARIO!C130)),"RES-CAF",
IF(ISNUMBER(SEARCH("RESPALDO GRIS",INVENTARIO!C130)),"RES-GRI",
IF(ISNUMBER(SEARCH("OPTICO",INVENTARIO!C130)),"OPT",
IF(ISNUMBER(SEARCH("1,2 MM",INVENTARIO!C130)),"1MM2",
IF(ISNUMBER(SEARCH("2 MM",INVENTARIO!C130)),"2MM",
IF(ISNUMBER(SEARCH("3 MM",INVENTARIO!C130)),"3MM",
IF(ISNUMBER(SEARCH("4 MM",INVENTARIO!C130)),"4MM",
IF(ISNUMBER(SEARCH("5 MM",INVENTARIO!C130)),"5MM",
IF(ISNUMBER(SEARCH("6 MM",INVENTARIO!C130)),"6MM",
IF(ISNUMBER(SEARCH("9 MM",INVENTARIO!C130)),"9MM",
IF(ISNUMBER(SEARCH("10 MM",INVENTARIO!C130)),"10MM","")))))))))))))</f>
        <v/>
      </c>
      <c r="H130" t="str">
        <f>IF(ISNUMBER(SEARCH("GAMA BAJA",INVENTARIO!C130)),"GAM-BAJ",
IF(ISNUMBER(SEARCH("OPTIMIZADOR",INVENTARIO!C130)),"OPT",
IF(ISNUMBER(SEARCH("OVERCOAT",INVENTARIO!C130)),"OVE",
IF(ISNUMBER(SEARCH("WHITE",INVENTARIO!C130)),"WHI",
IF(ISNUMBER(SEARCH("LIGHT CYAN",INVENTARIO!C130)),"LIG-CYA",
IF(ISNUMBER(SEARCH("CYAN",INVENTARIO!C130)),"CYA",
IF(ISNUMBER(SEARCH("LIGHT MAGENTA",INVENTARIO!C130)),"LIG-MAG",
IF(ISNUMBER(SEARCH("MAGENTA",INVENTARIO!C130)),"MAG",
IF(ISNUMBER(SEARCH("BLACK",INVENTARIO!C130)),"BLA",
IF(ISNUMBER(SEARCH("YELLOW",INVENTARIO!C130)),"YEL",
IF(ISNUMBER(SEARCH("2 DIODOS",INVENTARIO!C130)),"2DI",
IF(ISNUMBER(SEARCH("3 DIODOS",INVENTARIO!C130)),"3DI",
IF(OR(ISNUMBER(SEARCH("TRASLUCIDO",INVENTARIO!C130)),ISNUMBER(SEARCH("TRANSLUCIDO",INVENTARIO!C130))),"TRA",
"")))))))))))))</f>
        <v>YEL</v>
      </c>
      <c r="I130" t="str">
        <f>IF(ISNUMBER(SEARCH("SILED",INVENTARIO!C144)),"SI",
IF(ISNUMBER(SEARCH("SYDEMEX",INVENTARIO!C144)),"SY",
IF(ISNUMBER(SEARCH("ROHS",INVENTARIO!C144)),"RO",
IF(ISNUMBER(SEARCH("RISHANG",INVENTARIO!C144)),"RS",
IF(ISNUMBER(SEARCH("VYG",INVENTARIO!C144)),"VYG",
IF(ISNUMBER(SEARCH("COLED",INVENTARIO!C144)),"CO",""))))))</f>
        <v/>
      </c>
    </row>
    <row r="131" spans="1:9">
      <c r="A131" t="str">
        <f>IF(ISNUMBER(SEARCH("LONA",INVENTARIO!C131)),"LON",
IF(ISNUMBER(SEARCH("VINIL",INVENTARIO!C131)),"VIN",
IF(ISNUMBER(SEARCH("KROMACOTE",INVENTARIO!C131)),"KRO",
IF(ISNUMBER(SEARCH("STARDREAM",INVENTARIO!C131)),"STA",
IF(ISNUMBER(SEARCH("DISPLAY",INVENTARIO!C131)),"DIS",
IF(ISNUMBER(SEARCH("ROLL UP",INVENTARIO!C131)),"ROL-UP",
IF(ISNUMBER(SEARCH("TRANSFER DE PAPEL",INVENTARIO!C131)),"TRA-PAP",
IF(ISNUMBER(SEARCH("TRANSFER",INVENTARIO!C131)),"TRA",IF(ISNUMBER(SEARCH("KOLA LOKA",INVENTARIO!C131)),"KOL-LOK",
IF(ISNUMBER(SEARCH("PETG",INVENTARIO!C131)),"PET",
IF(ISNUMBER(SEARCH("OJILLO",INVENTARIO!C131)),"OJI",
IF(ISNUMBER(SEARCH("COUCHE",INVENTARIO!C131)),"COU",
IF(ISNUMBER(SEARCH("PANEL DE ALUMINIO",INVENTARIO!C131)),"PAN-ALU",
IF(ISNUMBER(SEARCH("PVC",INVENTARIO!C131)),"PVC",
IF(ISNUMBER(SEARCH("PAPEL",INVENTARIO!C131)),"PAP",
IF(ISNUMBER(SEARCH("TELA",INVENTARIO!C131)),"TEL",
IF(ISNUMBER(SEARCH("CARTULINA",INVENTARIO!C131)),"CAR",
IF(OR(ISNUMBER(SEARCH("LAMINA",INVENTARIO!C131)),ISNUMBER(SEARCH("LÁMINA",INVENTARIO!C131)),ISNUMBER(SEARCH("LAMPARAS",INVENTARIO!C131))),"LAM",
IF(ISNUMBER(SEARCH("ESTIRENO",INVENTARIO!C131)),"EST",
IF(ISNUMBER(SEARCH("FOAMBOARD",INVENTARIO!C131)),"FOA",
IF(ISNUMBER(SEARCH("SOLVENTE",INVENTARIO!C131)),"SOL",
IF(ISNUMBER(SEARCH("TINTA",INVENTARIO!C131)),"TIN",
IF(ISNUMBER(SEARCH("ACRILICO",INVENTARIO!C131)),"ACR",
IF(ISNUMBER(SEARCH("MICROLED",INVENTARIO!C131)),"MIC",
IF(ISNUMBER(SEARCH("LED",INVENTARIO!C131)),"LED",
IF(ISNUMBER(SEARCH("FUENTE DE PODER",INVENTARIO!C131)),"FUE-POD",
IF(ISNUMBER(SEARCH("PETG",INVENTARIO!C131)),"PET",
IF(ISNUMBER(SEARCH("ALUMINIO",INVENTARIO!C131)),"ALU",
IF(ISNUMBER(SEARCH("CANAL",INVENTARIO!C131)),"CAN",
IF(ISNUMBER(SEARCH("ESCUADRA",INVENTARIO!C131)),"ESC",
IF(ISNUMBER(SEARCH("SOPORTE",INVENTARIO!C131)),"SOP","OTR")
))))))))))))))))))))))))))))))</f>
        <v>TIN</v>
      </c>
      <c r="B131" t="str">
        <f>IF(ISNUMBER(SEARCH("CORTE",INVENTARIO!C131)),"COR",
IF(ISNUMBER(SEARCH("CITYLIGHT",INVENTARIO!C131)),"CIT",
IF(ISNUMBER(SEARCH("LINO",INVENTARIO!C131)),"LIN",
IF(ISNUMBER(SEARCH("FABRIANO",INVENTARIO!C131)),"FAB",
IF(ISNUMBER(SEARCH("SUNDANCE",INVENTARIO!C131)),"SUN",
IF(ISNUMBER(SEARCH("SINTETICA",INVENTARIO!C131)),"SIN",
IF(ISNUMBER(SEARCH("CONTROL",INVENTARIO!C131)),"CON",
IF(ISNUMBER(SEARCH("TERMICO",INVENTARIO!C131)),"TER",
IF(ISNUMBER(SEARCH("C-15",INVENTARIO!C131)),"C15",
IF(ISNUMBER(SEARCH("C-20",INVENTARIO!C131)),"C20",
IF(ISNUMBER(SEARCH("C-30",INVENTARIO!C131)),"C30",
IF(ISNUMBER(SEARCH("C-40",INVENTARIO!C131)),"C40",
IF(ISNUMBER(SEARCH("C-60",INVENTARIO!C131)),"C60",
IF(ISNUMBER(SEARCH("C-80",INVENTARIO!C131)),"C80",
IF(ISNUMBER(SEARCH("EQUIPO",INVENTARIO!C131)),"EQU",
IF(ISNUMBER(SEARCH("FLOOR",INVENTARIO!C131)),"FLO",
IF(ISNUMBER(SEARCH("CRISTAL",INVENTARIO!C131)),"CRI",
IF(ISNUMBER(SEARCH(" SULFATADA",INVENTARIO!C142)),"SUL",
IF(ISNUMBER(SEARCH("OPALINA",INVENTARIO!C131)),"OPA",
IF(ISNUMBER(SEARCH("ADHERIBLE",INVENTARIO!C131)),"ADH",
IF(ISNUMBER(SEARCH("MICRO",INVENTARIO!C131)),"MIC","")))))))))))))))))))))</f>
        <v/>
      </c>
      <c r="C131" t="str">
        <f>IF(ISNUMBER(SEARCH("PARED",INVENTARIO!C131)),"PAR",
IF(ISNUMBER(SEARCH("FRONT",INVENTARIO!C131)),"FRO",
IF(ISNUMBER(SEARCH("ALTA RESISTENCIA",INVENTARIO!C131)),
"ALT-RES",IF(ISNUMBER(SEARCH("BACKLITE",INVENTARIO!C131)),"BAC",
IF(ISNUMBER(SEARCH("MATE",INVENTARIO!C131)),"MAT",
IF(ISNUMBER(SEARCH("MESH",INVENTARIO!C131)),"MES",
IF(ISNUMBER(SEARCH("BRILLANTE",INVENTARIO!C131)),"BRI",
IF(ISNUMBER(SEARCH("DELGADA",INVENTARIO!C131)),"DEL",
IF(ISNUMBER(SEARCH("GRUESA",INVENTARIO!C131)),"GRU",
IF(ISNUMBER(SEARCH("ESTATICO",INVENTARIO!C131)),"EST",
IF(ISNUMBER(SEARCH("REFLECTIVO",INVENTARIO!C131)),"REF",
IF(ISNUMBER(SEARCH("LX700",INVENTARIO!C131)),"LX7",
IF(ISNUMBER(SEARCH("GRANDO",INVENTARIO!C131)),"GRA",
IF(ISNUMBER(SEARCH("FB700",INVENTARIO!C131)),"FB7",
IF(ISNUMBER(SEARCH("LX360",INVENTARIO!C131)),"LX3",
IF(ISNUMBER(SEARCH("XEROX",INVENTARIO!C131)),"XER",
IF(ISNUMBER(SEARCH("CEPILLADO",INVENTARIO!C131)),"CEP",
IF(ISNUMBER(SEARCH("ESPEJO",INVENTARIO!C131)),"ESP",
IF(ISNUMBER(SEARCH("10 PTS",INVENTARIO!C131)),"10PT",
IF(ISNUMBER(SEARCH("12 PTS",INVENTARIO!C131)),"12PT",
IF(ISNUMBER(SEARCH("14 PTS",INVENTARIO!C131)),"14PT",
IF(ISNUMBER(SEARCH("CLASICO",INVENTARIO!C131)),"CLA",
""))))))))))))))))))))))</f>
        <v/>
      </c>
      <c r="D131" t="str">
        <f>IF(ISNUMBER(SEARCH("GRAN FORMATO",INVENTARIO!C131)),"GRA-FOR",
IF(ISNUMBER(SEARCH("CAMA PLANA",INVENTARIO!C131)),"CAM-PLA",
IF(ISNUMBER(SEARCH("GRADO INGENIERIA",INVENTARIO!C131)),"GRA-ING",
IF(ISNUMBER(SEARCH("130 GRS",INVENTARIO!C131)),"130GR",
IF(ISNUMBER(SEARCH("150 GRS",INVENTARIO!C131)),"150GR",
IF(ISNUMBER(SEARCH("185 GRS",INVENTARIO!C131)),"185GR",
IF(ISNUMBER(SEARCH("200 GRS",INVENTARIO!C131)),"200GR",
IF(ISNUMBER(SEARCH("250 GRS",INVENTARIO!C131)),"250GR",
IF(ISNUMBER(SEARCH("300 GRS",INVENTARIO!C131)),"300GR",
IF(ISNUMBER(SEARCH("350 GRS",INVENTARIO!C131)),"350GR",
IF(ISNUMBER(SEARCH("18 OZ",INVENTARIO!C131)),"18OZ",
IF(ISNUMBER(SEARCH("15 OZ",INVENTARIO!C131)),"15OZ",
IF(OR(ISNUMBER(SEARCH("13 OZ",INVENTARIO!C131)),ISNUMBER(SEARCH("13 ONZAS",INVENTARIO!C131))),"13OZ",
IF(OR(ISNUMBER(SEARCH("9 OZ",INVENTARIO!C131)),ISNUMBER(SEARCH("9 ONZAS",INVENTARIO!C131))),"09OZ",
IF(ISNUMBER(SEARCH("DOBLE CARA",INVENTARIO!C131)),"DOB-CAR",
"")))))))))))))))</f>
        <v>CAM-PLA</v>
      </c>
      <c r="E131" t="str">
        <f>IF(OR(ISNUMBER(SEARCH("TRANSPARENTE",INVENTARIO!C131)),ISNUMBER(SEARCH("TRANSPARENTES",INVENTARIO!C131))),"TRA",
IF(OR(ISNUMBER(SEARCH("BLANCO",INVENTARIO!C131)),ISNUMBER(SEARCH("BCO",INVENTARIO!C131))),"BLA",
IF(ISNUMBER(SEARCH("FOTOGRAFICO",INVENTARIO!C131)),"FOT",
IF(ISNUMBER(SEARCH("MARFIL",INVENTARIO!C131)),"MAR",
IF(ISNUMBER(SEARCH("VERDE",INVENTARIO!C131)),"VER",
IF(ISNUMBER(SEARCH("MORADO",INVENTARIO!C131)),"MOR",
IF(ISNUMBER(SEARCH("PLATA",INVENTARIO!C131)),"PLA",
IF(ISNUMBER(SEARCH("ORO",INVENTARIO!C131)),"ORO",
IF(ISNUMBER(SEARCH("AMARILLO",INVENTARIO!C131)),"AMA",
IF(ISNUMBER(SEARCH("NARANJA",INVENTARIO!C131)),"NAR",
IF(ISNUMBER(SEARCH("NEGRO",INVENTARIO!C131)),"NEG",
IF(ISNUMBER(SEARCH("ROJO",INVENTARIO!C131)),"ROJ",
IF(ISNUMBER(SEARCH("AZUL",INVENTARIO!C131)),"AZU","")))))))))))))</f>
        <v/>
      </c>
      <c r="F131" t="str">
        <f>IF(ISNUMBER(SEARCH("ARLON",INVENTARIO!C131)),"ARL",
IF(ISNUMBER(SEARCH("SUNTHINKS",INVENTARIO!C131)),"SUN",
IF(ISNUMBER(SEARCH("FRIO",INVENTARIO!C131)),"FRI",
IF(ISNUMBER(SEARCH("CALIDO",INVENTARIO!C131)),"CAL",
IF(ISNUMBER(SEARCH("CEPILLADO",INVENTARIO!C131)),"CEP",
IF(ISNUMBER(SEARCH("ESPEJO",INVENTARIO!C131)),"ESP",
""))))))</f>
        <v>SUN</v>
      </c>
      <c r="G131" t="str">
        <f>IF(ISNUMBER(SEARCH("LATEX",INVENTARIO!C131)),"LAT",
IF(ISNUMBER(SEARCH("RESP. NEGRO",INVENTARIO!C131)),"RES-NEG",
IF(ISNUMBER(SEARCH("RESPALDO CAFE",INVENTARIO!C131)),"RES-CAF",
IF(ISNUMBER(SEARCH("RESPALDO GRIS",INVENTARIO!C131)),"RES-GRI",
IF(ISNUMBER(SEARCH("OPTICO",INVENTARIO!C131)),"OPT",
IF(ISNUMBER(SEARCH("1,2 MM",INVENTARIO!C131)),"1MM2",
IF(ISNUMBER(SEARCH("2 MM",INVENTARIO!C131)),"2MM",
IF(ISNUMBER(SEARCH("3 MM",INVENTARIO!C131)),"3MM",
IF(ISNUMBER(SEARCH("4 MM",INVENTARIO!C131)),"4MM",
IF(ISNUMBER(SEARCH("5 MM",INVENTARIO!C131)),"5MM",
IF(ISNUMBER(SEARCH("6 MM",INVENTARIO!C131)),"6MM",
IF(ISNUMBER(SEARCH("9 MM",INVENTARIO!C131)),"9MM",
IF(ISNUMBER(SEARCH("10 MM",INVENTARIO!C131)),"10MM","")))))))))))))</f>
        <v/>
      </c>
      <c r="H131" t="str">
        <f>IF(ISNUMBER(SEARCH("GAMA BAJA",INVENTARIO!C131)),"GAM-BAJ",
IF(ISNUMBER(SEARCH("OPTIMIZADOR",INVENTARIO!C131)),"OPT",
IF(ISNUMBER(SEARCH("OVERCOAT",INVENTARIO!C131)),"OVE",
IF(ISNUMBER(SEARCH("WHITE",INVENTARIO!C131)),"WHI",
IF(ISNUMBER(SEARCH("LIGHT CYAN",INVENTARIO!C131)),"LIG-CYA",
IF(ISNUMBER(SEARCH("CYAN",INVENTARIO!C131)),"CYA",
IF(ISNUMBER(SEARCH("LIGHT MAGENTA",INVENTARIO!C131)),"LIG-MAG",
IF(ISNUMBER(SEARCH("MAGENTA",INVENTARIO!C131)),"MAG",
IF(ISNUMBER(SEARCH("BLACK",INVENTARIO!C131)),"BLA",
IF(ISNUMBER(SEARCH("YELLOW",INVENTARIO!C131)),"YEL",
IF(ISNUMBER(SEARCH("2 DIODOS",INVENTARIO!C131)),"2DI",
IF(ISNUMBER(SEARCH("3 DIODOS",INVENTARIO!C131)),"3DI",
IF(OR(ISNUMBER(SEARCH("TRASLUCIDO",INVENTARIO!C131)),ISNUMBER(SEARCH("TRANSLUCIDO",INVENTARIO!C131))),"TRA",
"")))))))))))))</f>
        <v>BLA</v>
      </c>
      <c r="I131" t="str">
        <f>IF(ISNUMBER(SEARCH("SILED",INVENTARIO!C145)),"SI",
IF(ISNUMBER(SEARCH("SYDEMEX",INVENTARIO!C145)),"SY",
IF(ISNUMBER(SEARCH("ROHS",INVENTARIO!C145)),"RO",
IF(ISNUMBER(SEARCH("RISHANG",INVENTARIO!C145)),"RS",
IF(ISNUMBER(SEARCH("VYG",INVENTARIO!C145)),"VYG",
IF(ISNUMBER(SEARCH("COLED",INVENTARIO!C145)),"CO",""))))))</f>
        <v/>
      </c>
    </row>
    <row r="132" spans="1:9">
      <c r="A132" t="str">
        <f>IF(ISNUMBER(SEARCH("LONA",INVENTARIO!C132)),"LON",
IF(ISNUMBER(SEARCH("VINIL",INVENTARIO!C132)),"VIN",
IF(ISNUMBER(SEARCH("KROMACOTE",INVENTARIO!C132)),"KRO",
IF(ISNUMBER(SEARCH("STARDREAM",INVENTARIO!C132)),"STA",
IF(ISNUMBER(SEARCH("DISPLAY",INVENTARIO!C132)),"DIS",
IF(ISNUMBER(SEARCH("ROLL UP",INVENTARIO!C132)),"ROL-UP",
IF(ISNUMBER(SEARCH("TRANSFER DE PAPEL",INVENTARIO!C132)),"TRA-PAP",
IF(ISNUMBER(SEARCH("TRANSFER",INVENTARIO!C132)),"TRA",IF(ISNUMBER(SEARCH("KOLA LOKA",INVENTARIO!C132)),"KOL-LOK",
IF(ISNUMBER(SEARCH("PETG",INVENTARIO!C132)),"PET",
IF(ISNUMBER(SEARCH("OJILLO",INVENTARIO!C132)),"OJI",
IF(ISNUMBER(SEARCH("COUCHE",INVENTARIO!C132)),"COU",
IF(ISNUMBER(SEARCH("PANEL DE ALUMINIO",INVENTARIO!C132)),"PAN-ALU",
IF(ISNUMBER(SEARCH("PVC",INVENTARIO!C132)),"PVC",
IF(ISNUMBER(SEARCH("PAPEL",INVENTARIO!C132)),"PAP",
IF(ISNUMBER(SEARCH("TELA",INVENTARIO!C132)),"TEL",
IF(ISNUMBER(SEARCH("CARTULINA",INVENTARIO!C132)),"CAR",
IF(OR(ISNUMBER(SEARCH("LAMINA",INVENTARIO!C132)),ISNUMBER(SEARCH("LÁMINA",INVENTARIO!C132)),ISNUMBER(SEARCH("LAMPARAS",INVENTARIO!C132))),"LAM",
IF(ISNUMBER(SEARCH("ESTIRENO",INVENTARIO!C132)),"EST",
IF(ISNUMBER(SEARCH("FOAMBOARD",INVENTARIO!C132)),"FOA",
IF(ISNUMBER(SEARCH("SOLVENTE",INVENTARIO!C132)),"SOL",
IF(ISNUMBER(SEARCH("TINTA",INVENTARIO!C132)),"TIN",
IF(ISNUMBER(SEARCH("ACRILICO",INVENTARIO!C132)),"ACR",
IF(ISNUMBER(SEARCH("MICROLED",INVENTARIO!C132)),"MIC",
IF(ISNUMBER(SEARCH("LED",INVENTARIO!C132)),"LED",
IF(ISNUMBER(SEARCH("FUENTE DE PODER",INVENTARIO!C132)),"FUE-POD",
IF(ISNUMBER(SEARCH("PETG",INVENTARIO!C132)),"PET",
IF(ISNUMBER(SEARCH("ALUMINIO",INVENTARIO!C132)),"ALU",
IF(ISNUMBER(SEARCH("CANAL",INVENTARIO!C132)),"CAN",
IF(ISNUMBER(SEARCH("ESCUADRA",INVENTARIO!C132)),"ESC",
IF(ISNUMBER(SEARCH("SOPORTE",INVENTARIO!C132)),"SOP","OTR")
))))))))))))))))))))))))))))))</f>
        <v>TIN</v>
      </c>
      <c r="B132" t="str">
        <f>IF(ISNUMBER(SEARCH("CORTE",INVENTARIO!C132)),"COR",
IF(ISNUMBER(SEARCH("CITYLIGHT",INVENTARIO!C132)),"CIT",
IF(ISNUMBER(SEARCH("LINO",INVENTARIO!C132)),"LIN",
IF(ISNUMBER(SEARCH("FABRIANO",INVENTARIO!C132)),"FAB",
IF(ISNUMBER(SEARCH("SUNDANCE",INVENTARIO!C132)),"SUN",
IF(ISNUMBER(SEARCH("SINTETICA",INVENTARIO!C132)),"SIN",
IF(ISNUMBER(SEARCH("CONTROL",INVENTARIO!C132)),"CON",
IF(ISNUMBER(SEARCH("TERMICO",INVENTARIO!C132)),"TER",
IF(ISNUMBER(SEARCH("C-15",INVENTARIO!C132)),"C15",
IF(ISNUMBER(SEARCH("C-20",INVENTARIO!C132)),"C20",
IF(ISNUMBER(SEARCH("C-30",INVENTARIO!C132)),"C30",
IF(ISNUMBER(SEARCH("C-40",INVENTARIO!C132)),"C40",
IF(ISNUMBER(SEARCH("C-60",INVENTARIO!C132)),"C60",
IF(ISNUMBER(SEARCH("C-80",INVENTARIO!C132)),"C80",
IF(ISNUMBER(SEARCH("EQUIPO",INVENTARIO!C132)),"EQU",
IF(ISNUMBER(SEARCH("FLOOR",INVENTARIO!C132)),"FLO",
IF(ISNUMBER(SEARCH("CRISTAL",INVENTARIO!C132)),"CRI",
IF(ISNUMBER(SEARCH(" SULFATADA",INVENTARIO!C143)),"SUL",
IF(ISNUMBER(SEARCH("OPALINA",INVENTARIO!C132)),"OPA",
IF(ISNUMBER(SEARCH("ADHERIBLE",INVENTARIO!C132)),"ADH",
IF(ISNUMBER(SEARCH("MICRO",INVENTARIO!C132)),"MIC","")))))))))))))))))))))</f>
        <v/>
      </c>
      <c r="C132" t="str">
        <f>IF(ISNUMBER(SEARCH("PARED",INVENTARIO!C132)),"PAR",
IF(ISNUMBER(SEARCH("FRONT",INVENTARIO!C132)),"FRO",
IF(ISNUMBER(SEARCH("ALTA RESISTENCIA",INVENTARIO!C132)),
"ALT-RES",IF(ISNUMBER(SEARCH("BACKLITE",INVENTARIO!C132)),"BAC",
IF(ISNUMBER(SEARCH("MATE",INVENTARIO!C132)),"MAT",
IF(ISNUMBER(SEARCH("MESH",INVENTARIO!C132)),"MES",
IF(ISNUMBER(SEARCH("BRILLANTE",INVENTARIO!C132)),"BRI",
IF(ISNUMBER(SEARCH("DELGADA",INVENTARIO!C132)),"DEL",
IF(ISNUMBER(SEARCH("GRUESA",INVENTARIO!C132)),"GRU",
IF(ISNUMBER(SEARCH("ESTATICO",INVENTARIO!C132)),"EST",
IF(ISNUMBER(SEARCH("REFLECTIVO",INVENTARIO!C132)),"REF",
IF(ISNUMBER(SEARCH("LX700",INVENTARIO!C132)),"LX7",
IF(ISNUMBER(SEARCH("GRANDO",INVENTARIO!C132)),"GRA",
IF(ISNUMBER(SEARCH("FB700",INVENTARIO!C132)),"FB7",
IF(ISNUMBER(SEARCH("LX360",INVENTARIO!C132)),"LX3",
IF(ISNUMBER(SEARCH("XEROX",INVENTARIO!C132)),"XER",
IF(ISNUMBER(SEARCH("CEPILLADO",INVENTARIO!C132)),"CEP",
IF(ISNUMBER(SEARCH("ESPEJO",INVENTARIO!C132)),"ESP",
IF(ISNUMBER(SEARCH("10 PTS",INVENTARIO!C132)),"10PT",
IF(ISNUMBER(SEARCH("12 PTS",INVENTARIO!C132)),"12PT",
IF(ISNUMBER(SEARCH("14 PTS",INVENTARIO!C132)),"14PT",
IF(ISNUMBER(SEARCH("CLASICO",INVENTARIO!C132)),"CLA",
""))))))))))))))))))))))</f>
        <v/>
      </c>
      <c r="D132" t="str">
        <f>IF(ISNUMBER(SEARCH("GRAN FORMATO",INVENTARIO!C132)),"GRA-FOR",
IF(ISNUMBER(SEARCH("CAMA PLANA",INVENTARIO!C132)),"CAM-PLA",
IF(ISNUMBER(SEARCH("GRADO INGENIERIA",INVENTARIO!C132)),"GRA-ING",
IF(ISNUMBER(SEARCH("130 GRS",INVENTARIO!C132)),"130GR",
IF(ISNUMBER(SEARCH("150 GRS",INVENTARIO!C132)),"150GR",
IF(ISNUMBER(SEARCH("185 GRS",INVENTARIO!C132)),"185GR",
IF(ISNUMBER(SEARCH("200 GRS",INVENTARIO!C132)),"200GR",
IF(ISNUMBER(SEARCH("250 GRS",INVENTARIO!C132)),"250GR",
IF(ISNUMBER(SEARCH("300 GRS",INVENTARIO!C132)),"300GR",
IF(ISNUMBER(SEARCH("350 GRS",INVENTARIO!C132)),"350GR",
IF(ISNUMBER(SEARCH("18 OZ",INVENTARIO!C132)),"18OZ",
IF(ISNUMBER(SEARCH("15 OZ",INVENTARIO!C132)),"15OZ",
IF(OR(ISNUMBER(SEARCH("13 OZ",INVENTARIO!C132)),ISNUMBER(SEARCH("13 ONZAS",INVENTARIO!C132))),"13OZ",
IF(OR(ISNUMBER(SEARCH("9 OZ",INVENTARIO!C132)),ISNUMBER(SEARCH("9 ONZAS",INVENTARIO!C132))),"09OZ",
IF(ISNUMBER(SEARCH("DOBLE CARA",INVENTARIO!C132)),"DOB-CAR",
"")))))))))))))))</f>
        <v>CAM-PLA</v>
      </c>
      <c r="E132" t="str">
        <f>IF(OR(ISNUMBER(SEARCH("TRANSPARENTE",INVENTARIO!C132)),ISNUMBER(SEARCH("TRANSPARENTES",INVENTARIO!C132))),"TRA",
IF(OR(ISNUMBER(SEARCH("BLANCO",INVENTARIO!C132)),ISNUMBER(SEARCH("BCO",INVENTARIO!C132))),"BLA",
IF(ISNUMBER(SEARCH("FOTOGRAFICO",INVENTARIO!C132)),"FOT",
IF(ISNUMBER(SEARCH("MARFIL",INVENTARIO!C132)),"MAR",
IF(ISNUMBER(SEARCH("VERDE",INVENTARIO!C132)),"VER",
IF(ISNUMBER(SEARCH("MORADO",INVENTARIO!C132)),"MOR",
IF(ISNUMBER(SEARCH("PLATA",INVENTARIO!C132)),"PLA",
IF(ISNUMBER(SEARCH("ORO",INVENTARIO!C132)),"ORO",
IF(ISNUMBER(SEARCH("AMARILLO",INVENTARIO!C132)),"AMA",
IF(ISNUMBER(SEARCH("NARANJA",INVENTARIO!C132)),"NAR",
IF(ISNUMBER(SEARCH("NEGRO",INVENTARIO!C132)),"NEG",
IF(ISNUMBER(SEARCH("ROJO",INVENTARIO!C132)),"ROJ",
IF(ISNUMBER(SEARCH("AZUL",INVENTARIO!C132)),"AZU","")))))))))))))</f>
        <v/>
      </c>
      <c r="F132" t="str">
        <f>IF(ISNUMBER(SEARCH("ARLON",INVENTARIO!C132)),"ARL",
IF(ISNUMBER(SEARCH("SUNTHINKS",INVENTARIO!C132)),"SUN",
IF(ISNUMBER(SEARCH("FRIO",INVENTARIO!C132)),"FRI",
IF(ISNUMBER(SEARCH("CALIDO",INVENTARIO!C132)),"CAL",
IF(ISNUMBER(SEARCH("CEPILLADO",INVENTARIO!C132)),"CEP",
IF(ISNUMBER(SEARCH("ESPEJO",INVENTARIO!C132)),"ESP",
""))))))</f>
        <v>SUN</v>
      </c>
      <c r="G132" t="str">
        <f>IF(ISNUMBER(SEARCH("LATEX",INVENTARIO!C132)),"LAT",
IF(ISNUMBER(SEARCH("RESP. NEGRO",INVENTARIO!C132)),"RES-NEG",
IF(ISNUMBER(SEARCH("RESPALDO CAFE",INVENTARIO!C132)),"RES-CAF",
IF(ISNUMBER(SEARCH("RESPALDO GRIS",INVENTARIO!C132)),"RES-GRI",
IF(ISNUMBER(SEARCH("OPTICO",INVENTARIO!C132)),"OPT",
IF(ISNUMBER(SEARCH("1,2 MM",INVENTARIO!C132)),"1MM2",
IF(ISNUMBER(SEARCH("2 MM",INVENTARIO!C132)),"2MM",
IF(ISNUMBER(SEARCH("3 MM",INVENTARIO!C132)),"3MM",
IF(ISNUMBER(SEARCH("4 MM",INVENTARIO!C132)),"4MM",
IF(ISNUMBER(SEARCH("5 MM",INVENTARIO!C132)),"5MM",
IF(ISNUMBER(SEARCH("6 MM",INVENTARIO!C132)),"6MM",
IF(ISNUMBER(SEARCH("9 MM",INVENTARIO!C132)),"9MM",
IF(ISNUMBER(SEARCH("10 MM",INVENTARIO!C132)),"10MM","")))))))))))))</f>
        <v/>
      </c>
      <c r="H132" t="str">
        <f>IF(ISNUMBER(SEARCH("GAMA BAJA",INVENTARIO!C132)),"GAM-BAJ",
IF(ISNUMBER(SEARCH("OPTIMIZADOR",INVENTARIO!C132)),"OPT",
IF(ISNUMBER(SEARCH("OVERCOAT",INVENTARIO!C132)),"OVE",
IF(ISNUMBER(SEARCH("WHITE",INVENTARIO!C132)),"WHI",
IF(ISNUMBER(SEARCH("LIGHT CYAN",INVENTARIO!C132)),"LIG-CYA",
IF(ISNUMBER(SEARCH("CYAN",INVENTARIO!C132)),"CYA",
IF(ISNUMBER(SEARCH("LIGHT MAGENTA",INVENTARIO!C132)),"LIG-MAG",
IF(ISNUMBER(SEARCH("MAGENTA",INVENTARIO!C132)),"MAG",
IF(ISNUMBER(SEARCH("BLACK",INVENTARIO!C132)),"BLA",
IF(ISNUMBER(SEARCH("YELLOW",INVENTARIO!C132)),"YEL",
IF(ISNUMBER(SEARCH("2 DIODOS",INVENTARIO!C132)),"2DI",
IF(ISNUMBER(SEARCH("3 DIODOS",INVENTARIO!C132)),"3DI",
IF(OR(ISNUMBER(SEARCH("TRASLUCIDO",INVENTARIO!C132)),ISNUMBER(SEARCH("TRANSLUCIDO",INVENTARIO!C132))),"TRA",
"")))))))))))))</f>
        <v>WHI</v>
      </c>
      <c r="I132" t="str">
        <f>IF(ISNUMBER(SEARCH("SILED",INVENTARIO!C146)),"SI",
IF(ISNUMBER(SEARCH("SYDEMEX",INVENTARIO!C146)),"SY",
IF(ISNUMBER(SEARCH("ROHS",INVENTARIO!C146)),"RO",
IF(ISNUMBER(SEARCH("RISHANG",INVENTARIO!C146)),"RS",
IF(ISNUMBER(SEARCH("VYG",INVENTARIO!C146)),"VYG",
IF(ISNUMBER(SEARCH("COLED",INVENTARIO!C146)),"CO",""))))))</f>
        <v/>
      </c>
    </row>
    <row r="133" spans="1:9">
      <c r="A133" t="str">
        <f>IF(ISNUMBER(SEARCH("LONA",INVENTARIO!C133)),"LON",
IF(ISNUMBER(SEARCH("VINIL",INVENTARIO!C133)),"VIN",
IF(ISNUMBER(SEARCH("KROMACOTE",INVENTARIO!C133)),"KRO",
IF(ISNUMBER(SEARCH("STARDREAM",INVENTARIO!C133)),"STA",
IF(ISNUMBER(SEARCH("DISPLAY",INVENTARIO!C133)),"DIS",
IF(ISNUMBER(SEARCH("ROLL UP",INVENTARIO!C133)),"ROL-UP",
IF(ISNUMBER(SEARCH("TRANSFER DE PAPEL",INVENTARIO!C133)),"TRA-PAP",
IF(ISNUMBER(SEARCH("TRANSFER",INVENTARIO!C133)),"TRA",IF(ISNUMBER(SEARCH("KOLA LOKA",INVENTARIO!C133)),"KOL-LOK",
IF(ISNUMBER(SEARCH("PETG",INVENTARIO!C133)),"PET",
IF(ISNUMBER(SEARCH("OJILLO",INVENTARIO!C133)),"OJI",
IF(ISNUMBER(SEARCH("COUCHE",INVENTARIO!C133)),"COU",
IF(ISNUMBER(SEARCH("PANEL DE ALUMINIO",INVENTARIO!C133)),"PAN-ALU",
IF(ISNUMBER(SEARCH("PVC",INVENTARIO!C133)),"PVC",
IF(ISNUMBER(SEARCH("PAPEL",INVENTARIO!C133)),"PAP",
IF(ISNUMBER(SEARCH("TELA",INVENTARIO!C133)),"TEL",
IF(ISNUMBER(SEARCH("CARTULINA",INVENTARIO!C133)),"CAR",
IF(OR(ISNUMBER(SEARCH("LAMINA",INVENTARIO!C133)),ISNUMBER(SEARCH("LÁMINA",INVENTARIO!C133)),ISNUMBER(SEARCH("LAMPARAS",INVENTARIO!C133))),"LAM",
IF(ISNUMBER(SEARCH("ESTIRENO",INVENTARIO!C133)),"EST",
IF(ISNUMBER(SEARCH("FOAMBOARD",INVENTARIO!C133)),"FOA",
IF(ISNUMBER(SEARCH("SOLVENTE",INVENTARIO!C133)),"SOL",
IF(ISNUMBER(SEARCH("TINTA",INVENTARIO!C133)),"TIN",
IF(ISNUMBER(SEARCH("ACRILICO",INVENTARIO!C133)),"ACR",
IF(ISNUMBER(SEARCH("MICROLED",INVENTARIO!C133)),"MIC",
IF(ISNUMBER(SEARCH("LED",INVENTARIO!C133)),"LED",
IF(ISNUMBER(SEARCH("FUENTE DE PODER",INVENTARIO!C133)),"FUE-POD",
IF(ISNUMBER(SEARCH("PETG",INVENTARIO!C133)),"PET",
IF(ISNUMBER(SEARCH("ALUMINIO",INVENTARIO!C133)),"ALU",
IF(ISNUMBER(SEARCH("CANAL",INVENTARIO!C133)),"CAN",
IF(ISNUMBER(SEARCH("ESCUADRA",INVENTARIO!C133)),"ESC",
IF(ISNUMBER(SEARCH("SOPORTE",INVENTARIO!C133)),"SOP","OTR")
))))))))))))))))))))))))))))))</f>
        <v>TIN</v>
      </c>
      <c r="B133" t="str">
        <f>IF(ISNUMBER(SEARCH("CORTE",INVENTARIO!C133)),"COR",
IF(ISNUMBER(SEARCH("CITYLIGHT",INVENTARIO!C133)),"CIT",
IF(ISNUMBER(SEARCH("LINO",INVENTARIO!C133)),"LIN",
IF(ISNUMBER(SEARCH("FABRIANO",INVENTARIO!C133)),"FAB",
IF(ISNUMBER(SEARCH("SUNDANCE",INVENTARIO!C133)),"SUN",
IF(ISNUMBER(SEARCH("SINTETICA",INVENTARIO!C133)),"SIN",
IF(ISNUMBER(SEARCH("CONTROL",INVENTARIO!C133)),"CON",
IF(ISNUMBER(SEARCH("TERMICO",INVENTARIO!C133)),"TER",
IF(ISNUMBER(SEARCH("C-15",INVENTARIO!C133)),"C15",
IF(ISNUMBER(SEARCH("C-20",INVENTARIO!C133)),"C20",
IF(ISNUMBER(SEARCH("C-30",INVENTARIO!C133)),"C30",
IF(ISNUMBER(SEARCH("C-40",INVENTARIO!C133)),"C40",
IF(ISNUMBER(SEARCH("C-60",INVENTARIO!C133)),"C60",
IF(ISNUMBER(SEARCH("C-80",INVENTARIO!C133)),"C80",
IF(ISNUMBER(SEARCH("EQUIPO",INVENTARIO!C133)),"EQU",
IF(ISNUMBER(SEARCH("FLOOR",INVENTARIO!C133)),"FLO",
IF(ISNUMBER(SEARCH("CRISTAL",INVENTARIO!C133)),"CRI",
IF(ISNUMBER(SEARCH(" SULFATADA",INVENTARIO!C144)),"SUL",
IF(ISNUMBER(SEARCH("OPALINA",INVENTARIO!C133)),"OPA",
IF(ISNUMBER(SEARCH("ADHERIBLE",INVENTARIO!C133)),"ADH",
IF(ISNUMBER(SEARCH("MICRO",INVENTARIO!C133)),"MIC","")))))))))))))))))))))</f>
        <v/>
      </c>
      <c r="C133" t="str">
        <f>IF(ISNUMBER(SEARCH("PARED",INVENTARIO!C133)),"PAR",
IF(ISNUMBER(SEARCH("FRONT",INVENTARIO!C133)),"FRO",
IF(ISNUMBER(SEARCH("ALTA RESISTENCIA",INVENTARIO!C133)),
"ALT-RES",IF(ISNUMBER(SEARCH("BACKLITE",INVENTARIO!C133)),"BAC",
IF(ISNUMBER(SEARCH("MATE",INVENTARIO!C133)),"MAT",
IF(ISNUMBER(SEARCH("MESH",INVENTARIO!C133)),"MES",
IF(ISNUMBER(SEARCH("BRILLANTE",INVENTARIO!C133)),"BRI",
IF(ISNUMBER(SEARCH("DELGADA",INVENTARIO!C133)),"DEL",
IF(ISNUMBER(SEARCH("GRUESA",INVENTARIO!C133)),"GRU",
IF(ISNUMBER(SEARCH("ESTATICO",INVENTARIO!C133)),"EST",
IF(ISNUMBER(SEARCH("REFLECTIVO",INVENTARIO!C133)),"REF",
IF(ISNUMBER(SEARCH("LX700",INVENTARIO!C133)),"LX7",
IF(ISNUMBER(SEARCH("GRANDO",INVENTARIO!C133)),"GRA",
IF(ISNUMBER(SEARCH("FB700",INVENTARIO!C133)),"FB7",
IF(ISNUMBER(SEARCH("LX360",INVENTARIO!C133)),"LX3",
IF(ISNUMBER(SEARCH("XEROX",INVENTARIO!C133)),"XER",
IF(ISNUMBER(SEARCH("CEPILLADO",INVENTARIO!C133)),"CEP",
IF(ISNUMBER(SEARCH("ESPEJO",INVENTARIO!C133)),"ESP",
IF(ISNUMBER(SEARCH("10 PTS",INVENTARIO!C133)),"10PT",
IF(ISNUMBER(SEARCH("12 PTS",INVENTARIO!C133)),"12PT",
IF(ISNUMBER(SEARCH("14 PTS",INVENTARIO!C133)),"14PT",
IF(ISNUMBER(SEARCH("CLASICO",INVENTARIO!C133)),"CLA",
""))))))))))))))))))))))</f>
        <v>FB7</v>
      </c>
      <c r="D133" t="str">
        <f>IF(ISNUMBER(SEARCH("GRAN FORMATO",INVENTARIO!C133)),"GRA-FOR",
IF(ISNUMBER(SEARCH("CAMA PLANA",INVENTARIO!C133)),"CAM-PLA",
IF(ISNUMBER(SEARCH("GRADO INGENIERIA",INVENTARIO!C133)),"GRA-ING",
IF(ISNUMBER(SEARCH("130 GRS",INVENTARIO!C133)),"130GR",
IF(ISNUMBER(SEARCH("150 GRS",INVENTARIO!C133)),"150GR",
IF(ISNUMBER(SEARCH("185 GRS",INVENTARIO!C133)),"185GR",
IF(ISNUMBER(SEARCH("200 GRS",INVENTARIO!C133)),"200GR",
IF(ISNUMBER(SEARCH("250 GRS",INVENTARIO!C133)),"250GR",
IF(ISNUMBER(SEARCH("300 GRS",INVENTARIO!C133)),"300GR",
IF(ISNUMBER(SEARCH("350 GRS",INVENTARIO!C133)),"350GR",
IF(ISNUMBER(SEARCH("18 OZ",INVENTARIO!C133)),"18OZ",
IF(ISNUMBER(SEARCH("15 OZ",INVENTARIO!C133)),"15OZ",
IF(OR(ISNUMBER(SEARCH("13 OZ",INVENTARIO!C133)),ISNUMBER(SEARCH("13 ONZAS",INVENTARIO!C133))),"13OZ",
IF(OR(ISNUMBER(SEARCH("9 OZ",INVENTARIO!C133)),ISNUMBER(SEARCH("9 ONZAS",INVENTARIO!C133))),"09OZ",
IF(ISNUMBER(SEARCH("DOBLE CARA",INVENTARIO!C133)),"DOB-CAR",
"")))))))))))))))</f>
        <v>CAM-PLA</v>
      </c>
      <c r="E133" t="str">
        <f>IF(OR(ISNUMBER(SEARCH("TRANSPARENTE",INVENTARIO!C133)),ISNUMBER(SEARCH("TRANSPARENTES",INVENTARIO!C133))),"TRA",
IF(OR(ISNUMBER(SEARCH("BLANCO",INVENTARIO!C133)),ISNUMBER(SEARCH("BCO",INVENTARIO!C133))),"BLA",
IF(ISNUMBER(SEARCH("FOTOGRAFICO",INVENTARIO!C133)),"FOT",
IF(ISNUMBER(SEARCH("MARFIL",INVENTARIO!C133)),"MAR",
IF(ISNUMBER(SEARCH("VERDE",INVENTARIO!C133)),"VER",
IF(ISNUMBER(SEARCH("MORADO",INVENTARIO!C133)),"MOR",
IF(ISNUMBER(SEARCH("PLATA",INVENTARIO!C133)),"PLA",
IF(ISNUMBER(SEARCH("ORO",INVENTARIO!C133)),"ORO",
IF(ISNUMBER(SEARCH("AMARILLO",INVENTARIO!C133)),"AMA",
IF(ISNUMBER(SEARCH("NARANJA",INVENTARIO!C133)),"NAR",
IF(ISNUMBER(SEARCH("NEGRO",INVENTARIO!C133)),"NEG",
IF(ISNUMBER(SEARCH("ROJO",INVENTARIO!C133)),"ROJ",
IF(ISNUMBER(SEARCH("AZUL",INVENTARIO!C133)),"AZU","")))))))))))))</f>
        <v/>
      </c>
      <c r="F133" t="str">
        <f>IF(ISNUMBER(SEARCH("ARLON",INVENTARIO!C133)),"ARL",
IF(ISNUMBER(SEARCH("SUNTHINKS",INVENTARIO!C133)),"SUN",
IF(ISNUMBER(SEARCH("FRIO",INVENTARIO!C133)),"FRI",
IF(ISNUMBER(SEARCH("CALIDO",INVENTARIO!C133)),"CAL",
IF(ISNUMBER(SEARCH("CEPILLADO",INVENTARIO!C133)),"CEP",
IF(ISNUMBER(SEARCH("ESPEJO",INVENTARIO!C133)),"ESP",
""))))))</f>
        <v/>
      </c>
      <c r="G133" t="str">
        <f>IF(ISNUMBER(SEARCH("LATEX",INVENTARIO!C133)),"LAT",
IF(ISNUMBER(SEARCH("RESP. NEGRO",INVENTARIO!C133)),"RES-NEG",
IF(ISNUMBER(SEARCH("RESPALDO CAFE",INVENTARIO!C133)),"RES-CAF",
IF(ISNUMBER(SEARCH("RESPALDO GRIS",INVENTARIO!C133)),"RES-GRI",
IF(ISNUMBER(SEARCH("OPTICO",INVENTARIO!C133)),"OPT",
IF(ISNUMBER(SEARCH("1,2 MM",INVENTARIO!C133)),"1MM2",
IF(ISNUMBER(SEARCH("2 MM",INVENTARIO!C133)),"2MM",
IF(ISNUMBER(SEARCH("3 MM",INVENTARIO!C133)),"3MM",
IF(ISNUMBER(SEARCH("4 MM",INVENTARIO!C133)),"4MM",
IF(ISNUMBER(SEARCH("5 MM",INVENTARIO!C133)),"5MM",
IF(ISNUMBER(SEARCH("6 MM",INVENTARIO!C133)),"6MM",
IF(ISNUMBER(SEARCH("9 MM",INVENTARIO!C133)),"9MM",
IF(ISNUMBER(SEARCH("10 MM",INVENTARIO!C133)),"10MM","")))))))))))))</f>
        <v/>
      </c>
      <c r="H133" t="str">
        <f>IF(ISNUMBER(SEARCH("GAMA BAJA",INVENTARIO!C133)),"GAM-BAJ",
IF(ISNUMBER(SEARCH("OPTIMIZADOR",INVENTARIO!C133)),"OPT",
IF(ISNUMBER(SEARCH("OVERCOAT",INVENTARIO!C133)),"OVE",
IF(ISNUMBER(SEARCH("WHITE",INVENTARIO!C133)),"WHI",
IF(ISNUMBER(SEARCH("LIGHT CYAN",INVENTARIO!C133)),"LIG-CYA",
IF(ISNUMBER(SEARCH("CYAN",INVENTARIO!C133)),"CYA",
IF(ISNUMBER(SEARCH("LIGHT MAGENTA",INVENTARIO!C133)),"LIG-MAG",
IF(ISNUMBER(SEARCH("MAGENTA",INVENTARIO!C133)),"MAG",
IF(ISNUMBER(SEARCH("BLACK",INVENTARIO!C133)),"BLA",
IF(ISNUMBER(SEARCH("YELLOW",INVENTARIO!C133)),"YEL",
IF(ISNUMBER(SEARCH("2 DIODOS",INVENTARIO!C133)),"2DI",
IF(ISNUMBER(SEARCH("3 DIODOS",INVENTARIO!C133)),"3DI",
IF(OR(ISNUMBER(SEARCH("TRASLUCIDO",INVENTARIO!C133)),ISNUMBER(SEARCH("TRANSLUCIDO",INVENTARIO!C133))),"TRA",
"")))))))))))))</f>
        <v>CYA</v>
      </c>
      <c r="I133" t="str">
        <f>IF(ISNUMBER(SEARCH("SILED",INVENTARIO!C147)),"SI",
IF(ISNUMBER(SEARCH("SYDEMEX",INVENTARIO!C147)),"SY",
IF(ISNUMBER(SEARCH("ROHS",INVENTARIO!C147)),"RO",
IF(ISNUMBER(SEARCH("RISHANG",INVENTARIO!C147)),"RS",
IF(ISNUMBER(SEARCH("VYG",INVENTARIO!C147)),"VYG",
IF(ISNUMBER(SEARCH("COLED",INVENTARIO!C147)),"CO",""))))))</f>
        <v/>
      </c>
    </row>
    <row r="134" spans="1:9">
      <c r="A134" t="str">
        <f>IF(ISNUMBER(SEARCH("LONA",INVENTARIO!C134)),"LON",
IF(ISNUMBER(SEARCH("VINIL",INVENTARIO!C134)),"VIN",
IF(ISNUMBER(SEARCH("KROMACOTE",INVENTARIO!C134)),"KRO",
IF(ISNUMBER(SEARCH("STARDREAM",INVENTARIO!C134)),"STA",
IF(ISNUMBER(SEARCH("DISPLAY",INVENTARIO!C134)),"DIS",
IF(ISNUMBER(SEARCH("ROLL UP",INVENTARIO!C134)),"ROL-UP",
IF(ISNUMBER(SEARCH("TRANSFER DE PAPEL",INVENTARIO!C134)),"TRA-PAP",
IF(ISNUMBER(SEARCH("TRANSFER",INVENTARIO!C134)),"TRA",IF(ISNUMBER(SEARCH("KOLA LOKA",INVENTARIO!C134)),"KOL-LOK",
IF(ISNUMBER(SEARCH("PETG",INVENTARIO!C134)),"PET",
IF(ISNUMBER(SEARCH("OJILLO",INVENTARIO!C134)),"OJI",
IF(ISNUMBER(SEARCH("COUCHE",INVENTARIO!C134)),"COU",
IF(ISNUMBER(SEARCH("PANEL DE ALUMINIO",INVENTARIO!C134)),"PAN-ALU",
IF(ISNUMBER(SEARCH("PVC",INVENTARIO!C134)),"PVC",
IF(ISNUMBER(SEARCH("PAPEL",INVENTARIO!C134)),"PAP",
IF(ISNUMBER(SEARCH("TELA",INVENTARIO!C134)),"TEL",
IF(ISNUMBER(SEARCH("CARTULINA",INVENTARIO!C134)),"CAR",
IF(OR(ISNUMBER(SEARCH("LAMINA",INVENTARIO!C134)),ISNUMBER(SEARCH("LÁMINA",INVENTARIO!C134)),ISNUMBER(SEARCH("LAMPARAS",INVENTARIO!C134))),"LAM",
IF(ISNUMBER(SEARCH("ESTIRENO",INVENTARIO!C134)),"EST",
IF(ISNUMBER(SEARCH("FOAMBOARD",INVENTARIO!C134)),"FOA",
IF(ISNUMBER(SEARCH("SOLVENTE",INVENTARIO!C134)),"SOL",
IF(ISNUMBER(SEARCH("TINTA",INVENTARIO!C134)),"TIN",
IF(ISNUMBER(SEARCH("ACRILICO",INVENTARIO!C134)),"ACR",
IF(ISNUMBER(SEARCH("MICROLED",INVENTARIO!C134)),"MIC",
IF(ISNUMBER(SEARCH("LED",INVENTARIO!C134)),"LED",
IF(ISNUMBER(SEARCH("FUENTE DE PODER",INVENTARIO!C134)),"FUE-POD",
IF(ISNUMBER(SEARCH("PETG",INVENTARIO!C134)),"PET",
IF(ISNUMBER(SEARCH("ALUMINIO",INVENTARIO!C134)),"ALU",
IF(ISNUMBER(SEARCH("CANAL",INVENTARIO!C134)),"CAN",
IF(ISNUMBER(SEARCH("ESCUADRA",INVENTARIO!C134)),"ESC",
IF(ISNUMBER(SEARCH("SOPORTE",INVENTARIO!C134)),"SOP","OTR")
))))))))))))))))))))))))))))))</f>
        <v>TIN</v>
      </c>
      <c r="B134" t="str">
        <f>IF(ISNUMBER(SEARCH("CORTE",INVENTARIO!C134)),"COR",
IF(ISNUMBER(SEARCH("CITYLIGHT",INVENTARIO!C134)),"CIT",
IF(ISNUMBER(SEARCH("LINO",INVENTARIO!C134)),"LIN",
IF(ISNUMBER(SEARCH("FABRIANO",INVENTARIO!C134)),"FAB",
IF(ISNUMBER(SEARCH("SUNDANCE",INVENTARIO!C134)),"SUN",
IF(ISNUMBER(SEARCH("SINTETICA",INVENTARIO!C134)),"SIN",
IF(ISNUMBER(SEARCH("CONTROL",INVENTARIO!C134)),"CON",
IF(ISNUMBER(SEARCH("TERMICO",INVENTARIO!C134)),"TER",
IF(ISNUMBER(SEARCH("C-15",INVENTARIO!C134)),"C15",
IF(ISNUMBER(SEARCH("C-20",INVENTARIO!C134)),"C20",
IF(ISNUMBER(SEARCH("C-30",INVENTARIO!C134)),"C30",
IF(ISNUMBER(SEARCH("C-40",INVENTARIO!C134)),"C40",
IF(ISNUMBER(SEARCH("C-60",INVENTARIO!C134)),"C60",
IF(ISNUMBER(SEARCH("C-80",INVENTARIO!C134)),"C80",
IF(ISNUMBER(SEARCH("EQUIPO",INVENTARIO!C134)),"EQU",
IF(ISNUMBER(SEARCH("FLOOR",INVENTARIO!C134)),"FLO",
IF(ISNUMBER(SEARCH("CRISTAL",INVENTARIO!C134)),"CRI",
IF(ISNUMBER(SEARCH(" SULFATADA",INVENTARIO!C145)),"SUL",
IF(ISNUMBER(SEARCH("OPALINA",INVENTARIO!C134)),"OPA",
IF(ISNUMBER(SEARCH("ADHERIBLE",INVENTARIO!C134)),"ADH",
IF(ISNUMBER(SEARCH("MICRO",INVENTARIO!C134)),"MIC","")))))))))))))))))))))</f>
        <v/>
      </c>
      <c r="C134" t="str">
        <f>IF(ISNUMBER(SEARCH("PARED",INVENTARIO!C134)),"PAR",
IF(ISNUMBER(SEARCH("FRONT",INVENTARIO!C134)),"FRO",
IF(ISNUMBER(SEARCH("ALTA RESISTENCIA",INVENTARIO!C134)),
"ALT-RES",IF(ISNUMBER(SEARCH("BACKLITE",INVENTARIO!C134)),"BAC",
IF(ISNUMBER(SEARCH("MATE",INVENTARIO!C134)),"MAT",
IF(ISNUMBER(SEARCH("MESH",INVENTARIO!C134)),"MES",
IF(ISNUMBER(SEARCH("BRILLANTE",INVENTARIO!C134)),"BRI",
IF(ISNUMBER(SEARCH("DELGADA",INVENTARIO!C134)),"DEL",
IF(ISNUMBER(SEARCH("GRUESA",INVENTARIO!C134)),"GRU",
IF(ISNUMBER(SEARCH("ESTATICO",INVENTARIO!C134)),"EST",
IF(ISNUMBER(SEARCH("REFLECTIVO",INVENTARIO!C134)),"REF",
IF(ISNUMBER(SEARCH("LX700",INVENTARIO!C134)),"LX7",
IF(ISNUMBER(SEARCH("GRANDO",INVENTARIO!C134)),"GRA",
IF(ISNUMBER(SEARCH("FB700",INVENTARIO!C134)),"FB7",
IF(ISNUMBER(SEARCH("LX360",INVENTARIO!C134)),"LX3",
IF(ISNUMBER(SEARCH("XEROX",INVENTARIO!C134)),"XER",
IF(ISNUMBER(SEARCH("CEPILLADO",INVENTARIO!C134)),"CEP",
IF(ISNUMBER(SEARCH("ESPEJO",INVENTARIO!C134)),"ESP",
IF(ISNUMBER(SEARCH("10 PTS",INVENTARIO!C134)),"10PT",
IF(ISNUMBER(SEARCH("12 PTS",INVENTARIO!C134)),"12PT",
IF(ISNUMBER(SEARCH("14 PTS",INVENTARIO!C134)),"14PT",
IF(ISNUMBER(SEARCH("CLASICO",INVENTARIO!C134)),"CLA",
""))))))))))))))))))))))</f>
        <v>FB7</v>
      </c>
      <c r="D134" t="str">
        <f>IF(ISNUMBER(SEARCH("GRAN FORMATO",INVENTARIO!C134)),"GRA-FOR",
IF(ISNUMBER(SEARCH("CAMA PLANA",INVENTARIO!C134)),"CAM-PLA",
IF(ISNUMBER(SEARCH("GRADO INGENIERIA",INVENTARIO!C134)),"GRA-ING",
IF(ISNUMBER(SEARCH("130 GRS",INVENTARIO!C134)),"130GR",
IF(ISNUMBER(SEARCH("150 GRS",INVENTARIO!C134)),"150GR",
IF(ISNUMBER(SEARCH("185 GRS",INVENTARIO!C134)),"185GR",
IF(ISNUMBER(SEARCH("200 GRS",INVENTARIO!C134)),"200GR",
IF(ISNUMBER(SEARCH("250 GRS",INVENTARIO!C134)),"250GR",
IF(ISNUMBER(SEARCH("300 GRS",INVENTARIO!C134)),"300GR",
IF(ISNUMBER(SEARCH("350 GRS",INVENTARIO!C134)),"350GR",
IF(ISNUMBER(SEARCH("18 OZ",INVENTARIO!C134)),"18OZ",
IF(ISNUMBER(SEARCH("15 OZ",INVENTARIO!C134)),"15OZ",
IF(OR(ISNUMBER(SEARCH("13 OZ",INVENTARIO!C134)),ISNUMBER(SEARCH("13 ONZAS",INVENTARIO!C134))),"13OZ",
IF(OR(ISNUMBER(SEARCH("9 OZ",INVENTARIO!C134)),ISNUMBER(SEARCH("9 ONZAS",INVENTARIO!C134))),"09OZ",
IF(ISNUMBER(SEARCH("DOBLE CARA",INVENTARIO!C134)),"DOB-CAR",
"")))))))))))))))</f>
        <v>CAM-PLA</v>
      </c>
      <c r="E134" t="str">
        <f>IF(OR(ISNUMBER(SEARCH("TRANSPARENTE",INVENTARIO!C134)),ISNUMBER(SEARCH("TRANSPARENTES",INVENTARIO!C134))),"TRA",
IF(OR(ISNUMBER(SEARCH("BLANCO",INVENTARIO!C134)),ISNUMBER(SEARCH("BCO",INVENTARIO!C134))),"BLA",
IF(ISNUMBER(SEARCH("FOTOGRAFICO",INVENTARIO!C134)),"FOT",
IF(ISNUMBER(SEARCH("MARFIL",INVENTARIO!C134)),"MAR",
IF(ISNUMBER(SEARCH("VERDE",INVENTARIO!C134)),"VER",
IF(ISNUMBER(SEARCH("MORADO",INVENTARIO!C134)),"MOR",
IF(ISNUMBER(SEARCH("PLATA",INVENTARIO!C134)),"PLA",
IF(ISNUMBER(SEARCH("ORO",INVENTARIO!C134)),"ORO",
IF(ISNUMBER(SEARCH("AMARILLO",INVENTARIO!C134)),"AMA",
IF(ISNUMBER(SEARCH("NARANJA",INVENTARIO!C134)),"NAR",
IF(ISNUMBER(SEARCH("NEGRO",INVENTARIO!C134)),"NEG",
IF(ISNUMBER(SEARCH("ROJO",INVENTARIO!C134)),"ROJ",
IF(ISNUMBER(SEARCH("AZUL",INVENTARIO!C134)),"AZU","")))))))))))))</f>
        <v/>
      </c>
      <c r="F134" t="str">
        <f>IF(ISNUMBER(SEARCH("ARLON",INVENTARIO!C134)),"ARL",
IF(ISNUMBER(SEARCH("SUNTHINKS",INVENTARIO!C134)),"SUN",
IF(ISNUMBER(SEARCH("FRIO",INVENTARIO!C134)),"FRI",
IF(ISNUMBER(SEARCH("CALIDO",INVENTARIO!C134)),"CAL",
IF(ISNUMBER(SEARCH("CEPILLADO",INVENTARIO!C134)),"CEP",
IF(ISNUMBER(SEARCH("ESPEJO",INVENTARIO!C134)),"ESP",
""))))))</f>
        <v/>
      </c>
      <c r="G134" t="str">
        <f>IF(ISNUMBER(SEARCH("LATEX",INVENTARIO!C134)),"LAT",
IF(ISNUMBER(SEARCH("RESP. NEGRO",INVENTARIO!C134)),"RES-NEG",
IF(ISNUMBER(SEARCH("RESPALDO CAFE",INVENTARIO!C134)),"RES-CAF",
IF(ISNUMBER(SEARCH("RESPALDO GRIS",INVENTARIO!C134)),"RES-GRI",
IF(ISNUMBER(SEARCH("OPTICO",INVENTARIO!C134)),"OPT",
IF(ISNUMBER(SEARCH("1,2 MM",INVENTARIO!C134)),"1MM2",
IF(ISNUMBER(SEARCH("2 MM",INVENTARIO!C134)),"2MM",
IF(ISNUMBER(SEARCH("3 MM",INVENTARIO!C134)),"3MM",
IF(ISNUMBER(SEARCH("4 MM",INVENTARIO!C134)),"4MM",
IF(ISNUMBER(SEARCH("5 MM",INVENTARIO!C134)),"5MM",
IF(ISNUMBER(SEARCH("6 MM",INVENTARIO!C134)),"6MM",
IF(ISNUMBER(SEARCH("9 MM",INVENTARIO!C134)),"9MM",
IF(ISNUMBER(SEARCH("10 MM",INVENTARIO!C134)),"10MM","")))))))))))))</f>
        <v/>
      </c>
      <c r="H134" t="str">
        <f>IF(ISNUMBER(SEARCH("GAMA BAJA",INVENTARIO!C134)),"GAM-BAJ",
IF(ISNUMBER(SEARCH("OPTIMIZADOR",INVENTARIO!C134)),"OPT",
IF(ISNUMBER(SEARCH("OVERCOAT",INVENTARIO!C134)),"OVE",
IF(ISNUMBER(SEARCH("WHITE",INVENTARIO!C134)),"WHI",
IF(ISNUMBER(SEARCH("LIGHT CYAN",INVENTARIO!C134)),"LIG-CYA",
IF(ISNUMBER(SEARCH("CYAN",INVENTARIO!C134)),"CYA",
IF(ISNUMBER(SEARCH("LIGHT MAGENTA",INVENTARIO!C134)),"LIG-MAG",
IF(ISNUMBER(SEARCH("MAGENTA",INVENTARIO!C134)),"MAG",
IF(ISNUMBER(SEARCH("BLACK",INVENTARIO!C134)),"BLA",
IF(ISNUMBER(SEARCH("YELLOW",INVENTARIO!C134)),"YEL",
IF(ISNUMBER(SEARCH("2 DIODOS",INVENTARIO!C134)),"2DI",
IF(ISNUMBER(SEARCH("3 DIODOS",INVENTARIO!C134)),"3DI",
IF(OR(ISNUMBER(SEARCH("TRASLUCIDO",INVENTARIO!C134)),ISNUMBER(SEARCH("TRANSLUCIDO",INVENTARIO!C134))),"TRA",
"")))))))))))))</f>
        <v>MAG</v>
      </c>
      <c r="I134" t="str">
        <f>IF(ISNUMBER(SEARCH("SILED",INVENTARIO!C148)),"SI",
IF(ISNUMBER(SEARCH("SYDEMEX",INVENTARIO!C148)),"SY",
IF(ISNUMBER(SEARCH("ROHS",INVENTARIO!C148)),"RO",
IF(ISNUMBER(SEARCH("RISHANG",INVENTARIO!C148)),"RS",
IF(ISNUMBER(SEARCH("VYG",INVENTARIO!C148)),"VYG",
IF(ISNUMBER(SEARCH("COLED",INVENTARIO!C148)),"CO",""))))))</f>
        <v/>
      </c>
    </row>
    <row r="135" spans="1:9">
      <c r="A135" t="str">
        <f>IF(ISNUMBER(SEARCH("LONA",INVENTARIO!C135)),"LON",
IF(ISNUMBER(SEARCH("VINIL",INVENTARIO!C135)),"VIN",
IF(ISNUMBER(SEARCH("KROMACOTE",INVENTARIO!C135)),"KRO",
IF(ISNUMBER(SEARCH("STARDREAM",INVENTARIO!C135)),"STA",
IF(ISNUMBER(SEARCH("DISPLAY",INVENTARIO!C135)),"DIS",
IF(ISNUMBER(SEARCH("ROLL UP",INVENTARIO!C135)),"ROL-UP",
IF(ISNUMBER(SEARCH("TRANSFER DE PAPEL",INVENTARIO!C135)),"TRA-PAP",
IF(ISNUMBER(SEARCH("TRANSFER",INVENTARIO!C135)),"TRA",IF(ISNUMBER(SEARCH("KOLA LOKA",INVENTARIO!C135)),"KOL-LOK",
IF(ISNUMBER(SEARCH("PETG",INVENTARIO!C135)),"PET",
IF(ISNUMBER(SEARCH("OJILLO",INVENTARIO!C135)),"OJI",
IF(ISNUMBER(SEARCH("COUCHE",INVENTARIO!C135)),"COU",
IF(ISNUMBER(SEARCH("PANEL DE ALUMINIO",INVENTARIO!C135)),"PAN-ALU",
IF(ISNUMBER(SEARCH("PVC",INVENTARIO!C135)),"PVC",
IF(ISNUMBER(SEARCH("PAPEL",INVENTARIO!C135)),"PAP",
IF(ISNUMBER(SEARCH("TELA",INVENTARIO!C135)),"TEL",
IF(ISNUMBER(SEARCH("CARTULINA",INVENTARIO!C135)),"CAR",
IF(OR(ISNUMBER(SEARCH("LAMINA",INVENTARIO!C135)),ISNUMBER(SEARCH("LÁMINA",INVENTARIO!C135)),ISNUMBER(SEARCH("LAMPARAS",INVENTARIO!C135))),"LAM",
IF(ISNUMBER(SEARCH("ESTIRENO",INVENTARIO!C135)),"EST",
IF(ISNUMBER(SEARCH("FOAMBOARD",INVENTARIO!C135)),"FOA",
IF(ISNUMBER(SEARCH("SOLVENTE",INVENTARIO!C135)),"SOL",
IF(ISNUMBER(SEARCH("TINTA",INVENTARIO!C135)),"TIN",
IF(ISNUMBER(SEARCH("ACRILICO",INVENTARIO!C135)),"ACR",
IF(ISNUMBER(SEARCH("MICROLED",INVENTARIO!C135)),"MIC",
IF(ISNUMBER(SEARCH("LED",INVENTARIO!C135)),"LED",
IF(ISNUMBER(SEARCH("FUENTE DE PODER",INVENTARIO!C135)),"FUE-POD",
IF(ISNUMBER(SEARCH("PETG",INVENTARIO!C135)),"PET",
IF(ISNUMBER(SEARCH("ALUMINIO",INVENTARIO!C135)),"ALU",
IF(ISNUMBER(SEARCH("CANAL",INVENTARIO!C135)),"CAN",
IF(ISNUMBER(SEARCH("ESCUADRA",INVENTARIO!C135)),"ESC",
IF(ISNUMBER(SEARCH("SOPORTE",INVENTARIO!C135)),"SOP","OTR")
))))))))))))))))))))))))))))))</f>
        <v>TIN</v>
      </c>
      <c r="B135" t="str">
        <f>IF(ISNUMBER(SEARCH("CORTE",INVENTARIO!C135)),"COR",
IF(ISNUMBER(SEARCH("CITYLIGHT",INVENTARIO!C135)),"CIT",
IF(ISNUMBER(SEARCH("LINO",INVENTARIO!C135)),"LIN",
IF(ISNUMBER(SEARCH("FABRIANO",INVENTARIO!C135)),"FAB",
IF(ISNUMBER(SEARCH("SUNDANCE",INVENTARIO!C135)),"SUN",
IF(ISNUMBER(SEARCH("SINTETICA",INVENTARIO!C135)),"SIN",
IF(ISNUMBER(SEARCH("CONTROL",INVENTARIO!C135)),"CON",
IF(ISNUMBER(SEARCH("TERMICO",INVENTARIO!C135)),"TER",
IF(ISNUMBER(SEARCH("C-15",INVENTARIO!C135)),"C15",
IF(ISNUMBER(SEARCH("C-20",INVENTARIO!C135)),"C20",
IF(ISNUMBER(SEARCH("C-30",INVENTARIO!C135)),"C30",
IF(ISNUMBER(SEARCH("C-40",INVENTARIO!C135)),"C40",
IF(ISNUMBER(SEARCH("C-60",INVENTARIO!C135)),"C60",
IF(ISNUMBER(SEARCH("C-80",INVENTARIO!C135)),"C80",
IF(ISNUMBER(SEARCH("EQUIPO",INVENTARIO!C135)),"EQU",
IF(ISNUMBER(SEARCH("FLOOR",INVENTARIO!C135)),"FLO",
IF(ISNUMBER(SEARCH("CRISTAL",INVENTARIO!C135)),"CRI",
IF(ISNUMBER(SEARCH(" SULFATADA",INVENTARIO!C146)),"SUL",
IF(ISNUMBER(SEARCH("OPALINA",INVENTARIO!C135)),"OPA",
IF(ISNUMBER(SEARCH("ADHERIBLE",INVENTARIO!C135)),"ADH",
IF(ISNUMBER(SEARCH("MICRO",INVENTARIO!C135)),"MIC","")))))))))))))))))))))</f>
        <v/>
      </c>
      <c r="C135" t="str">
        <f>IF(ISNUMBER(SEARCH("PARED",INVENTARIO!C135)),"PAR",
IF(ISNUMBER(SEARCH("FRONT",INVENTARIO!C135)),"FRO",
IF(ISNUMBER(SEARCH("ALTA RESISTENCIA",INVENTARIO!C135)),
"ALT-RES",IF(ISNUMBER(SEARCH("BACKLITE",INVENTARIO!C135)),"BAC",
IF(ISNUMBER(SEARCH("MATE",INVENTARIO!C135)),"MAT",
IF(ISNUMBER(SEARCH("MESH",INVENTARIO!C135)),"MES",
IF(ISNUMBER(SEARCH("BRILLANTE",INVENTARIO!C135)),"BRI",
IF(ISNUMBER(SEARCH("DELGADA",INVENTARIO!C135)),"DEL",
IF(ISNUMBER(SEARCH("GRUESA",INVENTARIO!C135)),"GRU",
IF(ISNUMBER(SEARCH("ESTATICO",INVENTARIO!C135)),"EST",
IF(ISNUMBER(SEARCH("REFLECTIVO",INVENTARIO!C135)),"REF",
IF(ISNUMBER(SEARCH("LX700",INVENTARIO!C135)),"LX7",
IF(ISNUMBER(SEARCH("GRANDO",INVENTARIO!C135)),"GRA",
IF(ISNUMBER(SEARCH("FB700",INVENTARIO!C135)),"FB7",
IF(ISNUMBER(SEARCH("LX360",INVENTARIO!C135)),"LX3",
IF(ISNUMBER(SEARCH("XEROX",INVENTARIO!C135)),"XER",
IF(ISNUMBER(SEARCH("CEPILLADO",INVENTARIO!C135)),"CEP",
IF(ISNUMBER(SEARCH("ESPEJO",INVENTARIO!C135)),"ESP",
IF(ISNUMBER(SEARCH("10 PTS",INVENTARIO!C135)),"10PT",
IF(ISNUMBER(SEARCH("12 PTS",INVENTARIO!C135)),"12PT",
IF(ISNUMBER(SEARCH("14 PTS",INVENTARIO!C135)),"14PT",
IF(ISNUMBER(SEARCH("CLASICO",INVENTARIO!C135)),"CLA",
""))))))))))))))))))))))</f>
        <v>FB7</v>
      </c>
      <c r="D135" t="str">
        <f>IF(ISNUMBER(SEARCH("GRAN FORMATO",INVENTARIO!C135)),"GRA-FOR",
IF(ISNUMBER(SEARCH("CAMA PLANA",INVENTARIO!C135)),"CAM-PLA",
IF(ISNUMBER(SEARCH("GRADO INGENIERIA",INVENTARIO!C135)),"GRA-ING",
IF(ISNUMBER(SEARCH("130 GRS",INVENTARIO!C135)),"130GR",
IF(ISNUMBER(SEARCH("150 GRS",INVENTARIO!C135)),"150GR",
IF(ISNUMBER(SEARCH("185 GRS",INVENTARIO!C135)),"185GR",
IF(ISNUMBER(SEARCH("200 GRS",INVENTARIO!C135)),"200GR",
IF(ISNUMBER(SEARCH("250 GRS",INVENTARIO!C135)),"250GR",
IF(ISNUMBER(SEARCH("300 GRS",INVENTARIO!C135)),"300GR",
IF(ISNUMBER(SEARCH("350 GRS",INVENTARIO!C135)),"350GR",
IF(ISNUMBER(SEARCH("18 OZ",INVENTARIO!C135)),"18OZ",
IF(ISNUMBER(SEARCH("15 OZ",INVENTARIO!C135)),"15OZ",
IF(OR(ISNUMBER(SEARCH("13 OZ",INVENTARIO!C135)),ISNUMBER(SEARCH("13 ONZAS",INVENTARIO!C135))),"13OZ",
IF(OR(ISNUMBER(SEARCH("9 OZ",INVENTARIO!C135)),ISNUMBER(SEARCH("9 ONZAS",INVENTARIO!C135))),"09OZ",
IF(ISNUMBER(SEARCH("DOBLE CARA",INVENTARIO!C135)),"DOB-CAR",
"")))))))))))))))</f>
        <v>CAM-PLA</v>
      </c>
      <c r="E135" t="str">
        <f>IF(OR(ISNUMBER(SEARCH("TRANSPARENTE",INVENTARIO!C135)),ISNUMBER(SEARCH("TRANSPARENTES",INVENTARIO!C135))),"TRA",
IF(OR(ISNUMBER(SEARCH("BLANCO",INVENTARIO!C135)),ISNUMBER(SEARCH("BCO",INVENTARIO!C135))),"BLA",
IF(ISNUMBER(SEARCH("FOTOGRAFICO",INVENTARIO!C135)),"FOT",
IF(ISNUMBER(SEARCH("MARFIL",INVENTARIO!C135)),"MAR",
IF(ISNUMBER(SEARCH("VERDE",INVENTARIO!C135)),"VER",
IF(ISNUMBER(SEARCH("MORADO",INVENTARIO!C135)),"MOR",
IF(ISNUMBER(SEARCH("PLATA",INVENTARIO!C135)),"PLA",
IF(ISNUMBER(SEARCH("ORO",INVENTARIO!C135)),"ORO",
IF(ISNUMBER(SEARCH("AMARILLO",INVENTARIO!C135)),"AMA",
IF(ISNUMBER(SEARCH("NARANJA",INVENTARIO!C135)),"NAR",
IF(ISNUMBER(SEARCH("NEGRO",INVENTARIO!C135)),"NEG",
IF(ISNUMBER(SEARCH("ROJO",INVENTARIO!C135)),"ROJ",
IF(ISNUMBER(SEARCH("AZUL",INVENTARIO!C135)),"AZU","")))))))))))))</f>
        <v/>
      </c>
      <c r="F135" t="str">
        <f>IF(ISNUMBER(SEARCH("ARLON",INVENTARIO!C135)),"ARL",
IF(ISNUMBER(SEARCH("SUNTHINKS",INVENTARIO!C135)),"SUN",
IF(ISNUMBER(SEARCH("FRIO",INVENTARIO!C135)),"FRI",
IF(ISNUMBER(SEARCH("CALIDO",INVENTARIO!C135)),"CAL",
IF(ISNUMBER(SEARCH("CEPILLADO",INVENTARIO!C135)),"CEP",
IF(ISNUMBER(SEARCH("ESPEJO",INVENTARIO!C135)),"ESP",
""))))))</f>
        <v/>
      </c>
      <c r="G135" t="str">
        <f>IF(ISNUMBER(SEARCH("LATEX",INVENTARIO!C135)),"LAT",
IF(ISNUMBER(SEARCH("RESP. NEGRO",INVENTARIO!C135)),"RES-NEG",
IF(ISNUMBER(SEARCH("RESPALDO CAFE",INVENTARIO!C135)),"RES-CAF",
IF(ISNUMBER(SEARCH("RESPALDO GRIS",INVENTARIO!C135)),"RES-GRI",
IF(ISNUMBER(SEARCH("OPTICO",INVENTARIO!C135)),"OPT",
IF(ISNUMBER(SEARCH("1,2 MM",INVENTARIO!C135)),"1MM2",
IF(ISNUMBER(SEARCH("2 MM",INVENTARIO!C135)),"2MM",
IF(ISNUMBER(SEARCH("3 MM",INVENTARIO!C135)),"3MM",
IF(ISNUMBER(SEARCH("4 MM",INVENTARIO!C135)),"4MM",
IF(ISNUMBER(SEARCH("5 MM",INVENTARIO!C135)),"5MM",
IF(ISNUMBER(SEARCH("6 MM",INVENTARIO!C135)),"6MM",
IF(ISNUMBER(SEARCH("9 MM",INVENTARIO!C135)),"9MM",
IF(ISNUMBER(SEARCH("10 MM",INVENTARIO!C135)),"10MM","")))))))))))))</f>
        <v/>
      </c>
      <c r="H135" t="str">
        <f>IF(ISNUMBER(SEARCH("GAMA BAJA",INVENTARIO!C135)),"GAM-BAJ",
IF(ISNUMBER(SEARCH("OPTIMIZADOR",INVENTARIO!C135)),"OPT",
IF(ISNUMBER(SEARCH("OVERCOAT",INVENTARIO!C135)),"OVE",
IF(ISNUMBER(SEARCH("WHITE",INVENTARIO!C135)),"WHI",
IF(ISNUMBER(SEARCH("LIGHT CYAN",INVENTARIO!C135)),"LIG-CYA",
IF(ISNUMBER(SEARCH("CYAN",INVENTARIO!C135)),"CYA",
IF(ISNUMBER(SEARCH("LIGHT MAGENTA",INVENTARIO!C135)),"LIG-MAG",
IF(ISNUMBER(SEARCH("MAGENTA",INVENTARIO!C135)),"MAG",
IF(ISNUMBER(SEARCH("BLACK",INVENTARIO!C135)),"BLA",
IF(ISNUMBER(SEARCH("YELLOW",INVENTARIO!C135)),"YEL",
IF(ISNUMBER(SEARCH("2 DIODOS",INVENTARIO!C135)),"2DI",
IF(ISNUMBER(SEARCH("3 DIODOS",INVENTARIO!C135)),"3DI",
IF(OR(ISNUMBER(SEARCH("TRASLUCIDO",INVENTARIO!C135)),ISNUMBER(SEARCH("TRANSLUCIDO",INVENTARIO!C135))),"TRA",
"")))))))))))))</f>
        <v>YEL</v>
      </c>
      <c r="I135" t="str">
        <f>IF(ISNUMBER(SEARCH("SILED",INVENTARIO!C149)),"SI",
IF(ISNUMBER(SEARCH("SYDEMEX",INVENTARIO!C149)),"SY",
IF(ISNUMBER(SEARCH("ROHS",INVENTARIO!C149)),"RO",
IF(ISNUMBER(SEARCH("RISHANG",INVENTARIO!C149)),"RS",
IF(ISNUMBER(SEARCH("VYG",INVENTARIO!C149)),"VYG",
IF(ISNUMBER(SEARCH("COLED",INVENTARIO!C149)),"CO",""))))))</f>
        <v/>
      </c>
    </row>
    <row r="136" spans="1:9">
      <c r="A136" t="str">
        <f>IF(ISNUMBER(SEARCH("LONA",INVENTARIO!C136)),"LON",
IF(ISNUMBER(SEARCH("VINIL",INVENTARIO!C136)),"VIN",
IF(ISNUMBER(SEARCH("KROMACOTE",INVENTARIO!C136)),"KRO",
IF(ISNUMBER(SEARCH("STARDREAM",INVENTARIO!C136)),"STA",
IF(ISNUMBER(SEARCH("DISPLAY",INVENTARIO!C136)),"DIS",
IF(ISNUMBER(SEARCH("ROLL UP",INVENTARIO!C136)),"ROL-UP",
IF(ISNUMBER(SEARCH("TRANSFER DE PAPEL",INVENTARIO!C136)),"TRA-PAP",
IF(ISNUMBER(SEARCH("TRANSFER",INVENTARIO!C136)),"TRA",IF(ISNUMBER(SEARCH("KOLA LOKA",INVENTARIO!C136)),"KOL-LOK",
IF(ISNUMBER(SEARCH("PETG",INVENTARIO!C136)),"PET",
IF(ISNUMBER(SEARCH("OJILLO",INVENTARIO!C136)),"OJI",
IF(ISNUMBER(SEARCH("COUCHE",INVENTARIO!C136)),"COU",
IF(ISNUMBER(SEARCH("PANEL DE ALUMINIO",INVENTARIO!C136)),"PAN-ALU",
IF(ISNUMBER(SEARCH("PVC",INVENTARIO!C136)),"PVC",
IF(ISNUMBER(SEARCH("PAPEL",INVENTARIO!C136)),"PAP",
IF(ISNUMBER(SEARCH("TELA",INVENTARIO!C136)),"TEL",
IF(ISNUMBER(SEARCH("CARTULINA",INVENTARIO!C136)),"CAR",
IF(OR(ISNUMBER(SEARCH("LAMINA",INVENTARIO!C136)),ISNUMBER(SEARCH("LÁMINA",INVENTARIO!C136)),ISNUMBER(SEARCH("LAMPARAS",INVENTARIO!C136))),"LAM",
IF(ISNUMBER(SEARCH("ESTIRENO",INVENTARIO!C136)),"EST",
IF(ISNUMBER(SEARCH("FOAMBOARD",INVENTARIO!C136)),"FOA",
IF(ISNUMBER(SEARCH("SOLVENTE",INVENTARIO!C136)),"SOL",
IF(ISNUMBER(SEARCH("TINTA",INVENTARIO!C136)),"TIN",
IF(ISNUMBER(SEARCH("ACRILICO",INVENTARIO!C136)),"ACR",
IF(ISNUMBER(SEARCH("MICROLED",INVENTARIO!C136)),"MIC",
IF(ISNUMBER(SEARCH("LED",INVENTARIO!C136)),"LED",
IF(ISNUMBER(SEARCH("FUENTE DE PODER",INVENTARIO!C136)),"FUE-POD",
IF(ISNUMBER(SEARCH("PETG",INVENTARIO!C136)),"PET",
IF(ISNUMBER(SEARCH("ALUMINIO",INVENTARIO!C136)),"ALU",
IF(ISNUMBER(SEARCH("CANAL",INVENTARIO!C136)),"CAN",
IF(ISNUMBER(SEARCH("ESCUADRA",INVENTARIO!C136)),"ESC",
IF(ISNUMBER(SEARCH("SOPORTE",INVENTARIO!C136)),"SOP","OTR")
))))))))))))))))))))))))))))))</f>
        <v>TIN</v>
      </c>
      <c r="B136" t="str">
        <f>IF(ISNUMBER(SEARCH("CORTE",INVENTARIO!C136)),"COR",
IF(ISNUMBER(SEARCH("CITYLIGHT",INVENTARIO!C136)),"CIT",
IF(ISNUMBER(SEARCH("LINO",INVENTARIO!C136)),"LIN",
IF(ISNUMBER(SEARCH("FABRIANO",INVENTARIO!C136)),"FAB",
IF(ISNUMBER(SEARCH("SUNDANCE",INVENTARIO!C136)),"SUN",
IF(ISNUMBER(SEARCH("SINTETICA",INVENTARIO!C136)),"SIN",
IF(ISNUMBER(SEARCH("CONTROL",INVENTARIO!C136)),"CON",
IF(ISNUMBER(SEARCH("TERMICO",INVENTARIO!C136)),"TER",
IF(ISNUMBER(SEARCH("C-15",INVENTARIO!C136)),"C15",
IF(ISNUMBER(SEARCH("C-20",INVENTARIO!C136)),"C20",
IF(ISNUMBER(SEARCH("C-30",INVENTARIO!C136)),"C30",
IF(ISNUMBER(SEARCH("C-40",INVENTARIO!C136)),"C40",
IF(ISNUMBER(SEARCH("C-60",INVENTARIO!C136)),"C60",
IF(ISNUMBER(SEARCH("C-80",INVENTARIO!C136)),"C80",
IF(ISNUMBER(SEARCH("EQUIPO",INVENTARIO!C136)),"EQU",
IF(ISNUMBER(SEARCH("FLOOR",INVENTARIO!C136)),"FLO",
IF(ISNUMBER(SEARCH("CRISTAL",INVENTARIO!C136)),"CRI",
IF(ISNUMBER(SEARCH(" SULFATADA",INVENTARIO!C147)),"SUL",
IF(ISNUMBER(SEARCH("OPALINA",INVENTARIO!C136)),"OPA",
IF(ISNUMBER(SEARCH("ADHERIBLE",INVENTARIO!C136)),"ADH",
IF(ISNUMBER(SEARCH("MICRO",INVENTARIO!C136)),"MIC","")))))))))))))))))))))</f>
        <v/>
      </c>
      <c r="C136" t="str">
        <f>IF(ISNUMBER(SEARCH("PARED",INVENTARIO!C136)),"PAR",
IF(ISNUMBER(SEARCH("FRONT",INVENTARIO!C136)),"FRO",
IF(ISNUMBER(SEARCH("ALTA RESISTENCIA",INVENTARIO!C136)),
"ALT-RES",IF(ISNUMBER(SEARCH("BACKLITE",INVENTARIO!C136)),"BAC",
IF(ISNUMBER(SEARCH("MATE",INVENTARIO!C136)),"MAT",
IF(ISNUMBER(SEARCH("MESH",INVENTARIO!C136)),"MES",
IF(ISNUMBER(SEARCH("BRILLANTE",INVENTARIO!C136)),"BRI",
IF(ISNUMBER(SEARCH("DELGADA",INVENTARIO!C136)),"DEL",
IF(ISNUMBER(SEARCH("GRUESA",INVENTARIO!C136)),"GRU",
IF(ISNUMBER(SEARCH("ESTATICO",INVENTARIO!C136)),"EST",
IF(ISNUMBER(SEARCH("REFLECTIVO",INVENTARIO!C136)),"REF",
IF(ISNUMBER(SEARCH("LX700",INVENTARIO!C136)),"LX7",
IF(ISNUMBER(SEARCH("GRANDO",INVENTARIO!C136)),"GRA",
IF(ISNUMBER(SEARCH("FB700",INVENTARIO!C136)),"FB7",
IF(ISNUMBER(SEARCH("LX360",INVENTARIO!C136)),"LX3",
IF(ISNUMBER(SEARCH("XEROX",INVENTARIO!C136)),"XER",
IF(ISNUMBER(SEARCH("CEPILLADO",INVENTARIO!C136)),"CEP",
IF(ISNUMBER(SEARCH("ESPEJO",INVENTARIO!C136)),"ESP",
IF(ISNUMBER(SEARCH("10 PTS",INVENTARIO!C136)),"10PT",
IF(ISNUMBER(SEARCH("12 PTS",INVENTARIO!C136)),"12PT",
IF(ISNUMBER(SEARCH("14 PTS",INVENTARIO!C136)),"14PT",
IF(ISNUMBER(SEARCH("CLASICO",INVENTARIO!C136)),"CLA",
""))))))))))))))))))))))</f>
        <v>FB7</v>
      </c>
      <c r="D136" t="str">
        <f>IF(ISNUMBER(SEARCH("GRAN FORMATO",INVENTARIO!C136)),"GRA-FOR",
IF(ISNUMBER(SEARCH("CAMA PLANA",INVENTARIO!C136)),"CAM-PLA",
IF(ISNUMBER(SEARCH("GRADO INGENIERIA",INVENTARIO!C136)),"GRA-ING",
IF(ISNUMBER(SEARCH("130 GRS",INVENTARIO!C136)),"130GR",
IF(ISNUMBER(SEARCH("150 GRS",INVENTARIO!C136)),"150GR",
IF(ISNUMBER(SEARCH("185 GRS",INVENTARIO!C136)),"185GR",
IF(ISNUMBER(SEARCH("200 GRS",INVENTARIO!C136)),"200GR",
IF(ISNUMBER(SEARCH("250 GRS",INVENTARIO!C136)),"250GR",
IF(ISNUMBER(SEARCH("300 GRS",INVENTARIO!C136)),"300GR",
IF(ISNUMBER(SEARCH("350 GRS",INVENTARIO!C136)),"350GR",
IF(ISNUMBER(SEARCH("18 OZ",INVENTARIO!C136)),"18OZ",
IF(ISNUMBER(SEARCH("15 OZ",INVENTARIO!C136)),"15OZ",
IF(OR(ISNUMBER(SEARCH("13 OZ",INVENTARIO!C136)),ISNUMBER(SEARCH("13 ONZAS",INVENTARIO!C136))),"13OZ",
IF(OR(ISNUMBER(SEARCH("9 OZ",INVENTARIO!C136)),ISNUMBER(SEARCH("9 ONZAS",INVENTARIO!C136))),"09OZ",
IF(ISNUMBER(SEARCH("DOBLE CARA",INVENTARIO!C136)),"DOB-CAR",
"")))))))))))))))</f>
        <v>CAM-PLA</v>
      </c>
      <c r="E136" t="str">
        <f>IF(OR(ISNUMBER(SEARCH("TRANSPARENTE",INVENTARIO!C136)),ISNUMBER(SEARCH("TRANSPARENTES",INVENTARIO!C136))),"TRA",
IF(OR(ISNUMBER(SEARCH("BLANCO",INVENTARIO!C136)),ISNUMBER(SEARCH("BCO",INVENTARIO!C136))),"BLA",
IF(ISNUMBER(SEARCH("FOTOGRAFICO",INVENTARIO!C136)),"FOT",
IF(ISNUMBER(SEARCH("MARFIL",INVENTARIO!C136)),"MAR",
IF(ISNUMBER(SEARCH("VERDE",INVENTARIO!C136)),"VER",
IF(ISNUMBER(SEARCH("MORADO",INVENTARIO!C136)),"MOR",
IF(ISNUMBER(SEARCH("PLATA",INVENTARIO!C136)),"PLA",
IF(ISNUMBER(SEARCH("ORO",INVENTARIO!C136)),"ORO",
IF(ISNUMBER(SEARCH("AMARILLO",INVENTARIO!C136)),"AMA",
IF(ISNUMBER(SEARCH("NARANJA",INVENTARIO!C136)),"NAR",
IF(ISNUMBER(SEARCH("NEGRO",INVENTARIO!C136)),"NEG",
IF(ISNUMBER(SEARCH("ROJO",INVENTARIO!C136)),"ROJ",
IF(ISNUMBER(SEARCH("AZUL",INVENTARIO!C136)),"AZU","")))))))))))))</f>
        <v/>
      </c>
      <c r="F136" t="str">
        <f>IF(ISNUMBER(SEARCH("ARLON",INVENTARIO!C136)),"ARL",
IF(ISNUMBER(SEARCH("SUNTHINKS",INVENTARIO!C136)),"SUN",
IF(ISNUMBER(SEARCH("FRIO",INVENTARIO!C136)),"FRI",
IF(ISNUMBER(SEARCH("CALIDO",INVENTARIO!C136)),"CAL",
IF(ISNUMBER(SEARCH("CEPILLADO",INVENTARIO!C136)),"CEP",
IF(ISNUMBER(SEARCH("ESPEJO",INVENTARIO!C136)),"ESP",
""))))))</f>
        <v/>
      </c>
      <c r="G136" t="str">
        <f>IF(ISNUMBER(SEARCH("LATEX",INVENTARIO!C136)),"LAT",
IF(ISNUMBER(SEARCH("RESP. NEGRO",INVENTARIO!C136)),"RES-NEG",
IF(ISNUMBER(SEARCH("RESPALDO CAFE",INVENTARIO!C136)),"RES-CAF",
IF(ISNUMBER(SEARCH("RESPALDO GRIS",INVENTARIO!C136)),"RES-GRI",
IF(ISNUMBER(SEARCH("OPTICO",INVENTARIO!C136)),"OPT",
IF(ISNUMBER(SEARCH("1,2 MM",INVENTARIO!C136)),"1MM2",
IF(ISNUMBER(SEARCH("2 MM",INVENTARIO!C136)),"2MM",
IF(ISNUMBER(SEARCH("3 MM",INVENTARIO!C136)),"3MM",
IF(ISNUMBER(SEARCH("4 MM",INVENTARIO!C136)),"4MM",
IF(ISNUMBER(SEARCH("5 MM",INVENTARIO!C136)),"5MM",
IF(ISNUMBER(SEARCH("6 MM",INVENTARIO!C136)),"6MM",
IF(ISNUMBER(SEARCH("9 MM",INVENTARIO!C136)),"9MM",
IF(ISNUMBER(SEARCH("10 MM",INVENTARIO!C136)),"10MM","")))))))))))))</f>
        <v/>
      </c>
      <c r="H136" t="str">
        <f>IF(ISNUMBER(SEARCH("GAMA BAJA",INVENTARIO!C136)),"GAM-BAJ",
IF(ISNUMBER(SEARCH("OPTIMIZADOR",INVENTARIO!C136)),"OPT",
IF(ISNUMBER(SEARCH("OVERCOAT",INVENTARIO!C136)),"OVE",
IF(ISNUMBER(SEARCH("WHITE",INVENTARIO!C136)),"WHI",
IF(ISNUMBER(SEARCH("LIGHT CYAN",INVENTARIO!C136)),"LIG-CYA",
IF(ISNUMBER(SEARCH("CYAN",INVENTARIO!C136)),"CYA",
IF(ISNUMBER(SEARCH("LIGHT MAGENTA",INVENTARIO!C136)),"LIG-MAG",
IF(ISNUMBER(SEARCH("MAGENTA",INVENTARIO!C136)),"MAG",
IF(ISNUMBER(SEARCH("BLACK",INVENTARIO!C136)),"BLA",
IF(ISNUMBER(SEARCH("YELLOW",INVENTARIO!C136)),"YEL",
IF(ISNUMBER(SEARCH("2 DIODOS",INVENTARIO!C136)),"2DI",
IF(ISNUMBER(SEARCH("3 DIODOS",INVENTARIO!C136)),"3DI",
IF(OR(ISNUMBER(SEARCH("TRASLUCIDO",INVENTARIO!C136)),ISNUMBER(SEARCH("TRANSLUCIDO",INVENTARIO!C136))),"TRA",
"")))))))))))))</f>
        <v>BLA</v>
      </c>
      <c r="I136" t="str">
        <f>IF(ISNUMBER(SEARCH("SILED",INVENTARIO!C150)),"SI",
IF(ISNUMBER(SEARCH("SYDEMEX",INVENTARIO!C150)),"SY",
IF(ISNUMBER(SEARCH("ROHS",INVENTARIO!C150)),"RO",
IF(ISNUMBER(SEARCH("RISHANG",INVENTARIO!C150)),"RS",
IF(ISNUMBER(SEARCH("VYG",INVENTARIO!C150)),"VYG",
IF(ISNUMBER(SEARCH("COLED",INVENTARIO!C150)),"CO",""))))))</f>
        <v/>
      </c>
    </row>
    <row r="137" spans="1:9">
      <c r="A137" t="str">
        <f>IF(ISNUMBER(SEARCH("LONA",INVENTARIO!C137)),"LON",
IF(ISNUMBER(SEARCH("VINIL",INVENTARIO!C137)),"VIN",
IF(ISNUMBER(SEARCH("KROMACOTE",INVENTARIO!C137)),"KRO",
IF(ISNUMBER(SEARCH("STARDREAM",INVENTARIO!C137)),"STA",
IF(ISNUMBER(SEARCH("DISPLAY",INVENTARIO!C137)),"DIS",
IF(ISNUMBER(SEARCH("ROLL UP",INVENTARIO!C137)),"ROL-UP",
IF(ISNUMBER(SEARCH("TRANSFER DE PAPEL",INVENTARIO!C137)),"TRA-PAP",
IF(ISNUMBER(SEARCH("TRANSFER",INVENTARIO!C137)),"TRA",IF(ISNUMBER(SEARCH("KOLA LOKA",INVENTARIO!C137)),"KOL-LOK",
IF(ISNUMBER(SEARCH("PETG",INVENTARIO!C137)),"PET",
IF(ISNUMBER(SEARCH("OJILLO",INVENTARIO!C137)),"OJI",
IF(ISNUMBER(SEARCH("COUCHE",INVENTARIO!C137)),"COU",
IF(ISNUMBER(SEARCH("PANEL DE ALUMINIO",INVENTARIO!C137)),"PAN-ALU",
IF(ISNUMBER(SEARCH("PVC",INVENTARIO!C137)),"PVC",
IF(ISNUMBER(SEARCH("PAPEL",INVENTARIO!C137)),"PAP",
IF(ISNUMBER(SEARCH("TELA",INVENTARIO!C137)),"TEL",
IF(ISNUMBER(SEARCH("CARTULINA",INVENTARIO!C137)),"CAR",
IF(OR(ISNUMBER(SEARCH("LAMINA",INVENTARIO!C137)),ISNUMBER(SEARCH("LÁMINA",INVENTARIO!C137)),ISNUMBER(SEARCH("LAMPARAS",INVENTARIO!C137))),"LAM",
IF(ISNUMBER(SEARCH("ESTIRENO",INVENTARIO!C137)),"EST",
IF(ISNUMBER(SEARCH("FOAMBOARD",INVENTARIO!C137)),"FOA",
IF(ISNUMBER(SEARCH("SOLVENTE",INVENTARIO!C137)),"SOL",
IF(ISNUMBER(SEARCH("TINTA",INVENTARIO!C137)),"TIN",
IF(ISNUMBER(SEARCH("ACRILICO",INVENTARIO!C137)),"ACR",
IF(ISNUMBER(SEARCH("MICROLED",INVENTARIO!C137)),"MIC",
IF(ISNUMBER(SEARCH("LED",INVENTARIO!C137)),"LED",
IF(ISNUMBER(SEARCH("FUENTE DE PODER",INVENTARIO!C137)),"FUE-POD",
IF(ISNUMBER(SEARCH("PETG",INVENTARIO!C137)),"PET",
IF(ISNUMBER(SEARCH("ALUMINIO",INVENTARIO!C137)),"ALU",
IF(ISNUMBER(SEARCH("CANAL",INVENTARIO!C137)),"CAN",
IF(ISNUMBER(SEARCH("ESCUADRA",INVENTARIO!C137)),"ESC",
IF(ISNUMBER(SEARCH("SOPORTE",INVENTARIO!C137)),"SOP","OTR")
))))))))))))))))))))))))))))))</f>
        <v>TIN</v>
      </c>
      <c r="B137" t="str">
        <f>IF(ISNUMBER(SEARCH("CORTE",INVENTARIO!C137)),"COR",
IF(ISNUMBER(SEARCH("CITYLIGHT",INVENTARIO!C137)),"CIT",
IF(ISNUMBER(SEARCH("LINO",INVENTARIO!C137)),"LIN",
IF(ISNUMBER(SEARCH("FABRIANO",INVENTARIO!C137)),"FAB",
IF(ISNUMBER(SEARCH("SUNDANCE",INVENTARIO!C137)),"SUN",
IF(ISNUMBER(SEARCH("SINTETICA",INVENTARIO!C137)),"SIN",
IF(ISNUMBER(SEARCH("CONTROL",INVENTARIO!C137)),"CON",
IF(ISNUMBER(SEARCH("TERMICO",INVENTARIO!C137)),"TER",
IF(ISNUMBER(SEARCH("C-15",INVENTARIO!C137)),"C15",
IF(ISNUMBER(SEARCH("C-20",INVENTARIO!C137)),"C20",
IF(ISNUMBER(SEARCH("C-30",INVENTARIO!C137)),"C30",
IF(ISNUMBER(SEARCH("C-40",INVENTARIO!C137)),"C40",
IF(ISNUMBER(SEARCH("C-60",INVENTARIO!C137)),"C60",
IF(ISNUMBER(SEARCH("C-80",INVENTARIO!C137)),"C80",
IF(ISNUMBER(SEARCH("EQUIPO",INVENTARIO!C137)),"EQU",
IF(ISNUMBER(SEARCH("FLOOR",INVENTARIO!C137)),"FLO",
IF(ISNUMBER(SEARCH("CRISTAL",INVENTARIO!C137)),"CRI",
IF(ISNUMBER(SEARCH(" SULFATADA",INVENTARIO!C148)),"SUL",
IF(ISNUMBER(SEARCH("OPALINA",INVENTARIO!C137)),"OPA",
IF(ISNUMBER(SEARCH("ADHERIBLE",INVENTARIO!C137)),"ADH",
IF(ISNUMBER(SEARCH("MICRO",INVENTARIO!C137)),"MIC","")))))))))))))))))))))</f>
        <v/>
      </c>
      <c r="C137" t="str">
        <f>IF(ISNUMBER(SEARCH("PARED",INVENTARIO!C137)),"PAR",
IF(ISNUMBER(SEARCH("FRONT",INVENTARIO!C137)),"FRO",
IF(ISNUMBER(SEARCH("ALTA RESISTENCIA",INVENTARIO!C137)),
"ALT-RES",IF(ISNUMBER(SEARCH("BACKLITE",INVENTARIO!C137)),"BAC",
IF(ISNUMBER(SEARCH("MATE",INVENTARIO!C137)),"MAT",
IF(ISNUMBER(SEARCH("MESH",INVENTARIO!C137)),"MES",
IF(ISNUMBER(SEARCH("BRILLANTE",INVENTARIO!C137)),"BRI",
IF(ISNUMBER(SEARCH("DELGADA",INVENTARIO!C137)),"DEL",
IF(ISNUMBER(SEARCH("GRUESA",INVENTARIO!C137)),"GRU",
IF(ISNUMBER(SEARCH("ESTATICO",INVENTARIO!C137)),"EST",
IF(ISNUMBER(SEARCH("REFLECTIVO",INVENTARIO!C137)),"REF",
IF(ISNUMBER(SEARCH("LX700",INVENTARIO!C137)),"LX7",
IF(ISNUMBER(SEARCH("GRANDO",INVENTARIO!C137)),"GRA",
IF(ISNUMBER(SEARCH("FB700",INVENTARIO!C137)),"FB7",
IF(ISNUMBER(SEARCH("LX360",INVENTARIO!C137)),"LX3",
IF(ISNUMBER(SEARCH("XEROX",INVENTARIO!C137)),"XER",
IF(ISNUMBER(SEARCH("CEPILLADO",INVENTARIO!C137)),"CEP",
IF(ISNUMBER(SEARCH("ESPEJO",INVENTARIO!C137)),"ESP",
IF(ISNUMBER(SEARCH("10 PTS",INVENTARIO!C137)),"10PT",
IF(ISNUMBER(SEARCH("12 PTS",INVENTARIO!C137)),"12PT",
IF(ISNUMBER(SEARCH("14 PTS",INVENTARIO!C137)),"14PT",
IF(ISNUMBER(SEARCH("CLASICO",INVENTARIO!C137)),"CLA",
""))))))))))))))))))))))</f>
        <v>FB7</v>
      </c>
      <c r="D137" t="str">
        <f>IF(ISNUMBER(SEARCH("GRAN FORMATO",INVENTARIO!C137)),"GRA-FOR",
IF(ISNUMBER(SEARCH("CAMA PLANA",INVENTARIO!C137)),"CAM-PLA",
IF(ISNUMBER(SEARCH("GRADO INGENIERIA",INVENTARIO!C137)),"GRA-ING",
IF(ISNUMBER(SEARCH("130 GRS",INVENTARIO!C137)),"130GR",
IF(ISNUMBER(SEARCH("150 GRS",INVENTARIO!C137)),"150GR",
IF(ISNUMBER(SEARCH("185 GRS",INVENTARIO!C137)),"185GR",
IF(ISNUMBER(SEARCH("200 GRS",INVENTARIO!C137)),"200GR",
IF(ISNUMBER(SEARCH("250 GRS",INVENTARIO!C137)),"250GR",
IF(ISNUMBER(SEARCH("300 GRS",INVENTARIO!C137)),"300GR",
IF(ISNUMBER(SEARCH("350 GRS",INVENTARIO!C137)),"350GR",
IF(ISNUMBER(SEARCH("18 OZ",INVENTARIO!C137)),"18OZ",
IF(ISNUMBER(SEARCH("15 OZ",INVENTARIO!C137)),"15OZ",
IF(OR(ISNUMBER(SEARCH("13 OZ",INVENTARIO!C137)),ISNUMBER(SEARCH("13 ONZAS",INVENTARIO!C137))),"13OZ",
IF(OR(ISNUMBER(SEARCH("9 OZ",INVENTARIO!C137)),ISNUMBER(SEARCH("9 ONZAS",INVENTARIO!C137))),"09OZ",
IF(ISNUMBER(SEARCH("DOBLE CARA",INVENTARIO!C137)),"DOB-CAR",
"")))))))))))))))</f>
        <v>CAM-PLA</v>
      </c>
      <c r="E137" t="str">
        <f>IF(OR(ISNUMBER(SEARCH("TRANSPARENTE",INVENTARIO!C137)),ISNUMBER(SEARCH("TRANSPARENTES",INVENTARIO!C137))),"TRA",
IF(OR(ISNUMBER(SEARCH("BLANCO",INVENTARIO!C137)),ISNUMBER(SEARCH("BCO",INVENTARIO!C137))),"BLA",
IF(ISNUMBER(SEARCH("FOTOGRAFICO",INVENTARIO!C137)),"FOT",
IF(ISNUMBER(SEARCH("MARFIL",INVENTARIO!C137)),"MAR",
IF(ISNUMBER(SEARCH("VERDE",INVENTARIO!C137)),"VER",
IF(ISNUMBER(SEARCH("MORADO",INVENTARIO!C137)),"MOR",
IF(ISNUMBER(SEARCH("PLATA",INVENTARIO!C137)),"PLA",
IF(ISNUMBER(SEARCH("ORO",INVENTARIO!C137)),"ORO",
IF(ISNUMBER(SEARCH("AMARILLO",INVENTARIO!C137)),"AMA",
IF(ISNUMBER(SEARCH("NARANJA",INVENTARIO!C137)),"NAR",
IF(ISNUMBER(SEARCH("NEGRO",INVENTARIO!C137)),"NEG",
IF(ISNUMBER(SEARCH("ROJO",INVENTARIO!C137)),"ROJ",
IF(ISNUMBER(SEARCH("AZUL",INVENTARIO!C137)),"AZU","")))))))))))))</f>
        <v/>
      </c>
      <c r="F137" t="str">
        <f>IF(ISNUMBER(SEARCH("ARLON",INVENTARIO!C137)),"ARL",
IF(ISNUMBER(SEARCH("SUNTHINKS",INVENTARIO!C137)),"SUN",
IF(ISNUMBER(SEARCH("FRIO",INVENTARIO!C137)),"FRI",
IF(ISNUMBER(SEARCH("CALIDO",INVENTARIO!C137)),"CAL",
IF(ISNUMBER(SEARCH("CEPILLADO",INVENTARIO!C137)),"CEP",
IF(ISNUMBER(SEARCH("ESPEJO",INVENTARIO!C137)),"ESP",
""))))))</f>
        <v/>
      </c>
      <c r="G137" t="str">
        <f>IF(ISNUMBER(SEARCH("LATEX",INVENTARIO!C137)),"LAT",
IF(ISNUMBER(SEARCH("RESP. NEGRO",INVENTARIO!C137)),"RES-NEG",
IF(ISNUMBER(SEARCH("RESPALDO CAFE",INVENTARIO!C137)),"RES-CAF",
IF(ISNUMBER(SEARCH("RESPALDO GRIS",INVENTARIO!C137)),"RES-GRI",
IF(ISNUMBER(SEARCH("OPTICO",INVENTARIO!C137)),"OPT",
IF(ISNUMBER(SEARCH("1,2 MM",INVENTARIO!C137)),"1MM2",
IF(ISNUMBER(SEARCH("2 MM",INVENTARIO!C137)),"2MM",
IF(ISNUMBER(SEARCH("3 MM",INVENTARIO!C137)),"3MM",
IF(ISNUMBER(SEARCH("4 MM",INVENTARIO!C137)),"4MM",
IF(ISNUMBER(SEARCH("5 MM",INVENTARIO!C137)),"5MM",
IF(ISNUMBER(SEARCH("6 MM",INVENTARIO!C137)),"6MM",
IF(ISNUMBER(SEARCH("9 MM",INVENTARIO!C137)),"9MM",
IF(ISNUMBER(SEARCH("10 MM",INVENTARIO!C137)),"10MM","")))))))))))))</f>
        <v/>
      </c>
      <c r="H137" t="str">
        <f>IF(ISNUMBER(SEARCH("GAMA BAJA",INVENTARIO!C137)),"GAM-BAJ",
IF(ISNUMBER(SEARCH("OPTIMIZADOR",INVENTARIO!C137)),"OPT",
IF(ISNUMBER(SEARCH("OVERCOAT",INVENTARIO!C137)),"OVE",
IF(ISNUMBER(SEARCH("WHITE",INVENTARIO!C137)),"WHI",
IF(ISNUMBER(SEARCH("LIGHT CYAN",INVENTARIO!C137)),"LIG-CYA",
IF(ISNUMBER(SEARCH("CYAN",INVENTARIO!C137)),"CYA",
IF(ISNUMBER(SEARCH("LIGHT MAGENTA",INVENTARIO!C137)),"LIG-MAG",
IF(ISNUMBER(SEARCH("MAGENTA",INVENTARIO!C137)),"MAG",
IF(ISNUMBER(SEARCH("BLACK",INVENTARIO!C137)),"BLA",
IF(ISNUMBER(SEARCH("YELLOW",INVENTARIO!C137)),"YEL",
IF(ISNUMBER(SEARCH("2 DIODOS",INVENTARIO!C137)),"2DI",
IF(ISNUMBER(SEARCH("3 DIODOS",INVENTARIO!C137)),"3DI",
IF(OR(ISNUMBER(SEARCH("TRASLUCIDO",INVENTARIO!C137)),ISNUMBER(SEARCH("TRANSLUCIDO",INVENTARIO!C137))),"TRA",
"")))))))))))))</f>
        <v>LIG-CYA</v>
      </c>
      <c r="I137" t="str">
        <f>IF(ISNUMBER(SEARCH("SILED",INVENTARIO!C151)),"SI",
IF(ISNUMBER(SEARCH("SYDEMEX",INVENTARIO!C151)),"SY",
IF(ISNUMBER(SEARCH("ROHS",INVENTARIO!C151)),"RO",
IF(ISNUMBER(SEARCH("RISHANG",INVENTARIO!C151)),"RS",
IF(ISNUMBER(SEARCH("VYG",INVENTARIO!C151)),"VYG",
IF(ISNUMBER(SEARCH("COLED",INVENTARIO!C151)),"CO",""))))))</f>
        <v/>
      </c>
    </row>
    <row r="138" spans="1:9">
      <c r="A138" t="str">
        <f>IF(ISNUMBER(SEARCH("LONA",INVENTARIO!C138)),"LON",
IF(ISNUMBER(SEARCH("VINIL",INVENTARIO!C138)),"VIN",
IF(ISNUMBER(SEARCH("KROMACOTE",INVENTARIO!C138)),"KRO",
IF(ISNUMBER(SEARCH("STARDREAM",INVENTARIO!C138)),"STA",
IF(ISNUMBER(SEARCH("DISPLAY",INVENTARIO!C138)),"DIS",
IF(ISNUMBER(SEARCH("ROLL UP",INVENTARIO!C138)),"ROL-UP",
IF(ISNUMBER(SEARCH("TRANSFER DE PAPEL",INVENTARIO!C138)),"TRA-PAP",
IF(ISNUMBER(SEARCH("TRANSFER",INVENTARIO!C138)),"TRA",IF(ISNUMBER(SEARCH("KOLA LOKA",INVENTARIO!C138)),"KOL-LOK",
IF(ISNUMBER(SEARCH("PETG",INVENTARIO!C138)),"PET",
IF(ISNUMBER(SEARCH("OJILLO",INVENTARIO!C138)),"OJI",
IF(ISNUMBER(SEARCH("COUCHE",INVENTARIO!C138)),"COU",
IF(ISNUMBER(SEARCH("PANEL DE ALUMINIO",INVENTARIO!C138)),"PAN-ALU",
IF(ISNUMBER(SEARCH("PVC",INVENTARIO!C138)),"PVC",
IF(ISNUMBER(SEARCH("PAPEL",INVENTARIO!C138)),"PAP",
IF(ISNUMBER(SEARCH("TELA",INVENTARIO!C138)),"TEL",
IF(ISNUMBER(SEARCH("CARTULINA",INVENTARIO!C138)),"CAR",
IF(OR(ISNUMBER(SEARCH("LAMINA",INVENTARIO!C138)),ISNUMBER(SEARCH("LÁMINA",INVENTARIO!C138)),ISNUMBER(SEARCH("LAMPARAS",INVENTARIO!C138))),"LAM",
IF(ISNUMBER(SEARCH("ESTIRENO",INVENTARIO!C138)),"EST",
IF(ISNUMBER(SEARCH("FOAMBOARD",INVENTARIO!C138)),"FOA",
IF(ISNUMBER(SEARCH("SOLVENTE",INVENTARIO!C138)),"SOL",
IF(ISNUMBER(SEARCH("TINTA",INVENTARIO!C138)),"TIN",
IF(ISNUMBER(SEARCH("ACRILICO",INVENTARIO!C138)),"ACR",
IF(ISNUMBER(SEARCH("MICROLED",INVENTARIO!C138)),"MIC",
IF(ISNUMBER(SEARCH("LED",INVENTARIO!C138)),"LED",
IF(ISNUMBER(SEARCH("FUENTE DE PODER",INVENTARIO!C138)),"FUE-POD",
IF(ISNUMBER(SEARCH("PETG",INVENTARIO!C138)),"PET",
IF(ISNUMBER(SEARCH("ALUMINIO",INVENTARIO!C138)),"ALU",
IF(ISNUMBER(SEARCH("CANAL",INVENTARIO!C138)),"CAN",
IF(ISNUMBER(SEARCH("ESCUADRA",INVENTARIO!C138)),"ESC",
IF(ISNUMBER(SEARCH("SOPORTE",INVENTARIO!C138)),"SOP","OTR")
))))))))))))))))))))))))))))))</f>
        <v>TIN</v>
      </c>
      <c r="B138" t="str">
        <f>IF(ISNUMBER(SEARCH("CORTE",INVENTARIO!C138)),"COR",
IF(ISNUMBER(SEARCH("CITYLIGHT",INVENTARIO!C138)),"CIT",
IF(ISNUMBER(SEARCH("LINO",INVENTARIO!C138)),"LIN",
IF(ISNUMBER(SEARCH("FABRIANO",INVENTARIO!C138)),"FAB",
IF(ISNUMBER(SEARCH("SUNDANCE",INVENTARIO!C138)),"SUN",
IF(ISNUMBER(SEARCH("SINTETICA",INVENTARIO!C138)),"SIN",
IF(ISNUMBER(SEARCH("CONTROL",INVENTARIO!C138)),"CON",
IF(ISNUMBER(SEARCH("TERMICO",INVENTARIO!C138)),"TER",
IF(ISNUMBER(SEARCH("C-15",INVENTARIO!C138)),"C15",
IF(ISNUMBER(SEARCH("C-20",INVENTARIO!C138)),"C20",
IF(ISNUMBER(SEARCH("C-30",INVENTARIO!C138)),"C30",
IF(ISNUMBER(SEARCH("C-40",INVENTARIO!C138)),"C40",
IF(ISNUMBER(SEARCH("C-60",INVENTARIO!C138)),"C60",
IF(ISNUMBER(SEARCH("C-80",INVENTARIO!C138)),"C80",
IF(ISNUMBER(SEARCH("EQUIPO",INVENTARIO!C138)),"EQU",
IF(ISNUMBER(SEARCH("FLOOR",INVENTARIO!C138)),"FLO",
IF(ISNUMBER(SEARCH("CRISTAL",INVENTARIO!C138)),"CRI",
IF(ISNUMBER(SEARCH(" SULFATADA",INVENTARIO!C149)),"SUL",
IF(ISNUMBER(SEARCH("OPALINA",INVENTARIO!C138)),"OPA",
IF(ISNUMBER(SEARCH("ADHERIBLE",INVENTARIO!C138)),"ADH",
IF(ISNUMBER(SEARCH("MICRO",INVENTARIO!C138)),"MIC","")))))))))))))))))))))</f>
        <v/>
      </c>
      <c r="C138" t="str">
        <f>IF(ISNUMBER(SEARCH("PARED",INVENTARIO!C138)),"PAR",
IF(ISNUMBER(SEARCH("FRONT",INVENTARIO!C138)),"FRO",
IF(ISNUMBER(SEARCH("ALTA RESISTENCIA",INVENTARIO!C138)),
"ALT-RES",IF(ISNUMBER(SEARCH("BACKLITE",INVENTARIO!C138)),"BAC",
IF(ISNUMBER(SEARCH("MATE",INVENTARIO!C138)),"MAT",
IF(ISNUMBER(SEARCH("MESH",INVENTARIO!C138)),"MES",
IF(ISNUMBER(SEARCH("BRILLANTE",INVENTARIO!C138)),"BRI",
IF(ISNUMBER(SEARCH("DELGADA",INVENTARIO!C138)),"DEL",
IF(ISNUMBER(SEARCH("GRUESA",INVENTARIO!C138)),"GRU",
IF(ISNUMBER(SEARCH("ESTATICO",INVENTARIO!C138)),"EST",
IF(ISNUMBER(SEARCH("REFLECTIVO",INVENTARIO!C138)),"REF",
IF(ISNUMBER(SEARCH("LX700",INVENTARIO!C138)),"LX7",
IF(ISNUMBER(SEARCH("GRANDO",INVENTARIO!C138)),"GRA",
IF(ISNUMBER(SEARCH("FB700",INVENTARIO!C138)),"FB7",
IF(ISNUMBER(SEARCH("LX360",INVENTARIO!C138)),"LX3",
IF(ISNUMBER(SEARCH("XEROX",INVENTARIO!C138)),"XER",
IF(ISNUMBER(SEARCH("CEPILLADO",INVENTARIO!C138)),"CEP",
IF(ISNUMBER(SEARCH("ESPEJO",INVENTARIO!C138)),"ESP",
IF(ISNUMBER(SEARCH("10 PTS",INVENTARIO!C138)),"10PT",
IF(ISNUMBER(SEARCH("12 PTS",INVENTARIO!C138)),"12PT",
IF(ISNUMBER(SEARCH("14 PTS",INVENTARIO!C138)),"14PT",
IF(ISNUMBER(SEARCH("CLASICO",INVENTARIO!C138)),"CLA",
""))))))))))))))))))))))</f>
        <v>FB7</v>
      </c>
      <c r="D138" t="str">
        <f>IF(ISNUMBER(SEARCH("GRAN FORMATO",INVENTARIO!C138)),"GRA-FOR",
IF(ISNUMBER(SEARCH("CAMA PLANA",INVENTARIO!C138)),"CAM-PLA",
IF(ISNUMBER(SEARCH("GRADO INGENIERIA",INVENTARIO!C138)),"GRA-ING",
IF(ISNUMBER(SEARCH("130 GRS",INVENTARIO!C138)),"130GR",
IF(ISNUMBER(SEARCH("150 GRS",INVENTARIO!C138)),"150GR",
IF(ISNUMBER(SEARCH("185 GRS",INVENTARIO!C138)),"185GR",
IF(ISNUMBER(SEARCH("200 GRS",INVENTARIO!C138)),"200GR",
IF(ISNUMBER(SEARCH("250 GRS",INVENTARIO!C138)),"250GR",
IF(ISNUMBER(SEARCH("300 GRS",INVENTARIO!C138)),"300GR",
IF(ISNUMBER(SEARCH("350 GRS",INVENTARIO!C138)),"350GR",
IF(ISNUMBER(SEARCH("18 OZ",INVENTARIO!C138)),"18OZ",
IF(ISNUMBER(SEARCH("15 OZ",INVENTARIO!C138)),"15OZ",
IF(OR(ISNUMBER(SEARCH("13 OZ",INVENTARIO!C138)),ISNUMBER(SEARCH("13 ONZAS",INVENTARIO!C138))),"13OZ",
IF(OR(ISNUMBER(SEARCH("9 OZ",INVENTARIO!C138)),ISNUMBER(SEARCH("9 ONZAS",INVENTARIO!C138))),"09OZ",
IF(ISNUMBER(SEARCH("DOBLE CARA",INVENTARIO!C138)),"DOB-CAR",
"")))))))))))))))</f>
        <v>CAM-PLA</v>
      </c>
      <c r="E138" t="str">
        <f>IF(OR(ISNUMBER(SEARCH("TRANSPARENTE",INVENTARIO!C138)),ISNUMBER(SEARCH("TRANSPARENTES",INVENTARIO!C138))),"TRA",
IF(OR(ISNUMBER(SEARCH("BLANCO",INVENTARIO!C138)),ISNUMBER(SEARCH("BCO",INVENTARIO!C138))),"BLA",
IF(ISNUMBER(SEARCH("FOTOGRAFICO",INVENTARIO!C138)),"FOT",
IF(ISNUMBER(SEARCH("MARFIL",INVENTARIO!C138)),"MAR",
IF(ISNUMBER(SEARCH("VERDE",INVENTARIO!C138)),"VER",
IF(ISNUMBER(SEARCH("MORADO",INVENTARIO!C138)),"MOR",
IF(ISNUMBER(SEARCH("PLATA",INVENTARIO!C138)),"PLA",
IF(ISNUMBER(SEARCH("ORO",INVENTARIO!C138)),"ORO",
IF(ISNUMBER(SEARCH("AMARILLO",INVENTARIO!C138)),"AMA",
IF(ISNUMBER(SEARCH("NARANJA",INVENTARIO!C138)),"NAR",
IF(ISNUMBER(SEARCH("NEGRO",INVENTARIO!C138)),"NEG",
IF(ISNUMBER(SEARCH("ROJO",INVENTARIO!C138)),"ROJ",
IF(ISNUMBER(SEARCH("AZUL",INVENTARIO!C138)),"AZU","")))))))))))))</f>
        <v/>
      </c>
      <c r="F138" t="str">
        <f>IF(ISNUMBER(SEARCH("ARLON",INVENTARIO!C138)),"ARL",
IF(ISNUMBER(SEARCH("SUNTHINKS",INVENTARIO!C138)),"SUN",
IF(ISNUMBER(SEARCH("FRIO",INVENTARIO!C138)),"FRI",
IF(ISNUMBER(SEARCH("CALIDO",INVENTARIO!C138)),"CAL",
IF(ISNUMBER(SEARCH("CEPILLADO",INVENTARIO!C138)),"CEP",
IF(ISNUMBER(SEARCH("ESPEJO",INVENTARIO!C138)),"ESP",
""))))))</f>
        <v/>
      </c>
      <c r="G138" t="str">
        <f>IF(ISNUMBER(SEARCH("LATEX",INVENTARIO!C138)),"LAT",
IF(ISNUMBER(SEARCH("RESP. NEGRO",INVENTARIO!C138)),"RES-NEG",
IF(ISNUMBER(SEARCH("RESPALDO CAFE",INVENTARIO!C138)),"RES-CAF",
IF(ISNUMBER(SEARCH("RESPALDO GRIS",INVENTARIO!C138)),"RES-GRI",
IF(ISNUMBER(SEARCH("OPTICO",INVENTARIO!C138)),"OPT",
IF(ISNUMBER(SEARCH("1,2 MM",INVENTARIO!C138)),"1MM2",
IF(ISNUMBER(SEARCH("2 MM",INVENTARIO!C138)),"2MM",
IF(ISNUMBER(SEARCH("3 MM",INVENTARIO!C138)),"3MM",
IF(ISNUMBER(SEARCH("4 MM",INVENTARIO!C138)),"4MM",
IF(ISNUMBER(SEARCH("5 MM",INVENTARIO!C138)),"5MM",
IF(ISNUMBER(SEARCH("6 MM",INVENTARIO!C138)),"6MM",
IF(ISNUMBER(SEARCH("9 MM",INVENTARIO!C138)),"9MM",
IF(ISNUMBER(SEARCH("10 MM",INVENTARIO!C138)),"10MM","")))))))))))))</f>
        <v/>
      </c>
      <c r="H138" t="str">
        <f>IF(ISNUMBER(SEARCH("GAMA BAJA",INVENTARIO!C138)),"GAM-BAJ",
IF(ISNUMBER(SEARCH("OPTIMIZADOR",INVENTARIO!C138)),"OPT",
IF(ISNUMBER(SEARCH("OVERCOAT",INVENTARIO!C138)),"OVE",
IF(ISNUMBER(SEARCH("WHITE",INVENTARIO!C138)),"WHI",
IF(ISNUMBER(SEARCH("LIGHT CYAN",INVENTARIO!C138)),"LIG-CYA",
IF(ISNUMBER(SEARCH("CYAN",INVENTARIO!C138)),"CYA",
IF(ISNUMBER(SEARCH("LIGHT MAGENTA",INVENTARIO!C138)),"LIG-MAG",
IF(ISNUMBER(SEARCH("MAGENTA",INVENTARIO!C138)),"MAG",
IF(ISNUMBER(SEARCH("BLACK",INVENTARIO!C138)),"BLA",
IF(ISNUMBER(SEARCH("YELLOW",INVENTARIO!C138)),"YEL",
IF(ISNUMBER(SEARCH("2 DIODOS",INVENTARIO!C138)),"2DI",
IF(ISNUMBER(SEARCH("3 DIODOS",INVENTARIO!C138)),"3DI",
IF(OR(ISNUMBER(SEARCH("TRASLUCIDO",INVENTARIO!C138)),ISNUMBER(SEARCH("TRANSLUCIDO",INVENTARIO!C138))),"TRA",
"")))))))))))))</f>
        <v>LIG-MAG</v>
      </c>
      <c r="I138" t="str">
        <f>IF(ISNUMBER(SEARCH("SILED",INVENTARIO!C152)),"SI",
IF(ISNUMBER(SEARCH("SYDEMEX",INVENTARIO!C152)),"SY",
IF(ISNUMBER(SEARCH("ROHS",INVENTARIO!C152)),"RO",
IF(ISNUMBER(SEARCH("RISHANG",INVENTARIO!C152)),"RS",
IF(ISNUMBER(SEARCH("VYG",INVENTARIO!C152)),"VYG",
IF(ISNUMBER(SEARCH("COLED",INVENTARIO!C152)),"CO",""))))))</f>
        <v/>
      </c>
    </row>
    <row r="139" spans="1:9">
      <c r="A139" t="str">
        <f>IF(ISNUMBER(SEARCH("LONA",INVENTARIO!C139)),"LON",
IF(ISNUMBER(SEARCH("VINIL",INVENTARIO!C139)),"VIN",
IF(ISNUMBER(SEARCH("KROMACOTE",INVENTARIO!C139)),"KRO",
IF(ISNUMBER(SEARCH("STARDREAM",INVENTARIO!C139)),"STA",
IF(ISNUMBER(SEARCH("DISPLAY",INVENTARIO!C139)),"DIS",
IF(ISNUMBER(SEARCH("ROLL UP",INVENTARIO!C139)),"ROL-UP",
IF(ISNUMBER(SEARCH("TRANSFER DE PAPEL",INVENTARIO!C139)),"TRA-PAP",
IF(ISNUMBER(SEARCH("TRANSFER",INVENTARIO!C139)),"TRA",IF(ISNUMBER(SEARCH("KOLA LOKA",INVENTARIO!C139)),"KOL-LOK",
IF(ISNUMBER(SEARCH("PETG",INVENTARIO!C139)),"PET",
IF(ISNUMBER(SEARCH("OJILLO",INVENTARIO!C139)),"OJI",
IF(ISNUMBER(SEARCH("COUCHE",INVENTARIO!C139)),"COU",
IF(ISNUMBER(SEARCH("PANEL DE ALUMINIO",INVENTARIO!C139)),"PAN-ALU",
IF(ISNUMBER(SEARCH("PVC",INVENTARIO!C139)),"PVC",
IF(ISNUMBER(SEARCH("PAPEL",INVENTARIO!C139)),"PAP",
IF(ISNUMBER(SEARCH("TELA",INVENTARIO!C139)),"TEL",
IF(ISNUMBER(SEARCH("CARTULINA",INVENTARIO!C139)),"CAR",
IF(OR(ISNUMBER(SEARCH("LAMINA",INVENTARIO!C139)),ISNUMBER(SEARCH("LÁMINA",INVENTARIO!C139)),ISNUMBER(SEARCH("LAMPARAS",INVENTARIO!C139))),"LAM",
IF(ISNUMBER(SEARCH("ESTIRENO",INVENTARIO!C139)),"EST",
IF(ISNUMBER(SEARCH("FOAMBOARD",INVENTARIO!C139)),"FOA",
IF(ISNUMBER(SEARCH("SOLVENTE",INVENTARIO!C139)),"SOL",
IF(ISNUMBER(SEARCH("TINTA",INVENTARIO!C139)),"TIN",
IF(ISNUMBER(SEARCH("ACRILICO",INVENTARIO!C139)),"ACR",
IF(ISNUMBER(SEARCH("MICROLED",INVENTARIO!C139)),"MIC",
IF(ISNUMBER(SEARCH("LED",INVENTARIO!C139)),"LED",
IF(ISNUMBER(SEARCH("FUENTE DE PODER",INVENTARIO!C139)),"FUE-POD",
IF(ISNUMBER(SEARCH("PETG",INVENTARIO!C139)),"PET",
IF(ISNUMBER(SEARCH("ALUMINIO",INVENTARIO!C139)),"ALU",
IF(ISNUMBER(SEARCH("CANAL",INVENTARIO!C139)),"CAN",
IF(ISNUMBER(SEARCH("ESCUADRA",INVENTARIO!C139)),"ESC",
IF(ISNUMBER(SEARCH("SOPORTE",INVENTARIO!C139)),"SOP","OTR")
))))))))))))))))))))))))))))))</f>
        <v>TIN</v>
      </c>
      <c r="B139" t="str">
        <f>IF(ISNUMBER(SEARCH("CORTE",INVENTARIO!C139)),"COR",
IF(ISNUMBER(SEARCH("CITYLIGHT",INVENTARIO!C139)),"CIT",
IF(ISNUMBER(SEARCH("LINO",INVENTARIO!C139)),"LIN",
IF(ISNUMBER(SEARCH("FABRIANO",INVENTARIO!C139)),"FAB",
IF(ISNUMBER(SEARCH("SUNDANCE",INVENTARIO!C139)),"SUN",
IF(ISNUMBER(SEARCH("SINTETICA",INVENTARIO!C139)),"SIN",
IF(ISNUMBER(SEARCH("CONTROL",INVENTARIO!C139)),"CON",
IF(ISNUMBER(SEARCH("TERMICO",INVENTARIO!C139)),"TER",
IF(ISNUMBER(SEARCH("C-15",INVENTARIO!C139)),"C15",
IF(ISNUMBER(SEARCH("C-20",INVENTARIO!C139)),"C20",
IF(ISNUMBER(SEARCH("C-30",INVENTARIO!C139)),"C30",
IF(ISNUMBER(SEARCH("C-40",INVENTARIO!C139)),"C40",
IF(ISNUMBER(SEARCH("C-60",INVENTARIO!C139)),"C60",
IF(ISNUMBER(SEARCH("C-80",INVENTARIO!C139)),"C80",
IF(ISNUMBER(SEARCH("EQUIPO",INVENTARIO!C139)),"EQU",
IF(ISNUMBER(SEARCH("FLOOR",INVENTARIO!C139)),"FLO",
IF(ISNUMBER(SEARCH("CRISTAL",INVENTARIO!C139)),"CRI",
IF(ISNUMBER(SEARCH(" SULFATADA",INVENTARIO!C150)),"SUL",
IF(ISNUMBER(SEARCH("OPALINA",INVENTARIO!C139)),"OPA",
IF(ISNUMBER(SEARCH("ADHERIBLE",INVENTARIO!C139)),"ADH",
IF(ISNUMBER(SEARCH("MICRO",INVENTARIO!C139)),"MIC","")))))))))))))))))))))</f>
        <v/>
      </c>
      <c r="C139" t="str">
        <f>IF(ISNUMBER(SEARCH("PARED",INVENTARIO!C139)),"PAR",
IF(ISNUMBER(SEARCH("FRONT",INVENTARIO!C139)),"FRO",
IF(ISNUMBER(SEARCH("ALTA RESISTENCIA",INVENTARIO!C139)),
"ALT-RES",IF(ISNUMBER(SEARCH("BACKLITE",INVENTARIO!C139)),"BAC",
IF(ISNUMBER(SEARCH("MATE",INVENTARIO!C139)),"MAT",
IF(ISNUMBER(SEARCH("MESH",INVENTARIO!C139)),"MES",
IF(ISNUMBER(SEARCH("BRILLANTE",INVENTARIO!C139)),"BRI",
IF(ISNUMBER(SEARCH("DELGADA",INVENTARIO!C139)),"DEL",
IF(ISNUMBER(SEARCH("GRUESA",INVENTARIO!C139)),"GRU",
IF(ISNUMBER(SEARCH("ESTATICO",INVENTARIO!C139)),"EST",
IF(ISNUMBER(SEARCH("REFLECTIVO",INVENTARIO!C139)),"REF",
IF(ISNUMBER(SEARCH("LX700",INVENTARIO!C139)),"LX7",
IF(ISNUMBER(SEARCH("GRANDO",INVENTARIO!C139)),"GRA",
IF(ISNUMBER(SEARCH("FB700",INVENTARIO!C139)),"FB7",
IF(ISNUMBER(SEARCH("LX360",INVENTARIO!C139)),"LX3",
IF(ISNUMBER(SEARCH("XEROX",INVENTARIO!C139)),"XER",
IF(ISNUMBER(SEARCH("CEPILLADO",INVENTARIO!C139)),"CEP",
IF(ISNUMBER(SEARCH("ESPEJO",INVENTARIO!C139)),"ESP",
IF(ISNUMBER(SEARCH("10 PTS",INVENTARIO!C139)),"10PT",
IF(ISNUMBER(SEARCH("12 PTS",INVENTARIO!C139)),"12PT",
IF(ISNUMBER(SEARCH("14 PTS",INVENTARIO!C139)),"14PT",
IF(ISNUMBER(SEARCH("CLASICO",INVENTARIO!C139)),"CLA",
""))))))))))))))))))))))</f>
        <v>LX3</v>
      </c>
      <c r="D139" t="str">
        <f>IF(ISNUMBER(SEARCH("GRAN FORMATO",INVENTARIO!C139)),"GRA-FOR",
IF(ISNUMBER(SEARCH("CAMA PLANA",INVENTARIO!C139)),"CAM-PLA",
IF(ISNUMBER(SEARCH("GRADO INGENIERIA",INVENTARIO!C139)),"GRA-ING",
IF(ISNUMBER(SEARCH("130 GRS",INVENTARIO!C139)),"130GR",
IF(ISNUMBER(SEARCH("150 GRS",INVENTARIO!C139)),"150GR",
IF(ISNUMBER(SEARCH("185 GRS",INVENTARIO!C139)),"185GR",
IF(ISNUMBER(SEARCH("200 GRS",INVENTARIO!C139)),"200GR",
IF(ISNUMBER(SEARCH("250 GRS",INVENTARIO!C139)),"250GR",
IF(ISNUMBER(SEARCH("300 GRS",INVENTARIO!C139)),"300GR",
IF(ISNUMBER(SEARCH("350 GRS",INVENTARIO!C139)),"350GR",
IF(ISNUMBER(SEARCH("18 OZ",INVENTARIO!C139)),"18OZ",
IF(ISNUMBER(SEARCH("15 OZ",INVENTARIO!C139)),"15OZ",
IF(OR(ISNUMBER(SEARCH("13 OZ",INVENTARIO!C139)),ISNUMBER(SEARCH("13 ONZAS",INVENTARIO!C139))),"13OZ",
IF(OR(ISNUMBER(SEARCH("9 OZ",INVENTARIO!C139)),ISNUMBER(SEARCH("9 ONZAS",INVENTARIO!C139))),"09OZ",
IF(ISNUMBER(SEARCH("DOBLE CARA",INVENTARIO!C139)),"DOB-CAR",
"")))))))))))))))</f>
        <v/>
      </c>
      <c r="E139" t="str">
        <f>IF(OR(ISNUMBER(SEARCH("TRANSPARENTE",INVENTARIO!C139)),ISNUMBER(SEARCH("TRANSPARENTES",INVENTARIO!C139))),"TRA",
IF(OR(ISNUMBER(SEARCH("BLANCO",INVENTARIO!C139)),ISNUMBER(SEARCH("BCO",INVENTARIO!C139))),"BLA",
IF(ISNUMBER(SEARCH("FOTOGRAFICO",INVENTARIO!C139)),"FOT",
IF(ISNUMBER(SEARCH("MARFIL",INVENTARIO!C139)),"MAR",
IF(ISNUMBER(SEARCH("VERDE",INVENTARIO!C139)),"VER",
IF(ISNUMBER(SEARCH("MORADO",INVENTARIO!C139)),"MOR",
IF(ISNUMBER(SEARCH("PLATA",INVENTARIO!C139)),"PLA",
IF(ISNUMBER(SEARCH("ORO",INVENTARIO!C139)),"ORO",
IF(ISNUMBER(SEARCH("AMARILLO",INVENTARIO!C139)),"AMA",
IF(ISNUMBER(SEARCH("NARANJA",INVENTARIO!C139)),"NAR",
IF(ISNUMBER(SEARCH("NEGRO",INVENTARIO!C139)),"NEG",
IF(ISNUMBER(SEARCH("ROJO",INVENTARIO!C139)),"ROJ",
IF(ISNUMBER(SEARCH("AZUL",INVENTARIO!C139)),"AZU","")))))))))))))</f>
        <v/>
      </c>
      <c r="F139" t="str">
        <f>IF(ISNUMBER(SEARCH("ARLON",INVENTARIO!C139)),"ARL",
IF(ISNUMBER(SEARCH("SUNTHINKS",INVENTARIO!C139)),"SUN",
IF(ISNUMBER(SEARCH("FRIO",INVENTARIO!C139)),"FRI",
IF(ISNUMBER(SEARCH("CALIDO",INVENTARIO!C139)),"CAL",
IF(ISNUMBER(SEARCH("CEPILLADO",INVENTARIO!C139)),"CEP",
IF(ISNUMBER(SEARCH("ESPEJO",INVENTARIO!C139)),"ESP",
""))))))</f>
        <v/>
      </c>
      <c r="G139" t="str">
        <f>IF(ISNUMBER(SEARCH("LATEX",INVENTARIO!C139)),"LAT",
IF(ISNUMBER(SEARCH("RESP. NEGRO",INVENTARIO!C139)),"RES-NEG",
IF(ISNUMBER(SEARCH("RESPALDO CAFE",INVENTARIO!C139)),"RES-CAF",
IF(ISNUMBER(SEARCH("RESPALDO GRIS",INVENTARIO!C139)),"RES-GRI",
IF(ISNUMBER(SEARCH("OPTICO",INVENTARIO!C139)),"OPT",
IF(ISNUMBER(SEARCH("1,2 MM",INVENTARIO!C139)),"1MM2",
IF(ISNUMBER(SEARCH("2 MM",INVENTARIO!C139)),"2MM",
IF(ISNUMBER(SEARCH("3 MM",INVENTARIO!C139)),"3MM",
IF(ISNUMBER(SEARCH("4 MM",INVENTARIO!C139)),"4MM",
IF(ISNUMBER(SEARCH("5 MM",INVENTARIO!C139)),"5MM",
IF(ISNUMBER(SEARCH("6 MM",INVENTARIO!C139)),"6MM",
IF(ISNUMBER(SEARCH("9 MM",INVENTARIO!C139)),"9MM",
IF(ISNUMBER(SEARCH("10 MM",INVENTARIO!C139)),"10MM","")))))))))))))</f>
        <v/>
      </c>
      <c r="H139" t="str">
        <f>IF(ISNUMBER(SEARCH("GAMA BAJA",INVENTARIO!C139)),"GAM-BAJ",
IF(ISNUMBER(SEARCH("OPTIMIZADOR",INVENTARIO!C139)),"OPT",
IF(ISNUMBER(SEARCH("OVERCOAT",INVENTARIO!C139)),"OVE",
IF(ISNUMBER(SEARCH("WHITE",INVENTARIO!C139)),"WHI",
IF(ISNUMBER(SEARCH("LIGHT CYAN",INVENTARIO!C139)),"LIG-CYA",
IF(ISNUMBER(SEARCH("CYAN",INVENTARIO!C139)),"CYA",
IF(ISNUMBER(SEARCH("LIGHT MAGENTA",INVENTARIO!C139)),"LIG-MAG",
IF(ISNUMBER(SEARCH("MAGENTA",INVENTARIO!C139)),"MAG",
IF(ISNUMBER(SEARCH("BLACK",INVENTARIO!C139)),"BLA",
IF(ISNUMBER(SEARCH("YELLOW",INVENTARIO!C139)),"YEL",
IF(ISNUMBER(SEARCH("2 DIODOS",INVENTARIO!C139)),"2DI",
IF(ISNUMBER(SEARCH("3 DIODOS",INVENTARIO!C139)),"3DI",
IF(OR(ISNUMBER(SEARCH("TRASLUCIDO",INVENTARIO!C139)),ISNUMBER(SEARCH("TRANSLUCIDO",INVENTARIO!C139))),"TRA",
"")))))))))))))</f>
        <v>CYA</v>
      </c>
      <c r="I13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0" spans="1:9">
      <c r="A140" t="str">
        <f>IF(ISNUMBER(SEARCH("LONA",INVENTARIO!C140)),"LON",
IF(ISNUMBER(SEARCH("VINIL",INVENTARIO!C140)),"VIN",
IF(ISNUMBER(SEARCH("KROMACOTE",INVENTARIO!C140)),"KRO",
IF(ISNUMBER(SEARCH("STARDREAM",INVENTARIO!C140)),"STA",
IF(ISNUMBER(SEARCH("DISPLAY",INVENTARIO!C140)),"DIS",
IF(ISNUMBER(SEARCH("ROLL UP",INVENTARIO!C140)),"ROL-UP",
IF(ISNUMBER(SEARCH("TRANSFER DE PAPEL",INVENTARIO!C140)),"TRA-PAP",
IF(ISNUMBER(SEARCH("TRANSFER",INVENTARIO!C140)),"TRA",IF(ISNUMBER(SEARCH("KOLA LOKA",INVENTARIO!C140)),"KOL-LOK",
IF(ISNUMBER(SEARCH("PETG",INVENTARIO!C140)),"PET",
IF(ISNUMBER(SEARCH("OJILLO",INVENTARIO!C140)),"OJI",
IF(ISNUMBER(SEARCH("COUCHE",INVENTARIO!C140)),"COU",
IF(ISNUMBER(SEARCH("PANEL DE ALUMINIO",INVENTARIO!C140)),"PAN-ALU",
IF(ISNUMBER(SEARCH("PVC",INVENTARIO!C140)),"PVC",
IF(ISNUMBER(SEARCH("PAPEL",INVENTARIO!C140)),"PAP",
IF(ISNUMBER(SEARCH("TELA",INVENTARIO!C140)),"TEL",
IF(ISNUMBER(SEARCH("CARTULINA",INVENTARIO!C140)),"CAR",
IF(OR(ISNUMBER(SEARCH("LAMINA",INVENTARIO!C140)),ISNUMBER(SEARCH("LÁMINA",INVENTARIO!C140)),ISNUMBER(SEARCH("LAMPARAS",INVENTARIO!C140))),"LAM",
IF(ISNUMBER(SEARCH("ESTIRENO",INVENTARIO!C140)),"EST",
IF(ISNUMBER(SEARCH("FOAMBOARD",INVENTARIO!C140)),"FOA",
IF(ISNUMBER(SEARCH("SOLVENTE",INVENTARIO!C140)),"SOL",
IF(ISNUMBER(SEARCH("TINTA",INVENTARIO!C140)),"TIN",
IF(ISNUMBER(SEARCH("ACRILICO",INVENTARIO!C140)),"ACR",
IF(ISNUMBER(SEARCH("MICROLED",INVENTARIO!C140)),"MIC",
IF(ISNUMBER(SEARCH("LED",INVENTARIO!C140)),"LED",
IF(ISNUMBER(SEARCH("FUENTE DE PODER",INVENTARIO!C140)),"FUE-POD",
IF(ISNUMBER(SEARCH("PETG",INVENTARIO!C140)),"PET",
IF(ISNUMBER(SEARCH("ALUMINIO",INVENTARIO!C140)),"ALU",
IF(ISNUMBER(SEARCH("CANAL",INVENTARIO!C140)),"CAN",
IF(ISNUMBER(SEARCH("ESCUADRA",INVENTARIO!C140)),"ESC",
IF(ISNUMBER(SEARCH("SOPORTE",INVENTARIO!C140)),"SOP","OTR")
))))))))))))))))))))))))))))))</f>
        <v>TIN</v>
      </c>
      <c r="B140" t="str">
        <f>IF(ISNUMBER(SEARCH("CORTE",INVENTARIO!C140)),"COR",
IF(ISNUMBER(SEARCH("CITYLIGHT",INVENTARIO!C140)),"CIT",
IF(ISNUMBER(SEARCH("LINO",INVENTARIO!C140)),"LIN",
IF(ISNUMBER(SEARCH("FABRIANO",INVENTARIO!C140)),"FAB",
IF(ISNUMBER(SEARCH("SUNDANCE",INVENTARIO!C140)),"SUN",
IF(ISNUMBER(SEARCH("SINTETICA",INVENTARIO!C140)),"SIN",
IF(ISNUMBER(SEARCH("CONTROL",INVENTARIO!C140)),"CON",
IF(ISNUMBER(SEARCH("TERMICO",INVENTARIO!C140)),"TER",
IF(ISNUMBER(SEARCH("C-15",INVENTARIO!C140)),"C15",
IF(ISNUMBER(SEARCH("C-20",INVENTARIO!C140)),"C20",
IF(ISNUMBER(SEARCH("C-30",INVENTARIO!C140)),"C30",
IF(ISNUMBER(SEARCH("C-40",INVENTARIO!C140)),"C40",
IF(ISNUMBER(SEARCH("C-60",INVENTARIO!C140)),"C60",
IF(ISNUMBER(SEARCH("C-80",INVENTARIO!C140)),"C80",
IF(ISNUMBER(SEARCH("EQUIPO",INVENTARIO!C140)),"EQU",
IF(ISNUMBER(SEARCH("FLOOR",INVENTARIO!C140)),"FLO",
IF(ISNUMBER(SEARCH("CRISTAL",INVENTARIO!C140)),"CRI",
IF(ISNUMBER(SEARCH(" SULFATADA",INVENTARIO!C151)),"SUL",
IF(ISNUMBER(SEARCH("OPALINA",INVENTARIO!C140)),"OPA",
IF(ISNUMBER(SEARCH("ADHERIBLE",INVENTARIO!C140)),"ADH",
IF(ISNUMBER(SEARCH("MICRO",INVENTARIO!C140)),"MIC","")))))))))))))))))))))</f>
        <v/>
      </c>
      <c r="C140" t="str">
        <f>IF(ISNUMBER(SEARCH("PARED",INVENTARIO!C140)),"PAR",
IF(ISNUMBER(SEARCH("FRONT",INVENTARIO!C140)),"FRO",
IF(ISNUMBER(SEARCH("ALTA RESISTENCIA",INVENTARIO!C140)),
"ALT-RES",IF(ISNUMBER(SEARCH("BACKLITE",INVENTARIO!C140)),"BAC",
IF(ISNUMBER(SEARCH("MATE",INVENTARIO!C140)),"MAT",
IF(ISNUMBER(SEARCH("MESH",INVENTARIO!C140)),"MES",
IF(ISNUMBER(SEARCH("BRILLANTE",INVENTARIO!C140)),"BRI",
IF(ISNUMBER(SEARCH("DELGADA",INVENTARIO!C140)),"DEL",
IF(ISNUMBER(SEARCH("GRUESA",INVENTARIO!C140)),"GRU",
IF(ISNUMBER(SEARCH("ESTATICO",INVENTARIO!C140)),"EST",
IF(ISNUMBER(SEARCH("REFLECTIVO",INVENTARIO!C140)),"REF",
IF(ISNUMBER(SEARCH("LX700",INVENTARIO!C140)),"LX7",
IF(ISNUMBER(SEARCH("GRANDO",INVENTARIO!C140)),"GRA",
IF(ISNUMBER(SEARCH("FB700",INVENTARIO!C140)),"FB7",
IF(ISNUMBER(SEARCH("LX360",INVENTARIO!C140)),"LX3",
IF(ISNUMBER(SEARCH("XEROX",INVENTARIO!C140)),"XER",
IF(ISNUMBER(SEARCH("CEPILLADO",INVENTARIO!C140)),"CEP",
IF(ISNUMBER(SEARCH("ESPEJO",INVENTARIO!C140)),"ESP",
IF(ISNUMBER(SEARCH("10 PTS",INVENTARIO!C140)),"10PT",
IF(ISNUMBER(SEARCH("12 PTS",INVENTARIO!C140)),"12PT",
IF(ISNUMBER(SEARCH("14 PTS",INVENTARIO!C140)),"14PT",
IF(ISNUMBER(SEARCH("CLASICO",INVENTARIO!C140)),"CLA",
""))))))))))))))))))))))</f>
        <v>LX3</v>
      </c>
      <c r="D140" t="str">
        <f>IF(ISNUMBER(SEARCH("GRAN FORMATO",INVENTARIO!C140)),"GRA-FOR",
IF(ISNUMBER(SEARCH("CAMA PLANA",INVENTARIO!C140)),"CAM-PLA",
IF(ISNUMBER(SEARCH("GRADO INGENIERIA",INVENTARIO!C140)),"GRA-ING",
IF(ISNUMBER(SEARCH("130 GRS",INVENTARIO!C140)),"130GR",
IF(ISNUMBER(SEARCH("150 GRS",INVENTARIO!C140)),"150GR",
IF(ISNUMBER(SEARCH("185 GRS",INVENTARIO!C140)),"185GR",
IF(ISNUMBER(SEARCH("200 GRS",INVENTARIO!C140)),"200GR",
IF(ISNUMBER(SEARCH("250 GRS",INVENTARIO!C140)),"250GR",
IF(ISNUMBER(SEARCH("300 GRS",INVENTARIO!C140)),"300GR",
IF(ISNUMBER(SEARCH("350 GRS",INVENTARIO!C140)),"350GR",
IF(ISNUMBER(SEARCH("18 OZ",INVENTARIO!C140)),"18OZ",
IF(ISNUMBER(SEARCH("15 OZ",INVENTARIO!C140)),"15OZ",
IF(OR(ISNUMBER(SEARCH("13 OZ",INVENTARIO!C140)),ISNUMBER(SEARCH("13 ONZAS",INVENTARIO!C140))),"13OZ",
IF(OR(ISNUMBER(SEARCH("9 OZ",INVENTARIO!C140)),ISNUMBER(SEARCH("9 ONZAS",INVENTARIO!C140))),"09OZ",
IF(ISNUMBER(SEARCH("DOBLE CARA",INVENTARIO!C140)),"DOB-CAR",
"")))))))))))))))</f>
        <v/>
      </c>
      <c r="E140" t="str">
        <f>IF(OR(ISNUMBER(SEARCH("TRANSPARENTE",INVENTARIO!C140)),ISNUMBER(SEARCH("TRANSPARENTES",INVENTARIO!C140))),"TRA",
IF(OR(ISNUMBER(SEARCH("BLANCO",INVENTARIO!C140)),ISNUMBER(SEARCH("BCO",INVENTARIO!C140))),"BLA",
IF(ISNUMBER(SEARCH("FOTOGRAFICO",INVENTARIO!C140)),"FOT",
IF(ISNUMBER(SEARCH("MARFIL",INVENTARIO!C140)),"MAR",
IF(ISNUMBER(SEARCH("VERDE",INVENTARIO!C140)),"VER",
IF(ISNUMBER(SEARCH("MORADO",INVENTARIO!C140)),"MOR",
IF(ISNUMBER(SEARCH("PLATA",INVENTARIO!C140)),"PLA",
IF(ISNUMBER(SEARCH("ORO",INVENTARIO!C140)),"ORO",
IF(ISNUMBER(SEARCH("AMARILLO",INVENTARIO!C140)),"AMA",
IF(ISNUMBER(SEARCH("NARANJA",INVENTARIO!C140)),"NAR",
IF(ISNUMBER(SEARCH("NEGRO",INVENTARIO!C140)),"NEG",
IF(ISNUMBER(SEARCH("ROJO",INVENTARIO!C140)),"ROJ",
IF(ISNUMBER(SEARCH("AZUL",INVENTARIO!C140)),"AZU","")))))))))))))</f>
        <v/>
      </c>
      <c r="F140" t="str">
        <f>IF(ISNUMBER(SEARCH("ARLON",INVENTARIO!C140)),"ARL",
IF(ISNUMBER(SEARCH("SUNTHINKS",INVENTARIO!C140)),"SUN",
IF(ISNUMBER(SEARCH("FRIO",INVENTARIO!C140)),"FRI",
IF(ISNUMBER(SEARCH("CALIDO",INVENTARIO!C140)),"CAL",
IF(ISNUMBER(SEARCH("CEPILLADO",INVENTARIO!C140)),"CEP",
IF(ISNUMBER(SEARCH("ESPEJO",INVENTARIO!C140)),"ESP",
""))))))</f>
        <v/>
      </c>
      <c r="G140" t="str">
        <f>IF(ISNUMBER(SEARCH("LATEX",INVENTARIO!C140)),"LAT",
IF(ISNUMBER(SEARCH("RESP. NEGRO",INVENTARIO!C140)),"RES-NEG",
IF(ISNUMBER(SEARCH("RESPALDO CAFE",INVENTARIO!C140)),"RES-CAF",
IF(ISNUMBER(SEARCH("RESPALDO GRIS",INVENTARIO!C140)),"RES-GRI",
IF(ISNUMBER(SEARCH("OPTICO",INVENTARIO!C140)),"OPT",
IF(ISNUMBER(SEARCH("1,2 MM",INVENTARIO!C140)),"1MM2",
IF(ISNUMBER(SEARCH("2 MM",INVENTARIO!C140)),"2MM",
IF(ISNUMBER(SEARCH("3 MM",INVENTARIO!C140)),"3MM",
IF(ISNUMBER(SEARCH("4 MM",INVENTARIO!C140)),"4MM",
IF(ISNUMBER(SEARCH("5 MM",INVENTARIO!C140)),"5MM",
IF(ISNUMBER(SEARCH("6 MM",INVENTARIO!C140)),"6MM",
IF(ISNUMBER(SEARCH("9 MM",INVENTARIO!C140)),"9MM",
IF(ISNUMBER(SEARCH("10 MM",INVENTARIO!C140)),"10MM","")))))))))))))</f>
        <v/>
      </c>
      <c r="H140" t="str">
        <f>IF(ISNUMBER(SEARCH("GAMA BAJA",INVENTARIO!C140)),"GAM-BAJ",
IF(ISNUMBER(SEARCH("OPTIMIZADOR",INVENTARIO!C140)),"OPT",
IF(ISNUMBER(SEARCH("OVERCOAT",INVENTARIO!C140)),"OVE",
IF(ISNUMBER(SEARCH("WHITE",INVENTARIO!C140)),"WHI",
IF(ISNUMBER(SEARCH("LIGHT CYAN",INVENTARIO!C140)),"LIG-CYA",
IF(ISNUMBER(SEARCH("CYAN",INVENTARIO!C140)),"CYA",
IF(ISNUMBER(SEARCH("LIGHT MAGENTA",INVENTARIO!C140)),"LIG-MAG",
IF(ISNUMBER(SEARCH("MAGENTA",INVENTARIO!C140)),"MAG",
IF(ISNUMBER(SEARCH("BLACK",INVENTARIO!C140)),"BLA",
IF(ISNUMBER(SEARCH("YELLOW",INVENTARIO!C140)),"YEL",
IF(ISNUMBER(SEARCH("2 DIODOS",INVENTARIO!C140)),"2DI",
IF(ISNUMBER(SEARCH("3 DIODOS",INVENTARIO!C140)),"3DI",
IF(OR(ISNUMBER(SEARCH("TRASLUCIDO",INVENTARIO!C140)),ISNUMBER(SEARCH("TRANSLUCIDO",INVENTARIO!C140))),"TRA",
"")))))))))))))</f>
        <v>MAG</v>
      </c>
      <c r="I14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1" spans="1:9">
      <c r="A141" t="str">
        <f>IF(ISNUMBER(SEARCH("LONA",INVENTARIO!C141)),"LON",
IF(ISNUMBER(SEARCH("VINIL",INVENTARIO!C141)),"VIN",
IF(ISNUMBER(SEARCH("KROMACOTE",INVENTARIO!C141)),"KRO",
IF(ISNUMBER(SEARCH("STARDREAM",INVENTARIO!C141)),"STA",
IF(ISNUMBER(SEARCH("DISPLAY",INVENTARIO!C141)),"DIS",
IF(ISNUMBER(SEARCH("ROLL UP",INVENTARIO!C141)),"ROL-UP",
IF(ISNUMBER(SEARCH("TRANSFER DE PAPEL",INVENTARIO!C141)),"TRA-PAP",
IF(ISNUMBER(SEARCH("TRANSFER",INVENTARIO!C141)),"TRA",IF(ISNUMBER(SEARCH("KOLA LOKA",INVENTARIO!C141)),"KOL-LOK",
IF(ISNUMBER(SEARCH("PETG",INVENTARIO!C141)),"PET",
IF(ISNUMBER(SEARCH("OJILLO",INVENTARIO!C141)),"OJI",
IF(ISNUMBER(SEARCH("COUCHE",INVENTARIO!C141)),"COU",
IF(ISNUMBER(SEARCH("PANEL DE ALUMINIO",INVENTARIO!C141)),"PAN-ALU",
IF(ISNUMBER(SEARCH("PVC",INVENTARIO!C141)),"PVC",
IF(ISNUMBER(SEARCH("PAPEL",INVENTARIO!C141)),"PAP",
IF(ISNUMBER(SEARCH("TELA",INVENTARIO!C141)),"TEL",
IF(ISNUMBER(SEARCH("CARTULINA",INVENTARIO!C141)),"CAR",
IF(OR(ISNUMBER(SEARCH("LAMINA",INVENTARIO!C141)),ISNUMBER(SEARCH("LÁMINA",INVENTARIO!C141)),ISNUMBER(SEARCH("LAMPARAS",INVENTARIO!C141))),"LAM",
IF(ISNUMBER(SEARCH("ESTIRENO",INVENTARIO!C141)),"EST",
IF(ISNUMBER(SEARCH("FOAMBOARD",INVENTARIO!C141)),"FOA",
IF(ISNUMBER(SEARCH("SOLVENTE",INVENTARIO!C141)),"SOL",
IF(ISNUMBER(SEARCH("TINTA",INVENTARIO!C141)),"TIN",
IF(ISNUMBER(SEARCH("ACRILICO",INVENTARIO!C141)),"ACR",
IF(ISNUMBER(SEARCH("MICROLED",INVENTARIO!C141)),"MIC",
IF(ISNUMBER(SEARCH("LED",INVENTARIO!C141)),"LED",
IF(ISNUMBER(SEARCH("FUENTE DE PODER",INVENTARIO!C141)),"FUE-POD",
IF(ISNUMBER(SEARCH("PETG",INVENTARIO!C141)),"PET",
IF(ISNUMBER(SEARCH("ALUMINIO",INVENTARIO!C141)),"ALU",
IF(ISNUMBER(SEARCH("CANAL",INVENTARIO!C141)),"CAN",
IF(ISNUMBER(SEARCH("ESCUADRA",INVENTARIO!C141)),"ESC",
IF(ISNUMBER(SEARCH("SOPORTE",INVENTARIO!C141)),"SOP","OTR")
))))))))))))))))))))))))))))))</f>
        <v>TIN</v>
      </c>
      <c r="B141" t="str">
        <f>IF(ISNUMBER(SEARCH("CORTE",INVENTARIO!C141)),"COR",
IF(ISNUMBER(SEARCH("CITYLIGHT",INVENTARIO!C141)),"CIT",
IF(ISNUMBER(SEARCH("LINO",INVENTARIO!C141)),"LIN",
IF(ISNUMBER(SEARCH("FABRIANO",INVENTARIO!C141)),"FAB",
IF(ISNUMBER(SEARCH("SUNDANCE",INVENTARIO!C141)),"SUN",
IF(ISNUMBER(SEARCH("SINTETICA",INVENTARIO!C141)),"SIN",
IF(ISNUMBER(SEARCH("CONTROL",INVENTARIO!C141)),"CON",
IF(ISNUMBER(SEARCH("TERMICO",INVENTARIO!C141)),"TER",
IF(ISNUMBER(SEARCH("C-15",INVENTARIO!C141)),"C15",
IF(ISNUMBER(SEARCH("C-20",INVENTARIO!C141)),"C20",
IF(ISNUMBER(SEARCH("C-30",INVENTARIO!C141)),"C30",
IF(ISNUMBER(SEARCH("C-40",INVENTARIO!C141)),"C40",
IF(ISNUMBER(SEARCH("C-60",INVENTARIO!C141)),"C60",
IF(ISNUMBER(SEARCH("C-80",INVENTARIO!C141)),"C80",
IF(ISNUMBER(SEARCH("EQUIPO",INVENTARIO!C141)),"EQU",
IF(ISNUMBER(SEARCH("FLOOR",INVENTARIO!C141)),"FLO",
IF(ISNUMBER(SEARCH("CRISTAL",INVENTARIO!C141)),"CRI",
IF(ISNUMBER(SEARCH(" SULFATADA",INVENTARIO!C152)),"SUL",
IF(ISNUMBER(SEARCH("OPALINA",INVENTARIO!C141)),"OPA",
IF(ISNUMBER(SEARCH("ADHERIBLE",INVENTARIO!C141)),"ADH",
IF(ISNUMBER(SEARCH("MICRO",INVENTARIO!C141)),"MIC","")))))))))))))))))))))</f>
        <v/>
      </c>
      <c r="C141" t="str">
        <f>IF(ISNUMBER(SEARCH("PARED",INVENTARIO!C141)),"PAR",
IF(ISNUMBER(SEARCH("FRONT",INVENTARIO!C141)),"FRO",
IF(ISNUMBER(SEARCH("ALTA RESISTENCIA",INVENTARIO!C141)),
"ALT-RES",IF(ISNUMBER(SEARCH("BACKLITE",INVENTARIO!C141)),"BAC",
IF(ISNUMBER(SEARCH("MATE",INVENTARIO!C141)),"MAT",
IF(ISNUMBER(SEARCH("MESH",INVENTARIO!C141)),"MES",
IF(ISNUMBER(SEARCH("BRILLANTE",INVENTARIO!C141)),"BRI",
IF(ISNUMBER(SEARCH("DELGADA",INVENTARIO!C141)),"DEL",
IF(ISNUMBER(SEARCH("GRUESA",INVENTARIO!C141)),"GRU",
IF(ISNUMBER(SEARCH("ESTATICO",INVENTARIO!C141)),"EST",
IF(ISNUMBER(SEARCH("REFLECTIVO",INVENTARIO!C141)),"REF",
IF(ISNUMBER(SEARCH("LX700",INVENTARIO!C141)),"LX7",
IF(ISNUMBER(SEARCH("GRANDO",INVENTARIO!C141)),"GRA",
IF(ISNUMBER(SEARCH("FB700",INVENTARIO!C141)),"FB7",
IF(ISNUMBER(SEARCH("LX360",INVENTARIO!C141)),"LX3",
IF(ISNUMBER(SEARCH("XEROX",INVENTARIO!C141)),"XER",
IF(ISNUMBER(SEARCH("CEPILLADO",INVENTARIO!C141)),"CEP",
IF(ISNUMBER(SEARCH("ESPEJO",INVENTARIO!C141)),"ESP",
IF(ISNUMBER(SEARCH("10 PTS",INVENTARIO!C141)),"10PT",
IF(ISNUMBER(SEARCH("12 PTS",INVENTARIO!C141)),"12PT",
IF(ISNUMBER(SEARCH("14 PTS",INVENTARIO!C141)),"14PT",
IF(ISNUMBER(SEARCH("CLASICO",INVENTARIO!C141)),"CLA",
""))))))))))))))))))))))</f>
        <v>LX3</v>
      </c>
      <c r="D141" t="str">
        <f>IF(ISNUMBER(SEARCH("GRAN FORMATO",INVENTARIO!C141)),"GRA-FOR",
IF(ISNUMBER(SEARCH("CAMA PLANA",INVENTARIO!C141)),"CAM-PLA",
IF(ISNUMBER(SEARCH("GRADO INGENIERIA",INVENTARIO!C141)),"GRA-ING",
IF(ISNUMBER(SEARCH("130 GRS",INVENTARIO!C141)),"130GR",
IF(ISNUMBER(SEARCH("150 GRS",INVENTARIO!C141)),"150GR",
IF(ISNUMBER(SEARCH("185 GRS",INVENTARIO!C141)),"185GR",
IF(ISNUMBER(SEARCH("200 GRS",INVENTARIO!C141)),"200GR",
IF(ISNUMBER(SEARCH("250 GRS",INVENTARIO!C141)),"250GR",
IF(ISNUMBER(SEARCH("300 GRS",INVENTARIO!C141)),"300GR",
IF(ISNUMBER(SEARCH("350 GRS",INVENTARIO!C141)),"350GR",
IF(ISNUMBER(SEARCH("18 OZ",INVENTARIO!C141)),"18OZ",
IF(ISNUMBER(SEARCH("15 OZ",INVENTARIO!C141)),"15OZ",
IF(OR(ISNUMBER(SEARCH("13 OZ",INVENTARIO!C141)),ISNUMBER(SEARCH("13 ONZAS",INVENTARIO!C141))),"13OZ",
IF(OR(ISNUMBER(SEARCH("9 OZ",INVENTARIO!C141)),ISNUMBER(SEARCH("9 ONZAS",INVENTARIO!C141))),"09OZ",
IF(ISNUMBER(SEARCH("DOBLE CARA",INVENTARIO!C141)),"DOB-CAR",
"")))))))))))))))</f>
        <v/>
      </c>
      <c r="E141" t="str">
        <f>IF(OR(ISNUMBER(SEARCH("TRANSPARENTE",INVENTARIO!C141)),ISNUMBER(SEARCH("TRANSPARENTES",INVENTARIO!C141))),"TRA",
IF(OR(ISNUMBER(SEARCH("BLANCO",INVENTARIO!C141)),ISNUMBER(SEARCH("BCO",INVENTARIO!C141))),"BLA",
IF(ISNUMBER(SEARCH("FOTOGRAFICO",INVENTARIO!C141)),"FOT",
IF(ISNUMBER(SEARCH("MARFIL",INVENTARIO!C141)),"MAR",
IF(ISNUMBER(SEARCH("VERDE",INVENTARIO!C141)),"VER",
IF(ISNUMBER(SEARCH("MORADO",INVENTARIO!C141)),"MOR",
IF(ISNUMBER(SEARCH("PLATA",INVENTARIO!C141)),"PLA",
IF(ISNUMBER(SEARCH("ORO",INVENTARIO!C141)),"ORO",
IF(ISNUMBER(SEARCH("AMARILLO",INVENTARIO!C141)),"AMA",
IF(ISNUMBER(SEARCH("NARANJA",INVENTARIO!C141)),"NAR",
IF(ISNUMBER(SEARCH("NEGRO",INVENTARIO!C141)),"NEG",
IF(ISNUMBER(SEARCH("ROJO",INVENTARIO!C141)),"ROJ",
IF(ISNUMBER(SEARCH("AZUL",INVENTARIO!C141)),"AZU","")))))))))))))</f>
        <v/>
      </c>
      <c r="F141" t="str">
        <f>IF(ISNUMBER(SEARCH("ARLON",INVENTARIO!C141)),"ARL",
IF(ISNUMBER(SEARCH("SUNTHINKS",INVENTARIO!C141)),"SUN",
IF(ISNUMBER(SEARCH("FRIO",INVENTARIO!C141)),"FRI",
IF(ISNUMBER(SEARCH("CALIDO",INVENTARIO!C141)),"CAL",
IF(ISNUMBER(SEARCH("CEPILLADO",INVENTARIO!C141)),"CEP",
IF(ISNUMBER(SEARCH("ESPEJO",INVENTARIO!C141)),"ESP",
""))))))</f>
        <v/>
      </c>
      <c r="G141" t="str">
        <f>IF(ISNUMBER(SEARCH("LATEX",INVENTARIO!C141)),"LAT",
IF(ISNUMBER(SEARCH("RESP. NEGRO",INVENTARIO!C141)),"RES-NEG",
IF(ISNUMBER(SEARCH("RESPALDO CAFE",INVENTARIO!C141)),"RES-CAF",
IF(ISNUMBER(SEARCH("RESPALDO GRIS",INVENTARIO!C141)),"RES-GRI",
IF(ISNUMBER(SEARCH("OPTICO",INVENTARIO!C141)),"OPT",
IF(ISNUMBER(SEARCH("1,2 MM",INVENTARIO!C141)),"1MM2",
IF(ISNUMBER(SEARCH("2 MM",INVENTARIO!C141)),"2MM",
IF(ISNUMBER(SEARCH("3 MM",INVENTARIO!C141)),"3MM",
IF(ISNUMBER(SEARCH("4 MM",INVENTARIO!C141)),"4MM",
IF(ISNUMBER(SEARCH("5 MM",INVENTARIO!C141)),"5MM",
IF(ISNUMBER(SEARCH("6 MM",INVENTARIO!C141)),"6MM",
IF(ISNUMBER(SEARCH("9 MM",INVENTARIO!C141)),"9MM",
IF(ISNUMBER(SEARCH("10 MM",INVENTARIO!C141)),"10MM","")))))))))))))</f>
        <v/>
      </c>
      <c r="H141" t="str">
        <f>IF(ISNUMBER(SEARCH("GAMA BAJA",INVENTARIO!C141)),"GAM-BAJ",
IF(ISNUMBER(SEARCH("OPTIMIZADOR",INVENTARIO!C141)),"OPT",
IF(ISNUMBER(SEARCH("OVERCOAT",INVENTARIO!C141)),"OVE",
IF(ISNUMBER(SEARCH("WHITE",INVENTARIO!C141)),"WHI",
IF(ISNUMBER(SEARCH("LIGHT CYAN",INVENTARIO!C141)),"LIG-CYA",
IF(ISNUMBER(SEARCH("CYAN",INVENTARIO!C141)),"CYA",
IF(ISNUMBER(SEARCH("LIGHT MAGENTA",INVENTARIO!C141)),"LIG-MAG",
IF(ISNUMBER(SEARCH("MAGENTA",INVENTARIO!C141)),"MAG",
IF(ISNUMBER(SEARCH("BLACK",INVENTARIO!C141)),"BLA",
IF(ISNUMBER(SEARCH("YELLOW",INVENTARIO!C141)),"YEL",
IF(ISNUMBER(SEARCH("2 DIODOS",INVENTARIO!C141)),"2DI",
IF(ISNUMBER(SEARCH("3 DIODOS",INVENTARIO!C141)),"3DI",
IF(OR(ISNUMBER(SEARCH("TRASLUCIDO",INVENTARIO!C141)),ISNUMBER(SEARCH("TRANSLUCIDO",INVENTARIO!C141))),"TRA",
"")))))))))))))</f>
        <v>YEL</v>
      </c>
      <c r="I14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2" spans="1:9">
      <c r="A142" t="str">
        <f>IF(ISNUMBER(SEARCH("LONA",INVENTARIO!C142)),"LON",
IF(ISNUMBER(SEARCH("VINIL",INVENTARIO!C142)),"VIN",
IF(ISNUMBER(SEARCH("KROMACOTE",INVENTARIO!C142)),"KRO",
IF(ISNUMBER(SEARCH("STARDREAM",INVENTARIO!C142)),"STA",
IF(ISNUMBER(SEARCH("DISPLAY",INVENTARIO!C142)),"DIS",
IF(ISNUMBER(SEARCH("ROLL UP",INVENTARIO!C142)),"ROL-UP",
IF(ISNUMBER(SEARCH("TRANSFER DE PAPEL",INVENTARIO!C142)),"TRA-PAP",
IF(ISNUMBER(SEARCH("TRANSFER",INVENTARIO!C142)),"TRA",IF(ISNUMBER(SEARCH("KOLA LOKA",INVENTARIO!C142)),"KOL-LOK",
IF(ISNUMBER(SEARCH("PETG",INVENTARIO!C142)),"PET",
IF(ISNUMBER(SEARCH("OJILLO",INVENTARIO!C142)),"OJI",
IF(ISNUMBER(SEARCH("COUCHE",INVENTARIO!C142)),"COU",
IF(ISNUMBER(SEARCH("PANEL DE ALUMINIO",INVENTARIO!C142)),"PAN-ALU",
IF(ISNUMBER(SEARCH("PVC",INVENTARIO!C142)),"PVC",
IF(ISNUMBER(SEARCH("PAPEL",INVENTARIO!C142)),"PAP",
IF(ISNUMBER(SEARCH("TELA",INVENTARIO!C142)),"TEL",
IF(ISNUMBER(SEARCH("CARTULINA",INVENTARIO!C142)),"CAR",
IF(OR(ISNUMBER(SEARCH("LAMINA",INVENTARIO!C142)),ISNUMBER(SEARCH("LÁMINA",INVENTARIO!C142)),ISNUMBER(SEARCH("LAMPARAS",INVENTARIO!C142))),"LAM",
IF(ISNUMBER(SEARCH("ESTIRENO",INVENTARIO!C142)),"EST",
IF(ISNUMBER(SEARCH("FOAMBOARD",INVENTARIO!C142)),"FOA",
IF(ISNUMBER(SEARCH("SOLVENTE",INVENTARIO!C142)),"SOL",
IF(ISNUMBER(SEARCH("TINTA",INVENTARIO!C142)),"TIN",
IF(ISNUMBER(SEARCH("ACRILICO",INVENTARIO!C142)),"ACR",
IF(ISNUMBER(SEARCH("MICROLED",INVENTARIO!C142)),"MIC",
IF(ISNUMBER(SEARCH("LED",INVENTARIO!C142)),"LED",
IF(ISNUMBER(SEARCH("FUENTE DE PODER",INVENTARIO!C142)),"FUE-POD",
IF(ISNUMBER(SEARCH("PETG",INVENTARIO!C142)),"PET",
IF(ISNUMBER(SEARCH("ALUMINIO",INVENTARIO!C142)),"ALU",
IF(ISNUMBER(SEARCH("CANAL",INVENTARIO!C142)),"CAN",
IF(ISNUMBER(SEARCH("ESCUADRA",INVENTARIO!C142)),"ESC",
IF(ISNUMBER(SEARCH("SOPORTE",INVENTARIO!C142)),"SOP","OTR")
))))))))))))))))))))))))))))))</f>
        <v>TIN</v>
      </c>
      <c r="B142" t="str">
        <f>IF(ISNUMBER(SEARCH("CORTE",INVENTARIO!C142)),"COR",
IF(ISNUMBER(SEARCH("CITYLIGHT",INVENTARIO!C142)),"CIT",
IF(ISNUMBER(SEARCH("LINO",INVENTARIO!C142)),"LIN",
IF(ISNUMBER(SEARCH("FABRIANO",INVENTARIO!C142)),"FAB",
IF(ISNUMBER(SEARCH("SUNDANCE",INVENTARIO!C142)),"SUN",
IF(ISNUMBER(SEARCH("SINTETICA",INVENTARIO!C142)),"SIN",
IF(ISNUMBER(SEARCH("CONTROL",INVENTARIO!C142)),"CON",
IF(ISNUMBER(SEARCH("TERMICO",INVENTARIO!C142)),"TER",
IF(ISNUMBER(SEARCH("C-15",INVENTARIO!C142)),"C15",
IF(ISNUMBER(SEARCH("C-20",INVENTARIO!C142)),"C20",
IF(ISNUMBER(SEARCH("C-30",INVENTARIO!C142)),"C30",
IF(ISNUMBER(SEARCH("C-40",INVENTARIO!C142)),"C40",
IF(ISNUMBER(SEARCH("C-60",INVENTARIO!C142)),"C60",
IF(ISNUMBER(SEARCH("C-80",INVENTARIO!C142)),"C80",
IF(ISNUMBER(SEARCH("EQUIPO",INVENTARIO!C142)),"EQU",
IF(ISNUMBER(SEARCH("FLOOR",INVENTARIO!C142)),"FLO",
IF(ISNUMBER(SEARCH("CRISTAL",INVENTARIO!C142)),"CRI",
IF(ISNUMBER(SEARCH(" SULFATADA",INVENTARIO!C153)),"SUL",
IF(ISNUMBER(SEARCH("OPALINA",INVENTARIO!C142)),"OPA",
IF(ISNUMBER(SEARCH("ADHERIBLE",INVENTARIO!C142)),"ADH",
IF(ISNUMBER(SEARCH("MICRO",INVENTARIO!C142)),"MIC","")))))))))))))))))))))</f>
        <v/>
      </c>
      <c r="C142" t="str">
        <f>IF(ISNUMBER(SEARCH("PARED",INVENTARIO!C142)),"PAR",
IF(ISNUMBER(SEARCH("FRONT",INVENTARIO!C142)),"FRO",
IF(ISNUMBER(SEARCH("ALTA RESISTENCIA",INVENTARIO!C142)),
"ALT-RES",IF(ISNUMBER(SEARCH("BACKLITE",INVENTARIO!C142)),"BAC",
IF(ISNUMBER(SEARCH("MATE",INVENTARIO!C142)),"MAT",
IF(ISNUMBER(SEARCH("MESH",INVENTARIO!C142)),"MES",
IF(ISNUMBER(SEARCH("BRILLANTE",INVENTARIO!C142)),"BRI",
IF(ISNUMBER(SEARCH("DELGADA",INVENTARIO!C142)),"DEL",
IF(ISNUMBER(SEARCH("GRUESA",INVENTARIO!C142)),"GRU",
IF(ISNUMBER(SEARCH("ESTATICO",INVENTARIO!C142)),"EST",
IF(ISNUMBER(SEARCH("REFLECTIVO",INVENTARIO!C142)),"REF",
IF(ISNUMBER(SEARCH("LX700",INVENTARIO!C142)),"LX7",
IF(ISNUMBER(SEARCH("GRANDO",INVENTARIO!C142)),"GRA",
IF(ISNUMBER(SEARCH("FB700",INVENTARIO!C142)),"FB7",
IF(ISNUMBER(SEARCH("LX360",INVENTARIO!C142)),"LX3",
IF(ISNUMBER(SEARCH("XEROX",INVENTARIO!C142)),"XER",
IF(ISNUMBER(SEARCH("CEPILLADO",INVENTARIO!C142)),"CEP",
IF(ISNUMBER(SEARCH("ESPEJO",INVENTARIO!C142)),"ESP",
IF(ISNUMBER(SEARCH("10 PTS",INVENTARIO!C142)),"10PT",
IF(ISNUMBER(SEARCH("12 PTS",INVENTARIO!C142)),"12PT",
IF(ISNUMBER(SEARCH("14 PTS",INVENTARIO!C142)),"14PT",
IF(ISNUMBER(SEARCH("CLASICO",INVENTARIO!C142)),"CLA",
""))))))))))))))))))))))</f>
        <v>LX3</v>
      </c>
      <c r="D142" t="str">
        <f>IF(ISNUMBER(SEARCH("GRAN FORMATO",INVENTARIO!C142)),"GRA-FOR",
IF(ISNUMBER(SEARCH("CAMA PLANA",INVENTARIO!C142)),"CAM-PLA",
IF(ISNUMBER(SEARCH("GRADO INGENIERIA",INVENTARIO!C142)),"GRA-ING",
IF(ISNUMBER(SEARCH("130 GRS",INVENTARIO!C142)),"130GR",
IF(ISNUMBER(SEARCH("150 GRS",INVENTARIO!C142)),"150GR",
IF(ISNUMBER(SEARCH("185 GRS",INVENTARIO!C142)),"185GR",
IF(ISNUMBER(SEARCH("200 GRS",INVENTARIO!C142)),"200GR",
IF(ISNUMBER(SEARCH("250 GRS",INVENTARIO!C142)),"250GR",
IF(ISNUMBER(SEARCH("300 GRS",INVENTARIO!C142)),"300GR",
IF(ISNUMBER(SEARCH("350 GRS",INVENTARIO!C142)),"350GR",
IF(ISNUMBER(SEARCH("18 OZ",INVENTARIO!C142)),"18OZ",
IF(ISNUMBER(SEARCH("15 OZ",INVENTARIO!C142)),"15OZ",
IF(OR(ISNUMBER(SEARCH("13 OZ",INVENTARIO!C142)),ISNUMBER(SEARCH("13 ONZAS",INVENTARIO!C142))),"13OZ",
IF(OR(ISNUMBER(SEARCH("9 OZ",INVENTARIO!C142)),ISNUMBER(SEARCH("9 ONZAS",INVENTARIO!C142))),"09OZ",
IF(ISNUMBER(SEARCH("DOBLE CARA",INVENTARIO!C142)),"DOB-CAR",
"")))))))))))))))</f>
        <v/>
      </c>
      <c r="E142" t="str">
        <f>IF(OR(ISNUMBER(SEARCH("TRANSPARENTE",INVENTARIO!C142)),ISNUMBER(SEARCH("TRANSPARENTES",INVENTARIO!C142))),"TRA",
IF(OR(ISNUMBER(SEARCH("BLANCO",INVENTARIO!C142)),ISNUMBER(SEARCH("BCO",INVENTARIO!C142))),"BLA",
IF(ISNUMBER(SEARCH("FOTOGRAFICO",INVENTARIO!C142)),"FOT",
IF(ISNUMBER(SEARCH("MARFIL",INVENTARIO!C142)),"MAR",
IF(ISNUMBER(SEARCH("VERDE",INVENTARIO!C142)),"VER",
IF(ISNUMBER(SEARCH("MORADO",INVENTARIO!C142)),"MOR",
IF(ISNUMBER(SEARCH("PLATA",INVENTARIO!C142)),"PLA",
IF(ISNUMBER(SEARCH("ORO",INVENTARIO!C142)),"ORO",
IF(ISNUMBER(SEARCH("AMARILLO",INVENTARIO!C142)),"AMA",
IF(ISNUMBER(SEARCH("NARANJA",INVENTARIO!C142)),"NAR",
IF(ISNUMBER(SEARCH("NEGRO",INVENTARIO!C142)),"NEG",
IF(ISNUMBER(SEARCH("ROJO",INVENTARIO!C142)),"ROJ",
IF(ISNUMBER(SEARCH("AZUL",INVENTARIO!C142)),"AZU","")))))))))))))</f>
        <v/>
      </c>
      <c r="F142" t="str">
        <f>IF(ISNUMBER(SEARCH("ARLON",INVENTARIO!C142)),"ARL",
IF(ISNUMBER(SEARCH("SUNTHINKS",INVENTARIO!C142)),"SUN",
IF(ISNUMBER(SEARCH("FRIO",INVENTARIO!C142)),"FRI",
IF(ISNUMBER(SEARCH("CALIDO",INVENTARIO!C142)),"CAL",
IF(ISNUMBER(SEARCH("CEPILLADO",INVENTARIO!C142)),"CEP",
IF(ISNUMBER(SEARCH("ESPEJO",INVENTARIO!C142)),"ESP",
""))))))</f>
        <v/>
      </c>
      <c r="G142" t="str">
        <f>IF(ISNUMBER(SEARCH("LATEX",INVENTARIO!C142)),"LAT",
IF(ISNUMBER(SEARCH("RESP. NEGRO",INVENTARIO!C142)),"RES-NEG",
IF(ISNUMBER(SEARCH("RESPALDO CAFE",INVENTARIO!C142)),"RES-CAF",
IF(ISNUMBER(SEARCH("RESPALDO GRIS",INVENTARIO!C142)),"RES-GRI",
IF(ISNUMBER(SEARCH("OPTICO",INVENTARIO!C142)),"OPT",
IF(ISNUMBER(SEARCH("1,2 MM",INVENTARIO!C142)),"1MM2",
IF(ISNUMBER(SEARCH("2 MM",INVENTARIO!C142)),"2MM",
IF(ISNUMBER(SEARCH("3 MM",INVENTARIO!C142)),"3MM",
IF(ISNUMBER(SEARCH("4 MM",INVENTARIO!C142)),"4MM",
IF(ISNUMBER(SEARCH("5 MM",INVENTARIO!C142)),"5MM",
IF(ISNUMBER(SEARCH("6 MM",INVENTARIO!C142)),"6MM",
IF(ISNUMBER(SEARCH("9 MM",INVENTARIO!C142)),"9MM",
IF(ISNUMBER(SEARCH("10 MM",INVENTARIO!C142)),"10MM","")))))))))))))</f>
        <v/>
      </c>
      <c r="H142" t="str">
        <f>IF(ISNUMBER(SEARCH("GAMA BAJA",INVENTARIO!C142)),"GAM-BAJ",
IF(ISNUMBER(SEARCH("OPTIMIZADOR",INVENTARIO!C142)),"OPT",
IF(ISNUMBER(SEARCH("OVERCOAT",INVENTARIO!C142)),"OVE",
IF(ISNUMBER(SEARCH("WHITE",INVENTARIO!C142)),"WHI",
IF(ISNUMBER(SEARCH("LIGHT CYAN",INVENTARIO!C142)),"LIG-CYA",
IF(ISNUMBER(SEARCH("CYAN",INVENTARIO!C142)),"CYA",
IF(ISNUMBER(SEARCH("LIGHT MAGENTA",INVENTARIO!C142)),"LIG-MAG",
IF(ISNUMBER(SEARCH("MAGENTA",INVENTARIO!C142)),"MAG",
IF(ISNUMBER(SEARCH("BLACK",INVENTARIO!C142)),"BLA",
IF(ISNUMBER(SEARCH("YELLOW",INVENTARIO!C142)),"YEL",
IF(ISNUMBER(SEARCH("2 DIODOS",INVENTARIO!C142)),"2DI",
IF(ISNUMBER(SEARCH("3 DIODOS",INVENTARIO!C142)),"3DI",
IF(OR(ISNUMBER(SEARCH("TRASLUCIDO",INVENTARIO!C142)),ISNUMBER(SEARCH("TRANSLUCIDO",INVENTARIO!C142))),"TRA",
"")))))))))))))</f>
        <v>BLA</v>
      </c>
      <c r="I14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3" spans="1:9">
      <c r="A143" t="str">
        <f>IF(ISNUMBER(SEARCH("LONA",INVENTARIO!C143)),"LON",
IF(ISNUMBER(SEARCH("VINIL",INVENTARIO!C143)),"VIN",
IF(ISNUMBER(SEARCH("KROMACOTE",INVENTARIO!C143)),"KRO",
IF(ISNUMBER(SEARCH("STARDREAM",INVENTARIO!C143)),"STA",
IF(ISNUMBER(SEARCH("DISPLAY",INVENTARIO!C143)),"DIS",
IF(ISNUMBER(SEARCH("ROLL UP",INVENTARIO!C143)),"ROL-UP",
IF(ISNUMBER(SEARCH("TRANSFER DE PAPEL",INVENTARIO!C143)),"TRA-PAP",
IF(ISNUMBER(SEARCH("TRANSFER",INVENTARIO!C143)),"TRA",IF(ISNUMBER(SEARCH("KOLA LOKA",INVENTARIO!C143)),"KOL-LOK",
IF(ISNUMBER(SEARCH("PETG",INVENTARIO!C143)),"PET",
IF(ISNUMBER(SEARCH("OJILLO",INVENTARIO!C143)),"OJI",
IF(ISNUMBER(SEARCH("COUCHE",INVENTARIO!C143)),"COU",
IF(ISNUMBER(SEARCH("PANEL DE ALUMINIO",INVENTARIO!C143)),"PAN-ALU",
IF(ISNUMBER(SEARCH("PVC",INVENTARIO!C143)),"PVC",
IF(ISNUMBER(SEARCH("PAPEL",INVENTARIO!C143)),"PAP",
IF(ISNUMBER(SEARCH("TELA",INVENTARIO!C143)),"TEL",
IF(ISNUMBER(SEARCH("CARTULINA",INVENTARIO!C143)),"CAR",
IF(OR(ISNUMBER(SEARCH("LAMINA",INVENTARIO!C143)),ISNUMBER(SEARCH("LÁMINA",INVENTARIO!C143)),ISNUMBER(SEARCH("LAMPARAS",INVENTARIO!C143))),"LAM",
IF(ISNUMBER(SEARCH("ESTIRENO",INVENTARIO!C143)),"EST",
IF(ISNUMBER(SEARCH("FOAMBOARD",INVENTARIO!C143)),"FOA",
IF(ISNUMBER(SEARCH("SOLVENTE",INVENTARIO!C143)),"SOL",
IF(ISNUMBER(SEARCH("TINTA",INVENTARIO!C143)),"TIN",
IF(ISNUMBER(SEARCH("ACRILICO",INVENTARIO!C143)),"ACR",
IF(ISNUMBER(SEARCH("MICROLED",INVENTARIO!C143)),"MIC",
IF(ISNUMBER(SEARCH("LED",INVENTARIO!C143)),"LED",
IF(ISNUMBER(SEARCH("FUENTE DE PODER",INVENTARIO!C143)),"FUE-POD",
IF(ISNUMBER(SEARCH("PETG",INVENTARIO!C143)),"PET",
IF(ISNUMBER(SEARCH("ALUMINIO",INVENTARIO!C143)),"ALU",
IF(ISNUMBER(SEARCH("CANAL",INVENTARIO!C143)),"CAN",
IF(ISNUMBER(SEARCH("ESCUADRA",INVENTARIO!C143)),"ESC",
IF(ISNUMBER(SEARCH("SOPORTE",INVENTARIO!C143)),"SOP","OTR")
))))))))))))))))))))))))))))))</f>
        <v>TIN</v>
      </c>
      <c r="B143" t="str">
        <f>IF(ISNUMBER(SEARCH("CORTE",INVENTARIO!C143)),"COR",
IF(ISNUMBER(SEARCH("CITYLIGHT",INVENTARIO!C143)),"CIT",
IF(ISNUMBER(SEARCH("LINO",INVENTARIO!C143)),"LIN",
IF(ISNUMBER(SEARCH("FABRIANO",INVENTARIO!C143)),"FAB",
IF(ISNUMBER(SEARCH("SUNDANCE",INVENTARIO!C143)),"SUN",
IF(ISNUMBER(SEARCH("SINTETICA",INVENTARIO!C143)),"SIN",
IF(ISNUMBER(SEARCH("CONTROL",INVENTARIO!C143)),"CON",
IF(ISNUMBER(SEARCH("TERMICO",INVENTARIO!C143)),"TER",
IF(ISNUMBER(SEARCH("C-15",INVENTARIO!C143)),"C15",
IF(ISNUMBER(SEARCH("C-20",INVENTARIO!C143)),"C20",
IF(ISNUMBER(SEARCH("C-30",INVENTARIO!C143)),"C30",
IF(ISNUMBER(SEARCH("C-40",INVENTARIO!C143)),"C40",
IF(ISNUMBER(SEARCH("C-60",INVENTARIO!C143)),"C60",
IF(ISNUMBER(SEARCH("C-80",INVENTARIO!C143)),"C80",
IF(ISNUMBER(SEARCH("EQUIPO",INVENTARIO!C143)),"EQU",
IF(ISNUMBER(SEARCH("FLOOR",INVENTARIO!C143)),"FLO",
IF(ISNUMBER(SEARCH("CRISTAL",INVENTARIO!C143)),"CRI",
IF(ISNUMBER(SEARCH(" SULFATADA",INVENTARIO!C154)),"SUL",
IF(ISNUMBER(SEARCH("OPALINA",INVENTARIO!C143)),"OPA",
IF(ISNUMBER(SEARCH("ADHERIBLE",INVENTARIO!C143)),"ADH",
IF(ISNUMBER(SEARCH("MICRO",INVENTARIO!C143)),"MIC","")))))))))))))))))))))</f>
        <v/>
      </c>
      <c r="C143" t="str">
        <f>IF(ISNUMBER(SEARCH("PARED",INVENTARIO!C143)),"PAR",
IF(ISNUMBER(SEARCH("FRONT",INVENTARIO!C143)),"FRO",
IF(ISNUMBER(SEARCH("ALTA RESISTENCIA",INVENTARIO!C143)),
"ALT-RES",IF(ISNUMBER(SEARCH("BACKLITE",INVENTARIO!C143)),"BAC",
IF(ISNUMBER(SEARCH("MATE",INVENTARIO!C143)),"MAT",
IF(ISNUMBER(SEARCH("MESH",INVENTARIO!C143)),"MES",
IF(ISNUMBER(SEARCH("BRILLANTE",INVENTARIO!C143)),"BRI",
IF(ISNUMBER(SEARCH("DELGADA",INVENTARIO!C143)),"DEL",
IF(ISNUMBER(SEARCH("GRUESA",INVENTARIO!C143)),"GRU",
IF(ISNUMBER(SEARCH("ESTATICO",INVENTARIO!C143)),"EST",
IF(ISNUMBER(SEARCH("REFLECTIVO",INVENTARIO!C143)),"REF",
IF(ISNUMBER(SEARCH("LX700",INVENTARIO!C143)),"LX7",
IF(ISNUMBER(SEARCH("GRANDO",INVENTARIO!C143)),"GRA",
IF(ISNUMBER(SEARCH("FB700",INVENTARIO!C143)),"FB7",
IF(ISNUMBER(SEARCH("LX360",INVENTARIO!C143)),"LX3",
IF(ISNUMBER(SEARCH("XEROX",INVENTARIO!C143)),"XER",
IF(ISNUMBER(SEARCH("CEPILLADO",INVENTARIO!C143)),"CEP",
IF(ISNUMBER(SEARCH("ESPEJO",INVENTARIO!C143)),"ESP",
IF(ISNUMBER(SEARCH("10 PTS",INVENTARIO!C143)),"10PT",
IF(ISNUMBER(SEARCH("12 PTS",INVENTARIO!C143)),"12PT",
IF(ISNUMBER(SEARCH("14 PTS",INVENTARIO!C143)),"14PT",
IF(ISNUMBER(SEARCH("CLASICO",INVENTARIO!C143)),"CLA",
""))))))))))))))))))))))</f>
        <v>LX3</v>
      </c>
      <c r="D143" t="str">
        <f>IF(ISNUMBER(SEARCH("GRAN FORMATO",INVENTARIO!C143)),"GRA-FOR",
IF(ISNUMBER(SEARCH("CAMA PLANA",INVENTARIO!C143)),"CAM-PLA",
IF(ISNUMBER(SEARCH("GRADO INGENIERIA",INVENTARIO!C143)),"GRA-ING",
IF(ISNUMBER(SEARCH("130 GRS",INVENTARIO!C143)),"130GR",
IF(ISNUMBER(SEARCH("150 GRS",INVENTARIO!C143)),"150GR",
IF(ISNUMBER(SEARCH("185 GRS",INVENTARIO!C143)),"185GR",
IF(ISNUMBER(SEARCH("200 GRS",INVENTARIO!C143)),"200GR",
IF(ISNUMBER(SEARCH("250 GRS",INVENTARIO!C143)),"250GR",
IF(ISNUMBER(SEARCH("300 GRS",INVENTARIO!C143)),"300GR",
IF(ISNUMBER(SEARCH("350 GRS",INVENTARIO!C143)),"350GR",
IF(ISNUMBER(SEARCH("18 OZ",INVENTARIO!C143)),"18OZ",
IF(ISNUMBER(SEARCH("15 OZ",INVENTARIO!C143)),"15OZ",
IF(OR(ISNUMBER(SEARCH("13 OZ",INVENTARIO!C143)),ISNUMBER(SEARCH("13 ONZAS",INVENTARIO!C143))),"13OZ",
IF(OR(ISNUMBER(SEARCH("9 OZ",INVENTARIO!C143)),ISNUMBER(SEARCH("9 ONZAS",INVENTARIO!C143))),"09OZ",
IF(ISNUMBER(SEARCH("DOBLE CARA",INVENTARIO!C143)),"DOB-CAR",
"")))))))))))))))</f>
        <v/>
      </c>
      <c r="E143" t="str">
        <f>IF(OR(ISNUMBER(SEARCH("TRANSPARENTE",INVENTARIO!C143)),ISNUMBER(SEARCH("TRANSPARENTES",INVENTARIO!C143))),"TRA",
IF(OR(ISNUMBER(SEARCH("BLANCO",INVENTARIO!C143)),ISNUMBER(SEARCH("BCO",INVENTARIO!C143))),"BLA",
IF(ISNUMBER(SEARCH("FOTOGRAFICO",INVENTARIO!C143)),"FOT",
IF(ISNUMBER(SEARCH("MARFIL",INVENTARIO!C143)),"MAR",
IF(ISNUMBER(SEARCH("VERDE",INVENTARIO!C143)),"VER",
IF(ISNUMBER(SEARCH("MORADO",INVENTARIO!C143)),"MOR",
IF(ISNUMBER(SEARCH("PLATA",INVENTARIO!C143)),"PLA",
IF(ISNUMBER(SEARCH("ORO",INVENTARIO!C143)),"ORO",
IF(ISNUMBER(SEARCH("AMARILLO",INVENTARIO!C143)),"AMA",
IF(ISNUMBER(SEARCH("NARANJA",INVENTARIO!C143)),"NAR",
IF(ISNUMBER(SEARCH("NEGRO",INVENTARIO!C143)),"NEG",
IF(ISNUMBER(SEARCH("ROJO",INVENTARIO!C143)),"ROJ",
IF(ISNUMBER(SEARCH("AZUL",INVENTARIO!C143)),"AZU","")))))))))))))</f>
        <v/>
      </c>
      <c r="F143" t="str">
        <f>IF(ISNUMBER(SEARCH("ARLON",INVENTARIO!C143)),"ARL",
IF(ISNUMBER(SEARCH("SUNTHINKS",INVENTARIO!C143)),"SUN",
IF(ISNUMBER(SEARCH("FRIO",INVENTARIO!C143)),"FRI",
IF(ISNUMBER(SEARCH("CALIDO",INVENTARIO!C143)),"CAL",
IF(ISNUMBER(SEARCH("CEPILLADO",INVENTARIO!C143)),"CEP",
IF(ISNUMBER(SEARCH("ESPEJO",INVENTARIO!C143)),"ESP",
""))))))</f>
        <v/>
      </c>
      <c r="G143" t="str">
        <f>IF(ISNUMBER(SEARCH("LATEX",INVENTARIO!C143)),"LAT",
IF(ISNUMBER(SEARCH("RESP. NEGRO",INVENTARIO!C143)),"RES-NEG",
IF(ISNUMBER(SEARCH("RESPALDO CAFE",INVENTARIO!C143)),"RES-CAF",
IF(ISNUMBER(SEARCH("RESPALDO GRIS",INVENTARIO!C143)),"RES-GRI",
IF(ISNUMBER(SEARCH("OPTICO",INVENTARIO!C143)),"OPT",
IF(ISNUMBER(SEARCH("1,2 MM",INVENTARIO!C143)),"1MM2",
IF(ISNUMBER(SEARCH("2 MM",INVENTARIO!C143)),"2MM",
IF(ISNUMBER(SEARCH("3 MM",INVENTARIO!C143)),"3MM",
IF(ISNUMBER(SEARCH("4 MM",INVENTARIO!C143)),"4MM",
IF(ISNUMBER(SEARCH("5 MM",INVENTARIO!C143)),"5MM",
IF(ISNUMBER(SEARCH("6 MM",INVENTARIO!C143)),"6MM",
IF(ISNUMBER(SEARCH("9 MM",INVENTARIO!C143)),"9MM",
IF(ISNUMBER(SEARCH("10 MM",INVENTARIO!C143)),"10MM","")))))))))))))</f>
        <v/>
      </c>
      <c r="H143" t="str">
        <f>IF(ISNUMBER(SEARCH("GAMA BAJA",INVENTARIO!C143)),"GAM-BAJ",
IF(ISNUMBER(SEARCH("OPTIMIZADOR",INVENTARIO!C143)),"OPT",
IF(ISNUMBER(SEARCH("OVERCOAT",INVENTARIO!C143)),"OVE",
IF(ISNUMBER(SEARCH("WHITE",INVENTARIO!C143)),"WHI",
IF(ISNUMBER(SEARCH("LIGHT CYAN",INVENTARIO!C143)),"LIG-CYA",
IF(ISNUMBER(SEARCH("CYAN",INVENTARIO!C143)),"CYA",
IF(ISNUMBER(SEARCH("LIGHT MAGENTA",INVENTARIO!C143)),"LIG-MAG",
IF(ISNUMBER(SEARCH("MAGENTA",INVENTARIO!C143)),"MAG",
IF(ISNUMBER(SEARCH("BLACK",INVENTARIO!C143)),"BLA",
IF(ISNUMBER(SEARCH("YELLOW",INVENTARIO!C143)),"YEL",
IF(ISNUMBER(SEARCH("2 DIODOS",INVENTARIO!C143)),"2DI",
IF(ISNUMBER(SEARCH("3 DIODOS",INVENTARIO!C143)),"3DI",
IF(OR(ISNUMBER(SEARCH("TRASLUCIDO",INVENTARIO!C143)),ISNUMBER(SEARCH("TRANSLUCIDO",INVENTARIO!C143))),"TRA",
"")))))))))))))</f>
        <v>LIG-CYA</v>
      </c>
      <c r="I14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4" spans="1:9">
      <c r="A144" t="str">
        <f>IF(ISNUMBER(SEARCH("LONA",INVENTARIO!C144)),"LON",
IF(ISNUMBER(SEARCH("VINIL",INVENTARIO!C144)),"VIN",
IF(ISNUMBER(SEARCH("KROMACOTE",INVENTARIO!C144)),"KRO",
IF(ISNUMBER(SEARCH("STARDREAM",INVENTARIO!C144)),"STA",
IF(ISNUMBER(SEARCH("DISPLAY",INVENTARIO!C144)),"DIS",
IF(ISNUMBER(SEARCH("ROLL UP",INVENTARIO!C144)),"ROL-UP",
IF(ISNUMBER(SEARCH("TRANSFER DE PAPEL",INVENTARIO!C144)),"TRA-PAP",
IF(ISNUMBER(SEARCH("TRANSFER",INVENTARIO!C144)),"TRA",IF(ISNUMBER(SEARCH("KOLA LOKA",INVENTARIO!C144)),"KOL-LOK",
IF(ISNUMBER(SEARCH("PETG",INVENTARIO!C144)),"PET",
IF(ISNUMBER(SEARCH("OJILLO",INVENTARIO!C144)),"OJI",
IF(ISNUMBER(SEARCH("COUCHE",INVENTARIO!C144)),"COU",
IF(ISNUMBER(SEARCH("PANEL DE ALUMINIO",INVENTARIO!C144)),"PAN-ALU",
IF(ISNUMBER(SEARCH("PVC",INVENTARIO!C144)),"PVC",
IF(ISNUMBER(SEARCH("PAPEL",INVENTARIO!C144)),"PAP",
IF(ISNUMBER(SEARCH("TELA",INVENTARIO!C144)),"TEL",
IF(ISNUMBER(SEARCH("CARTULINA",INVENTARIO!C144)),"CAR",
IF(OR(ISNUMBER(SEARCH("LAMINA",INVENTARIO!C144)),ISNUMBER(SEARCH("LÁMINA",INVENTARIO!C144)),ISNUMBER(SEARCH("LAMPARAS",INVENTARIO!C144))),"LAM",
IF(ISNUMBER(SEARCH("ESTIRENO",INVENTARIO!C144)),"EST",
IF(ISNUMBER(SEARCH("FOAMBOARD",INVENTARIO!C144)),"FOA",
IF(ISNUMBER(SEARCH("SOLVENTE",INVENTARIO!C144)),"SOL",
IF(ISNUMBER(SEARCH("TINTA",INVENTARIO!C144)),"TIN",
IF(ISNUMBER(SEARCH("ACRILICO",INVENTARIO!C144)),"ACR",
IF(ISNUMBER(SEARCH("MICROLED",INVENTARIO!C144)),"MIC",
IF(ISNUMBER(SEARCH("LED",INVENTARIO!C144)),"LED",
IF(ISNUMBER(SEARCH("FUENTE DE PODER",INVENTARIO!C144)),"FUE-POD",
IF(ISNUMBER(SEARCH("PETG",INVENTARIO!C144)),"PET",
IF(ISNUMBER(SEARCH("ALUMINIO",INVENTARIO!C144)),"ALU",
IF(ISNUMBER(SEARCH("CANAL",INVENTARIO!C144)),"CAN",
IF(ISNUMBER(SEARCH("ESCUADRA",INVENTARIO!C144)),"ESC",
IF(ISNUMBER(SEARCH("SOPORTE",INVENTARIO!C144)),"SOP","OTR")
))))))))))))))))))))))))))))))</f>
        <v>TIN</v>
      </c>
      <c r="B144" t="str">
        <f>IF(ISNUMBER(SEARCH("CORTE",INVENTARIO!C144)),"COR",
IF(ISNUMBER(SEARCH("CITYLIGHT",INVENTARIO!C144)),"CIT",
IF(ISNUMBER(SEARCH("LINO",INVENTARIO!C144)),"LIN",
IF(ISNUMBER(SEARCH("FABRIANO",INVENTARIO!C144)),"FAB",
IF(ISNUMBER(SEARCH("SUNDANCE",INVENTARIO!C144)),"SUN",
IF(ISNUMBER(SEARCH("SINTETICA",INVENTARIO!C144)),"SIN",
IF(ISNUMBER(SEARCH("CONTROL",INVENTARIO!C144)),"CON",
IF(ISNUMBER(SEARCH("TERMICO",INVENTARIO!C144)),"TER",
IF(ISNUMBER(SEARCH("C-15",INVENTARIO!C144)),"C15",
IF(ISNUMBER(SEARCH("C-20",INVENTARIO!C144)),"C20",
IF(ISNUMBER(SEARCH("C-30",INVENTARIO!C144)),"C30",
IF(ISNUMBER(SEARCH("C-40",INVENTARIO!C144)),"C40",
IF(ISNUMBER(SEARCH("C-60",INVENTARIO!C144)),"C60",
IF(ISNUMBER(SEARCH("C-80",INVENTARIO!C144)),"C80",
IF(ISNUMBER(SEARCH("EQUIPO",INVENTARIO!C144)),"EQU",
IF(ISNUMBER(SEARCH("FLOOR",INVENTARIO!C144)),"FLO",
IF(ISNUMBER(SEARCH("CRISTAL",INVENTARIO!C144)),"CRI",
IF(ISNUMBER(SEARCH(" SULFATADA",INVENTARIO!C155)),"SUL",
IF(ISNUMBER(SEARCH("OPALINA",INVENTARIO!C144)),"OPA",
IF(ISNUMBER(SEARCH("ADHERIBLE",INVENTARIO!C144)),"ADH",
IF(ISNUMBER(SEARCH("MICRO",INVENTARIO!C144)),"MIC","")))))))))))))))))))))</f>
        <v/>
      </c>
      <c r="C144" t="str">
        <f>IF(ISNUMBER(SEARCH("PARED",INVENTARIO!C144)),"PAR",
IF(ISNUMBER(SEARCH("FRONT",INVENTARIO!C144)),"FRO",
IF(ISNUMBER(SEARCH("ALTA RESISTENCIA",INVENTARIO!C144)),
"ALT-RES",IF(ISNUMBER(SEARCH("BACKLITE",INVENTARIO!C144)),"BAC",
IF(ISNUMBER(SEARCH("MATE",INVENTARIO!C144)),"MAT",
IF(ISNUMBER(SEARCH("MESH",INVENTARIO!C144)),"MES",
IF(ISNUMBER(SEARCH("BRILLANTE",INVENTARIO!C144)),"BRI",
IF(ISNUMBER(SEARCH("DELGADA",INVENTARIO!C144)),"DEL",
IF(ISNUMBER(SEARCH("GRUESA",INVENTARIO!C144)),"GRU",
IF(ISNUMBER(SEARCH("ESTATICO",INVENTARIO!C144)),"EST",
IF(ISNUMBER(SEARCH("REFLECTIVO",INVENTARIO!C144)),"REF",
IF(ISNUMBER(SEARCH("LX700",INVENTARIO!C144)),"LX7",
IF(ISNUMBER(SEARCH("GRANDO",INVENTARIO!C144)),"GRA",
IF(ISNUMBER(SEARCH("FB700",INVENTARIO!C144)),"FB7",
IF(ISNUMBER(SEARCH("LX360",INVENTARIO!C144)),"LX3",
IF(ISNUMBER(SEARCH("XEROX",INVENTARIO!C144)),"XER",
IF(ISNUMBER(SEARCH("CEPILLADO",INVENTARIO!C144)),"CEP",
IF(ISNUMBER(SEARCH("ESPEJO",INVENTARIO!C144)),"ESP",
IF(ISNUMBER(SEARCH("10 PTS",INVENTARIO!C144)),"10PT",
IF(ISNUMBER(SEARCH("12 PTS",INVENTARIO!C144)),"12PT",
IF(ISNUMBER(SEARCH("14 PTS",INVENTARIO!C144)),"14PT",
IF(ISNUMBER(SEARCH("CLASICO",INVENTARIO!C144)),"CLA",
""))))))))))))))))))))))</f>
        <v>LX3</v>
      </c>
      <c r="D144" t="str">
        <f>IF(ISNUMBER(SEARCH("GRAN FORMATO",INVENTARIO!C144)),"GRA-FOR",
IF(ISNUMBER(SEARCH("CAMA PLANA",INVENTARIO!C144)),"CAM-PLA",
IF(ISNUMBER(SEARCH("GRADO INGENIERIA",INVENTARIO!C144)),"GRA-ING",
IF(ISNUMBER(SEARCH("130 GRS",INVENTARIO!C144)),"130GR",
IF(ISNUMBER(SEARCH("150 GRS",INVENTARIO!C144)),"150GR",
IF(ISNUMBER(SEARCH("185 GRS",INVENTARIO!C144)),"185GR",
IF(ISNUMBER(SEARCH("200 GRS",INVENTARIO!C144)),"200GR",
IF(ISNUMBER(SEARCH("250 GRS",INVENTARIO!C144)),"250GR",
IF(ISNUMBER(SEARCH("300 GRS",INVENTARIO!C144)),"300GR",
IF(ISNUMBER(SEARCH("350 GRS",INVENTARIO!C144)),"350GR",
IF(ISNUMBER(SEARCH("18 OZ",INVENTARIO!C144)),"18OZ",
IF(ISNUMBER(SEARCH("15 OZ",INVENTARIO!C144)),"15OZ",
IF(OR(ISNUMBER(SEARCH("13 OZ",INVENTARIO!C144)),ISNUMBER(SEARCH("13 ONZAS",INVENTARIO!C144))),"13OZ",
IF(OR(ISNUMBER(SEARCH("9 OZ",INVENTARIO!C144)),ISNUMBER(SEARCH("9 ONZAS",INVENTARIO!C144))),"09OZ",
IF(ISNUMBER(SEARCH("DOBLE CARA",INVENTARIO!C144)),"DOB-CAR",
"")))))))))))))))</f>
        <v/>
      </c>
      <c r="E144" t="str">
        <f>IF(OR(ISNUMBER(SEARCH("TRANSPARENTE",INVENTARIO!C144)),ISNUMBER(SEARCH("TRANSPARENTES",INVENTARIO!C144))),"TRA",
IF(OR(ISNUMBER(SEARCH("BLANCO",INVENTARIO!C144)),ISNUMBER(SEARCH("BCO",INVENTARIO!C144))),"BLA",
IF(ISNUMBER(SEARCH("FOTOGRAFICO",INVENTARIO!C144)),"FOT",
IF(ISNUMBER(SEARCH("MARFIL",INVENTARIO!C144)),"MAR",
IF(ISNUMBER(SEARCH("VERDE",INVENTARIO!C144)),"VER",
IF(ISNUMBER(SEARCH("MORADO",INVENTARIO!C144)),"MOR",
IF(ISNUMBER(SEARCH("PLATA",INVENTARIO!C144)),"PLA",
IF(ISNUMBER(SEARCH("ORO",INVENTARIO!C144)),"ORO",
IF(ISNUMBER(SEARCH("AMARILLO",INVENTARIO!C144)),"AMA",
IF(ISNUMBER(SEARCH("NARANJA",INVENTARIO!C144)),"NAR",
IF(ISNUMBER(SEARCH("NEGRO",INVENTARIO!C144)),"NEG",
IF(ISNUMBER(SEARCH("ROJO",INVENTARIO!C144)),"ROJ",
IF(ISNUMBER(SEARCH("AZUL",INVENTARIO!C144)),"AZU","")))))))))))))</f>
        <v/>
      </c>
      <c r="F144" t="str">
        <f>IF(ISNUMBER(SEARCH("ARLON",INVENTARIO!C144)),"ARL",
IF(ISNUMBER(SEARCH("SUNTHINKS",INVENTARIO!C144)),"SUN",
IF(ISNUMBER(SEARCH("FRIO",INVENTARIO!C144)),"FRI",
IF(ISNUMBER(SEARCH("CALIDO",INVENTARIO!C144)),"CAL",
IF(ISNUMBER(SEARCH("CEPILLADO",INVENTARIO!C144)),"CEP",
IF(ISNUMBER(SEARCH("ESPEJO",INVENTARIO!C144)),"ESP",
""))))))</f>
        <v/>
      </c>
      <c r="G144" t="str">
        <f>IF(ISNUMBER(SEARCH("LATEX",INVENTARIO!C144)),"LAT",
IF(ISNUMBER(SEARCH("RESP. NEGRO",INVENTARIO!C144)),"RES-NEG",
IF(ISNUMBER(SEARCH("RESPALDO CAFE",INVENTARIO!C144)),"RES-CAF",
IF(ISNUMBER(SEARCH("RESPALDO GRIS",INVENTARIO!C144)),"RES-GRI",
IF(ISNUMBER(SEARCH("OPTICO",INVENTARIO!C144)),"OPT",
IF(ISNUMBER(SEARCH("1,2 MM",INVENTARIO!C144)),"1MM2",
IF(ISNUMBER(SEARCH("2 MM",INVENTARIO!C144)),"2MM",
IF(ISNUMBER(SEARCH("3 MM",INVENTARIO!C144)),"3MM",
IF(ISNUMBER(SEARCH("4 MM",INVENTARIO!C144)),"4MM",
IF(ISNUMBER(SEARCH("5 MM",INVENTARIO!C144)),"5MM",
IF(ISNUMBER(SEARCH("6 MM",INVENTARIO!C144)),"6MM",
IF(ISNUMBER(SEARCH("9 MM",INVENTARIO!C144)),"9MM",
IF(ISNUMBER(SEARCH("10 MM",INVENTARIO!C144)),"10MM","")))))))))))))</f>
        <v/>
      </c>
      <c r="H144" t="str">
        <f>IF(ISNUMBER(SEARCH("GAMA BAJA",INVENTARIO!C144)),"GAM-BAJ",
IF(ISNUMBER(SEARCH("OPTIMIZADOR",INVENTARIO!C144)),"OPT",
IF(ISNUMBER(SEARCH("OVERCOAT",INVENTARIO!C144)),"OVE",
IF(ISNUMBER(SEARCH("WHITE",INVENTARIO!C144)),"WHI",
IF(ISNUMBER(SEARCH("LIGHT CYAN",INVENTARIO!C144)),"LIG-CYA",
IF(ISNUMBER(SEARCH("CYAN",INVENTARIO!C144)),"CYA",
IF(ISNUMBER(SEARCH("LIGHT MAGENTA",INVENTARIO!C144)),"LIG-MAG",
IF(ISNUMBER(SEARCH("MAGENTA",INVENTARIO!C144)),"MAG",
IF(ISNUMBER(SEARCH("BLACK",INVENTARIO!C144)),"BLA",
IF(ISNUMBER(SEARCH("YELLOW",INVENTARIO!C144)),"YEL",
IF(ISNUMBER(SEARCH("2 DIODOS",INVENTARIO!C144)),"2DI",
IF(ISNUMBER(SEARCH("3 DIODOS",INVENTARIO!C144)),"3DI",
IF(OR(ISNUMBER(SEARCH("TRASLUCIDO",INVENTARIO!C144)),ISNUMBER(SEARCH("TRANSLUCIDO",INVENTARIO!C144))),"TRA",
"")))))))))))))</f>
        <v>LIG-MAG</v>
      </c>
      <c r="I14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5" spans="1:9">
      <c r="A145" t="str">
        <f>IF(ISNUMBER(SEARCH("LONA",INVENTARIO!C145)),"LON",
IF(ISNUMBER(SEARCH("VINIL",INVENTARIO!C145)),"VIN",
IF(ISNUMBER(SEARCH("KROMACOTE",INVENTARIO!C145)),"KRO",
IF(ISNUMBER(SEARCH("STARDREAM",INVENTARIO!C145)),"STA",
IF(ISNUMBER(SEARCH("DISPLAY",INVENTARIO!C145)),"DIS",
IF(ISNUMBER(SEARCH("ROLL UP",INVENTARIO!C145)),"ROL-UP",
IF(ISNUMBER(SEARCH("TRANSFER DE PAPEL",INVENTARIO!C145)),"TRA-PAP",
IF(ISNUMBER(SEARCH("TRANSFER",INVENTARIO!C145)),"TRA",IF(ISNUMBER(SEARCH("KOLA LOKA",INVENTARIO!C145)),"KOL-LOK",
IF(ISNUMBER(SEARCH("PETG",INVENTARIO!C145)),"PET",
IF(ISNUMBER(SEARCH("OJILLO",INVENTARIO!C145)),"OJI",
IF(ISNUMBER(SEARCH("COUCHE",INVENTARIO!C145)),"COU",
IF(ISNUMBER(SEARCH("PANEL DE ALUMINIO",INVENTARIO!C145)),"PAN-ALU",
IF(ISNUMBER(SEARCH("PVC",INVENTARIO!C145)),"PVC",
IF(ISNUMBER(SEARCH("PAPEL",INVENTARIO!C145)),"PAP",
IF(ISNUMBER(SEARCH("TELA",INVENTARIO!C145)),"TEL",
IF(ISNUMBER(SEARCH("CARTULINA",INVENTARIO!C145)),"CAR",
IF(OR(ISNUMBER(SEARCH("LAMINA",INVENTARIO!C145)),ISNUMBER(SEARCH("LÁMINA",INVENTARIO!C145)),ISNUMBER(SEARCH("LAMPARAS",INVENTARIO!C145))),"LAM",
IF(ISNUMBER(SEARCH("ESTIRENO",INVENTARIO!C145)),"EST",
IF(ISNUMBER(SEARCH("FOAMBOARD",INVENTARIO!C145)),"FOA",
IF(ISNUMBER(SEARCH("SOLVENTE",INVENTARIO!C145)),"SOL",
IF(ISNUMBER(SEARCH("TINTA",INVENTARIO!C145)),"TIN",
IF(ISNUMBER(SEARCH("ACRILICO",INVENTARIO!C145)),"ACR",
IF(ISNUMBER(SEARCH("MICROLED",INVENTARIO!C145)),"MIC",
IF(ISNUMBER(SEARCH("LED",INVENTARIO!C145)),"LED",
IF(ISNUMBER(SEARCH("FUENTE DE PODER",INVENTARIO!C145)),"FUE-POD",
IF(ISNUMBER(SEARCH("PETG",INVENTARIO!C145)),"PET",
IF(ISNUMBER(SEARCH("ALUMINIO",INVENTARIO!C145)),"ALU",
IF(ISNUMBER(SEARCH("CANAL",INVENTARIO!C145)),"CAN",
IF(ISNUMBER(SEARCH("ESCUADRA",INVENTARIO!C145)),"ESC",
IF(ISNUMBER(SEARCH("SOPORTE",INVENTARIO!C145)),"SOP","OTR")
))))))))))))))))))))))))))))))</f>
        <v>TIN</v>
      </c>
      <c r="B145" t="str">
        <f>IF(ISNUMBER(SEARCH("CORTE",INVENTARIO!C145)),"COR",
IF(ISNUMBER(SEARCH("CITYLIGHT",INVENTARIO!C145)),"CIT",
IF(ISNUMBER(SEARCH("LINO",INVENTARIO!C145)),"LIN",
IF(ISNUMBER(SEARCH("FABRIANO",INVENTARIO!C145)),"FAB",
IF(ISNUMBER(SEARCH("SUNDANCE",INVENTARIO!C145)),"SUN",
IF(ISNUMBER(SEARCH("SINTETICA",INVENTARIO!C145)),"SIN",
IF(ISNUMBER(SEARCH("CONTROL",INVENTARIO!C145)),"CON",
IF(ISNUMBER(SEARCH("TERMICO",INVENTARIO!C145)),"TER",
IF(ISNUMBER(SEARCH("C-15",INVENTARIO!C145)),"C15",
IF(ISNUMBER(SEARCH("C-20",INVENTARIO!C145)),"C20",
IF(ISNUMBER(SEARCH("C-30",INVENTARIO!C145)),"C30",
IF(ISNUMBER(SEARCH("C-40",INVENTARIO!C145)),"C40",
IF(ISNUMBER(SEARCH("C-60",INVENTARIO!C145)),"C60",
IF(ISNUMBER(SEARCH("C-80",INVENTARIO!C145)),"C80",
IF(ISNUMBER(SEARCH("EQUIPO",INVENTARIO!C145)),"EQU",
IF(ISNUMBER(SEARCH("FLOOR",INVENTARIO!C145)),"FLO",
IF(ISNUMBER(SEARCH("CRISTAL",INVENTARIO!C145)),"CRI",
IF(ISNUMBER(SEARCH(" SULFATADA",INVENTARIO!C156)),"SUL",
IF(ISNUMBER(SEARCH("OPALINA",INVENTARIO!C145)),"OPA",
IF(ISNUMBER(SEARCH("ADHERIBLE",INVENTARIO!C145)),"ADH",
IF(ISNUMBER(SEARCH("MICRO",INVENTARIO!C145)),"MIC","")))))))))))))))))))))</f>
        <v/>
      </c>
      <c r="C145" t="str">
        <f>IF(ISNUMBER(SEARCH("PARED",INVENTARIO!C145)),"PAR",
IF(ISNUMBER(SEARCH("FRONT",INVENTARIO!C145)),"FRO",
IF(ISNUMBER(SEARCH("ALTA RESISTENCIA",INVENTARIO!C145)),
"ALT-RES",IF(ISNUMBER(SEARCH("BACKLITE",INVENTARIO!C145)),"BAC",
IF(ISNUMBER(SEARCH("MATE",INVENTARIO!C145)),"MAT",
IF(ISNUMBER(SEARCH("MESH",INVENTARIO!C145)),"MES",
IF(ISNUMBER(SEARCH("BRILLANTE",INVENTARIO!C145)),"BRI",
IF(ISNUMBER(SEARCH("DELGADA",INVENTARIO!C145)),"DEL",
IF(ISNUMBER(SEARCH("GRUESA",INVENTARIO!C145)),"GRU",
IF(ISNUMBER(SEARCH("ESTATICO",INVENTARIO!C145)),"EST",
IF(ISNUMBER(SEARCH("REFLECTIVO",INVENTARIO!C145)),"REF",
IF(ISNUMBER(SEARCH("LX700",INVENTARIO!C145)),"LX7",
IF(ISNUMBER(SEARCH("GRANDO",INVENTARIO!C145)),"GRA",
IF(ISNUMBER(SEARCH("FB700",INVENTARIO!C145)),"FB7",
IF(ISNUMBER(SEARCH("LX360",INVENTARIO!C145)),"LX3",
IF(ISNUMBER(SEARCH("XEROX",INVENTARIO!C145)),"XER",
IF(ISNUMBER(SEARCH("CEPILLADO",INVENTARIO!C145)),"CEP",
IF(ISNUMBER(SEARCH("ESPEJO",INVENTARIO!C145)),"ESP",
IF(ISNUMBER(SEARCH("10 PTS",INVENTARIO!C145)),"10PT",
IF(ISNUMBER(SEARCH("12 PTS",INVENTARIO!C145)),"12PT",
IF(ISNUMBER(SEARCH("14 PTS",INVENTARIO!C145)),"14PT",
IF(ISNUMBER(SEARCH("CLASICO",INVENTARIO!C145)),"CLA",
""))))))))))))))))))))))</f>
        <v>LX3</v>
      </c>
      <c r="D145" t="str">
        <f>IF(ISNUMBER(SEARCH("GRAN FORMATO",INVENTARIO!C145)),"GRA-FOR",
IF(ISNUMBER(SEARCH("CAMA PLANA",INVENTARIO!C145)),"CAM-PLA",
IF(ISNUMBER(SEARCH("GRADO INGENIERIA",INVENTARIO!C145)),"GRA-ING",
IF(ISNUMBER(SEARCH("130 GRS",INVENTARIO!C145)),"130GR",
IF(ISNUMBER(SEARCH("150 GRS",INVENTARIO!C145)),"150GR",
IF(ISNUMBER(SEARCH("185 GRS",INVENTARIO!C145)),"185GR",
IF(ISNUMBER(SEARCH("200 GRS",INVENTARIO!C145)),"200GR",
IF(ISNUMBER(SEARCH("250 GRS",INVENTARIO!C145)),"250GR",
IF(ISNUMBER(SEARCH("300 GRS",INVENTARIO!C145)),"300GR",
IF(ISNUMBER(SEARCH("350 GRS",INVENTARIO!C145)),"350GR",
IF(ISNUMBER(SEARCH("18 OZ",INVENTARIO!C145)),"18OZ",
IF(ISNUMBER(SEARCH("15 OZ",INVENTARIO!C145)),"15OZ",
IF(OR(ISNUMBER(SEARCH("13 OZ",INVENTARIO!C145)),ISNUMBER(SEARCH("13 ONZAS",INVENTARIO!C145))),"13OZ",
IF(OR(ISNUMBER(SEARCH("9 OZ",INVENTARIO!C145)),ISNUMBER(SEARCH("9 ONZAS",INVENTARIO!C145))),"09OZ",
IF(ISNUMBER(SEARCH("DOBLE CARA",INVENTARIO!C145)),"DOB-CAR",
"")))))))))))))))</f>
        <v/>
      </c>
      <c r="E145" t="str">
        <f>IF(OR(ISNUMBER(SEARCH("TRANSPARENTE",INVENTARIO!C145)),ISNUMBER(SEARCH("TRANSPARENTES",INVENTARIO!C145))),"TRA",
IF(OR(ISNUMBER(SEARCH("BLANCO",INVENTARIO!C145)),ISNUMBER(SEARCH("BCO",INVENTARIO!C145))),"BLA",
IF(ISNUMBER(SEARCH("FOTOGRAFICO",INVENTARIO!C145)),"FOT",
IF(ISNUMBER(SEARCH("MARFIL",INVENTARIO!C145)),"MAR",
IF(ISNUMBER(SEARCH("VERDE",INVENTARIO!C145)),"VER",
IF(ISNUMBER(SEARCH("MORADO",INVENTARIO!C145)),"MOR",
IF(ISNUMBER(SEARCH("PLATA",INVENTARIO!C145)),"PLA",
IF(ISNUMBER(SEARCH("ORO",INVENTARIO!C145)),"ORO",
IF(ISNUMBER(SEARCH("AMARILLO",INVENTARIO!C145)),"AMA",
IF(ISNUMBER(SEARCH("NARANJA",INVENTARIO!C145)),"NAR",
IF(ISNUMBER(SEARCH("NEGRO",INVENTARIO!C145)),"NEG",
IF(ISNUMBER(SEARCH("ROJO",INVENTARIO!C145)),"ROJ",
IF(ISNUMBER(SEARCH("AZUL",INVENTARIO!C145)),"AZU","")))))))))))))</f>
        <v/>
      </c>
      <c r="F145" t="str">
        <f>IF(ISNUMBER(SEARCH("ARLON",INVENTARIO!C145)),"ARL",
IF(ISNUMBER(SEARCH("SUNTHINKS",INVENTARIO!C145)),"SUN",
IF(ISNUMBER(SEARCH("FRIO",INVENTARIO!C145)),"FRI",
IF(ISNUMBER(SEARCH("CALIDO",INVENTARIO!C145)),"CAL",
IF(ISNUMBER(SEARCH("CEPILLADO",INVENTARIO!C145)),"CEP",
IF(ISNUMBER(SEARCH("ESPEJO",INVENTARIO!C145)),"ESP",
""))))))</f>
        <v/>
      </c>
      <c r="G145" t="str">
        <f>IF(ISNUMBER(SEARCH("LATEX",INVENTARIO!C145)),"LAT",
IF(ISNUMBER(SEARCH("RESP. NEGRO",INVENTARIO!C145)),"RES-NEG",
IF(ISNUMBER(SEARCH("RESPALDO CAFE",INVENTARIO!C145)),"RES-CAF",
IF(ISNUMBER(SEARCH("RESPALDO GRIS",INVENTARIO!C145)),"RES-GRI",
IF(ISNUMBER(SEARCH("OPTICO",INVENTARIO!C145)),"OPT",
IF(ISNUMBER(SEARCH("1,2 MM",INVENTARIO!C145)),"1MM2",
IF(ISNUMBER(SEARCH("2 MM",INVENTARIO!C145)),"2MM",
IF(ISNUMBER(SEARCH("3 MM",INVENTARIO!C145)),"3MM",
IF(ISNUMBER(SEARCH("4 MM",INVENTARIO!C145)),"4MM",
IF(ISNUMBER(SEARCH("5 MM",INVENTARIO!C145)),"5MM",
IF(ISNUMBER(SEARCH("6 MM",INVENTARIO!C145)),"6MM",
IF(ISNUMBER(SEARCH("9 MM",INVENTARIO!C145)),"9MM",
IF(ISNUMBER(SEARCH("10 MM",INVENTARIO!C145)),"10MM","")))))))))))))</f>
        <v/>
      </c>
      <c r="H145" t="str">
        <f>IF(ISNUMBER(SEARCH("GAMA BAJA",INVENTARIO!C145)),"GAM-BAJ",
IF(ISNUMBER(SEARCH("OPTIMIZADOR",INVENTARIO!C145)),"OPT",
IF(ISNUMBER(SEARCH("OVERCOAT",INVENTARIO!C145)),"OVE",
IF(ISNUMBER(SEARCH("WHITE",INVENTARIO!C145)),"WHI",
IF(ISNUMBER(SEARCH("LIGHT CYAN",INVENTARIO!C145)),"LIG-CYA",
IF(ISNUMBER(SEARCH("CYAN",INVENTARIO!C145)),"CYA",
IF(ISNUMBER(SEARCH("LIGHT MAGENTA",INVENTARIO!C145)),"LIG-MAG",
IF(ISNUMBER(SEARCH("MAGENTA",INVENTARIO!C145)),"MAG",
IF(ISNUMBER(SEARCH("BLACK",INVENTARIO!C145)),"BLA",
IF(ISNUMBER(SEARCH("YELLOW",INVENTARIO!C145)),"YEL",
IF(ISNUMBER(SEARCH("2 DIODOS",INVENTARIO!C145)),"2DI",
IF(ISNUMBER(SEARCH("3 DIODOS",INVENTARIO!C145)),"3DI",
IF(OR(ISNUMBER(SEARCH("TRASLUCIDO",INVENTARIO!C145)),ISNUMBER(SEARCH("TRANSLUCIDO",INVENTARIO!C145))),"TRA",
"")))))))))))))</f>
        <v>OPT</v>
      </c>
      <c r="I14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6" spans="1:9">
      <c r="A146" t="str">
        <f>IF(ISNUMBER(SEARCH("LONA",INVENTARIO!C146)),"LON",
IF(ISNUMBER(SEARCH("VINIL",INVENTARIO!C146)),"VIN",
IF(ISNUMBER(SEARCH("KROMACOTE",INVENTARIO!C146)),"KRO",
IF(ISNUMBER(SEARCH("STARDREAM",INVENTARIO!C146)),"STA",
IF(ISNUMBER(SEARCH("DISPLAY",INVENTARIO!C146)),"DIS",
IF(ISNUMBER(SEARCH("ROLL UP",INVENTARIO!C146)),"ROL-UP",
IF(ISNUMBER(SEARCH("TRANSFER DE PAPEL",INVENTARIO!C146)),"TRA-PAP",
IF(ISNUMBER(SEARCH("TRANSFER",INVENTARIO!C146)),"TRA",IF(ISNUMBER(SEARCH("KOLA LOKA",INVENTARIO!C146)),"KOL-LOK",
IF(ISNUMBER(SEARCH("PETG",INVENTARIO!C146)),"PET",
IF(ISNUMBER(SEARCH("OJILLO",INVENTARIO!C146)),"OJI",
IF(ISNUMBER(SEARCH("COUCHE",INVENTARIO!C146)),"COU",
IF(ISNUMBER(SEARCH("PANEL DE ALUMINIO",INVENTARIO!C146)),"PAN-ALU",
IF(ISNUMBER(SEARCH("PVC",INVENTARIO!C146)),"PVC",
IF(ISNUMBER(SEARCH("PAPEL",INVENTARIO!C146)),"PAP",
IF(ISNUMBER(SEARCH("TELA",INVENTARIO!C146)),"TEL",
IF(ISNUMBER(SEARCH("CARTULINA",INVENTARIO!C146)),"CAR",
IF(OR(ISNUMBER(SEARCH("LAMINA",INVENTARIO!C146)),ISNUMBER(SEARCH("LÁMINA",INVENTARIO!C146)),ISNUMBER(SEARCH("LAMPARAS",INVENTARIO!C146))),"LAM",
IF(ISNUMBER(SEARCH("ESTIRENO",INVENTARIO!C146)),"EST",
IF(ISNUMBER(SEARCH("FOAMBOARD",INVENTARIO!C146)),"FOA",
IF(ISNUMBER(SEARCH("SOLVENTE",INVENTARIO!C146)),"SOL",
IF(ISNUMBER(SEARCH("TINTA",INVENTARIO!C146)),"TIN",
IF(ISNUMBER(SEARCH("ACRILICO",INVENTARIO!C146)),"ACR",
IF(ISNUMBER(SEARCH("MICROLED",INVENTARIO!C146)),"MIC",
IF(ISNUMBER(SEARCH("LED",INVENTARIO!C146)),"LED",
IF(ISNUMBER(SEARCH("FUENTE DE PODER",INVENTARIO!C146)),"FUE-POD",
IF(ISNUMBER(SEARCH("PETG",INVENTARIO!C146)),"PET",
IF(ISNUMBER(SEARCH("ALUMINIO",INVENTARIO!C146)),"ALU",
IF(ISNUMBER(SEARCH("CANAL",INVENTARIO!C146)),"CAN",
IF(ISNUMBER(SEARCH("ESCUADRA",INVENTARIO!C146)),"ESC",
IF(ISNUMBER(SEARCH("SOPORTE",INVENTARIO!C146)),"SOP","OTR")
))))))))))))))))))))))))))))))</f>
        <v>TIN</v>
      </c>
      <c r="B146" t="str">
        <f>IF(ISNUMBER(SEARCH("CORTE",INVENTARIO!C146)),"COR",
IF(ISNUMBER(SEARCH("CITYLIGHT",INVENTARIO!C146)),"CIT",
IF(ISNUMBER(SEARCH("LINO",INVENTARIO!C146)),"LIN",
IF(ISNUMBER(SEARCH("FABRIANO",INVENTARIO!C146)),"FAB",
IF(ISNUMBER(SEARCH("SUNDANCE",INVENTARIO!C146)),"SUN",
IF(ISNUMBER(SEARCH("SINTETICA",INVENTARIO!C146)),"SIN",
IF(ISNUMBER(SEARCH("CONTROL",INVENTARIO!C146)),"CON",
IF(ISNUMBER(SEARCH("TERMICO",INVENTARIO!C146)),"TER",
IF(ISNUMBER(SEARCH("C-15",INVENTARIO!C146)),"C15",
IF(ISNUMBER(SEARCH("C-20",INVENTARIO!C146)),"C20",
IF(ISNUMBER(SEARCH("C-30",INVENTARIO!C146)),"C30",
IF(ISNUMBER(SEARCH("C-40",INVENTARIO!C146)),"C40",
IF(ISNUMBER(SEARCH("C-60",INVENTARIO!C146)),"C60",
IF(ISNUMBER(SEARCH("C-80",INVENTARIO!C146)),"C80",
IF(ISNUMBER(SEARCH("EQUIPO",INVENTARIO!C146)),"EQU",
IF(ISNUMBER(SEARCH("FLOOR",INVENTARIO!C146)),"FLO",
IF(ISNUMBER(SEARCH("CRISTAL",INVENTARIO!C146)),"CRI",
IF(ISNUMBER(SEARCH(" SULFATADA",INVENTARIO!C157)),"SUL",
IF(ISNUMBER(SEARCH("OPALINA",INVENTARIO!C146)),"OPA",
IF(ISNUMBER(SEARCH("ADHERIBLE",INVENTARIO!C146)),"ADH",
IF(ISNUMBER(SEARCH("MICRO",INVENTARIO!C146)),"MIC","")))))))))))))))))))))</f>
        <v/>
      </c>
      <c r="C146" t="str">
        <f>IF(ISNUMBER(SEARCH("PARED",INVENTARIO!C146)),"PAR",
IF(ISNUMBER(SEARCH("FRONT",INVENTARIO!C146)),"FRO",
IF(ISNUMBER(SEARCH("ALTA RESISTENCIA",INVENTARIO!C146)),
"ALT-RES",IF(ISNUMBER(SEARCH("BACKLITE",INVENTARIO!C146)),"BAC",
IF(ISNUMBER(SEARCH("MATE",INVENTARIO!C146)),"MAT",
IF(ISNUMBER(SEARCH("MESH",INVENTARIO!C146)),"MES",
IF(ISNUMBER(SEARCH("BRILLANTE",INVENTARIO!C146)),"BRI",
IF(ISNUMBER(SEARCH("DELGADA",INVENTARIO!C146)),"DEL",
IF(ISNUMBER(SEARCH("GRUESA",INVENTARIO!C146)),"GRU",
IF(ISNUMBER(SEARCH("ESTATICO",INVENTARIO!C146)),"EST",
IF(ISNUMBER(SEARCH("REFLECTIVO",INVENTARIO!C146)),"REF",
IF(ISNUMBER(SEARCH("LX700",INVENTARIO!C146)),"LX7",
IF(ISNUMBER(SEARCH("GRANDO",INVENTARIO!C146)),"GRA",
IF(ISNUMBER(SEARCH("FB700",INVENTARIO!C146)),"FB7",
IF(ISNUMBER(SEARCH("LX360",INVENTARIO!C146)),"LX3",
IF(ISNUMBER(SEARCH("XEROX",INVENTARIO!C146)),"XER",
IF(ISNUMBER(SEARCH("CEPILLADO",INVENTARIO!C146)),"CEP",
IF(ISNUMBER(SEARCH("ESPEJO",INVENTARIO!C146)),"ESP",
IF(ISNUMBER(SEARCH("10 PTS",INVENTARIO!C146)),"10PT",
IF(ISNUMBER(SEARCH("12 PTS",INVENTARIO!C146)),"12PT",
IF(ISNUMBER(SEARCH("14 PTS",INVENTARIO!C146)),"14PT",
IF(ISNUMBER(SEARCH("CLASICO",INVENTARIO!C146)),"CLA",
""))))))))))))))))))))))</f>
        <v>XER</v>
      </c>
      <c r="D146" t="str">
        <f>IF(ISNUMBER(SEARCH("GRAN FORMATO",INVENTARIO!C146)),"GRA-FOR",
IF(ISNUMBER(SEARCH("CAMA PLANA",INVENTARIO!C146)),"CAM-PLA",
IF(ISNUMBER(SEARCH("GRADO INGENIERIA",INVENTARIO!C146)),"GRA-ING",
IF(ISNUMBER(SEARCH("130 GRS",INVENTARIO!C146)),"130GR",
IF(ISNUMBER(SEARCH("150 GRS",INVENTARIO!C146)),"150GR",
IF(ISNUMBER(SEARCH("185 GRS",INVENTARIO!C146)),"185GR",
IF(ISNUMBER(SEARCH("200 GRS",INVENTARIO!C146)),"200GR",
IF(ISNUMBER(SEARCH("250 GRS",INVENTARIO!C146)),"250GR",
IF(ISNUMBER(SEARCH("300 GRS",INVENTARIO!C146)),"300GR",
IF(ISNUMBER(SEARCH("350 GRS",INVENTARIO!C146)),"350GR",
IF(ISNUMBER(SEARCH("18 OZ",INVENTARIO!C146)),"18OZ",
IF(ISNUMBER(SEARCH("15 OZ",INVENTARIO!C146)),"15OZ",
IF(OR(ISNUMBER(SEARCH("13 OZ",INVENTARIO!C146)),ISNUMBER(SEARCH("13 ONZAS",INVENTARIO!C146))),"13OZ",
IF(OR(ISNUMBER(SEARCH("9 OZ",INVENTARIO!C146)),ISNUMBER(SEARCH("9 ONZAS",INVENTARIO!C146))),"09OZ",
IF(ISNUMBER(SEARCH("DOBLE CARA",INVENTARIO!C146)),"DOB-CAR",
"")))))))))))))))</f>
        <v/>
      </c>
      <c r="E146" t="str">
        <f>IF(OR(ISNUMBER(SEARCH("TRANSPARENTE",INVENTARIO!C146)),ISNUMBER(SEARCH("TRANSPARENTES",INVENTARIO!C146))),"TRA",
IF(OR(ISNUMBER(SEARCH("BLANCO",INVENTARIO!C146)),ISNUMBER(SEARCH("BCO",INVENTARIO!C146))),"BLA",
IF(ISNUMBER(SEARCH("FOTOGRAFICO",INVENTARIO!C146)),"FOT",
IF(ISNUMBER(SEARCH("MARFIL",INVENTARIO!C146)),"MAR",
IF(ISNUMBER(SEARCH("VERDE",INVENTARIO!C146)),"VER",
IF(ISNUMBER(SEARCH("MORADO",INVENTARIO!C146)),"MOR",
IF(ISNUMBER(SEARCH("PLATA",INVENTARIO!C146)),"PLA",
IF(ISNUMBER(SEARCH("ORO",INVENTARIO!C146)),"ORO",
IF(ISNUMBER(SEARCH("AMARILLO",INVENTARIO!C146)),"AMA",
IF(ISNUMBER(SEARCH("NARANJA",INVENTARIO!C146)),"NAR",
IF(ISNUMBER(SEARCH("NEGRO",INVENTARIO!C146)),"NEG",
IF(ISNUMBER(SEARCH("ROJO",INVENTARIO!C146)),"ROJ",
IF(ISNUMBER(SEARCH("AZUL",INVENTARIO!C146)),"AZU","")))))))))))))</f>
        <v/>
      </c>
      <c r="F146" t="str">
        <f>IF(ISNUMBER(SEARCH("ARLON",INVENTARIO!C146)),"ARL",
IF(ISNUMBER(SEARCH("SUNTHINKS",INVENTARIO!C146)),"SUN",
IF(ISNUMBER(SEARCH("FRIO",INVENTARIO!C146)),"FRI",
IF(ISNUMBER(SEARCH("CALIDO",INVENTARIO!C146)),"CAL",
IF(ISNUMBER(SEARCH("CEPILLADO",INVENTARIO!C146)),"CEP",
IF(ISNUMBER(SEARCH("ESPEJO",INVENTARIO!C146)),"ESP",
""))))))</f>
        <v/>
      </c>
      <c r="G146" t="str">
        <f>IF(ISNUMBER(SEARCH("LATEX",INVENTARIO!C146)),"LAT",
IF(ISNUMBER(SEARCH("RESP. NEGRO",INVENTARIO!C146)),"RES-NEG",
IF(ISNUMBER(SEARCH("RESPALDO CAFE",INVENTARIO!C146)),"RES-CAF",
IF(ISNUMBER(SEARCH("RESPALDO GRIS",INVENTARIO!C146)),"RES-GRI",
IF(ISNUMBER(SEARCH("OPTICO",INVENTARIO!C146)),"OPT",
IF(ISNUMBER(SEARCH("1,2 MM",INVENTARIO!C146)),"1MM2",
IF(ISNUMBER(SEARCH("2 MM",INVENTARIO!C146)),"2MM",
IF(ISNUMBER(SEARCH("3 MM",INVENTARIO!C146)),"3MM",
IF(ISNUMBER(SEARCH("4 MM",INVENTARIO!C146)),"4MM",
IF(ISNUMBER(SEARCH("5 MM",INVENTARIO!C146)),"5MM",
IF(ISNUMBER(SEARCH("6 MM",INVENTARIO!C146)),"6MM",
IF(ISNUMBER(SEARCH("9 MM",INVENTARIO!C146)),"9MM",
IF(ISNUMBER(SEARCH("10 MM",INVENTARIO!C146)),"10MM","")))))))))))))</f>
        <v/>
      </c>
      <c r="H146" t="str">
        <f>IF(ISNUMBER(SEARCH("GAMA BAJA",INVENTARIO!C146)),"GAM-BAJ",
IF(ISNUMBER(SEARCH("OPTIMIZADOR",INVENTARIO!C146)),"OPT",
IF(ISNUMBER(SEARCH("OVERCOAT",INVENTARIO!C146)),"OVE",
IF(ISNUMBER(SEARCH("WHITE",INVENTARIO!C146)),"WHI",
IF(ISNUMBER(SEARCH("LIGHT CYAN",INVENTARIO!C146)),"LIG-CYA",
IF(ISNUMBER(SEARCH("CYAN",INVENTARIO!C146)),"CYA",
IF(ISNUMBER(SEARCH("LIGHT MAGENTA",INVENTARIO!C146)),"LIG-MAG",
IF(ISNUMBER(SEARCH("MAGENTA",INVENTARIO!C146)),"MAG",
IF(ISNUMBER(SEARCH("BLACK",INVENTARIO!C146)),"BLA",
IF(ISNUMBER(SEARCH("YELLOW",INVENTARIO!C146)),"YEL",
IF(ISNUMBER(SEARCH("2 DIODOS",INVENTARIO!C146)),"2DI",
IF(ISNUMBER(SEARCH("3 DIODOS",INVENTARIO!C146)),"3DI",
IF(OR(ISNUMBER(SEARCH("TRASLUCIDO",INVENTARIO!C146)),ISNUMBER(SEARCH("TRANSLUCIDO",INVENTARIO!C146))),"TRA",
"")))))))))))))</f>
        <v>CYA</v>
      </c>
      <c r="I14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7" spans="1:9">
      <c r="A147" t="str">
        <f>IF(ISNUMBER(SEARCH("LONA",INVENTARIO!C147)),"LON",
IF(ISNUMBER(SEARCH("VINIL",INVENTARIO!C147)),"VIN",
IF(ISNUMBER(SEARCH("KROMACOTE",INVENTARIO!C147)),"KRO",
IF(ISNUMBER(SEARCH("STARDREAM",INVENTARIO!C147)),"STA",
IF(ISNUMBER(SEARCH("DISPLAY",INVENTARIO!C147)),"DIS",
IF(ISNUMBER(SEARCH("ROLL UP",INVENTARIO!C147)),"ROL-UP",
IF(ISNUMBER(SEARCH("TRANSFER DE PAPEL",INVENTARIO!C147)),"TRA-PAP",
IF(ISNUMBER(SEARCH("TRANSFER",INVENTARIO!C147)),"TRA",IF(ISNUMBER(SEARCH("KOLA LOKA",INVENTARIO!C147)),"KOL-LOK",
IF(ISNUMBER(SEARCH("PETG",INVENTARIO!C147)),"PET",
IF(ISNUMBER(SEARCH("OJILLO",INVENTARIO!C147)),"OJI",
IF(ISNUMBER(SEARCH("COUCHE",INVENTARIO!C147)),"COU",
IF(ISNUMBER(SEARCH("PANEL DE ALUMINIO",INVENTARIO!C147)),"PAN-ALU",
IF(ISNUMBER(SEARCH("PVC",INVENTARIO!C147)),"PVC",
IF(ISNUMBER(SEARCH("PAPEL",INVENTARIO!C147)),"PAP",
IF(ISNUMBER(SEARCH("TELA",INVENTARIO!C147)),"TEL",
IF(ISNUMBER(SEARCH("CARTULINA",INVENTARIO!C147)),"CAR",
IF(OR(ISNUMBER(SEARCH("LAMINA",INVENTARIO!C147)),ISNUMBER(SEARCH("LÁMINA",INVENTARIO!C147)),ISNUMBER(SEARCH("LAMPARAS",INVENTARIO!C147))),"LAM",
IF(ISNUMBER(SEARCH("ESTIRENO",INVENTARIO!C147)),"EST",
IF(ISNUMBER(SEARCH("FOAMBOARD",INVENTARIO!C147)),"FOA",
IF(ISNUMBER(SEARCH("SOLVENTE",INVENTARIO!C147)),"SOL",
IF(ISNUMBER(SEARCH("TINTA",INVENTARIO!C147)),"TIN",
IF(ISNUMBER(SEARCH("ACRILICO",INVENTARIO!C147)),"ACR",
IF(ISNUMBER(SEARCH("MICROLED",INVENTARIO!C147)),"MIC",
IF(ISNUMBER(SEARCH("LED",INVENTARIO!C147)),"LED",
IF(ISNUMBER(SEARCH("FUENTE DE PODER",INVENTARIO!C147)),"FUE-POD",
IF(ISNUMBER(SEARCH("PETG",INVENTARIO!C147)),"PET",
IF(ISNUMBER(SEARCH("ALUMINIO",INVENTARIO!C147)),"ALU",
IF(ISNUMBER(SEARCH("CANAL",INVENTARIO!C147)),"CAN",
IF(ISNUMBER(SEARCH("ESCUADRA",INVENTARIO!C147)),"ESC",
IF(ISNUMBER(SEARCH("SOPORTE",INVENTARIO!C147)),"SOP","OTR")
))))))))))))))))))))))))))))))</f>
        <v>TIN</v>
      </c>
      <c r="B147" t="str">
        <f>IF(ISNUMBER(SEARCH("CORTE",INVENTARIO!C147)),"COR",
IF(ISNUMBER(SEARCH("CITYLIGHT",INVENTARIO!C147)),"CIT",
IF(ISNUMBER(SEARCH("LINO",INVENTARIO!C147)),"LIN",
IF(ISNUMBER(SEARCH("FABRIANO",INVENTARIO!C147)),"FAB",
IF(ISNUMBER(SEARCH("SUNDANCE",INVENTARIO!C147)),"SUN",
IF(ISNUMBER(SEARCH("SINTETICA",INVENTARIO!C147)),"SIN",
IF(ISNUMBER(SEARCH("CONTROL",INVENTARIO!C147)),"CON",
IF(ISNUMBER(SEARCH("TERMICO",INVENTARIO!C147)),"TER",
IF(ISNUMBER(SEARCH("C-15",INVENTARIO!C147)),"C15",
IF(ISNUMBER(SEARCH("C-20",INVENTARIO!C147)),"C20",
IF(ISNUMBER(SEARCH("C-30",INVENTARIO!C147)),"C30",
IF(ISNUMBER(SEARCH("C-40",INVENTARIO!C147)),"C40",
IF(ISNUMBER(SEARCH("C-60",INVENTARIO!C147)),"C60",
IF(ISNUMBER(SEARCH("C-80",INVENTARIO!C147)),"C80",
IF(ISNUMBER(SEARCH("EQUIPO",INVENTARIO!C147)),"EQU",
IF(ISNUMBER(SEARCH("FLOOR",INVENTARIO!C147)),"FLO",
IF(ISNUMBER(SEARCH("CRISTAL",INVENTARIO!C147)),"CRI",
IF(ISNUMBER(SEARCH(" SULFATADA",INVENTARIO!C158)),"SUL",
IF(ISNUMBER(SEARCH("OPALINA",INVENTARIO!C147)),"OPA",
IF(ISNUMBER(SEARCH("ADHERIBLE",INVENTARIO!C147)),"ADH",
IF(ISNUMBER(SEARCH("MICRO",INVENTARIO!C147)),"MIC","")))))))))))))))))))))</f>
        <v/>
      </c>
      <c r="C147" t="str">
        <f>IF(ISNUMBER(SEARCH("PARED",INVENTARIO!C147)),"PAR",
IF(ISNUMBER(SEARCH("FRONT",INVENTARIO!C147)),"FRO",
IF(ISNUMBER(SEARCH("ALTA RESISTENCIA",INVENTARIO!C147)),
"ALT-RES",IF(ISNUMBER(SEARCH("BACKLITE",INVENTARIO!C147)),"BAC",
IF(ISNUMBER(SEARCH("MATE",INVENTARIO!C147)),"MAT",
IF(ISNUMBER(SEARCH("MESH",INVENTARIO!C147)),"MES",
IF(ISNUMBER(SEARCH("BRILLANTE",INVENTARIO!C147)),"BRI",
IF(ISNUMBER(SEARCH("DELGADA",INVENTARIO!C147)),"DEL",
IF(ISNUMBER(SEARCH("GRUESA",INVENTARIO!C147)),"GRU",
IF(ISNUMBER(SEARCH("ESTATICO",INVENTARIO!C147)),"EST",
IF(ISNUMBER(SEARCH("REFLECTIVO",INVENTARIO!C147)),"REF",
IF(ISNUMBER(SEARCH("LX700",INVENTARIO!C147)),"LX7",
IF(ISNUMBER(SEARCH("GRANDO",INVENTARIO!C147)),"GRA",
IF(ISNUMBER(SEARCH("FB700",INVENTARIO!C147)),"FB7",
IF(ISNUMBER(SEARCH("LX360",INVENTARIO!C147)),"LX3",
IF(ISNUMBER(SEARCH("XEROX",INVENTARIO!C147)),"XER",
IF(ISNUMBER(SEARCH("CEPILLADO",INVENTARIO!C147)),"CEP",
IF(ISNUMBER(SEARCH("ESPEJO",INVENTARIO!C147)),"ESP",
IF(ISNUMBER(SEARCH("10 PTS",INVENTARIO!C147)),"10PT",
IF(ISNUMBER(SEARCH("12 PTS",INVENTARIO!C147)),"12PT",
IF(ISNUMBER(SEARCH("14 PTS",INVENTARIO!C147)),"14PT",
IF(ISNUMBER(SEARCH("CLASICO",INVENTARIO!C147)),"CLA",
""))))))))))))))))))))))</f>
        <v>XER</v>
      </c>
      <c r="D147" t="str">
        <f>IF(ISNUMBER(SEARCH("GRAN FORMATO",INVENTARIO!C147)),"GRA-FOR",
IF(ISNUMBER(SEARCH("CAMA PLANA",INVENTARIO!C147)),"CAM-PLA",
IF(ISNUMBER(SEARCH("GRADO INGENIERIA",INVENTARIO!C147)),"GRA-ING",
IF(ISNUMBER(SEARCH("130 GRS",INVENTARIO!C147)),"130GR",
IF(ISNUMBER(SEARCH("150 GRS",INVENTARIO!C147)),"150GR",
IF(ISNUMBER(SEARCH("185 GRS",INVENTARIO!C147)),"185GR",
IF(ISNUMBER(SEARCH("200 GRS",INVENTARIO!C147)),"200GR",
IF(ISNUMBER(SEARCH("250 GRS",INVENTARIO!C147)),"250GR",
IF(ISNUMBER(SEARCH("300 GRS",INVENTARIO!C147)),"300GR",
IF(ISNUMBER(SEARCH("350 GRS",INVENTARIO!C147)),"350GR",
IF(ISNUMBER(SEARCH("18 OZ",INVENTARIO!C147)),"18OZ",
IF(ISNUMBER(SEARCH("15 OZ",INVENTARIO!C147)),"15OZ",
IF(OR(ISNUMBER(SEARCH("13 OZ",INVENTARIO!C147)),ISNUMBER(SEARCH("13 ONZAS",INVENTARIO!C147))),"13OZ",
IF(OR(ISNUMBER(SEARCH("9 OZ",INVENTARIO!C147)),ISNUMBER(SEARCH("9 ONZAS",INVENTARIO!C147))),"09OZ",
IF(ISNUMBER(SEARCH("DOBLE CARA",INVENTARIO!C147)),"DOB-CAR",
"")))))))))))))))</f>
        <v/>
      </c>
      <c r="E147" t="str">
        <f>IF(OR(ISNUMBER(SEARCH("TRANSPARENTE",INVENTARIO!C147)),ISNUMBER(SEARCH("TRANSPARENTES",INVENTARIO!C147))),"TRA",
IF(OR(ISNUMBER(SEARCH("BLANCO",INVENTARIO!C147)),ISNUMBER(SEARCH("BCO",INVENTARIO!C147))),"BLA",
IF(ISNUMBER(SEARCH("FOTOGRAFICO",INVENTARIO!C147)),"FOT",
IF(ISNUMBER(SEARCH("MARFIL",INVENTARIO!C147)),"MAR",
IF(ISNUMBER(SEARCH("VERDE",INVENTARIO!C147)),"VER",
IF(ISNUMBER(SEARCH("MORADO",INVENTARIO!C147)),"MOR",
IF(ISNUMBER(SEARCH("PLATA",INVENTARIO!C147)),"PLA",
IF(ISNUMBER(SEARCH("ORO",INVENTARIO!C147)),"ORO",
IF(ISNUMBER(SEARCH("AMARILLO",INVENTARIO!C147)),"AMA",
IF(ISNUMBER(SEARCH("NARANJA",INVENTARIO!C147)),"NAR",
IF(ISNUMBER(SEARCH("NEGRO",INVENTARIO!C147)),"NEG",
IF(ISNUMBER(SEARCH("ROJO",INVENTARIO!C147)),"ROJ",
IF(ISNUMBER(SEARCH("AZUL",INVENTARIO!C147)),"AZU","")))))))))))))</f>
        <v/>
      </c>
      <c r="F147" t="str">
        <f>IF(ISNUMBER(SEARCH("ARLON",INVENTARIO!C147)),"ARL",
IF(ISNUMBER(SEARCH("SUNTHINKS",INVENTARIO!C147)),"SUN",
IF(ISNUMBER(SEARCH("FRIO",INVENTARIO!C147)),"FRI",
IF(ISNUMBER(SEARCH("CALIDO",INVENTARIO!C147)),"CAL",
IF(ISNUMBER(SEARCH("CEPILLADO",INVENTARIO!C147)),"CEP",
IF(ISNUMBER(SEARCH("ESPEJO",INVENTARIO!C147)),"ESP",
""))))))</f>
        <v/>
      </c>
      <c r="G147" t="str">
        <f>IF(ISNUMBER(SEARCH("LATEX",INVENTARIO!C147)),"LAT",
IF(ISNUMBER(SEARCH("RESP. NEGRO",INVENTARIO!C147)),"RES-NEG",
IF(ISNUMBER(SEARCH("RESPALDO CAFE",INVENTARIO!C147)),"RES-CAF",
IF(ISNUMBER(SEARCH("RESPALDO GRIS",INVENTARIO!C147)),"RES-GRI",
IF(ISNUMBER(SEARCH("OPTICO",INVENTARIO!C147)),"OPT",
IF(ISNUMBER(SEARCH("1,2 MM",INVENTARIO!C147)),"1MM2",
IF(ISNUMBER(SEARCH("2 MM",INVENTARIO!C147)),"2MM",
IF(ISNUMBER(SEARCH("3 MM",INVENTARIO!C147)),"3MM",
IF(ISNUMBER(SEARCH("4 MM",INVENTARIO!C147)),"4MM",
IF(ISNUMBER(SEARCH("5 MM",INVENTARIO!C147)),"5MM",
IF(ISNUMBER(SEARCH("6 MM",INVENTARIO!C147)),"6MM",
IF(ISNUMBER(SEARCH("9 MM",INVENTARIO!C147)),"9MM",
IF(ISNUMBER(SEARCH("10 MM",INVENTARIO!C147)),"10MM","")))))))))))))</f>
        <v/>
      </c>
      <c r="H147" t="str">
        <f>IF(ISNUMBER(SEARCH("GAMA BAJA",INVENTARIO!C147)),"GAM-BAJ",
IF(ISNUMBER(SEARCH("OPTIMIZADOR",INVENTARIO!C147)),"OPT",
IF(ISNUMBER(SEARCH("OVERCOAT",INVENTARIO!C147)),"OVE",
IF(ISNUMBER(SEARCH("WHITE",INVENTARIO!C147)),"WHI",
IF(ISNUMBER(SEARCH("LIGHT CYAN",INVENTARIO!C147)),"LIG-CYA",
IF(ISNUMBER(SEARCH("CYAN",INVENTARIO!C147)),"CYA",
IF(ISNUMBER(SEARCH("LIGHT MAGENTA",INVENTARIO!C147)),"LIG-MAG",
IF(ISNUMBER(SEARCH("MAGENTA",INVENTARIO!C147)),"MAG",
IF(ISNUMBER(SEARCH("BLACK",INVENTARIO!C147)),"BLA",
IF(ISNUMBER(SEARCH("YELLOW",INVENTARIO!C147)),"YEL",
IF(ISNUMBER(SEARCH("2 DIODOS",INVENTARIO!C147)),"2DI",
IF(ISNUMBER(SEARCH("3 DIODOS",INVENTARIO!C147)),"3DI",
IF(OR(ISNUMBER(SEARCH("TRASLUCIDO",INVENTARIO!C147)),ISNUMBER(SEARCH("TRANSLUCIDO",INVENTARIO!C147))),"TRA",
"")))))))))))))</f>
        <v>MAG</v>
      </c>
      <c r="I14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8" spans="1:9">
      <c r="A148" t="str">
        <f>IF(ISNUMBER(SEARCH("LONA",INVENTARIO!C148)),"LON",
IF(ISNUMBER(SEARCH("VINIL",INVENTARIO!C148)),"VIN",
IF(ISNUMBER(SEARCH("KROMACOTE",INVENTARIO!C148)),"KRO",
IF(ISNUMBER(SEARCH("STARDREAM",INVENTARIO!C148)),"STA",
IF(ISNUMBER(SEARCH("DISPLAY",INVENTARIO!C148)),"DIS",
IF(ISNUMBER(SEARCH("ROLL UP",INVENTARIO!C148)),"ROL-UP",
IF(ISNUMBER(SEARCH("TRANSFER DE PAPEL",INVENTARIO!C148)),"TRA-PAP",
IF(ISNUMBER(SEARCH("TRANSFER",INVENTARIO!C148)),"TRA",IF(ISNUMBER(SEARCH("KOLA LOKA",INVENTARIO!C148)),"KOL-LOK",
IF(ISNUMBER(SEARCH("PETG",INVENTARIO!C148)),"PET",
IF(ISNUMBER(SEARCH("OJILLO",INVENTARIO!C148)),"OJI",
IF(ISNUMBER(SEARCH("COUCHE",INVENTARIO!C148)),"COU",
IF(ISNUMBER(SEARCH("PANEL DE ALUMINIO",INVENTARIO!C148)),"PAN-ALU",
IF(ISNUMBER(SEARCH("PVC",INVENTARIO!C148)),"PVC",
IF(ISNUMBER(SEARCH("PAPEL",INVENTARIO!C148)),"PAP",
IF(ISNUMBER(SEARCH("TELA",INVENTARIO!C148)),"TEL",
IF(ISNUMBER(SEARCH("CARTULINA",INVENTARIO!C148)),"CAR",
IF(OR(ISNUMBER(SEARCH("LAMINA",INVENTARIO!C148)),ISNUMBER(SEARCH("LÁMINA",INVENTARIO!C148)),ISNUMBER(SEARCH("LAMPARAS",INVENTARIO!C148))),"LAM",
IF(ISNUMBER(SEARCH("ESTIRENO",INVENTARIO!C148)),"EST",
IF(ISNUMBER(SEARCH("FOAMBOARD",INVENTARIO!C148)),"FOA",
IF(ISNUMBER(SEARCH("SOLVENTE",INVENTARIO!C148)),"SOL",
IF(ISNUMBER(SEARCH("TINTA",INVENTARIO!C148)),"TIN",
IF(ISNUMBER(SEARCH("ACRILICO",INVENTARIO!C148)),"ACR",
IF(ISNUMBER(SEARCH("MICROLED",INVENTARIO!C148)),"MIC",
IF(ISNUMBER(SEARCH("LED",INVENTARIO!C148)),"LED",
IF(ISNUMBER(SEARCH("FUENTE DE PODER",INVENTARIO!C148)),"FUE-POD",
IF(ISNUMBER(SEARCH("PETG",INVENTARIO!C148)),"PET",
IF(ISNUMBER(SEARCH("ALUMINIO",INVENTARIO!C148)),"ALU",
IF(ISNUMBER(SEARCH("CANAL",INVENTARIO!C148)),"CAN",
IF(ISNUMBER(SEARCH("ESCUADRA",INVENTARIO!C148)),"ESC",
IF(ISNUMBER(SEARCH("SOPORTE",INVENTARIO!C148)),"SOP","OTR")
))))))))))))))))))))))))))))))</f>
        <v>TIN</v>
      </c>
      <c r="B148" t="str">
        <f>IF(ISNUMBER(SEARCH("CORTE",INVENTARIO!C148)),"COR",
IF(ISNUMBER(SEARCH("CITYLIGHT",INVENTARIO!C148)),"CIT",
IF(ISNUMBER(SEARCH("LINO",INVENTARIO!C148)),"LIN",
IF(ISNUMBER(SEARCH("FABRIANO",INVENTARIO!C148)),"FAB",
IF(ISNUMBER(SEARCH("SUNDANCE",INVENTARIO!C148)),"SUN",
IF(ISNUMBER(SEARCH("SINTETICA",INVENTARIO!C148)),"SIN",
IF(ISNUMBER(SEARCH("CONTROL",INVENTARIO!C148)),"CON",
IF(ISNUMBER(SEARCH("TERMICO",INVENTARIO!C148)),"TER",
IF(ISNUMBER(SEARCH("C-15",INVENTARIO!C148)),"C15",
IF(ISNUMBER(SEARCH("C-20",INVENTARIO!C148)),"C20",
IF(ISNUMBER(SEARCH("C-30",INVENTARIO!C148)),"C30",
IF(ISNUMBER(SEARCH("C-40",INVENTARIO!C148)),"C40",
IF(ISNUMBER(SEARCH("C-60",INVENTARIO!C148)),"C60",
IF(ISNUMBER(SEARCH("C-80",INVENTARIO!C148)),"C80",
IF(ISNUMBER(SEARCH("EQUIPO",INVENTARIO!C148)),"EQU",
IF(ISNUMBER(SEARCH("FLOOR",INVENTARIO!C148)),"FLO",
IF(ISNUMBER(SEARCH("CRISTAL",INVENTARIO!C148)),"CRI",
IF(ISNUMBER(SEARCH(" SULFATADA",INVENTARIO!C159)),"SUL",
IF(ISNUMBER(SEARCH("OPALINA",INVENTARIO!C148)),"OPA",
IF(ISNUMBER(SEARCH("ADHERIBLE",INVENTARIO!C148)),"ADH",
IF(ISNUMBER(SEARCH("MICRO",INVENTARIO!C148)),"MIC","")))))))))))))))))))))</f>
        <v/>
      </c>
      <c r="C148" t="str">
        <f>IF(ISNUMBER(SEARCH("PARED",INVENTARIO!C148)),"PAR",
IF(ISNUMBER(SEARCH("FRONT",INVENTARIO!C148)),"FRO",
IF(ISNUMBER(SEARCH("ALTA RESISTENCIA",INVENTARIO!C148)),
"ALT-RES",IF(ISNUMBER(SEARCH("BACKLITE",INVENTARIO!C148)),"BAC",
IF(ISNUMBER(SEARCH("MATE",INVENTARIO!C148)),"MAT",
IF(ISNUMBER(SEARCH("MESH",INVENTARIO!C148)),"MES",
IF(ISNUMBER(SEARCH("BRILLANTE",INVENTARIO!C148)),"BRI",
IF(ISNUMBER(SEARCH("DELGADA",INVENTARIO!C148)),"DEL",
IF(ISNUMBER(SEARCH("GRUESA",INVENTARIO!C148)),"GRU",
IF(ISNUMBER(SEARCH("ESTATICO",INVENTARIO!C148)),"EST",
IF(ISNUMBER(SEARCH("REFLECTIVO",INVENTARIO!C148)),"REF",
IF(ISNUMBER(SEARCH("LX700",INVENTARIO!C148)),"LX7",
IF(ISNUMBER(SEARCH("GRANDO",INVENTARIO!C148)),"GRA",
IF(ISNUMBER(SEARCH("FB700",INVENTARIO!C148)),"FB7",
IF(ISNUMBER(SEARCH("LX360",INVENTARIO!C148)),"LX3",
IF(ISNUMBER(SEARCH("XEROX",INVENTARIO!C148)),"XER",
IF(ISNUMBER(SEARCH("CEPILLADO",INVENTARIO!C148)),"CEP",
IF(ISNUMBER(SEARCH("ESPEJO",INVENTARIO!C148)),"ESP",
IF(ISNUMBER(SEARCH("10 PTS",INVENTARIO!C148)),"10PT",
IF(ISNUMBER(SEARCH("12 PTS",INVENTARIO!C148)),"12PT",
IF(ISNUMBER(SEARCH("14 PTS",INVENTARIO!C148)),"14PT",
IF(ISNUMBER(SEARCH("CLASICO",INVENTARIO!C148)),"CLA",
""))))))))))))))))))))))</f>
        <v>XER</v>
      </c>
      <c r="D148" t="str">
        <f>IF(ISNUMBER(SEARCH("GRAN FORMATO",INVENTARIO!C148)),"GRA-FOR",
IF(ISNUMBER(SEARCH("CAMA PLANA",INVENTARIO!C148)),"CAM-PLA",
IF(ISNUMBER(SEARCH("GRADO INGENIERIA",INVENTARIO!C148)),"GRA-ING",
IF(ISNUMBER(SEARCH("130 GRS",INVENTARIO!C148)),"130GR",
IF(ISNUMBER(SEARCH("150 GRS",INVENTARIO!C148)),"150GR",
IF(ISNUMBER(SEARCH("185 GRS",INVENTARIO!C148)),"185GR",
IF(ISNUMBER(SEARCH("200 GRS",INVENTARIO!C148)),"200GR",
IF(ISNUMBER(SEARCH("250 GRS",INVENTARIO!C148)),"250GR",
IF(ISNUMBER(SEARCH("300 GRS",INVENTARIO!C148)),"300GR",
IF(ISNUMBER(SEARCH("350 GRS",INVENTARIO!C148)),"350GR",
IF(ISNUMBER(SEARCH("18 OZ",INVENTARIO!C148)),"18OZ",
IF(ISNUMBER(SEARCH("15 OZ",INVENTARIO!C148)),"15OZ",
IF(OR(ISNUMBER(SEARCH("13 OZ",INVENTARIO!C148)),ISNUMBER(SEARCH("13 ONZAS",INVENTARIO!C148))),"13OZ",
IF(OR(ISNUMBER(SEARCH("9 OZ",INVENTARIO!C148)),ISNUMBER(SEARCH("9 ONZAS",INVENTARIO!C148))),"09OZ",
IF(ISNUMBER(SEARCH("DOBLE CARA",INVENTARIO!C148)),"DOB-CAR",
"")))))))))))))))</f>
        <v/>
      </c>
      <c r="E148" t="str">
        <f>IF(OR(ISNUMBER(SEARCH("TRANSPARENTE",INVENTARIO!C148)),ISNUMBER(SEARCH("TRANSPARENTES",INVENTARIO!C148))),"TRA",
IF(OR(ISNUMBER(SEARCH("BLANCO",INVENTARIO!C148)),ISNUMBER(SEARCH("BCO",INVENTARIO!C148))),"BLA",
IF(ISNUMBER(SEARCH("FOTOGRAFICO",INVENTARIO!C148)),"FOT",
IF(ISNUMBER(SEARCH("MARFIL",INVENTARIO!C148)),"MAR",
IF(ISNUMBER(SEARCH("VERDE",INVENTARIO!C148)),"VER",
IF(ISNUMBER(SEARCH("MORADO",INVENTARIO!C148)),"MOR",
IF(ISNUMBER(SEARCH("PLATA",INVENTARIO!C148)),"PLA",
IF(ISNUMBER(SEARCH("ORO",INVENTARIO!C148)),"ORO",
IF(ISNUMBER(SEARCH("AMARILLO",INVENTARIO!C148)),"AMA",
IF(ISNUMBER(SEARCH("NARANJA",INVENTARIO!C148)),"NAR",
IF(ISNUMBER(SEARCH("NEGRO",INVENTARIO!C148)),"NEG",
IF(ISNUMBER(SEARCH("ROJO",INVENTARIO!C148)),"ROJ",
IF(ISNUMBER(SEARCH("AZUL",INVENTARIO!C148)),"AZU","")))))))))))))</f>
        <v/>
      </c>
      <c r="F148" t="str">
        <f>IF(ISNUMBER(SEARCH("ARLON",INVENTARIO!C148)),"ARL",
IF(ISNUMBER(SEARCH("SUNTHINKS",INVENTARIO!C148)),"SUN",
IF(ISNUMBER(SEARCH("FRIO",INVENTARIO!C148)),"FRI",
IF(ISNUMBER(SEARCH("CALIDO",INVENTARIO!C148)),"CAL",
IF(ISNUMBER(SEARCH("CEPILLADO",INVENTARIO!C148)),"CEP",
IF(ISNUMBER(SEARCH("ESPEJO",INVENTARIO!C148)),"ESP",
""))))))</f>
        <v/>
      </c>
      <c r="G148" t="str">
        <f>IF(ISNUMBER(SEARCH("LATEX",INVENTARIO!C148)),"LAT",
IF(ISNUMBER(SEARCH("RESP. NEGRO",INVENTARIO!C148)),"RES-NEG",
IF(ISNUMBER(SEARCH("RESPALDO CAFE",INVENTARIO!C148)),"RES-CAF",
IF(ISNUMBER(SEARCH("RESPALDO GRIS",INVENTARIO!C148)),"RES-GRI",
IF(ISNUMBER(SEARCH("OPTICO",INVENTARIO!C148)),"OPT",
IF(ISNUMBER(SEARCH("1,2 MM",INVENTARIO!C148)),"1MM2",
IF(ISNUMBER(SEARCH("2 MM",INVENTARIO!C148)),"2MM",
IF(ISNUMBER(SEARCH("3 MM",INVENTARIO!C148)),"3MM",
IF(ISNUMBER(SEARCH("4 MM",INVENTARIO!C148)),"4MM",
IF(ISNUMBER(SEARCH("5 MM",INVENTARIO!C148)),"5MM",
IF(ISNUMBER(SEARCH("6 MM",INVENTARIO!C148)),"6MM",
IF(ISNUMBER(SEARCH("9 MM",INVENTARIO!C148)),"9MM",
IF(ISNUMBER(SEARCH("10 MM",INVENTARIO!C148)),"10MM","")))))))))))))</f>
        <v/>
      </c>
      <c r="H148" t="str">
        <f>IF(ISNUMBER(SEARCH("GAMA BAJA",INVENTARIO!C148)),"GAM-BAJ",
IF(ISNUMBER(SEARCH("OPTIMIZADOR",INVENTARIO!C148)),"OPT",
IF(ISNUMBER(SEARCH("OVERCOAT",INVENTARIO!C148)),"OVE",
IF(ISNUMBER(SEARCH("WHITE",INVENTARIO!C148)),"WHI",
IF(ISNUMBER(SEARCH("LIGHT CYAN",INVENTARIO!C148)),"LIG-CYA",
IF(ISNUMBER(SEARCH("CYAN",INVENTARIO!C148)),"CYA",
IF(ISNUMBER(SEARCH("LIGHT MAGENTA",INVENTARIO!C148)),"LIG-MAG",
IF(ISNUMBER(SEARCH("MAGENTA",INVENTARIO!C148)),"MAG",
IF(ISNUMBER(SEARCH("BLACK",INVENTARIO!C148)),"BLA",
IF(ISNUMBER(SEARCH("YELLOW",INVENTARIO!C148)),"YEL",
IF(ISNUMBER(SEARCH("2 DIODOS",INVENTARIO!C148)),"2DI",
IF(ISNUMBER(SEARCH("3 DIODOS",INVENTARIO!C148)),"3DI",
IF(OR(ISNUMBER(SEARCH("TRASLUCIDO",INVENTARIO!C148)),ISNUMBER(SEARCH("TRANSLUCIDO",INVENTARIO!C148))),"TRA",
"")))))))))))))</f>
        <v>YEL</v>
      </c>
      <c r="I14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49" spans="1:9">
      <c r="A149" t="str">
        <f>IF(ISNUMBER(SEARCH("LONA",INVENTARIO!C149)),"LON",
IF(ISNUMBER(SEARCH("VINIL",INVENTARIO!C149)),"VIN",
IF(ISNUMBER(SEARCH("KROMACOTE",INVENTARIO!C149)),"KRO",
IF(ISNUMBER(SEARCH("STARDREAM",INVENTARIO!C149)),"STA",
IF(ISNUMBER(SEARCH("DISPLAY",INVENTARIO!C149)),"DIS",
IF(ISNUMBER(SEARCH("ROLL UP",INVENTARIO!C149)),"ROL-UP",
IF(ISNUMBER(SEARCH("TRANSFER DE PAPEL",INVENTARIO!C149)),"TRA-PAP",
IF(ISNUMBER(SEARCH("TRANSFER",INVENTARIO!C149)),"TRA",IF(ISNUMBER(SEARCH("KOLA LOKA",INVENTARIO!C149)),"KOL-LOK",
IF(ISNUMBER(SEARCH("PETG",INVENTARIO!C149)),"PET",
IF(ISNUMBER(SEARCH("OJILLO",INVENTARIO!C149)),"OJI",
IF(ISNUMBER(SEARCH("COUCHE",INVENTARIO!C149)),"COU",
IF(ISNUMBER(SEARCH("PANEL DE ALUMINIO",INVENTARIO!C149)),"PAN-ALU",
IF(ISNUMBER(SEARCH("PVC",INVENTARIO!C149)),"PVC",
IF(ISNUMBER(SEARCH("PAPEL",INVENTARIO!C149)),"PAP",
IF(ISNUMBER(SEARCH("TELA",INVENTARIO!C149)),"TEL",
IF(ISNUMBER(SEARCH("CARTULINA",INVENTARIO!C149)),"CAR",
IF(OR(ISNUMBER(SEARCH("LAMINA",INVENTARIO!C149)),ISNUMBER(SEARCH("LÁMINA",INVENTARIO!C149)),ISNUMBER(SEARCH("LAMPARAS",INVENTARIO!C149))),"LAM",
IF(ISNUMBER(SEARCH("ESTIRENO",INVENTARIO!C149)),"EST",
IF(ISNUMBER(SEARCH("FOAMBOARD",INVENTARIO!C149)),"FOA",
IF(ISNUMBER(SEARCH("SOLVENTE",INVENTARIO!C149)),"SOL",
IF(ISNUMBER(SEARCH("TINTA",INVENTARIO!C149)),"TIN",
IF(ISNUMBER(SEARCH("ACRILICO",INVENTARIO!C149)),"ACR",
IF(ISNUMBER(SEARCH("MICROLED",INVENTARIO!C149)),"MIC",
IF(ISNUMBER(SEARCH("LED",INVENTARIO!C149)),"LED",
IF(ISNUMBER(SEARCH("FUENTE DE PODER",INVENTARIO!C149)),"FUE-POD",
IF(ISNUMBER(SEARCH("PETG",INVENTARIO!C149)),"PET",
IF(ISNUMBER(SEARCH("ALUMINIO",INVENTARIO!C149)),"ALU",
IF(ISNUMBER(SEARCH("CANAL",INVENTARIO!C149)),"CAN",
IF(ISNUMBER(SEARCH("ESCUADRA",INVENTARIO!C149)),"ESC",
IF(ISNUMBER(SEARCH("SOPORTE",INVENTARIO!C149)),"SOP","OTR")
))))))))))))))))))))))))))))))</f>
        <v>TIN</v>
      </c>
      <c r="B149" t="str">
        <f>IF(ISNUMBER(SEARCH("CORTE",INVENTARIO!C149)),"COR",
IF(ISNUMBER(SEARCH("CITYLIGHT",INVENTARIO!C149)),"CIT",
IF(ISNUMBER(SEARCH("LINO",INVENTARIO!C149)),"LIN",
IF(ISNUMBER(SEARCH("FABRIANO",INVENTARIO!C149)),"FAB",
IF(ISNUMBER(SEARCH("SUNDANCE",INVENTARIO!C149)),"SUN",
IF(ISNUMBER(SEARCH("SINTETICA",INVENTARIO!C149)),"SIN",
IF(ISNUMBER(SEARCH("CONTROL",INVENTARIO!C149)),"CON",
IF(ISNUMBER(SEARCH("TERMICO",INVENTARIO!C149)),"TER",
IF(ISNUMBER(SEARCH("C-15",INVENTARIO!C149)),"C15",
IF(ISNUMBER(SEARCH("C-20",INVENTARIO!C149)),"C20",
IF(ISNUMBER(SEARCH("C-30",INVENTARIO!C149)),"C30",
IF(ISNUMBER(SEARCH("C-40",INVENTARIO!C149)),"C40",
IF(ISNUMBER(SEARCH("C-60",INVENTARIO!C149)),"C60",
IF(ISNUMBER(SEARCH("C-80",INVENTARIO!C149)),"C80",
IF(ISNUMBER(SEARCH("EQUIPO",INVENTARIO!C149)),"EQU",
IF(ISNUMBER(SEARCH("FLOOR",INVENTARIO!C149)),"FLO",
IF(ISNUMBER(SEARCH("CRISTAL",INVENTARIO!C149)),"CRI",
IF(ISNUMBER(SEARCH(" SULFATADA",INVENTARIO!C160)),"SUL",
IF(ISNUMBER(SEARCH("OPALINA",INVENTARIO!C149)),"OPA",
IF(ISNUMBER(SEARCH("ADHERIBLE",INVENTARIO!C149)),"ADH",
IF(ISNUMBER(SEARCH("MICRO",INVENTARIO!C149)),"MIC","")))))))))))))))))))))</f>
        <v/>
      </c>
      <c r="C149" t="str">
        <f>IF(ISNUMBER(SEARCH("PARED",INVENTARIO!C149)),"PAR",
IF(ISNUMBER(SEARCH("FRONT",INVENTARIO!C149)),"FRO",
IF(ISNUMBER(SEARCH("ALTA RESISTENCIA",INVENTARIO!C149)),
"ALT-RES",IF(ISNUMBER(SEARCH("BACKLITE",INVENTARIO!C149)),"BAC",
IF(ISNUMBER(SEARCH("MATE",INVENTARIO!C149)),"MAT",
IF(ISNUMBER(SEARCH("MESH",INVENTARIO!C149)),"MES",
IF(ISNUMBER(SEARCH("BRILLANTE",INVENTARIO!C149)),"BRI",
IF(ISNUMBER(SEARCH("DELGADA",INVENTARIO!C149)),"DEL",
IF(ISNUMBER(SEARCH("GRUESA",INVENTARIO!C149)),"GRU",
IF(ISNUMBER(SEARCH("ESTATICO",INVENTARIO!C149)),"EST",
IF(ISNUMBER(SEARCH("REFLECTIVO",INVENTARIO!C149)),"REF",
IF(ISNUMBER(SEARCH("LX700",INVENTARIO!C149)),"LX7",
IF(ISNUMBER(SEARCH("GRANDO",INVENTARIO!C149)),"GRA",
IF(ISNUMBER(SEARCH("FB700",INVENTARIO!C149)),"FB7",
IF(ISNUMBER(SEARCH("LX360",INVENTARIO!C149)),"LX3",
IF(ISNUMBER(SEARCH("XEROX",INVENTARIO!C149)),"XER",
IF(ISNUMBER(SEARCH("CEPILLADO",INVENTARIO!C149)),"CEP",
IF(ISNUMBER(SEARCH("ESPEJO",INVENTARIO!C149)),"ESP",
IF(ISNUMBER(SEARCH("10 PTS",INVENTARIO!C149)),"10PT",
IF(ISNUMBER(SEARCH("12 PTS",INVENTARIO!C149)),"12PT",
IF(ISNUMBER(SEARCH("14 PTS",INVENTARIO!C149)),"14PT",
IF(ISNUMBER(SEARCH("CLASICO",INVENTARIO!C149)),"CLA",
""))))))))))))))))))))))</f>
        <v>XER</v>
      </c>
      <c r="D149" t="str">
        <f>IF(ISNUMBER(SEARCH("GRAN FORMATO",INVENTARIO!C149)),"GRA-FOR",
IF(ISNUMBER(SEARCH("CAMA PLANA",INVENTARIO!C149)),"CAM-PLA",
IF(ISNUMBER(SEARCH("GRADO INGENIERIA",INVENTARIO!C149)),"GRA-ING",
IF(ISNUMBER(SEARCH("130 GRS",INVENTARIO!C149)),"130GR",
IF(ISNUMBER(SEARCH("150 GRS",INVENTARIO!C149)),"150GR",
IF(ISNUMBER(SEARCH("185 GRS",INVENTARIO!C149)),"185GR",
IF(ISNUMBER(SEARCH("200 GRS",INVENTARIO!C149)),"200GR",
IF(ISNUMBER(SEARCH("250 GRS",INVENTARIO!C149)),"250GR",
IF(ISNUMBER(SEARCH("300 GRS",INVENTARIO!C149)),"300GR",
IF(ISNUMBER(SEARCH("350 GRS",INVENTARIO!C149)),"350GR",
IF(ISNUMBER(SEARCH("18 OZ",INVENTARIO!C149)),"18OZ",
IF(ISNUMBER(SEARCH("15 OZ",INVENTARIO!C149)),"15OZ",
IF(OR(ISNUMBER(SEARCH("13 OZ",INVENTARIO!C149)),ISNUMBER(SEARCH("13 ONZAS",INVENTARIO!C149))),"13OZ",
IF(OR(ISNUMBER(SEARCH("9 OZ",INVENTARIO!C149)),ISNUMBER(SEARCH("9 ONZAS",INVENTARIO!C149))),"09OZ",
IF(ISNUMBER(SEARCH("DOBLE CARA",INVENTARIO!C149)),"DOB-CAR",
"")))))))))))))))</f>
        <v/>
      </c>
      <c r="E149" t="str">
        <f>IF(OR(ISNUMBER(SEARCH("TRANSPARENTE",INVENTARIO!C149)),ISNUMBER(SEARCH("TRANSPARENTES",INVENTARIO!C149))),"TRA",
IF(OR(ISNUMBER(SEARCH("BLANCO",INVENTARIO!C149)),ISNUMBER(SEARCH("BCO",INVENTARIO!C149))),"BLA",
IF(ISNUMBER(SEARCH("FOTOGRAFICO",INVENTARIO!C149)),"FOT",
IF(ISNUMBER(SEARCH("MARFIL",INVENTARIO!C149)),"MAR",
IF(ISNUMBER(SEARCH("VERDE",INVENTARIO!C149)),"VER",
IF(ISNUMBER(SEARCH("MORADO",INVENTARIO!C149)),"MOR",
IF(ISNUMBER(SEARCH("PLATA",INVENTARIO!C149)),"PLA",
IF(ISNUMBER(SEARCH("ORO",INVENTARIO!C149)),"ORO",
IF(ISNUMBER(SEARCH("AMARILLO",INVENTARIO!C149)),"AMA",
IF(ISNUMBER(SEARCH("NARANJA",INVENTARIO!C149)),"NAR",
IF(ISNUMBER(SEARCH("NEGRO",INVENTARIO!C149)),"NEG",
IF(ISNUMBER(SEARCH("ROJO",INVENTARIO!C149)),"ROJ",
IF(ISNUMBER(SEARCH("AZUL",INVENTARIO!C149)),"AZU","")))))))))))))</f>
        <v/>
      </c>
      <c r="F149" t="str">
        <f>IF(ISNUMBER(SEARCH("ARLON",INVENTARIO!C149)),"ARL",
IF(ISNUMBER(SEARCH("SUNTHINKS",INVENTARIO!C149)),"SUN",
IF(ISNUMBER(SEARCH("FRIO",INVENTARIO!C149)),"FRI",
IF(ISNUMBER(SEARCH("CALIDO",INVENTARIO!C149)),"CAL",
IF(ISNUMBER(SEARCH("CEPILLADO",INVENTARIO!C149)),"CEP",
IF(ISNUMBER(SEARCH("ESPEJO",INVENTARIO!C149)),"ESP",
""))))))</f>
        <v/>
      </c>
      <c r="G149" t="str">
        <f>IF(ISNUMBER(SEARCH("LATEX",INVENTARIO!C149)),"LAT",
IF(ISNUMBER(SEARCH("RESP. NEGRO",INVENTARIO!C149)),"RES-NEG",
IF(ISNUMBER(SEARCH("RESPALDO CAFE",INVENTARIO!C149)),"RES-CAF",
IF(ISNUMBER(SEARCH("RESPALDO GRIS",INVENTARIO!C149)),"RES-GRI",
IF(ISNUMBER(SEARCH("OPTICO",INVENTARIO!C149)),"OPT",
IF(ISNUMBER(SEARCH("1,2 MM",INVENTARIO!C149)),"1MM2",
IF(ISNUMBER(SEARCH("2 MM",INVENTARIO!C149)),"2MM",
IF(ISNUMBER(SEARCH("3 MM",INVENTARIO!C149)),"3MM",
IF(ISNUMBER(SEARCH("4 MM",INVENTARIO!C149)),"4MM",
IF(ISNUMBER(SEARCH("5 MM",INVENTARIO!C149)),"5MM",
IF(ISNUMBER(SEARCH("6 MM",INVENTARIO!C149)),"6MM",
IF(ISNUMBER(SEARCH("9 MM",INVENTARIO!C149)),"9MM",
IF(ISNUMBER(SEARCH("10 MM",INVENTARIO!C149)),"10MM","")))))))))))))</f>
        <v/>
      </c>
      <c r="H149" t="str">
        <f>IF(ISNUMBER(SEARCH("GAMA BAJA",INVENTARIO!C149)),"GAM-BAJ",
IF(ISNUMBER(SEARCH("OPTIMIZADOR",INVENTARIO!C149)),"OPT",
IF(ISNUMBER(SEARCH("OVERCOAT",INVENTARIO!C149)),"OVE",
IF(ISNUMBER(SEARCH("WHITE",INVENTARIO!C149)),"WHI",
IF(ISNUMBER(SEARCH("LIGHT CYAN",INVENTARIO!C149)),"LIG-CYA",
IF(ISNUMBER(SEARCH("CYAN",INVENTARIO!C149)),"CYA",
IF(ISNUMBER(SEARCH("LIGHT MAGENTA",INVENTARIO!C149)),"LIG-MAG",
IF(ISNUMBER(SEARCH("MAGENTA",INVENTARIO!C149)),"MAG",
IF(ISNUMBER(SEARCH("BLACK",INVENTARIO!C149)),"BLA",
IF(ISNUMBER(SEARCH("YELLOW",INVENTARIO!C149)),"YEL",
IF(ISNUMBER(SEARCH("2 DIODOS",INVENTARIO!C149)),"2DI",
IF(ISNUMBER(SEARCH("3 DIODOS",INVENTARIO!C149)),"3DI",
IF(OR(ISNUMBER(SEARCH("TRASLUCIDO",INVENTARIO!C149)),ISNUMBER(SEARCH("TRANSLUCIDO",INVENTARIO!C149))),"TRA",
"")))))))))))))</f>
        <v>BLA</v>
      </c>
      <c r="I14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0" spans="1:9">
      <c r="A150" t="str">
        <f>IF(ISNUMBER(SEARCH("LONA",INVENTARIO!C150)),"LON",
IF(ISNUMBER(SEARCH("VINIL",INVENTARIO!C150)),"VIN",
IF(ISNUMBER(SEARCH("KROMACOTE",INVENTARIO!C150)),"KRO",
IF(ISNUMBER(SEARCH("STARDREAM",INVENTARIO!C150)),"STA",
IF(ISNUMBER(SEARCH("DISPLAY",INVENTARIO!C150)),"DIS",
IF(ISNUMBER(SEARCH("ROLL UP",INVENTARIO!C150)),"ROL-UP",
IF(ISNUMBER(SEARCH("TRANSFER DE PAPEL",INVENTARIO!C150)),"TRA-PAP",
IF(ISNUMBER(SEARCH("TRANSFER",INVENTARIO!C150)),"TRA",IF(ISNUMBER(SEARCH("KOLA LOKA",INVENTARIO!C150)),"KOL-LOK",
IF(ISNUMBER(SEARCH("PETG",INVENTARIO!C150)),"PET",
IF(ISNUMBER(SEARCH("OJILLO",INVENTARIO!C150)),"OJI",
IF(ISNUMBER(SEARCH("COUCHE",INVENTARIO!C150)),"COU",
IF(ISNUMBER(SEARCH("PANEL DE ALUMINIO",INVENTARIO!C150)),"PAN-ALU",
IF(ISNUMBER(SEARCH("PVC",INVENTARIO!C150)),"PVC",
IF(ISNUMBER(SEARCH("PAPEL",INVENTARIO!C150)),"PAP",
IF(ISNUMBER(SEARCH("TELA",INVENTARIO!C150)),"TEL",
IF(ISNUMBER(SEARCH("CARTULINA",INVENTARIO!C150)),"CAR",
IF(OR(ISNUMBER(SEARCH("LAMINA",INVENTARIO!C150)),ISNUMBER(SEARCH("LÁMINA",INVENTARIO!C150)),ISNUMBER(SEARCH("LAMPARAS",INVENTARIO!C150))),"LAM",
IF(ISNUMBER(SEARCH("ESTIRENO",INVENTARIO!C150)),"EST",
IF(ISNUMBER(SEARCH("FOAMBOARD",INVENTARIO!C150)),"FOA",
IF(ISNUMBER(SEARCH("SOLVENTE",INVENTARIO!C150)),"SOL",
IF(ISNUMBER(SEARCH("TINTA",INVENTARIO!C150)),"TIN",
IF(ISNUMBER(SEARCH("ACRILICO",INVENTARIO!C150)),"ACR",
IF(ISNUMBER(SEARCH("MICROLED",INVENTARIO!C150)),"MIC",
IF(ISNUMBER(SEARCH("LED",INVENTARIO!C150)),"LED",
IF(ISNUMBER(SEARCH("FUENTE DE PODER",INVENTARIO!C150)),"FUE-POD",
IF(ISNUMBER(SEARCH("PETG",INVENTARIO!C150)),"PET",
IF(ISNUMBER(SEARCH("ALUMINIO",INVENTARIO!C150)),"ALU",
IF(ISNUMBER(SEARCH("CANAL",INVENTARIO!C150)),"CAN",
IF(ISNUMBER(SEARCH("ESCUADRA",INVENTARIO!C150)),"ESC",
IF(ISNUMBER(SEARCH("SOPORTE",INVENTARIO!C150)),"SOP","OTR")
))))))))))))))))))))))))))))))</f>
        <v>OJI</v>
      </c>
      <c r="B150" t="str">
        <f>IF(ISNUMBER(SEARCH("CORTE",INVENTARIO!C150)),"COR",
IF(ISNUMBER(SEARCH("CITYLIGHT",INVENTARIO!C150)),"CIT",
IF(ISNUMBER(SEARCH("LINO",INVENTARIO!C150)),"LIN",
IF(ISNUMBER(SEARCH("FABRIANO",INVENTARIO!C150)),"FAB",
IF(ISNUMBER(SEARCH("SUNDANCE",INVENTARIO!C150)),"SUN",
IF(ISNUMBER(SEARCH("SINTETICA",INVENTARIO!C150)),"SIN",
IF(ISNUMBER(SEARCH("CONTROL",INVENTARIO!C150)),"CON",
IF(ISNUMBER(SEARCH("TERMICO",INVENTARIO!C150)),"TER",
IF(ISNUMBER(SEARCH("C-15",INVENTARIO!C150)),"C15",
IF(ISNUMBER(SEARCH("C-20",INVENTARIO!C150)),"C20",
IF(ISNUMBER(SEARCH("C-30",INVENTARIO!C150)),"C30",
IF(ISNUMBER(SEARCH("C-40",INVENTARIO!C150)),"C40",
IF(ISNUMBER(SEARCH("C-60",INVENTARIO!C150)),"C60",
IF(ISNUMBER(SEARCH("C-80",INVENTARIO!C150)),"C80",
IF(ISNUMBER(SEARCH("EQUIPO",INVENTARIO!C150)),"EQU",
IF(ISNUMBER(SEARCH("FLOOR",INVENTARIO!C150)),"FLO",
IF(ISNUMBER(SEARCH("CRISTAL",INVENTARIO!C150)),"CRI",
IF(ISNUMBER(SEARCH(" SULFATADA",INVENTARIO!C161)),"SUL",
IF(ISNUMBER(SEARCH("OPALINA",INVENTARIO!C150)),"OPA",
IF(ISNUMBER(SEARCH("ADHERIBLE",INVENTARIO!C150)),"ADH",
IF(ISNUMBER(SEARCH("MICRO",INVENTARIO!C150)),"MIC","")))))))))))))))))))))</f>
        <v/>
      </c>
      <c r="C150" t="str">
        <f>IF(ISNUMBER(SEARCH("PARED",INVENTARIO!C150)),"PAR",
IF(ISNUMBER(SEARCH("FRONT",INVENTARIO!C150)),"FRO",
IF(ISNUMBER(SEARCH("ALTA RESISTENCIA",INVENTARIO!C150)),
"ALT-RES",IF(ISNUMBER(SEARCH("BACKLITE",INVENTARIO!C150)),"BAC",
IF(ISNUMBER(SEARCH("MATE",INVENTARIO!C150)),"MAT",
IF(ISNUMBER(SEARCH("MESH",INVENTARIO!C150)),"MES",
IF(ISNUMBER(SEARCH("BRILLANTE",INVENTARIO!C150)),"BRI",
IF(ISNUMBER(SEARCH("DELGADA",INVENTARIO!C150)),"DEL",
IF(ISNUMBER(SEARCH("GRUESA",INVENTARIO!C150)),"GRU",
IF(ISNUMBER(SEARCH("ESTATICO",INVENTARIO!C150)),"EST",
IF(ISNUMBER(SEARCH("REFLECTIVO",INVENTARIO!C150)),"REF",
IF(ISNUMBER(SEARCH("LX700",INVENTARIO!C150)),"LX7",
IF(ISNUMBER(SEARCH("GRANDO",INVENTARIO!C150)),"GRA",
IF(ISNUMBER(SEARCH("FB700",INVENTARIO!C150)),"FB7",
IF(ISNUMBER(SEARCH("LX360",INVENTARIO!C150)),"LX3",
IF(ISNUMBER(SEARCH("XEROX",INVENTARIO!C150)),"XER",
IF(ISNUMBER(SEARCH("CEPILLADO",INVENTARIO!C150)),"CEP",
IF(ISNUMBER(SEARCH("ESPEJO",INVENTARIO!C150)),"ESP",
IF(ISNUMBER(SEARCH("10 PTS",INVENTARIO!C150)),"10PT",
IF(ISNUMBER(SEARCH("12 PTS",INVENTARIO!C150)),"12PT",
IF(ISNUMBER(SEARCH("14 PTS",INVENTARIO!C150)),"14PT",
IF(ISNUMBER(SEARCH("CLASICO",INVENTARIO!C150)),"CLA",
""))))))))))))))))))))))</f>
        <v/>
      </c>
      <c r="D150" t="str">
        <f>IF(ISNUMBER(SEARCH("GRAN FORMATO",INVENTARIO!C150)),"GRA-FOR",
IF(ISNUMBER(SEARCH("CAMA PLANA",INVENTARIO!C150)),"CAM-PLA",
IF(ISNUMBER(SEARCH("GRADO INGENIERIA",INVENTARIO!C150)),"GRA-ING",
IF(ISNUMBER(SEARCH("130 GRS",INVENTARIO!C150)),"130GR",
IF(ISNUMBER(SEARCH("150 GRS",INVENTARIO!C150)),"150GR",
IF(ISNUMBER(SEARCH("185 GRS",INVENTARIO!C150)),"185GR",
IF(ISNUMBER(SEARCH("200 GRS",INVENTARIO!C150)),"200GR",
IF(ISNUMBER(SEARCH("250 GRS",INVENTARIO!C150)),"250GR",
IF(ISNUMBER(SEARCH("300 GRS",INVENTARIO!C150)),"300GR",
IF(ISNUMBER(SEARCH("350 GRS",INVENTARIO!C150)),"350GR",
IF(ISNUMBER(SEARCH("18 OZ",INVENTARIO!C150)),"18OZ",
IF(ISNUMBER(SEARCH("15 OZ",INVENTARIO!C150)),"15OZ",
IF(OR(ISNUMBER(SEARCH("13 OZ",INVENTARIO!C150)),ISNUMBER(SEARCH("13 ONZAS",INVENTARIO!C150))),"13OZ",
IF(OR(ISNUMBER(SEARCH("9 OZ",INVENTARIO!C150)),ISNUMBER(SEARCH("9 ONZAS",INVENTARIO!C150))),"09OZ",
IF(ISNUMBER(SEARCH("DOBLE CARA",INVENTARIO!C150)),"DOB-CAR",
"")))))))))))))))</f>
        <v/>
      </c>
      <c r="E150" t="str">
        <f>IF(OR(ISNUMBER(SEARCH("TRANSPARENTE",INVENTARIO!C150)),ISNUMBER(SEARCH("TRANSPARENTES",INVENTARIO!C150))),"TRA",
IF(OR(ISNUMBER(SEARCH("BLANCO",INVENTARIO!C150)),ISNUMBER(SEARCH("BCO",INVENTARIO!C150))),"BLA",
IF(ISNUMBER(SEARCH("FOTOGRAFICO",INVENTARIO!C150)),"FOT",
IF(ISNUMBER(SEARCH("MARFIL",INVENTARIO!C150)),"MAR",
IF(ISNUMBER(SEARCH("VERDE",INVENTARIO!C150)),"VER",
IF(ISNUMBER(SEARCH("MORADO",INVENTARIO!C150)),"MOR",
IF(ISNUMBER(SEARCH("PLATA",INVENTARIO!C150)),"PLA",
IF(ISNUMBER(SEARCH("ORO",INVENTARIO!C150)),"ORO",
IF(ISNUMBER(SEARCH("AMARILLO",INVENTARIO!C150)),"AMA",
IF(ISNUMBER(SEARCH("NARANJA",INVENTARIO!C150)),"NAR",
IF(ISNUMBER(SEARCH("NEGRO",INVENTARIO!C150)),"NEG",
IF(ISNUMBER(SEARCH("ROJO",INVENTARIO!C150)),"ROJ",
IF(ISNUMBER(SEARCH("AZUL",INVENTARIO!C150)),"AZU","")))))))))))))</f>
        <v/>
      </c>
      <c r="F150" t="str">
        <f>IF(ISNUMBER(SEARCH("ARLON",INVENTARIO!C150)),"ARL",
IF(ISNUMBER(SEARCH("SUNTHINKS",INVENTARIO!C150)),"SUN",
IF(ISNUMBER(SEARCH("FRIO",INVENTARIO!C150)),"FRI",
IF(ISNUMBER(SEARCH("CALIDO",INVENTARIO!C150)),"CAL",
IF(ISNUMBER(SEARCH("CEPILLADO",INVENTARIO!C150)),"CEP",
IF(ISNUMBER(SEARCH("ESPEJO",INVENTARIO!C150)),"ESP",
""))))))</f>
        <v/>
      </c>
      <c r="G150" t="str">
        <f>IF(ISNUMBER(SEARCH("LATEX",INVENTARIO!C150)),"LAT",
IF(ISNUMBER(SEARCH("RESP. NEGRO",INVENTARIO!C150)),"RES-NEG",
IF(ISNUMBER(SEARCH("RESPALDO CAFE",INVENTARIO!C150)),"RES-CAF",
IF(ISNUMBER(SEARCH("RESPALDO GRIS",INVENTARIO!C150)),"RES-GRI",
IF(ISNUMBER(SEARCH("OPTICO",INVENTARIO!C150)),"OPT",
IF(ISNUMBER(SEARCH("1,2 MM",INVENTARIO!C150)),"1MM2",
IF(ISNUMBER(SEARCH("2 MM",INVENTARIO!C150)),"2MM",
IF(ISNUMBER(SEARCH("3 MM",INVENTARIO!C150)),"3MM",
IF(ISNUMBER(SEARCH("4 MM",INVENTARIO!C150)),"4MM",
IF(ISNUMBER(SEARCH("5 MM",INVENTARIO!C150)),"5MM",
IF(ISNUMBER(SEARCH("6 MM",INVENTARIO!C150)),"6MM",
IF(ISNUMBER(SEARCH("9 MM",INVENTARIO!C150)),"9MM",
IF(ISNUMBER(SEARCH("10 MM",INVENTARIO!C150)),"10MM","")))))))))))))</f>
        <v/>
      </c>
      <c r="H150" t="str">
        <f>IF(ISNUMBER(SEARCH("GAMA BAJA",INVENTARIO!C150)),"GAM-BAJ",
IF(ISNUMBER(SEARCH("OPTIMIZADOR",INVENTARIO!C150)),"OPT",
IF(ISNUMBER(SEARCH("OVERCOAT",INVENTARIO!C150)),"OVE",
IF(ISNUMBER(SEARCH("WHITE",INVENTARIO!C150)),"WHI",
IF(ISNUMBER(SEARCH("LIGHT CYAN",INVENTARIO!C150)),"LIG-CYA",
IF(ISNUMBER(SEARCH("CYAN",INVENTARIO!C150)),"CYA",
IF(ISNUMBER(SEARCH("LIGHT MAGENTA",INVENTARIO!C150)),"LIG-MAG",
IF(ISNUMBER(SEARCH("MAGENTA",INVENTARIO!C150)),"MAG",
IF(ISNUMBER(SEARCH("BLACK",INVENTARIO!C150)),"BLA",
IF(ISNUMBER(SEARCH("YELLOW",INVENTARIO!C150)),"YEL",
IF(ISNUMBER(SEARCH("2 DIODOS",INVENTARIO!C150)),"2DI",
IF(ISNUMBER(SEARCH("3 DIODOS",INVENTARIO!C150)),"3DI",
IF(OR(ISNUMBER(SEARCH("TRASLUCIDO",INVENTARIO!C150)),ISNUMBER(SEARCH("TRANSLUCIDO",INVENTARIO!C150))),"TRA",
"")))))))))))))</f>
        <v/>
      </c>
      <c r="I15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1" spans="1:9">
      <c r="A151" t="str">
        <f>IF(ISNUMBER(SEARCH("LONA",INVENTARIO!C151)),"LON",
IF(ISNUMBER(SEARCH("VINIL",INVENTARIO!C151)),"VIN",
IF(ISNUMBER(SEARCH("KROMACOTE",INVENTARIO!C151)),"KRO",
IF(ISNUMBER(SEARCH("STARDREAM",INVENTARIO!C151)),"STA",
IF(ISNUMBER(SEARCH("DISPLAY",INVENTARIO!C151)),"DIS",
IF(ISNUMBER(SEARCH("ROLL UP",INVENTARIO!C151)),"ROL-UP",
IF(ISNUMBER(SEARCH("TRANSFER DE PAPEL",INVENTARIO!C151)),"TRA-PAP",
IF(ISNUMBER(SEARCH("TRANSFER",INVENTARIO!C151)),"TRA",IF(ISNUMBER(SEARCH("KOLA LOKA",INVENTARIO!C151)),"KOL-LOK",
IF(ISNUMBER(SEARCH("PETG",INVENTARIO!C151)),"PET",
IF(ISNUMBER(SEARCH("OJILLO",INVENTARIO!C151)),"OJI",
IF(ISNUMBER(SEARCH("COUCHE",INVENTARIO!C151)),"COU",
IF(ISNUMBER(SEARCH("PANEL DE ALUMINIO",INVENTARIO!C151)),"PAN-ALU",
IF(ISNUMBER(SEARCH("PVC",INVENTARIO!C151)),"PVC",
IF(ISNUMBER(SEARCH("PAPEL",INVENTARIO!C151)),"PAP",
IF(ISNUMBER(SEARCH("TELA",INVENTARIO!C151)),"TEL",
IF(ISNUMBER(SEARCH("CARTULINA",INVENTARIO!C151)),"CAR",
IF(OR(ISNUMBER(SEARCH("LAMINA",INVENTARIO!C151)),ISNUMBER(SEARCH("LÁMINA",INVENTARIO!C151)),ISNUMBER(SEARCH("LAMPARAS",INVENTARIO!C151))),"LAM",
IF(ISNUMBER(SEARCH("ESTIRENO",INVENTARIO!C151)),"EST",
IF(ISNUMBER(SEARCH("FOAMBOARD",INVENTARIO!C151)),"FOA",
IF(ISNUMBER(SEARCH("SOLVENTE",INVENTARIO!C151)),"SOL",
IF(ISNUMBER(SEARCH("TINTA",INVENTARIO!C151)),"TIN",
IF(ISNUMBER(SEARCH("ACRILICO",INVENTARIO!C151)),"ACR",
IF(ISNUMBER(SEARCH("MICROLED",INVENTARIO!C151)),"MIC",
IF(ISNUMBER(SEARCH("LED",INVENTARIO!C151)),"LED",
IF(ISNUMBER(SEARCH("FUENTE DE PODER",INVENTARIO!C151)),"FUE-POD",
IF(ISNUMBER(SEARCH("PETG",INVENTARIO!C151)),"PET",
IF(ISNUMBER(SEARCH("ALUMINIO",INVENTARIO!C151)),"ALU",
IF(ISNUMBER(SEARCH("CANAL",INVENTARIO!C151)),"CAN",
IF(ISNUMBER(SEARCH("ESCUADRA",INVENTARIO!C151)),"ESC",
IF(ISNUMBER(SEARCH("SOPORTE",INVENTARIO!C151)),"SOP","OTR")
))))))))))))))))))))))))))))))</f>
        <v>OJI</v>
      </c>
      <c r="B151" t="str">
        <f>IF(ISNUMBER(SEARCH("CORTE",INVENTARIO!C151)),"COR",
IF(ISNUMBER(SEARCH("CITYLIGHT",INVENTARIO!C151)),"CIT",
IF(ISNUMBER(SEARCH("LINO",INVENTARIO!C151)),"LIN",
IF(ISNUMBER(SEARCH("FABRIANO",INVENTARIO!C151)),"FAB",
IF(ISNUMBER(SEARCH("SUNDANCE",INVENTARIO!C151)),"SUN",
IF(ISNUMBER(SEARCH("SINTETICA",INVENTARIO!C151)),"SIN",
IF(ISNUMBER(SEARCH("CONTROL",INVENTARIO!C151)),"CON",
IF(ISNUMBER(SEARCH("TERMICO",INVENTARIO!C151)),"TER",
IF(ISNUMBER(SEARCH("C-15",INVENTARIO!C151)),"C15",
IF(ISNUMBER(SEARCH("C-20",INVENTARIO!C151)),"C20",
IF(ISNUMBER(SEARCH("C-30",INVENTARIO!C151)),"C30",
IF(ISNUMBER(SEARCH("C-40",INVENTARIO!C151)),"C40",
IF(ISNUMBER(SEARCH("C-60",INVENTARIO!C151)),"C60",
IF(ISNUMBER(SEARCH("C-80",INVENTARIO!C151)),"C80",
IF(ISNUMBER(SEARCH("EQUIPO",INVENTARIO!C151)),"EQU",
IF(ISNUMBER(SEARCH("FLOOR",INVENTARIO!C151)),"FLO",
IF(ISNUMBER(SEARCH("CRISTAL",INVENTARIO!C151)),"CRI",
IF(ISNUMBER(SEARCH(" SULFATADA",INVENTARIO!C162)),"SUL",
IF(ISNUMBER(SEARCH("OPALINA",INVENTARIO!C151)),"OPA",
IF(ISNUMBER(SEARCH("ADHERIBLE",INVENTARIO!C151)),"ADH",
IF(ISNUMBER(SEARCH("MICRO",INVENTARIO!C151)),"MIC","")))))))))))))))))))))</f>
        <v/>
      </c>
      <c r="C151" t="str">
        <f>IF(ISNUMBER(SEARCH("PARED",INVENTARIO!C151)),"PAR",
IF(ISNUMBER(SEARCH("FRONT",INVENTARIO!C151)),"FRO",
IF(ISNUMBER(SEARCH("ALTA RESISTENCIA",INVENTARIO!C151)),
"ALT-RES",IF(ISNUMBER(SEARCH("BACKLITE",INVENTARIO!C151)),"BAC",
IF(ISNUMBER(SEARCH("MATE",INVENTARIO!C151)),"MAT",
IF(ISNUMBER(SEARCH("MESH",INVENTARIO!C151)),"MES",
IF(ISNUMBER(SEARCH("BRILLANTE",INVENTARIO!C151)),"BRI",
IF(ISNUMBER(SEARCH("DELGADA",INVENTARIO!C151)),"DEL",
IF(ISNUMBER(SEARCH("GRUESA",INVENTARIO!C151)),"GRU",
IF(ISNUMBER(SEARCH("ESTATICO",INVENTARIO!C151)),"EST",
IF(ISNUMBER(SEARCH("REFLECTIVO",INVENTARIO!C151)),"REF",
IF(ISNUMBER(SEARCH("LX700",INVENTARIO!C151)),"LX7",
IF(ISNUMBER(SEARCH("GRANDO",INVENTARIO!C151)),"GRA",
IF(ISNUMBER(SEARCH("FB700",INVENTARIO!C151)),"FB7",
IF(ISNUMBER(SEARCH("LX360",INVENTARIO!C151)),"LX3",
IF(ISNUMBER(SEARCH("XEROX",INVENTARIO!C151)),"XER",
IF(ISNUMBER(SEARCH("CEPILLADO",INVENTARIO!C151)),"CEP",
IF(ISNUMBER(SEARCH("ESPEJO",INVENTARIO!C151)),"ESP",
IF(ISNUMBER(SEARCH("10 PTS",INVENTARIO!C151)),"10PT",
IF(ISNUMBER(SEARCH("12 PTS",INVENTARIO!C151)),"12PT",
IF(ISNUMBER(SEARCH("14 PTS",INVENTARIO!C151)),"14PT",
IF(ISNUMBER(SEARCH("CLASICO",INVENTARIO!C151)),"CLA",
""))))))))))))))))))))))</f>
        <v/>
      </c>
      <c r="D151" t="str">
        <f>IF(ISNUMBER(SEARCH("GRAN FORMATO",INVENTARIO!C151)),"GRA-FOR",
IF(ISNUMBER(SEARCH("CAMA PLANA",INVENTARIO!C151)),"CAM-PLA",
IF(ISNUMBER(SEARCH("GRADO INGENIERIA",INVENTARIO!C151)),"GRA-ING",
IF(ISNUMBER(SEARCH("130 GRS",INVENTARIO!C151)),"130GR",
IF(ISNUMBER(SEARCH("150 GRS",INVENTARIO!C151)),"150GR",
IF(ISNUMBER(SEARCH("185 GRS",INVENTARIO!C151)),"185GR",
IF(ISNUMBER(SEARCH("200 GRS",INVENTARIO!C151)),"200GR",
IF(ISNUMBER(SEARCH("250 GRS",INVENTARIO!C151)),"250GR",
IF(ISNUMBER(SEARCH("300 GRS",INVENTARIO!C151)),"300GR",
IF(ISNUMBER(SEARCH("350 GRS",INVENTARIO!C151)),"350GR",
IF(ISNUMBER(SEARCH("18 OZ",INVENTARIO!C151)),"18OZ",
IF(ISNUMBER(SEARCH("15 OZ",INVENTARIO!C151)),"15OZ",
IF(OR(ISNUMBER(SEARCH("13 OZ",INVENTARIO!C151)),ISNUMBER(SEARCH("13 ONZAS",INVENTARIO!C151))),"13OZ",
IF(OR(ISNUMBER(SEARCH("9 OZ",INVENTARIO!C151)),ISNUMBER(SEARCH("9 ONZAS",INVENTARIO!C151))),"09OZ",
IF(ISNUMBER(SEARCH("DOBLE CARA",INVENTARIO!C151)),"DOB-CAR",
"")))))))))))))))</f>
        <v/>
      </c>
      <c r="E151" t="str">
        <f>IF(OR(ISNUMBER(SEARCH("TRANSPARENTE",INVENTARIO!C151)),ISNUMBER(SEARCH("TRANSPARENTES",INVENTARIO!C151))),"TRA",
IF(OR(ISNUMBER(SEARCH("BLANCO",INVENTARIO!C151)),ISNUMBER(SEARCH("BCO",INVENTARIO!C151))),"BLA",
IF(ISNUMBER(SEARCH("FOTOGRAFICO",INVENTARIO!C151)),"FOT",
IF(ISNUMBER(SEARCH("MARFIL",INVENTARIO!C151)),"MAR",
IF(ISNUMBER(SEARCH("VERDE",INVENTARIO!C151)),"VER",
IF(ISNUMBER(SEARCH("MORADO",INVENTARIO!C151)),"MOR",
IF(ISNUMBER(SEARCH("PLATA",INVENTARIO!C151)),"PLA",
IF(ISNUMBER(SEARCH("ORO",INVENTARIO!C151)),"ORO",
IF(ISNUMBER(SEARCH("AMARILLO",INVENTARIO!C151)),"AMA",
IF(ISNUMBER(SEARCH("NARANJA",INVENTARIO!C151)),"NAR",
IF(ISNUMBER(SEARCH("NEGRO",INVENTARIO!C151)),"NEG",
IF(ISNUMBER(SEARCH("ROJO",INVENTARIO!C151)),"ROJ",
IF(ISNUMBER(SEARCH("AZUL",INVENTARIO!C151)),"AZU","")))))))))))))</f>
        <v/>
      </c>
      <c r="F151" t="str">
        <f>IF(ISNUMBER(SEARCH("ARLON",INVENTARIO!C151)),"ARL",
IF(ISNUMBER(SEARCH("SUNTHINKS",INVENTARIO!C151)),"SUN",
IF(ISNUMBER(SEARCH("FRIO",INVENTARIO!C151)),"FRI",
IF(ISNUMBER(SEARCH("CALIDO",INVENTARIO!C151)),"CAL",
IF(ISNUMBER(SEARCH("CEPILLADO",INVENTARIO!C151)),"CEP",
IF(ISNUMBER(SEARCH("ESPEJO",INVENTARIO!C151)),"ESP",
""))))))</f>
        <v/>
      </c>
      <c r="G151" t="str">
        <f>IF(ISNUMBER(SEARCH("LATEX",INVENTARIO!C151)),"LAT",
IF(ISNUMBER(SEARCH("RESP. NEGRO",INVENTARIO!C151)),"RES-NEG",
IF(ISNUMBER(SEARCH("RESPALDO CAFE",INVENTARIO!C151)),"RES-CAF",
IF(ISNUMBER(SEARCH("RESPALDO GRIS",INVENTARIO!C151)),"RES-GRI",
IF(ISNUMBER(SEARCH("OPTICO",INVENTARIO!C151)),"OPT",
IF(ISNUMBER(SEARCH("1,2 MM",INVENTARIO!C151)),"1MM2",
IF(ISNUMBER(SEARCH("2 MM",INVENTARIO!C151)),"2MM",
IF(ISNUMBER(SEARCH("3 MM",INVENTARIO!C151)),"3MM",
IF(ISNUMBER(SEARCH("4 MM",INVENTARIO!C151)),"4MM",
IF(ISNUMBER(SEARCH("5 MM",INVENTARIO!C151)),"5MM",
IF(ISNUMBER(SEARCH("6 MM",INVENTARIO!C151)),"6MM",
IF(ISNUMBER(SEARCH("9 MM",INVENTARIO!C151)),"9MM",
IF(ISNUMBER(SEARCH("10 MM",INVENTARIO!C151)),"10MM","")))))))))))))</f>
        <v/>
      </c>
      <c r="H151" t="str">
        <f>IF(ISNUMBER(SEARCH("GAMA BAJA",INVENTARIO!C151)),"GAM-BAJ",
IF(ISNUMBER(SEARCH("OPTIMIZADOR",INVENTARIO!C151)),"OPT",
IF(ISNUMBER(SEARCH("OVERCOAT",INVENTARIO!C151)),"OVE",
IF(ISNUMBER(SEARCH("WHITE",INVENTARIO!C151)),"WHI",
IF(ISNUMBER(SEARCH("LIGHT CYAN",INVENTARIO!C151)),"LIG-CYA",
IF(ISNUMBER(SEARCH("CYAN",INVENTARIO!C151)),"CYA",
IF(ISNUMBER(SEARCH("LIGHT MAGENTA",INVENTARIO!C151)),"LIG-MAG",
IF(ISNUMBER(SEARCH("MAGENTA",INVENTARIO!C151)),"MAG",
IF(ISNUMBER(SEARCH("BLACK",INVENTARIO!C151)),"BLA",
IF(ISNUMBER(SEARCH("YELLOW",INVENTARIO!C151)),"YEL",
IF(ISNUMBER(SEARCH("2 DIODOS",INVENTARIO!C151)),"2DI",
IF(ISNUMBER(SEARCH("3 DIODOS",INVENTARIO!C151)),"3DI",
IF(OR(ISNUMBER(SEARCH("TRASLUCIDO",INVENTARIO!C151)),ISNUMBER(SEARCH("TRANSLUCIDO",INVENTARIO!C151))),"TRA",
"")))))))))))))</f>
        <v/>
      </c>
      <c r="I15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2" spans="1:9">
      <c r="A152" t="str">
        <f>IF(ISNUMBER(SEARCH("LONA",INVENTARIO!C152)),"LON",
IF(ISNUMBER(SEARCH("VINIL",INVENTARIO!C152)),"VIN",
IF(ISNUMBER(SEARCH("KROMACOTE",INVENTARIO!C152)),"KRO",
IF(ISNUMBER(SEARCH("STARDREAM",INVENTARIO!C152)),"STA",
IF(ISNUMBER(SEARCH("DISPLAY",INVENTARIO!C152)),"DIS",
IF(ISNUMBER(SEARCH("ROLL UP",INVENTARIO!C152)),"ROL-UP",
IF(ISNUMBER(SEARCH("TRANSFER DE PAPEL",INVENTARIO!C152)),"TRA-PAP",
IF(ISNUMBER(SEARCH("TRANSFER",INVENTARIO!C152)),"TRA",IF(ISNUMBER(SEARCH("KOLA LOKA",INVENTARIO!C152)),"KOL-LOK",
IF(ISNUMBER(SEARCH("PETG",INVENTARIO!C152)),"PET",
IF(ISNUMBER(SEARCH("OJILLO",INVENTARIO!C152)),"OJI",
IF(ISNUMBER(SEARCH("COUCHE",INVENTARIO!C152)),"COU",
IF(ISNUMBER(SEARCH("PANEL DE ALUMINIO",INVENTARIO!C152)),"PAN-ALU",
IF(ISNUMBER(SEARCH("PVC",INVENTARIO!C152)),"PVC",
IF(ISNUMBER(SEARCH("PAPEL",INVENTARIO!C152)),"PAP",
IF(ISNUMBER(SEARCH("TELA",INVENTARIO!C152)),"TEL",
IF(ISNUMBER(SEARCH("CARTULINA",INVENTARIO!C152)),"CAR",
IF(OR(ISNUMBER(SEARCH("LAMINA",INVENTARIO!C152)),ISNUMBER(SEARCH("LÁMINA",INVENTARIO!C152)),ISNUMBER(SEARCH("LAMPARAS",INVENTARIO!C152))),"LAM",
IF(ISNUMBER(SEARCH("ESTIRENO",INVENTARIO!C152)),"EST",
IF(ISNUMBER(SEARCH("FOAMBOARD",INVENTARIO!C152)),"FOA",
IF(ISNUMBER(SEARCH("SOLVENTE",INVENTARIO!C152)),"SOL",
IF(ISNUMBER(SEARCH("TINTA",INVENTARIO!C152)),"TIN",
IF(ISNUMBER(SEARCH("ACRILICO",INVENTARIO!C152)),"ACR",
IF(ISNUMBER(SEARCH("MICROLED",INVENTARIO!C152)),"MIC",
IF(ISNUMBER(SEARCH("LED",INVENTARIO!C152)),"LED",
IF(ISNUMBER(SEARCH("FUENTE DE PODER",INVENTARIO!C152)),"FUE-POD",
IF(ISNUMBER(SEARCH("PETG",INVENTARIO!C152)),"PET",
IF(ISNUMBER(SEARCH("ALUMINIO",INVENTARIO!C152)),"ALU",
IF(ISNUMBER(SEARCH("CANAL",INVENTARIO!C152)),"CAN",
IF(ISNUMBER(SEARCH("ESCUADRA",INVENTARIO!C152)),"ESC",
IF(ISNUMBER(SEARCH("SOPORTE",INVENTARIO!C152)),"SOP","OTR")
))))))))))))))))))))))))))))))</f>
        <v>OJI</v>
      </c>
      <c r="B152" t="str">
        <f>IF(ISNUMBER(SEARCH("CORTE",INVENTARIO!C152)),"COR",
IF(ISNUMBER(SEARCH("CITYLIGHT",INVENTARIO!C152)),"CIT",
IF(ISNUMBER(SEARCH("LINO",INVENTARIO!C152)),"LIN",
IF(ISNUMBER(SEARCH("FABRIANO",INVENTARIO!C152)),"FAB",
IF(ISNUMBER(SEARCH("SUNDANCE",INVENTARIO!C152)),"SUN",
IF(ISNUMBER(SEARCH("SINTETICA",INVENTARIO!C152)),"SIN",
IF(ISNUMBER(SEARCH("CONTROL",INVENTARIO!C152)),"CON",
IF(ISNUMBER(SEARCH("TERMICO",INVENTARIO!C152)),"TER",
IF(ISNUMBER(SEARCH("C-15",INVENTARIO!C152)),"C15",
IF(ISNUMBER(SEARCH("C-20",INVENTARIO!C152)),"C20",
IF(ISNUMBER(SEARCH("C-30",INVENTARIO!C152)),"C30",
IF(ISNUMBER(SEARCH("C-40",INVENTARIO!C152)),"C40",
IF(ISNUMBER(SEARCH("C-60",INVENTARIO!C152)),"C60",
IF(ISNUMBER(SEARCH("C-80",INVENTARIO!C152)),"C80",
IF(ISNUMBER(SEARCH("EQUIPO",INVENTARIO!C152)),"EQU",
IF(ISNUMBER(SEARCH("FLOOR",INVENTARIO!C152)),"FLO",
IF(ISNUMBER(SEARCH("CRISTAL",INVENTARIO!C152)),"CRI",
IF(ISNUMBER(SEARCH(" SULFATADA",INVENTARIO!C163)),"SUL",
IF(ISNUMBER(SEARCH("OPALINA",INVENTARIO!C152)),"OPA",
IF(ISNUMBER(SEARCH("ADHERIBLE",INVENTARIO!C152)),"ADH",
IF(ISNUMBER(SEARCH("MICRO",INVENTARIO!C152)),"MIC","")))))))))))))))))))))</f>
        <v/>
      </c>
      <c r="C152" t="str">
        <f>IF(ISNUMBER(SEARCH("PARED",INVENTARIO!C152)),"PAR",
IF(ISNUMBER(SEARCH("FRONT",INVENTARIO!C152)),"FRO",
IF(ISNUMBER(SEARCH("ALTA RESISTENCIA",INVENTARIO!C152)),
"ALT-RES",IF(ISNUMBER(SEARCH("BACKLITE",INVENTARIO!C152)),"BAC",
IF(ISNUMBER(SEARCH("MATE",INVENTARIO!C152)),"MAT",
IF(ISNUMBER(SEARCH("MESH",INVENTARIO!C152)),"MES",
IF(ISNUMBER(SEARCH("BRILLANTE",INVENTARIO!C152)),"BRI",
IF(ISNUMBER(SEARCH("DELGADA",INVENTARIO!C152)),"DEL",
IF(ISNUMBER(SEARCH("GRUESA",INVENTARIO!C152)),"GRU",
IF(ISNUMBER(SEARCH("ESTATICO",INVENTARIO!C152)),"EST",
IF(ISNUMBER(SEARCH("REFLECTIVO",INVENTARIO!C152)),"REF",
IF(ISNUMBER(SEARCH("LX700",INVENTARIO!C152)),"LX7",
IF(ISNUMBER(SEARCH("GRANDO",INVENTARIO!C152)),"GRA",
IF(ISNUMBER(SEARCH("FB700",INVENTARIO!C152)),"FB7",
IF(ISNUMBER(SEARCH("LX360",INVENTARIO!C152)),"LX3",
IF(ISNUMBER(SEARCH("XEROX",INVENTARIO!C152)),"XER",
IF(ISNUMBER(SEARCH("CEPILLADO",INVENTARIO!C152)),"CEP",
IF(ISNUMBER(SEARCH("ESPEJO",INVENTARIO!C152)),"ESP",
IF(ISNUMBER(SEARCH("10 PTS",INVENTARIO!C152)),"10PT",
IF(ISNUMBER(SEARCH("12 PTS",INVENTARIO!C152)),"12PT",
IF(ISNUMBER(SEARCH("14 PTS",INVENTARIO!C152)),"14PT",
IF(ISNUMBER(SEARCH("CLASICO",INVENTARIO!C152)),"CLA",
""))))))))))))))))))))))</f>
        <v/>
      </c>
      <c r="D152" t="str">
        <f>IF(ISNUMBER(SEARCH("GRAN FORMATO",INVENTARIO!C152)),"GRA-FOR",
IF(ISNUMBER(SEARCH("CAMA PLANA",INVENTARIO!C152)),"CAM-PLA",
IF(ISNUMBER(SEARCH("GRADO INGENIERIA",INVENTARIO!C152)),"GRA-ING",
IF(ISNUMBER(SEARCH("130 GRS",INVENTARIO!C152)),"130GR",
IF(ISNUMBER(SEARCH("150 GRS",INVENTARIO!C152)),"150GR",
IF(ISNUMBER(SEARCH("185 GRS",INVENTARIO!C152)),"185GR",
IF(ISNUMBER(SEARCH("200 GRS",INVENTARIO!C152)),"200GR",
IF(ISNUMBER(SEARCH("250 GRS",INVENTARIO!C152)),"250GR",
IF(ISNUMBER(SEARCH("300 GRS",INVENTARIO!C152)),"300GR",
IF(ISNUMBER(SEARCH("350 GRS",INVENTARIO!C152)),"350GR",
IF(ISNUMBER(SEARCH("18 OZ",INVENTARIO!C152)),"18OZ",
IF(ISNUMBER(SEARCH("15 OZ",INVENTARIO!C152)),"15OZ",
IF(OR(ISNUMBER(SEARCH("13 OZ",INVENTARIO!C152)),ISNUMBER(SEARCH("13 ONZAS",INVENTARIO!C152))),"13OZ",
IF(OR(ISNUMBER(SEARCH("9 OZ",INVENTARIO!C152)),ISNUMBER(SEARCH("9 ONZAS",INVENTARIO!C152))),"09OZ",
IF(ISNUMBER(SEARCH("DOBLE CARA",INVENTARIO!C152)),"DOB-CAR",
"")))))))))))))))</f>
        <v/>
      </c>
      <c r="E152" t="str">
        <f>IF(OR(ISNUMBER(SEARCH("TRANSPARENTE",INVENTARIO!C152)),ISNUMBER(SEARCH("TRANSPARENTES",INVENTARIO!C152))),"TRA",
IF(OR(ISNUMBER(SEARCH("BLANCO",INVENTARIO!C152)),ISNUMBER(SEARCH("BCO",INVENTARIO!C152))),"BLA",
IF(ISNUMBER(SEARCH("FOTOGRAFICO",INVENTARIO!C152)),"FOT",
IF(ISNUMBER(SEARCH("MARFIL",INVENTARIO!C152)),"MAR",
IF(ISNUMBER(SEARCH("VERDE",INVENTARIO!C152)),"VER",
IF(ISNUMBER(SEARCH("MORADO",INVENTARIO!C152)),"MOR",
IF(ISNUMBER(SEARCH("PLATA",INVENTARIO!C152)),"PLA",
IF(ISNUMBER(SEARCH("ORO",INVENTARIO!C152)),"ORO",
IF(ISNUMBER(SEARCH("AMARILLO",INVENTARIO!C152)),"AMA",
IF(ISNUMBER(SEARCH("NARANJA",INVENTARIO!C152)),"NAR",
IF(ISNUMBER(SEARCH("NEGRO",INVENTARIO!C152)),"NEG",
IF(ISNUMBER(SEARCH("ROJO",INVENTARIO!C152)),"ROJ",
IF(ISNUMBER(SEARCH("AZUL",INVENTARIO!C152)),"AZU","")))))))))))))</f>
        <v/>
      </c>
      <c r="F152" t="str">
        <f>IF(ISNUMBER(SEARCH("ARLON",INVENTARIO!C152)),"ARL",
IF(ISNUMBER(SEARCH("SUNTHINKS",INVENTARIO!C152)),"SUN",
IF(ISNUMBER(SEARCH("FRIO",INVENTARIO!C152)),"FRI",
IF(ISNUMBER(SEARCH("CALIDO",INVENTARIO!C152)),"CAL",
IF(ISNUMBER(SEARCH("CEPILLADO",INVENTARIO!C152)),"CEP",
IF(ISNUMBER(SEARCH("ESPEJO",INVENTARIO!C152)),"ESP",
""))))))</f>
        <v/>
      </c>
      <c r="G152" t="str">
        <f>IF(ISNUMBER(SEARCH("LATEX",INVENTARIO!C152)),"LAT",
IF(ISNUMBER(SEARCH("RESP. NEGRO",INVENTARIO!C152)),"RES-NEG",
IF(ISNUMBER(SEARCH("RESPALDO CAFE",INVENTARIO!C152)),"RES-CAF",
IF(ISNUMBER(SEARCH("RESPALDO GRIS",INVENTARIO!C152)),"RES-GRI",
IF(ISNUMBER(SEARCH("OPTICO",INVENTARIO!C152)),"OPT",
IF(ISNUMBER(SEARCH("1,2 MM",INVENTARIO!C152)),"1MM2",
IF(ISNUMBER(SEARCH("2 MM",INVENTARIO!C152)),"2MM",
IF(ISNUMBER(SEARCH("3 MM",INVENTARIO!C152)),"3MM",
IF(ISNUMBER(SEARCH("4 MM",INVENTARIO!C152)),"4MM",
IF(ISNUMBER(SEARCH("5 MM",INVENTARIO!C152)),"5MM",
IF(ISNUMBER(SEARCH("6 MM",INVENTARIO!C152)),"6MM",
IF(ISNUMBER(SEARCH("9 MM",INVENTARIO!C152)),"9MM",
IF(ISNUMBER(SEARCH("10 MM",INVENTARIO!C152)),"10MM","")))))))))))))</f>
        <v/>
      </c>
      <c r="H152" t="str">
        <f>IF(ISNUMBER(SEARCH("GAMA BAJA",INVENTARIO!C152)),"GAM-BAJ",
IF(ISNUMBER(SEARCH("OPTIMIZADOR",INVENTARIO!C152)),"OPT",
IF(ISNUMBER(SEARCH("OVERCOAT",INVENTARIO!C152)),"OVE",
IF(ISNUMBER(SEARCH("WHITE",INVENTARIO!C152)),"WHI",
IF(ISNUMBER(SEARCH("LIGHT CYAN",INVENTARIO!C152)),"LIG-CYA",
IF(ISNUMBER(SEARCH("CYAN",INVENTARIO!C152)),"CYA",
IF(ISNUMBER(SEARCH("LIGHT MAGENTA",INVENTARIO!C152)),"LIG-MAG",
IF(ISNUMBER(SEARCH("MAGENTA",INVENTARIO!C152)),"MAG",
IF(ISNUMBER(SEARCH("BLACK",INVENTARIO!C152)),"BLA",
IF(ISNUMBER(SEARCH("YELLOW",INVENTARIO!C152)),"YEL",
IF(ISNUMBER(SEARCH("2 DIODOS",INVENTARIO!C152)),"2DI",
IF(ISNUMBER(SEARCH("3 DIODOS",INVENTARIO!C152)),"3DI",
IF(OR(ISNUMBER(SEARCH("TRASLUCIDO",INVENTARIO!C152)),ISNUMBER(SEARCH("TRANSLUCIDO",INVENTARIO!C152))),"TRA",
"")))))))))))))</f>
        <v/>
      </c>
      <c r="I15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3" spans="1:9">
      <c r="A153" t="str">
        <f>IF(ISNUMBER(SEARCH("LONA",INVENTARIO!C153)),"LON",
IF(ISNUMBER(SEARCH("VINIL",INVENTARIO!C153)),"VIN",
IF(ISNUMBER(SEARCH("KROMACOTE",INVENTARIO!C153)),"KRO",
IF(ISNUMBER(SEARCH("STARDREAM",INVENTARIO!C153)),"STA",
IF(ISNUMBER(SEARCH("DISPLAY",INVENTARIO!C153)),"DIS",
IF(ISNUMBER(SEARCH("ROLL UP",INVENTARIO!C153)),"ROL-UP",
IF(ISNUMBER(SEARCH("TRANSFER DE PAPEL",INVENTARIO!C153)),"TRA-PAP",
IF(ISNUMBER(SEARCH("TRANSFER",INVENTARIO!C153)),"TRA",IF(ISNUMBER(SEARCH("KOLA LOKA",INVENTARIO!C153)),"KOL-LOK",
IF(ISNUMBER(SEARCH("PETG",INVENTARIO!C153)),"PET",
IF(ISNUMBER(SEARCH("OJILLO",INVENTARIO!C153)),"OJI",
IF(ISNUMBER(SEARCH("COUCHE",INVENTARIO!C153)),"COU",
IF(ISNUMBER(SEARCH("PANEL DE ALUMINIO",INVENTARIO!C153)),"PAN-ALU",
IF(ISNUMBER(SEARCH("PVC",INVENTARIO!C153)),"PVC",
IF(ISNUMBER(SEARCH("PAPEL",INVENTARIO!C153)),"PAP",
IF(ISNUMBER(SEARCH("TELA",INVENTARIO!C153)),"TEL",
IF(ISNUMBER(SEARCH("CARTULINA",INVENTARIO!C153)),"CAR",
IF(OR(ISNUMBER(SEARCH("LAMINA",INVENTARIO!C153)),ISNUMBER(SEARCH("LÁMINA",INVENTARIO!C153)),ISNUMBER(SEARCH("LAMPARAS",INVENTARIO!C153))),"LAM",
IF(ISNUMBER(SEARCH("ESTIRENO",INVENTARIO!C153)),"EST",
IF(ISNUMBER(SEARCH("FOAMBOARD",INVENTARIO!C153)),"FOA",
IF(ISNUMBER(SEARCH("SOLVENTE",INVENTARIO!C153)),"SOL",
IF(ISNUMBER(SEARCH("TINTA",INVENTARIO!C153)),"TIN",
IF(ISNUMBER(SEARCH("ACRILICO",INVENTARIO!C153)),"ACR",
IF(ISNUMBER(SEARCH("MICROLED",INVENTARIO!C153)),"MIC",
IF(ISNUMBER(SEARCH("LED",INVENTARIO!C153)),"LED",
IF(ISNUMBER(SEARCH("FUENTE DE PODER",INVENTARIO!C153)),"FUE-POD",
IF(ISNUMBER(SEARCH("PETG",INVENTARIO!C153)),"PET",
IF(ISNUMBER(SEARCH("ALUMINIO",INVENTARIO!C153)),"ALU",
IF(ISNUMBER(SEARCH("CANAL",INVENTARIO!C153)),"CAN",
IF(ISNUMBER(SEARCH("ESCUADRA",INVENTARIO!C153)),"ESC",
IF(ISNUMBER(SEARCH("SOPORTE",INVENTARIO!C153)),"SOP","OTR")
))))))))))))))))))))))))))))))</f>
        <v>VIN</v>
      </c>
      <c r="B153" t="str">
        <f>IF(ISNUMBER(SEARCH("CORTE",INVENTARIO!C153)),"COR",
IF(ISNUMBER(SEARCH("CITYLIGHT",INVENTARIO!C153)),"CIT",
IF(ISNUMBER(SEARCH("LINO",INVENTARIO!C153)),"LIN",
IF(ISNUMBER(SEARCH("FABRIANO",INVENTARIO!C153)),"FAB",
IF(ISNUMBER(SEARCH("SUNDANCE",INVENTARIO!C153)),"SUN",
IF(ISNUMBER(SEARCH("SINTETICA",INVENTARIO!C153)),"SIN",
IF(ISNUMBER(SEARCH("CONTROL",INVENTARIO!C153)),"CON",
IF(ISNUMBER(SEARCH("TERMICO",INVENTARIO!C153)),"TER",
IF(ISNUMBER(SEARCH("C-15",INVENTARIO!C153)),"C15",
IF(ISNUMBER(SEARCH("C-20",INVENTARIO!C153)),"C20",
IF(ISNUMBER(SEARCH("C-30",INVENTARIO!C153)),"C30",
IF(ISNUMBER(SEARCH("C-40",INVENTARIO!C153)),"C40",
IF(ISNUMBER(SEARCH("C-60",INVENTARIO!C153)),"C60",
IF(ISNUMBER(SEARCH("C-80",INVENTARIO!C153)),"C80",
IF(ISNUMBER(SEARCH("EQUIPO",INVENTARIO!C153)),"EQU",
IF(ISNUMBER(SEARCH("FLOOR",INVENTARIO!C153)),"FLO",
IF(ISNUMBER(SEARCH("CRISTAL",INVENTARIO!C153)),"CRI",
IF(ISNUMBER(SEARCH(" SULFATADA",INVENTARIO!C164)),"SUL",
IF(ISNUMBER(SEARCH("OPALINA",INVENTARIO!C153)),"OPA",
IF(ISNUMBER(SEARCH("ADHERIBLE",INVENTARIO!C153)),"ADH",
IF(ISNUMBER(SEARCH("MICRO",INVENTARIO!C153)),"MIC","")))))))))))))))))))))</f>
        <v>COR</v>
      </c>
      <c r="C153" t="str">
        <f>IF(ISNUMBER(SEARCH("PARED",INVENTARIO!C153)),"PAR",
IF(ISNUMBER(SEARCH("FRONT",INVENTARIO!C153)),"FRO",
IF(ISNUMBER(SEARCH("ALTA RESISTENCIA",INVENTARIO!C153)),
"ALT-RES",IF(ISNUMBER(SEARCH("BACKLITE",INVENTARIO!C153)),"BAC",
IF(ISNUMBER(SEARCH("MATE",INVENTARIO!C153)),"MAT",
IF(ISNUMBER(SEARCH("MESH",INVENTARIO!C153)),"MES",
IF(ISNUMBER(SEARCH("BRILLANTE",INVENTARIO!C153)),"BRI",
IF(ISNUMBER(SEARCH("DELGADA",INVENTARIO!C153)),"DEL",
IF(ISNUMBER(SEARCH("GRUESA",INVENTARIO!C153)),"GRU",
IF(ISNUMBER(SEARCH("ESTATICO",INVENTARIO!C153)),"EST",
IF(ISNUMBER(SEARCH("REFLECTIVO",INVENTARIO!C153)),"REF",
IF(ISNUMBER(SEARCH("LX700",INVENTARIO!C153)),"LX7",
IF(ISNUMBER(SEARCH("GRANDO",INVENTARIO!C153)),"GRA",
IF(ISNUMBER(SEARCH("FB700",INVENTARIO!C153)),"FB7",
IF(ISNUMBER(SEARCH("LX360",INVENTARIO!C153)),"LX3",
IF(ISNUMBER(SEARCH("XEROX",INVENTARIO!C153)),"XER",
IF(ISNUMBER(SEARCH("CEPILLADO",INVENTARIO!C153)),"CEP",
IF(ISNUMBER(SEARCH("ESPEJO",INVENTARIO!C153)),"ESP",
IF(ISNUMBER(SEARCH("10 PTS",INVENTARIO!C153)),"10PT",
IF(ISNUMBER(SEARCH("12 PTS",INVENTARIO!C153)),"12PT",
IF(ISNUMBER(SEARCH("14 PTS",INVENTARIO!C153)),"14PT",
IF(ISNUMBER(SEARCH("CLASICO",INVENTARIO!C153)),"CLA",
""))))))))))))))))))))))</f>
        <v/>
      </c>
      <c r="D153" t="str">
        <f>IF(ISNUMBER(SEARCH("GRAN FORMATO",INVENTARIO!C153)),"GRA-FOR",
IF(ISNUMBER(SEARCH("CAMA PLANA",INVENTARIO!C153)),"CAM-PLA",
IF(ISNUMBER(SEARCH("GRADO INGENIERIA",INVENTARIO!C153)),"GRA-ING",
IF(ISNUMBER(SEARCH("130 GRS",INVENTARIO!C153)),"130GR",
IF(ISNUMBER(SEARCH("150 GRS",INVENTARIO!C153)),"150GR",
IF(ISNUMBER(SEARCH("185 GRS",INVENTARIO!C153)),"185GR",
IF(ISNUMBER(SEARCH("200 GRS",INVENTARIO!C153)),"200GR",
IF(ISNUMBER(SEARCH("250 GRS",INVENTARIO!C153)),"250GR",
IF(ISNUMBER(SEARCH("300 GRS",INVENTARIO!C153)),"300GR",
IF(ISNUMBER(SEARCH("350 GRS",INVENTARIO!C153)),"350GR",
IF(ISNUMBER(SEARCH("18 OZ",INVENTARIO!C153)),"18OZ",
IF(ISNUMBER(SEARCH("15 OZ",INVENTARIO!C153)),"15OZ",
IF(OR(ISNUMBER(SEARCH("13 OZ",INVENTARIO!C153)),ISNUMBER(SEARCH("13 ONZAS",INVENTARIO!C153))),"13OZ",
IF(OR(ISNUMBER(SEARCH("9 OZ",INVENTARIO!C153)),ISNUMBER(SEARCH("9 ONZAS",INVENTARIO!C153))),"09OZ",
IF(ISNUMBER(SEARCH("DOBLE CARA",INVENTARIO!C153)),"DOB-CAR",
"")))))))))))))))</f>
        <v/>
      </c>
      <c r="E153" t="str">
        <f>IF(OR(ISNUMBER(SEARCH("TRANSPARENTE",INVENTARIO!C153)),ISNUMBER(SEARCH("TRANSPARENTES",INVENTARIO!C153))),"TRA",
IF(OR(ISNUMBER(SEARCH("BLANCO",INVENTARIO!C153)),ISNUMBER(SEARCH("BCO",INVENTARIO!C153))),"BLA",
IF(ISNUMBER(SEARCH("FOTOGRAFICO",INVENTARIO!C153)),"FOT",
IF(ISNUMBER(SEARCH("MARFIL",INVENTARIO!C153)),"MAR",
IF(ISNUMBER(SEARCH("VERDE",INVENTARIO!C153)),"VER",
IF(ISNUMBER(SEARCH("MORADO",INVENTARIO!C153)),"MOR",
IF(ISNUMBER(SEARCH("PLATA",INVENTARIO!C153)),"PLA",
IF(ISNUMBER(SEARCH("ORO",INVENTARIO!C153)),"ORO",
IF(ISNUMBER(SEARCH("AMARILLO",INVENTARIO!C153)),"AMA",
IF(ISNUMBER(SEARCH("NARANJA",INVENTARIO!C153)),"NAR",
IF(ISNUMBER(SEARCH("NEGRO",INVENTARIO!C153)),"NEG",
IF(ISNUMBER(SEARCH("ROJO",INVENTARIO!C153)),"ROJ",
IF(ISNUMBER(SEARCH("AZUL",INVENTARIO!C153)),"AZU","")))))))))))))</f>
        <v>AZU</v>
      </c>
      <c r="F153" t="str">
        <f>IF(ISNUMBER(SEARCH("ARLON",INVENTARIO!C153)),"ARL",
IF(ISNUMBER(SEARCH("SUNTHINKS",INVENTARIO!C153)),"SUN",
IF(ISNUMBER(SEARCH("FRIO",INVENTARIO!C153)),"FRI",
IF(ISNUMBER(SEARCH("CALIDO",INVENTARIO!C153)),"CAL",
IF(ISNUMBER(SEARCH("CEPILLADO",INVENTARIO!C153)),"CEP",
IF(ISNUMBER(SEARCH("ESPEJO",INVENTARIO!C153)),"ESP",
""))))))</f>
        <v/>
      </c>
      <c r="G153" t="str">
        <f>IF(ISNUMBER(SEARCH("LATEX",INVENTARIO!C153)),"LAT",
IF(ISNUMBER(SEARCH("RESP. NEGRO",INVENTARIO!C153)),"RES-NEG",
IF(ISNUMBER(SEARCH("RESPALDO CAFE",INVENTARIO!C153)),"RES-CAF",
IF(ISNUMBER(SEARCH("RESPALDO GRIS",INVENTARIO!C153)),"RES-GRI",
IF(ISNUMBER(SEARCH("OPTICO",INVENTARIO!C153)),"OPT",
IF(ISNUMBER(SEARCH("1,2 MM",INVENTARIO!C153)),"1MM2",
IF(ISNUMBER(SEARCH("2 MM",INVENTARIO!C153)),"2MM",
IF(ISNUMBER(SEARCH("3 MM",INVENTARIO!C153)),"3MM",
IF(ISNUMBER(SEARCH("4 MM",INVENTARIO!C153)),"4MM",
IF(ISNUMBER(SEARCH("5 MM",INVENTARIO!C153)),"5MM",
IF(ISNUMBER(SEARCH("6 MM",INVENTARIO!C153)),"6MM",
IF(ISNUMBER(SEARCH("9 MM",INVENTARIO!C153)),"9MM",
IF(ISNUMBER(SEARCH("10 MM",INVENTARIO!C153)),"10MM","")))))))))))))</f>
        <v/>
      </c>
      <c r="H153" t="str">
        <f>IF(ISNUMBER(SEARCH("GAMA BAJA",INVENTARIO!C153)),"GAM-BAJ",
IF(ISNUMBER(SEARCH("OPTIMIZADOR",INVENTARIO!C153)),"OPT",
IF(ISNUMBER(SEARCH("OVERCOAT",INVENTARIO!C153)),"OVE",
IF(ISNUMBER(SEARCH("WHITE",INVENTARIO!C153)),"WHI",
IF(ISNUMBER(SEARCH("LIGHT CYAN",INVENTARIO!C153)),"LIG-CYA",
IF(ISNUMBER(SEARCH("CYAN",INVENTARIO!C153)),"CYA",
IF(ISNUMBER(SEARCH("LIGHT MAGENTA",INVENTARIO!C153)),"LIG-MAG",
IF(ISNUMBER(SEARCH("MAGENTA",INVENTARIO!C153)),"MAG",
IF(ISNUMBER(SEARCH("BLACK",INVENTARIO!C153)),"BLA",
IF(ISNUMBER(SEARCH("YELLOW",INVENTARIO!C153)),"YEL",
IF(ISNUMBER(SEARCH("2 DIODOS",INVENTARIO!C153)),"2DI",
IF(ISNUMBER(SEARCH("3 DIODOS",INVENTARIO!C153)),"3DI",
IF(OR(ISNUMBER(SEARCH("TRASLUCIDO",INVENTARIO!C153)),ISNUMBER(SEARCH("TRANSLUCIDO",INVENTARIO!C153))),"TRA",
"")))))))))))))</f>
        <v>TRA</v>
      </c>
      <c r="I15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4" spans="1:9">
      <c r="A154" t="str">
        <f>IF(ISNUMBER(SEARCH("LONA",INVENTARIO!C154)),"LON",
IF(ISNUMBER(SEARCH("VINIL",INVENTARIO!C154)),"VIN",
IF(ISNUMBER(SEARCH("KROMACOTE",INVENTARIO!C154)),"KRO",
IF(ISNUMBER(SEARCH("STARDREAM",INVENTARIO!C154)),"STA",
IF(ISNUMBER(SEARCH("DISPLAY",INVENTARIO!C154)),"DIS",
IF(ISNUMBER(SEARCH("ROLL UP",INVENTARIO!C154)),"ROL-UP",
IF(ISNUMBER(SEARCH("TRANSFER DE PAPEL",INVENTARIO!C154)),"TRA-PAP",
IF(ISNUMBER(SEARCH("TRANSFER",INVENTARIO!C154)),"TRA",IF(ISNUMBER(SEARCH("KOLA LOKA",INVENTARIO!C154)),"KOL-LOK",
IF(ISNUMBER(SEARCH("PETG",INVENTARIO!C154)),"PET",
IF(ISNUMBER(SEARCH("OJILLO",INVENTARIO!C154)),"OJI",
IF(ISNUMBER(SEARCH("COUCHE",INVENTARIO!C154)),"COU",
IF(ISNUMBER(SEARCH("PANEL DE ALUMINIO",INVENTARIO!C154)),"PAN-ALU",
IF(ISNUMBER(SEARCH("PVC",INVENTARIO!C154)),"PVC",
IF(ISNUMBER(SEARCH("PAPEL",INVENTARIO!C154)),"PAP",
IF(ISNUMBER(SEARCH("TELA",INVENTARIO!C154)),"TEL",
IF(ISNUMBER(SEARCH("CARTULINA",INVENTARIO!C154)),"CAR",
IF(OR(ISNUMBER(SEARCH("LAMINA",INVENTARIO!C154)),ISNUMBER(SEARCH("LÁMINA",INVENTARIO!C154)),ISNUMBER(SEARCH("LAMPARAS",INVENTARIO!C154))),"LAM",
IF(ISNUMBER(SEARCH("ESTIRENO",INVENTARIO!C154)),"EST",
IF(ISNUMBER(SEARCH("FOAMBOARD",INVENTARIO!C154)),"FOA",
IF(ISNUMBER(SEARCH("SOLVENTE",INVENTARIO!C154)),"SOL",
IF(ISNUMBER(SEARCH("TINTA",INVENTARIO!C154)),"TIN",
IF(ISNUMBER(SEARCH("ACRILICO",INVENTARIO!C154)),"ACR",
IF(ISNUMBER(SEARCH("MICROLED",INVENTARIO!C154)),"MIC",
IF(ISNUMBER(SEARCH("LED",INVENTARIO!C154)),"LED",
IF(ISNUMBER(SEARCH("FUENTE DE PODER",INVENTARIO!C154)),"FUE-POD",
IF(ISNUMBER(SEARCH("PETG",INVENTARIO!C154)),"PET",
IF(ISNUMBER(SEARCH("ALUMINIO",INVENTARIO!C154)),"ALU",
IF(ISNUMBER(SEARCH("CANAL",INVENTARIO!C154)),"CAN",
IF(ISNUMBER(SEARCH("ESCUADRA",INVENTARIO!C154)),"ESC",
IF(ISNUMBER(SEARCH("SOPORTE",INVENTARIO!C154)),"SOP","OTR")
))))))))))))))))))))))))))))))</f>
        <v>VIN</v>
      </c>
      <c r="B154" t="str">
        <f>IF(ISNUMBER(SEARCH("CORTE",INVENTARIO!C154)),"COR",
IF(ISNUMBER(SEARCH("CITYLIGHT",INVENTARIO!C154)),"CIT",
IF(ISNUMBER(SEARCH("LINO",INVENTARIO!C154)),"LIN",
IF(ISNUMBER(SEARCH("FABRIANO",INVENTARIO!C154)),"FAB",
IF(ISNUMBER(SEARCH("SUNDANCE",INVENTARIO!C154)),"SUN",
IF(ISNUMBER(SEARCH("SINTETICA",INVENTARIO!C154)),"SIN",
IF(ISNUMBER(SEARCH("CONTROL",INVENTARIO!C154)),"CON",
IF(ISNUMBER(SEARCH("TERMICO",INVENTARIO!C154)),"TER",
IF(ISNUMBER(SEARCH("C-15",INVENTARIO!C154)),"C15",
IF(ISNUMBER(SEARCH("C-20",INVENTARIO!C154)),"C20",
IF(ISNUMBER(SEARCH("C-30",INVENTARIO!C154)),"C30",
IF(ISNUMBER(SEARCH("C-40",INVENTARIO!C154)),"C40",
IF(ISNUMBER(SEARCH("C-60",INVENTARIO!C154)),"C60",
IF(ISNUMBER(SEARCH("C-80",INVENTARIO!C154)),"C80",
IF(ISNUMBER(SEARCH("EQUIPO",INVENTARIO!C154)),"EQU",
IF(ISNUMBER(SEARCH("FLOOR",INVENTARIO!C154)),"FLO",
IF(ISNUMBER(SEARCH("CRISTAL",INVENTARIO!C154)),"CRI",
IF(ISNUMBER(SEARCH(" SULFATADA",INVENTARIO!C165)),"SUL",
IF(ISNUMBER(SEARCH("OPALINA",INVENTARIO!C154)),"OPA",
IF(ISNUMBER(SEARCH("ADHERIBLE",INVENTARIO!C154)),"ADH",
IF(ISNUMBER(SEARCH("MICRO",INVENTARIO!C154)),"MIC","")))))))))))))))))))))</f>
        <v>COR</v>
      </c>
      <c r="C154" t="str">
        <f>IF(ISNUMBER(SEARCH("PARED",INVENTARIO!C154)),"PAR",
IF(ISNUMBER(SEARCH("FRONT",INVENTARIO!C154)),"FRO",
IF(ISNUMBER(SEARCH("ALTA RESISTENCIA",INVENTARIO!C154)),
"ALT-RES",IF(ISNUMBER(SEARCH("BACKLITE",INVENTARIO!C154)),"BAC",
IF(ISNUMBER(SEARCH("MATE",INVENTARIO!C154)),"MAT",
IF(ISNUMBER(SEARCH("MESH",INVENTARIO!C154)),"MES",
IF(ISNUMBER(SEARCH("BRILLANTE",INVENTARIO!C154)),"BRI",
IF(ISNUMBER(SEARCH("DELGADA",INVENTARIO!C154)),"DEL",
IF(ISNUMBER(SEARCH("GRUESA",INVENTARIO!C154)),"GRU",
IF(ISNUMBER(SEARCH("ESTATICO",INVENTARIO!C154)),"EST",
IF(ISNUMBER(SEARCH("REFLECTIVO",INVENTARIO!C154)),"REF",
IF(ISNUMBER(SEARCH("LX700",INVENTARIO!C154)),"LX7",
IF(ISNUMBER(SEARCH("GRANDO",INVENTARIO!C154)),"GRA",
IF(ISNUMBER(SEARCH("FB700",INVENTARIO!C154)),"FB7",
IF(ISNUMBER(SEARCH("LX360",INVENTARIO!C154)),"LX3",
IF(ISNUMBER(SEARCH("XEROX",INVENTARIO!C154)),"XER",
IF(ISNUMBER(SEARCH("CEPILLADO",INVENTARIO!C154)),"CEP",
IF(ISNUMBER(SEARCH("ESPEJO",INVENTARIO!C154)),"ESP",
IF(ISNUMBER(SEARCH("10 PTS",INVENTARIO!C154)),"10PT",
IF(ISNUMBER(SEARCH("12 PTS",INVENTARIO!C154)),"12PT",
IF(ISNUMBER(SEARCH("14 PTS",INVENTARIO!C154)),"14PT",
IF(ISNUMBER(SEARCH("CLASICO",INVENTARIO!C154)),"CLA",
""))))))))))))))))))))))</f>
        <v/>
      </c>
      <c r="D154" t="str">
        <f>IF(ISNUMBER(SEARCH("GRAN FORMATO",INVENTARIO!C154)),"GRA-FOR",
IF(ISNUMBER(SEARCH("CAMA PLANA",INVENTARIO!C154)),"CAM-PLA",
IF(ISNUMBER(SEARCH("GRADO INGENIERIA",INVENTARIO!C154)),"GRA-ING",
IF(ISNUMBER(SEARCH("130 GRS",INVENTARIO!C154)),"130GR",
IF(ISNUMBER(SEARCH("150 GRS",INVENTARIO!C154)),"150GR",
IF(ISNUMBER(SEARCH("185 GRS",INVENTARIO!C154)),"185GR",
IF(ISNUMBER(SEARCH("200 GRS",INVENTARIO!C154)),"200GR",
IF(ISNUMBER(SEARCH("250 GRS",INVENTARIO!C154)),"250GR",
IF(ISNUMBER(SEARCH("300 GRS",INVENTARIO!C154)),"300GR",
IF(ISNUMBER(SEARCH("350 GRS",INVENTARIO!C154)),"350GR",
IF(ISNUMBER(SEARCH("18 OZ",INVENTARIO!C154)),"18OZ",
IF(ISNUMBER(SEARCH("15 OZ",INVENTARIO!C154)),"15OZ",
IF(OR(ISNUMBER(SEARCH("13 OZ",INVENTARIO!C154)),ISNUMBER(SEARCH("13 ONZAS",INVENTARIO!C154))),"13OZ",
IF(OR(ISNUMBER(SEARCH("9 OZ",INVENTARIO!C154)),ISNUMBER(SEARCH("9 ONZAS",INVENTARIO!C154))),"09OZ",
IF(ISNUMBER(SEARCH("DOBLE CARA",INVENTARIO!C154)),"DOB-CAR",
"")))))))))))))))</f>
        <v/>
      </c>
      <c r="E154" t="str">
        <f>IF(OR(ISNUMBER(SEARCH("TRANSPARENTE",INVENTARIO!C154)),ISNUMBER(SEARCH("TRANSPARENTES",INVENTARIO!C154))),"TRA",
IF(OR(ISNUMBER(SEARCH("BLANCO",INVENTARIO!C154)),ISNUMBER(SEARCH("BCO",INVENTARIO!C154))),"BLA",
IF(ISNUMBER(SEARCH("FOTOGRAFICO",INVENTARIO!C154)),"FOT",
IF(ISNUMBER(SEARCH("MARFIL",INVENTARIO!C154)),"MAR",
IF(ISNUMBER(SEARCH("VERDE",INVENTARIO!C154)),"VER",
IF(ISNUMBER(SEARCH("MORADO",INVENTARIO!C154)),"MOR",
IF(ISNUMBER(SEARCH("PLATA",INVENTARIO!C154)),"PLA",
IF(ISNUMBER(SEARCH("ORO",INVENTARIO!C154)),"ORO",
IF(ISNUMBER(SEARCH("AMARILLO",INVENTARIO!C154)),"AMA",
IF(ISNUMBER(SEARCH("NARANJA",INVENTARIO!C154)),"NAR",
IF(ISNUMBER(SEARCH("NEGRO",INVENTARIO!C154)),"NEG",
IF(ISNUMBER(SEARCH("ROJO",INVENTARIO!C154)),"ROJ",
IF(ISNUMBER(SEARCH("AZUL",INVENTARIO!C154)),"AZU","")))))))))))))</f>
        <v/>
      </c>
      <c r="F154" t="str">
        <f>IF(ISNUMBER(SEARCH("ARLON",INVENTARIO!C154)),"ARL",
IF(ISNUMBER(SEARCH("SUNTHINKS",INVENTARIO!C154)),"SUN",
IF(ISNUMBER(SEARCH("FRIO",INVENTARIO!C154)),"FRI",
IF(ISNUMBER(SEARCH("CALIDO",INVENTARIO!C154)),"CAL",
IF(ISNUMBER(SEARCH("CEPILLADO",INVENTARIO!C154)),"CEP",
IF(ISNUMBER(SEARCH("ESPEJO",INVENTARIO!C154)),"ESP",
""))))))</f>
        <v/>
      </c>
      <c r="G154" t="str">
        <f>IF(ISNUMBER(SEARCH("LATEX",INVENTARIO!C154)),"LAT",
IF(ISNUMBER(SEARCH("RESP. NEGRO",INVENTARIO!C154)),"RES-NEG",
IF(ISNUMBER(SEARCH("RESPALDO CAFE",INVENTARIO!C154)),"RES-CAF",
IF(ISNUMBER(SEARCH("RESPALDO GRIS",INVENTARIO!C154)),"RES-GRI",
IF(ISNUMBER(SEARCH("OPTICO",INVENTARIO!C154)),"OPT",
IF(ISNUMBER(SEARCH("1,2 MM",INVENTARIO!C154)),"1MM2",
IF(ISNUMBER(SEARCH("2 MM",INVENTARIO!C154)),"2MM",
IF(ISNUMBER(SEARCH("3 MM",INVENTARIO!C154)),"3MM",
IF(ISNUMBER(SEARCH("4 MM",INVENTARIO!C154)),"4MM",
IF(ISNUMBER(SEARCH("5 MM",INVENTARIO!C154)),"5MM",
IF(ISNUMBER(SEARCH("6 MM",INVENTARIO!C154)),"6MM",
IF(ISNUMBER(SEARCH("9 MM",INVENTARIO!C154)),"9MM",
IF(ISNUMBER(SEARCH("10 MM",INVENTARIO!C154)),"10MM","")))))))))))))</f>
        <v/>
      </c>
      <c r="H154" t="str">
        <f>IF(ISNUMBER(SEARCH("GAMA BAJA",INVENTARIO!C154)),"GAM-BAJ",
IF(ISNUMBER(SEARCH("OPTIMIZADOR",INVENTARIO!C154)),"OPT",
IF(ISNUMBER(SEARCH("OVERCOAT",INVENTARIO!C154)),"OVE",
IF(ISNUMBER(SEARCH("WHITE",INVENTARIO!C154)),"WHI",
IF(ISNUMBER(SEARCH("LIGHT CYAN",INVENTARIO!C154)),"LIG-CYA",
IF(ISNUMBER(SEARCH("CYAN",INVENTARIO!C154)),"CYA",
IF(ISNUMBER(SEARCH("LIGHT MAGENTA",INVENTARIO!C154)),"LIG-MAG",
IF(ISNUMBER(SEARCH("MAGENTA",INVENTARIO!C154)),"MAG",
IF(ISNUMBER(SEARCH("BLACK",INVENTARIO!C154)),"BLA",
IF(ISNUMBER(SEARCH("YELLOW",INVENTARIO!C154)),"YEL",
IF(ISNUMBER(SEARCH("2 DIODOS",INVENTARIO!C154)),"2DI",
IF(ISNUMBER(SEARCH("3 DIODOS",INVENTARIO!C154)),"3DI",
IF(OR(ISNUMBER(SEARCH("TRASLUCIDO",INVENTARIO!C154)),ISNUMBER(SEARCH("TRANSLUCIDO",INVENTARIO!C154))),"TRA",
"")))))))))))))</f>
        <v>TRA</v>
      </c>
      <c r="I15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5" spans="1:9">
      <c r="A155" t="str">
        <f>IF(ISNUMBER(SEARCH("LONA",INVENTARIO!C155)),"LON",
IF(ISNUMBER(SEARCH("VINIL",INVENTARIO!C155)),"VIN",
IF(ISNUMBER(SEARCH("KROMACOTE",INVENTARIO!C155)),"KRO",
IF(ISNUMBER(SEARCH("STARDREAM",INVENTARIO!C155)),"STA",
IF(ISNUMBER(SEARCH("DISPLAY",INVENTARIO!C155)),"DIS",
IF(ISNUMBER(SEARCH("ROLL UP",INVENTARIO!C155)),"ROL-UP",
IF(ISNUMBER(SEARCH("TRANSFER DE PAPEL",INVENTARIO!C155)),"TRA-PAP",
IF(ISNUMBER(SEARCH("TRANSFER",INVENTARIO!C155)),"TRA",IF(ISNUMBER(SEARCH("KOLA LOKA",INVENTARIO!C155)),"KOL-LOK",
IF(ISNUMBER(SEARCH("PETG",INVENTARIO!C155)),"PET",
IF(ISNUMBER(SEARCH("OJILLO",INVENTARIO!C155)),"OJI",
IF(ISNUMBER(SEARCH("COUCHE",INVENTARIO!C155)),"COU",
IF(ISNUMBER(SEARCH("PANEL DE ALUMINIO",INVENTARIO!C155)),"PAN-ALU",
IF(ISNUMBER(SEARCH("PVC",INVENTARIO!C155)),"PVC",
IF(ISNUMBER(SEARCH("PAPEL",INVENTARIO!C155)),"PAP",
IF(ISNUMBER(SEARCH("TELA",INVENTARIO!C155)),"TEL",
IF(ISNUMBER(SEARCH("CARTULINA",INVENTARIO!C155)),"CAR",
IF(OR(ISNUMBER(SEARCH("LAMINA",INVENTARIO!C155)),ISNUMBER(SEARCH("LÁMINA",INVENTARIO!C155)),ISNUMBER(SEARCH("LAMPARAS",INVENTARIO!C155))),"LAM",
IF(ISNUMBER(SEARCH("ESTIRENO",INVENTARIO!C155)),"EST",
IF(ISNUMBER(SEARCH("FOAMBOARD",INVENTARIO!C155)),"FOA",
IF(ISNUMBER(SEARCH("SOLVENTE",INVENTARIO!C155)),"SOL",
IF(ISNUMBER(SEARCH("TINTA",INVENTARIO!C155)),"TIN",
IF(ISNUMBER(SEARCH("ACRILICO",INVENTARIO!C155)),"ACR",
IF(ISNUMBER(SEARCH("MICROLED",INVENTARIO!C155)),"MIC",
IF(ISNUMBER(SEARCH("LED",INVENTARIO!C155)),"LED",
IF(ISNUMBER(SEARCH("FUENTE DE PODER",INVENTARIO!C155)),"FUE-POD",
IF(ISNUMBER(SEARCH("PETG",INVENTARIO!C155)),"PET",
IF(ISNUMBER(SEARCH("ALUMINIO",INVENTARIO!C155)),"ALU",
IF(ISNUMBER(SEARCH("CANAL",INVENTARIO!C155)),"CAN",
IF(ISNUMBER(SEARCH("ESCUADRA",INVENTARIO!C155)),"ESC",
IF(ISNUMBER(SEARCH("SOPORTE",INVENTARIO!C155)),"SOP","OTR")
))))))))))))))))))))))))))))))</f>
        <v>VIN</v>
      </c>
      <c r="B155" t="str">
        <f>IF(ISNUMBER(SEARCH("CORTE",INVENTARIO!C155)),"COR",
IF(ISNUMBER(SEARCH("CITYLIGHT",INVENTARIO!C155)),"CIT",
IF(ISNUMBER(SEARCH("LINO",INVENTARIO!C155)),"LIN",
IF(ISNUMBER(SEARCH("FABRIANO",INVENTARIO!C155)),"FAB",
IF(ISNUMBER(SEARCH("SUNDANCE",INVENTARIO!C155)),"SUN",
IF(ISNUMBER(SEARCH("SINTETICA",INVENTARIO!C155)),"SIN",
IF(ISNUMBER(SEARCH("CONTROL",INVENTARIO!C155)),"CON",
IF(ISNUMBER(SEARCH("TERMICO",INVENTARIO!C155)),"TER",
IF(ISNUMBER(SEARCH("C-15",INVENTARIO!C155)),"C15",
IF(ISNUMBER(SEARCH("C-20",INVENTARIO!C155)),"C20",
IF(ISNUMBER(SEARCH("C-30",INVENTARIO!C155)),"C30",
IF(ISNUMBER(SEARCH("C-40",INVENTARIO!C155)),"C40",
IF(ISNUMBER(SEARCH("C-60",INVENTARIO!C155)),"C60",
IF(ISNUMBER(SEARCH("C-80",INVENTARIO!C155)),"C80",
IF(ISNUMBER(SEARCH("EQUIPO",INVENTARIO!C155)),"EQU",
IF(ISNUMBER(SEARCH("FLOOR",INVENTARIO!C155)),"FLO",
IF(ISNUMBER(SEARCH("CRISTAL",INVENTARIO!C155)),"CRI",
IF(ISNUMBER(SEARCH(" SULFATADA",INVENTARIO!C166)),"SUL",
IF(ISNUMBER(SEARCH("OPALINA",INVENTARIO!C155)),"OPA",
IF(ISNUMBER(SEARCH("ADHERIBLE",INVENTARIO!C155)),"ADH",
IF(ISNUMBER(SEARCH("MICRO",INVENTARIO!C155)),"MIC","")))))))))))))))))))))</f>
        <v>COR</v>
      </c>
      <c r="C155" t="str">
        <f>IF(ISNUMBER(SEARCH("PARED",INVENTARIO!C155)),"PAR",
IF(ISNUMBER(SEARCH("FRONT",INVENTARIO!C155)),"FRO",
IF(ISNUMBER(SEARCH("ALTA RESISTENCIA",INVENTARIO!C155)),
"ALT-RES",IF(ISNUMBER(SEARCH("BACKLITE",INVENTARIO!C155)),"BAC",
IF(ISNUMBER(SEARCH("MATE",INVENTARIO!C155)),"MAT",
IF(ISNUMBER(SEARCH("MESH",INVENTARIO!C155)),"MES",
IF(ISNUMBER(SEARCH("BRILLANTE",INVENTARIO!C155)),"BRI",
IF(ISNUMBER(SEARCH("DELGADA",INVENTARIO!C155)),"DEL",
IF(ISNUMBER(SEARCH("GRUESA",INVENTARIO!C155)),"GRU",
IF(ISNUMBER(SEARCH("ESTATICO",INVENTARIO!C155)),"EST",
IF(ISNUMBER(SEARCH("REFLECTIVO",INVENTARIO!C155)),"REF",
IF(ISNUMBER(SEARCH("LX700",INVENTARIO!C155)),"LX7",
IF(ISNUMBER(SEARCH("GRANDO",INVENTARIO!C155)),"GRA",
IF(ISNUMBER(SEARCH("FB700",INVENTARIO!C155)),"FB7",
IF(ISNUMBER(SEARCH("LX360",INVENTARIO!C155)),"LX3",
IF(ISNUMBER(SEARCH("XEROX",INVENTARIO!C155)),"XER",
IF(ISNUMBER(SEARCH("CEPILLADO",INVENTARIO!C155)),"CEP",
IF(ISNUMBER(SEARCH("ESPEJO",INVENTARIO!C155)),"ESP",
IF(ISNUMBER(SEARCH("10 PTS",INVENTARIO!C155)),"10PT",
IF(ISNUMBER(SEARCH("12 PTS",INVENTARIO!C155)),"12PT",
IF(ISNUMBER(SEARCH("14 PTS",INVENTARIO!C155)),"14PT",
IF(ISNUMBER(SEARCH("CLASICO",INVENTARIO!C155)),"CLA",
""))))))))))))))))))))))</f>
        <v/>
      </c>
      <c r="D155" t="str">
        <f>IF(ISNUMBER(SEARCH("GRAN FORMATO",INVENTARIO!C155)),"GRA-FOR",
IF(ISNUMBER(SEARCH("CAMA PLANA",INVENTARIO!C155)),"CAM-PLA",
IF(ISNUMBER(SEARCH("GRADO INGENIERIA",INVENTARIO!C155)),"GRA-ING",
IF(ISNUMBER(SEARCH("130 GRS",INVENTARIO!C155)),"130GR",
IF(ISNUMBER(SEARCH("150 GRS",INVENTARIO!C155)),"150GR",
IF(ISNUMBER(SEARCH("185 GRS",INVENTARIO!C155)),"185GR",
IF(ISNUMBER(SEARCH("200 GRS",INVENTARIO!C155)),"200GR",
IF(ISNUMBER(SEARCH("250 GRS",INVENTARIO!C155)),"250GR",
IF(ISNUMBER(SEARCH("300 GRS",INVENTARIO!C155)),"300GR",
IF(ISNUMBER(SEARCH("350 GRS",INVENTARIO!C155)),"350GR",
IF(ISNUMBER(SEARCH("18 OZ",INVENTARIO!C155)),"18OZ",
IF(ISNUMBER(SEARCH("15 OZ",INVENTARIO!C155)),"15OZ",
IF(OR(ISNUMBER(SEARCH("13 OZ",INVENTARIO!C155)),ISNUMBER(SEARCH("13 ONZAS",INVENTARIO!C155))),"13OZ",
IF(OR(ISNUMBER(SEARCH("9 OZ",INVENTARIO!C155)),ISNUMBER(SEARCH("9 ONZAS",INVENTARIO!C155))),"09OZ",
IF(ISNUMBER(SEARCH("DOBLE CARA",INVENTARIO!C155)),"DOB-CAR",
"")))))))))))))))</f>
        <v/>
      </c>
      <c r="E155" t="str">
        <f>IF(OR(ISNUMBER(SEARCH("TRANSPARENTE",INVENTARIO!C155)),ISNUMBER(SEARCH("TRANSPARENTES",INVENTARIO!C155))),"TRA",
IF(OR(ISNUMBER(SEARCH("BLANCO",INVENTARIO!C155)),ISNUMBER(SEARCH("BCO",INVENTARIO!C155))),"BLA",
IF(ISNUMBER(SEARCH("FOTOGRAFICO",INVENTARIO!C155)),"FOT",
IF(ISNUMBER(SEARCH("MARFIL",INVENTARIO!C155)),"MAR",
IF(ISNUMBER(SEARCH("VERDE",INVENTARIO!C155)),"VER",
IF(ISNUMBER(SEARCH("MORADO",INVENTARIO!C155)),"MOR",
IF(ISNUMBER(SEARCH("PLATA",INVENTARIO!C155)),"PLA",
IF(ISNUMBER(SEARCH("ORO",INVENTARIO!C155)),"ORO",
IF(ISNUMBER(SEARCH("AMARILLO",INVENTARIO!C155)),"AMA",
IF(ISNUMBER(SEARCH("NARANJA",INVENTARIO!C155)),"NAR",
IF(ISNUMBER(SEARCH("NEGRO",INVENTARIO!C155)),"NEG",
IF(ISNUMBER(SEARCH("ROJO",INVENTARIO!C155)),"ROJ",
IF(ISNUMBER(SEARCH("AZUL",INVENTARIO!C155)),"AZU","")))))))))))))</f>
        <v/>
      </c>
      <c r="F155" t="str">
        <f>IF(ISNUMBER(SEARCH("ARLON",INVENTARIO!C155)),"ARL",
IF(ISNUMBER(SEARCH("SUNTHINKS",INVENTARIO!C155)),"SUN",
IF(ISNUMBER(SEARCH("FRIO",INVENTARIO!C155)),"FRI",
IF(ISNUMBER(SEARCH("CALIDO",INVENTARIO!C155)),"CAL",
IF(ISNUMBER(SEARCH("CEPILLADO",INVENTARIO!C155)),"CEP",
IF(ISNUMBER(SEARCH("ESPEJO",INVENTARIO!C155)),"ESP",
""))))))</f>
        <v/>
      </c>
      <c r="G155" t="str">
        <f>IF(ISNUMBER(SEARCH("LATEX",INVENTARIO!C155)),"LAT",
IF(ISNUMBER(SEARCH("RESP. NEGRO",INVENTARIO!C155)),"RES-NEG",
IF(ISNUMBER(SEARCH("RESPALDO CAFE",INVENTARIO!C155)),"RES-CAF",
IF(ISNUMBER(SEARCH("RESPALDO GRIS",INVENTARIO!C155)),"RES-GRI",
IF(ISNUMBER(SEARCH("OPTICO",INVENTARIO!C155)),"OPT",
IF(ISNUMBER(SEARCH("1,2 MM",INVENTARIO!C155)),"1MM2",
IF(ISNUMBER(SEARCH("2 MM",INVENTARIO!C155)),"2MM",
IF(ISNUMBER(SEARCH("3 MM",INVENTARIO!C155)),"3MM",
IF(ISNUMBER(SEARCH("4 MM",INVENTARIO!C155)),"4MM",
IF(ISNUMBER(SEARCH("5 MM",INVENTARIO!C155)),"5MM",
IF(ISNUMBER(SEARCH("6 MM",INVENTARIO!C155)),"6MM",
IF(ISNUMBER(SEARCH("9 MM",INVENTARIO!C155)),"9MM",
IF(ISNUMBER(SEARCH("10 MM",INVENTARIO!C155)),"10MM","")))))))))))))</f>
        <v/>
      </c>
      <c r="H155" t="str">
        <f>IF(ISNUMBER(SEARCH("GAMA BAJA",INVENTARIO!C155)),"GAM-BAJ",
IF(ISNUMBER(SEARCH("OPTIMIZADOR",INVENTARIO!C155)),"OPT",
IF(ISNUMBER(SEARCH("OVERCOAT",INVENTARIO!C155)),"OVE",
IF(ISNUMBER(SEARCH("WHITE",INVENTARIO!C155)),"WHI",
IF(ISNUMBER(SEARCH("LIGHT CYAN",INVENTARIO!C155)),"LIG-CYA",
IF(ISNUMBER(SEARCH("CYAN",INVENTARIO!C155)),"CYA",
IF(ISNUMBER(SEARCH("LIGHT MAGENTA",INVENTARIO!C155)),"LIG-MAG",
IF(ISNUMBER(SEARCH("MAGENTA",INVENTARIO!C155)),"MAG",
IF(ISNUMBER(SEARCH("BLACK",INVENTARIO!C155)),"BLA",
IF(ISNUMBER(SEARCH("YELLOW",INVENTARIO!C155)),"YEL",
IF(ISNUMBER(SEARCH("2 DIODOS",INVENTARIO!C155)),"2DI",
IF(ISNUMBER(SEARCH("3 DIODOS",INVENTARIO!C155)),"3DI",
IF(OR(ISNUMBER(SEARCH("TRASLUCIDO",INVENTARIO!C155)),ISNUMBER(SEARCH("TRANSLUCIDO",INVENTARIO!C155))),"TRA",
"")))))))))))))</f>
        <v>TRA</v>
      </c>
      <c r="I15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6" spans="1:9">
      <c r="A156" t="str">
        <f>IF(ISNUMBER(SEARCH("LONA",INVENTARIO!C156)),"LON",
IF(ISNUMBER(SEARCH("VINIL",INVENTARIO!C156)),"VIN",
IF(ISNUMBER(SEARCH("KROMACOTE",INVENTARIO!C156)),"KRO",
IF(ISNUMBER(SEARCH("STARDREAM",INVENTARIO!C156)),"STA",
IF(ISNUMBER(SEARCH("DISPLAY",INVENTARIO!C156)),"DIS",
IF(ISNUMBER(SEARCH("ROLL UP",INVENTARIO!C156)),"ROL-UP",
IF(ISNUMBER(SEARCH("TRANSFER DE PAPEL",INVENTARIO!C156)),"TRA-PAP",
IF(ISNUMBER(SEARCH("TRANSFER",INVENTARIO!C156)),"TRA",IF(ISNUMBER(SEARCH("KOLA LOKA",INVENTARIO!C156)),"KOL-LOK",
IF(ISNUMBER(SEARCH("PETG",INVENTARIO!C156)),"PET",
IF(ISNUMBER(SEARCH("OJILLO",INVENTARIO!C156)),"OJI",
IF(ISNUMBER(SEARCH("COUCHE",INVENTARIO!C156)),"COU",
IF(ISNUMBER(SEARCH("PANEL DE ALUMINIO",INVENTARIO!C156)),"PAN-ALU",
IF(ISNUMBER(SEARCH("PVC",INVENTARIO!C156)),"PVC",
IF(ISNUMBER(SEARCH("PAPEL",INVENTARIO!C156)),"PAP",
IF(ISNUMBER(SEARCH("TELA",INVENTARIO!C156)),"TEL",
IF(ISNUMBER(SEARCH("CARTULINA",INVENTARIO!C156)),"CAR",
IF(OR(ISNUMBER(SEARCH("LAMINA",INVENTARIO!C156)),ISNUMBER(SEARCH("LÁMINA",INVENTARIO!C156)),ISNUMBER(SEARCH("LAMPARAS",INVENTARIO!C156))),"LAM",
IF(ISNUMBER(SEARCH("ESTIRENO",INVENTARIO!C156)),"EST",
IF(ISNUMBER(SEARCH("FOAMBOARD",INVENTARIO!C156)),"FOA",
IF(ISNUMBER(SEARCH("SOLVENTE",INVENTARIO!C156)),"SOL",
IF(ISNUMBER(SEARCH("TINTA",INVENTARIO!C156)),"TIN",
IF(ISNUMBER(SEARCH("ACRILICO",INVENTARIO!C156)),"ACR",
IF(ISNUMBER(SEARCH("MICROLED",INVENTARIO!C156)),"MIC",
IF(ISNUMBER(SEARCH("LED",INVENTARIO!C156)),"LED",
IF(ISNUMBER(SEARCH("FUENTE DE PODER",INVENTARIO!C156)),"FUE-POD",
IF(ISNUMBER(SEARCH("PETG",INVENTARIO!C156)),"PET",
IF(ISNUMBER(SEARCH("ALUMINIO",INVENTARIO!C156)),"ALU",
IF(ISNUMBER(SEARCH("CANAL",INVENTARIO!C156)),"CAN",
IF(ISNUMBER(SEARCH("ESCUADRA",INVENTARIO!C156)),"ESC",
IF(ISNUMBER(SEARCH("SOPORTE",INVENTARIO!C156)),"SOP","OTR")
))))))))))))))))))))))))))))))</f>
        <v>VIN</v>
      </c>
      <c r="B156" t="str">
        <f>IF(ISNUMBER(SEARCH("CORTE",INVENTARIO!C156)),"COR",
IF(ISNUMBER(SEARCH("CITYLIGHT",INVENTARIO!C156)),"CIT",
IF(ISNUMBER(SEARCH("LINO",INVENTARIO!C156)),"LIN",
IF(ISNUMBER(SEARCH("FABRIANO",INVENTARIO!C156)),"FAB",
IF(ISNUMBER(SEARCH("SUNDANCE",INVENTARIO!C156)),"SUN",
IF(ISNUMBER(SEARCH("SINTETICA",INVENTARIO!C156)),"SIN",
IF(ISNUMBER(SEARCH("CONTROL",INVENTARIO!C156)),"CON",
IF(ISNUMBER(SEARCH("TERMICO",INVENTARIO!C156)),"TER",
IF(ISNUMBER(SEARCH("C-15",INVENTARIO!C156)),"C15",
IF(ISNUMBER(SEARCH("C-20",INVENTARIO!C156)),"C20",
IF(ISNUMBER(SEARCH("C-30",INVENTARIO!C156)),"C30",
IF(ISNUMBER(SEARCH("C-40",INVENTARIO!C156)),"C40",
IF(ISNUMBER(SEARCH("C-60",INVENTARIO!C156)),"C60",
IF(ISNUMBER(SEARCH("C-80",INVENTARIO!C156)),"C80",
IF(ISNUMBER(SEARCH("EQUIPO",INVENTARIO!C156)),"EQU",
IF(ISNUMBER(SEARCH("FLOOR",INVENTARIO!C156)),"FLO",
IF(ISNUMBER(SEARCH("CRISTAL",INVENTARIO!C156)),"CRI",
IF(ISNUMBER(SEARCH(" SULFATADA",INVENTARIO!C167)),"SUL",
IF(ISNUMBER(SEARCH("OPALINA",INVENTARIO!C156)),"OPA",
IF(ISNUMBER(SEARCH("ADHERIBLE",INVENTARIO!C156)),"ADH",
IF(ISNUMBER(SEARCH("MICRO",INVENTARIO!C156)),"MIC","")))))))))))))))))))))</f>
        <v>COR</v>
      </c>
      <c r="C156" t="str">
        <f>IF(ISNUMBER(SEARCH("PARED",INVENTARIO!C156)),"PAR",
IF(ISNUMBER(SEARCH("FRONT",INVENTARIO!C156)),"FRO",
IF(ISNUMBER(SEARCH("ALTA RESISTENCIA",INVENTARIO!C156)),
"ALT-RES",IF(ISNUMBER(SEARCH("BACKLITE",INVENTARIO!C156)),"BAC",
IF(ISNUMBER(SEARCH("MATE",INVENTARIO!C156)),"MAT",
IF(ISNUMBER(SEARCH("MESH",INVENTARIO!C156)),"MES",
IF(ISNUMBER(SEARCH("BRILLANTE",INVENTARIO!C156)),"BRI",
IF(ISNUMBER(SEARCH("DELGADA",INVENTARIO!C156)),"DEL",
IF(ISNUMBER(SEARCH("GRUESA",INVENTARIO!C156)),"GRU",
IF(ISNUMBER(SEARCH("ESTATICO",INVENTARIO!C156)),"EST",
IF(ISNUMBER(SEARCH("REFLECTIVO",INVENTARIO!C156)),"REF",
IF(ISNUMBER(SEARCH("LX700",INVENTARIO!C156)),"LX7",
IF(ISNUMBER(SEARCH("GRANDO",INVENTARIO!C156)),"GRA",
IF(ISNUMBER(SEARCH("FB700",INVENTARIO!C156)),"FB7",
IF(ISNUMBER(SEARCH("LX360",INVENTARIO!C156)),"LX3",
IF(ISNUMBER(SEARCH("XEROX",INVENTARIO!C156)),"XER",
IF(ISNUMBER(SEARCH("CEPILLADO",INVENTARIO!C156)),"CEP",
IF(ISNUMBER(SEARCH("ESPEJO",INVENTARIO!C156)),"ESP",
IF(ISNUMBER(SEARCH("10 PTS",INVENTARIO!C156)),"10PT",
IF(ISNUMBER(SEARCH("12 PTS",INVENTARIO!C156)),"12PT",
IF(ISNUMBER(SEARCH("14 PTS",INVENTARIO!C156)),"14PT",
IF(ISNUMBER(SEARCH("CLASICO",INVENTARIO!C156)),"CLA",
""))))))))))))))))))))))</f>
        <v/>
      </c>
      <c r="D156" t="str">
        <f>IF(ISNUMBER(SEARCH("GRAN FORMATO",INVENTARIO!C156)),"GRA-FOR",
IF(ISNUMBER(SEARCH("CAMA PLANA",INVENTARIO!C156)),"CAM-PLA",
IF(ISNUMBER(SEARCH("GRADO INGENIERIA",INVENTARIO!C156)),"GRA-ING",
IF(ISNUMBER(SEARCH("130 GRS",INVENTARIO!C156)),"130GR",
IF(ISNUMBER(SEARCH("150 GRS",INVENTARIO!C156)),"150GR",
IF(ISNUMBER(SEARCH("185 GRS",INVENTARIO!C156)),"185GR",
IF(ISNUMBER(SEARCH("200 GRS",INVENTARIO!C156)),"200GR",
IF(ISNUMBER(SEARCH("250 GRS",INVENTARIO!C156)),"250GR",
IF(ISNUMBER(SEARCH("300 GRS",INVENTARIO!C156)),"300GR",
IF(ISNUMBER(SEARCH("350 GRS",INVENTARIO!C156)),"350GR",
IF(ISNUMBER(SEARCH("18 OZ",INVENTARIO!C156)),"18OZ",
IF(ISNUMBER(SEARCH("15 OZ",INVENTARIO!C156)),"15OZ",
IF(OR(ISNUMBER(SEARCH("13 OZ",INVENTARIO!C156)),ISNUMBER(SEARCH("13 ONZAS",INVENTARIO!C156))),"13OZ",
IF(OR(ISNUMBER(SEARCH("9 OZ",INVENTARIO!C156)),ISNUMBER(SEARCH("9 ONZAS",INVENTARIO!C156))),"09OZ",
IF(ISNUMBER(SEARCH("DOBLE CARA",INVENTARIO!C156)),"DOB-CAR",
"")))))))))))))))</f>
        <v/>
      </c>
      <c r="E156" t="str">
        <f>IF(OR(ISNUMBER(SEARCH("TRANSPARENTE",INVENTARIO!C156)),ISNUMBER(SEARCH("TRANSPARENTES",INVENTARIO!C156))),"TRA",
IF(OR(ISNUMBER(SEARCH("BLANCO",INVENTARIO!C156)),ISNUMBER(SEARCH("BCO",INVENTARIO!C156))),"BLA",
IF(ISNUMBER(SEARCH("FOTOGRAFICO",INVENTARIO!C156)),"FOT",
IF(ISNUMBER(SEARCH("MARFIL",INVENTARIO!C156)),"MAR",
IF(ISNUMBER(SEARCH("VERDE",INVENTARIO!C156)),"VER",
IF(ISNUMBER(SEARCH("MORADO",INVENTARIO!C156)),"MOR",
IF(ISNUMBER(SEARCH("PLATA",INVENTARIO!C156)),"PLA",
IF(ISNUMBER(SEARCH("ORO",INVENTARIO!C156)),"ORO",
IF(ISNUMBER(SEARCH("AMARILLO",INVENTARIO!C156)),"AMA",
IF(ISNUMBER(SEARCH("NARANJA",INVENTARIO!C156)),"NAR",
IF(ISNUMBER(SEARCH("NEGRO",INVENTARIO!C156)),"NEG",
IF(ISNUMBER(SEARCH("ROJO",INVENTARIO!C156)),"ROJ",
IF(ISNUMBER(SEARCH("AZUL",INVENTARIO!C156)),"AZU","")))))))))))))</f>
        <v/>
      </c>
      <c r="F156" t="str">
        <f>IF(ISNUMBER(SEARCH("ARLON",INVENTARIO!C156)),"ARL",
IF(ISNUMBER(SEARCH("SUNTHINKS",INVENTARIO!C156)),"SUN",
IF(ISNUMBER(SEARCH("FRIO",INVENTARIO!C156)),"FRI",
IF(ISNUMBER(SEARCH("CALIDO",INVENTARIO!C156)),"CAL",
IF(ISNUMBER(SEARCH("CEPILLADO",INVENTARIO!C156)),"CEP",
IF(ISNUMBER(SEARCH("ESPEJO",INVENTARIO!C156)),"ESP",
""))))))</f>
        <v/>
      </c>
      <c r="G156" t="str">
        <f>IF(ISNUMBER(SEARCH("LATEX",INVENTARIO!C156)),"LAT",
IF(ISNUMBER(SEARCH("RESP. NEGRO",INVENTARIO!C156)),"RES-NEG",
IF(ISNUMBER(SEARCH("RESPALDO CAFE",INVENTARIO!C156)),"RES-CAF",
IF(ISNUMBER(SEARCH("RESPALDO GRIS",INVENTARIO!C156)),"RES-GRI",
IF(ISNUMBER(SEARCH("OPTICO",INVENTARIO!C156)),"OPT",
IF(ISNUMBER(SEARCH("1,2 MM",INVENTARIO!C156)),"1MM2",
IF(ISNUMBER(SEARCH("2 MM",INVENTARIO!C156)),"2MM",
IF(ISNUMBER(SEARCH("3 MM",INVENTARIO!C156)),"3MM",
IF(ISNUMBER(SEARCH("4 MM",INVENTARIO!C156)),"4MM",
IF(ISNUMBER(SEARCH("5 MM",INVENTARIO!C156)),"5MM",
IF(ISNUMBER(SEARCH("6 MM",INVENTARIO!C156)),"6MM",
IF(ISNUMBER(SEARCH("9 MM",INVENTARIO!C156)),"9MM",
IF(ISNUMBER(SEARCH("10 MM",INVENTARIO!C156)),"10MM","")))))))))))))</f>
        <v/>
      </c>
      <c r="H156" t="str">
        <f>IF(ISNUMBER(SEARCH("GAMA BAJA",INVENTARIO!C156)),"GAM-BAJ",
IF(ISNUMBER(SEARCH("OPTIMIZADOR",INVENTARIO!C156)),"OPT",
IF(ISNUMBER(SEARCH("OVERCOAT",INVENTARIO!C156)),"OVE",
IF(ISNUMBER(SEARCH("WHITE",INVENTARIO!C156)),"WHI",
IF(ISNUMBER(SEARCH("LIGHT CYAN",INVENTARIO!C156)),"LIG-CYA",
IF(ISNUMBER(SEARCH("CYAN",INVENTARIO!C156)),"CYA",
IF(ISNUMBER(SEARCH("LIGHT MAGENTA",INVENTARIO!C156)),"LIG-MAG",
IF(ISNUMBER(SEARCH("MAGENTA",INVENTARIO!C156)),"MAG",
IF(ISNUMBER(SEARCH("BLACK",INVENTARIO!C156)),"BLA",
IF(ISNUMBER(SEARCH("YELLOW",INVENTARIO!C156)),"YEL",
IF(ISNUMBER(SEARCH("2 DIODOS",INVENTARIO!C156)),"2DI",
IF(ISNUMBER(SEARCH("3 DIODOS",INVENTARIO!C156)),"3DI",
IF(OR(ISNUMBER(SEARCH("TRASLUCIDO",INVENTARIO!C156)),ISNUMBER(SEARCH("TRANSLUCIDO",INVENTARIO!C156))),"TRA",
"")))))))))))))</f>
        <v>TRA</v>
      </c>
      <c r="I15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7" spans="1:9">
      <c r="A157" t="str">
        <f>IF(ISNUMBER(SEARCH("LONA",INVENTARIO!C157)),"LON",
IF(ISNUMBER(SEARCH("VINIL",INVENTARIO!C157)),"VIN",
IF(ISNUMBER(SEARCH("KROMACOTE",INVENTARIO!C157)),"KRO",
IF(ISNUMBER(SEARCH("STARDREAM",INVENTARIO!C157)),"STA",
IF(ISNUMBER(SEARCH("DISPLAY",INVENTARIO!C157)),"DIS",
IF(ISNUMBER(SEARCH("ROLL UP",INVENTARIO!C157)),"ROL-UP",
IF(ISNUMBER(SEARCH("TRANSFER DE PAPEL",INVENTARIO!C157)),"TRA-PAP",
IF(ISNUMBER(SEARCH("TRANSFER",INVENTARIO!C157)),"TRA",IF(ISNUMBER(SEARCH("KOLA LOKA",INVENTARIO!C157)),"KOL-LOK",
IF(ISNUMBER(SEARCH("PETG",INVENTARIO!C157)),"PET",
IF(ISNUMBER(SEARCH("OJILLO",INVENTARIO!C157)),"OJI",
IF(ISNUMBER(SEARCH("COUCHE",INVENTARIO!C157)),"COU",
IF(ISNUMBER(SEARCH("PANEL DE ALUMINIO",INVENTARIO!C157)),"PAN-ALU",
IF(ISNUMBER(SEARCH("PVC",INVENTARIO!C157)),"PVC",
IF(ISNUMBER(SEARCH("PAPEL",INVENTARIO!C157)),"PAP",
IF(ISNUMBER(SEARCH("TELA",INVENTARIO!C157)),"TEL",
IF(ISNUMBER(SEARCH("CARTULINA",INVENTARIO!C157)),"CAR",
IF(OR(ISNUMBER(SEARCH("LAMINA",INVENTARIO!C157)),ISNUMBER(SEARCH("LÁMINA",INVENTARIO!C157)),ISNUMBER(SEARCH("LAMPARAS",INVENTARIO!C157))),"LAM",
IF(ISNUMBER(SEARCH("ESTIRENO",INVENTARIO!C157)),"EST",
IF(ISNUMBER(SEARCH("FOAMBOARD",INVENTARIO!C157)),"FOA",
IF(ISNUMBER(SEARCH("SOLVENTE",INVENTARIO!C157)),"SOL",
IF(ISNUMBER(SEARCH("TINTA",INVENTARIO!C157)),"TIN",
IF(ISNUMBER(SEARCH("ACRILICO",INVENTARIO!C157)),"ACR",
IF(ISNUMBER(SEARCH("MICROLED",INVENTARIO!C157)),"MIC",
IF(ISNUMBER(SEARCH("LED",INVENTARIO!C157)),"LED",
IF(ISNUMBER(SEARCH("FUENTE DE PODER",INVENTARIO!C157)),"FUE-POD",
IF(ISNUMBER(SEARCH("PETG",INVENTARIO!C157)),"PET",
IF(ISNUMBER(SEARCH("ALUMINIO",INVENTARIO!C157)),"ALU",
IF(ISNUMBER(SEARCH("CANAL",INVENTARIO!C157)),"CAN",
IF(ISNUMBER(SEARCH("ESCUADRA",INVENTARIO!C157)),"ESC",
IF(ISNUMBER(SEARCH("SOPORTE",INVENTARIO!C157)),"SOP","OTR")
))))))))))))))))))))))))))))))</f>
        <v>VIN</v>
      </c>
      <c r="B157" t="str">
        <f>IF(ISNUMBER(SEARCH("CORTE",INVENTARIO!C157)),"COR",
IF(ISNUMBER(SEARCH("CITYLIGHT",INVENTARIO!C157)),"CIT",
IF(ISNUMBER(SEARCH("LINO",INVENTARIO!C157)),"LIN",
IF(ISNUMBER(SEARCH("FABRIANO",INVENTARIO!C157)),"FAB",
IF(ISNUMBER(SEARCH("SUNDANCE",INVENTARIO!C157)),"SUN",
IF(ISNUMBER(SEARCH("SINTETICA",INVENTARIO!C157)),"SIN",
IF(ISNUMBER(SEARCH("CONTROL",INVENTARIO!C157)),"CON",
IF(ISNUMBER(SEARCH("TERMICO",INVENTARIO!C157)),"TER",
IF(ISNUMBER(SEARCH("C-15",INVENTARIO!C157)),"C15",
IF(ISNUMBER(SEARCH("C-20",INVENTARIO!C157)),"C20",
IF(ISNUMBER(SEARCH("C-30",INVENTARIO!C157)),"C30",
IF(ISNUMBER(SEARCH("C-40",INVENTARIO!C157)),"C40",
IF(ISNUMBER(SEARCH("C-60",INVENTARIO!C157)),"C60",
IF(ISNUMBER(SEARCH("C-80",INVENTARIO!C157)),"C80",
IF(ISNUMBER(SEARCH("EQUIPO",INVENTARIO!C157)),"EQU",
IF(ISNUMBER(SEARCH("FLOOR",INVENTARIO!C157)),"FLO",
IF(ISNUMBER(SEARCH("CRISTAL",INVENTARIO!C157)),"CRI",
IF(ISNUMBER(SEARCH(" SULFATADA",INVENTARIO!C168)),"SUL",
IF(ISNUMBER(SEARCH("OPALINA",INVENTARIO!C157)),"OPA",
IF(ISNUMBER(SEARCH("ADHERIBLE",INVENTARIO!C157)),"ADH",
IF(ISNUMBER(SEARCH("MICRO",INVENTARIO!C157)),"MIC","")))))))))))))))))))))</f>
        <v>COR</v>
      </c>
      <c r="C157" t="str">
        <f>IF(ISNUMBER(SEARCH("PARED",INVENTARIO!C157)),"PAR",
IF(ISNUMBER(SEARCH("FRONT",INVENTARIO!C157)),"FRO",
IF(ISNUMBER(SEARCH("ALTA RESISTENCIA",INVENTARIO!C157)),
"ALT-RES",IF(ISNUMBER(SEARCH("BACKLITE",INVENTARIO!C157)),"BAC",
IF(ISNUMBER(SEARCH("MATE",INVENTARIO!C157)),"MAT",
IF(ISNUMBER(SEARCH("MESH",INVENTARIO!C157)),"MES",
IF(ISNUMBER(SEARCH("BRILLANTE",INVENTARIO!C157)),"BRI",
IF(ISNUMBER(SEARCH("DELGADA",INVENTARIO!C157)),"DEL",
IF(ISNUMBER(SEARCH("GRUESA",INVENTARIO!C157)),"GRU",
IF(ISNUMBER(SEARCH("ESTATICO",INVENTARIO!C157)),"EST",
IF(ISNUMBER(SEARCH("REFLECTIVO",INVENTARIO!C157)),"REF",
IF(ISNUMBER(SEARCH("LX700",INVENTARIO!C157)),"LX7",
IF(ISNUMBER(SEARCH("GRANDO",INVENTARIO!C157)),"GRA",
IF(ISNUMBER(SEARCH("FB700",INVENTARIO!C157)),"FB7",
IF(ISNUMBER(SEARCH("LX360",INVENTARIO!C157)),"LX3",
IF(ISNUMBER(SEARCH("XEROX",INVENTARIO!C157)),"XER",
IF(ISNUMBER(SEARCH("CEPILLADO",INVENTARIO!C157)),"CEP",
IF(ISNUMBER(SEARCH("ESPEJO",INVENTARIO!C157)),"ESP",
IF(ISNUMBER(SEARCH("10 PTS",INVENTARIO!C157)),"10PT",
IF(ISNUMBER(SEARCH("12 PTS",INVENTARIO!C157)),"12PT",
IF(ISNUMBER(SEARCH("14 PTS",INVENTARIO!C157)),"14PT",
IF(ISNUMBER(SEARCH("CLASICO",INVENTARIO!C157)),"CLA",
""))))))))))))))))))))))</f>
        <v/>
      </c>
      <c r="D157" t="str">
        <f>IF(ISNUMBER(SEARCH("GRAN FORMATO",INVENTARIO!C157)),"GRA-FOR",
IF(ISNUMBER(SEARCH("CAMA PLANA",INVENTARIO!C157)),"CAM-PLA",
IF(ISNUMBER(SEARCH("GRADO INGENIERIA",INVENTARIO!C157)),"GRA-ING",
IF(ISNUMBER(SEARCH("130 GRS",INVENTARIO!C157)),"130GR",
IF(ISNUMBER(SEARCH("150 GRS",INVENTARIO!C157)),"150GR",
IF(ISNUMBER(SEARCH("185 GRS",INVENTARIO!C157)),"185GR",
IF(ISNUMBER(SEARCH("200 GRS",INVENTARIO!C157)),"200GR",
IF(ISNUMBER(SEARCH("250 GRS",INVENTARIO!C157)),"250GR",
IF(ISNUMBER(SEARCH("300 GRS",INVENTARIO!C157)),"300GR",
IF(ISNUMBER(SEARCH("350 GRS",INVENTARIO!C157)),"350GR",
IF(ISNUMBER(SEARCH("18 OZ",INVENTARIO!C157)),"18OZ",
IF(ISNUMBER(SEARCH("15 OZ",INVENTARIO!C157)),"15OZ",
IF(OR(ISNUMBER(SEARCH("13 OZ",INVENTARIO!C157)),ISNUMBER(SEARCH("13 ONZAS",INVENTARIO!C157))),"13OZ",
IF(OR(ISNUMBER(SEARCH("9 OZ",INVENTARIO!C157)),ISNUMBER(SEARCH("9 ONZAS",INVENTARIO!C157))),"09OZ",
IF(ISNUMBER(SEARCH("DOBLE CARA",INVENTARIO!C157)),"DOB-CAR",
"")))))))))))))))</f>
        <v/>
      </c>
      <c r="E157" t="str">
        <f>IF(OR(ISNUMBER(SEARCH("TRANSPARENTE",INVENTARIO!C157)),ISNUMBER(SEARCH("TRANSPARENTES",INVENTARIO!C157))),"TRA",
IF(OR(ISNUMBER(SEARCH("BLANCO",INVENTARIO!C157)),ISNUMBER(SEARCH("BCO",INVENTARIO!C157))),"BLA",
IF(ISNUMBER(SEARCH("FOTOGRAFICO",INVENTARIO!C157)),"FOT",
IF(ISNUMBER(SEARCH("MARFIL",INVENTARIO!C157)),"MAR",
IF(ISNUMBER(SEARCH("VERDE",INVENTARIO!C157)),"VER",
IF(ISNUMBER(SEARCH("MORADO",INVENTARIO!C157)),"MOR",
IF(ISNUMBER(SEARCH("PLATA",INVENTARIO!C157)),"PLA",
IF(ISNUMBER(SEARCH("ORO",INVENTARIO!C157)),"ORO",
IF(ISNUMBER(SEARCH("AMARILLO",INVENTARIO!C157)),"AMA",
IF(ISNUMBER(SEARCH("NARANJA",INVENTARIO!C157)),"NAR",
IF(ISNUMBER(SEARCH("NEGRO",INVENTARIO!C157)),"NEG",
IF(ISNUMBER(SEARCH("ROJO",INVENTARIO!C157)),"ROJ",
IF(ISNUMBER(SEARCH("AZUL",INVENTARIO!C157)),"AZU","")))))))))))))</f>
        <v>NAR</v>
      </c>
      <c r="F157" t="str">
        <f>IF(ISNUMBER(SEARCH("ARLON",INVENTARIO!C157)),"ARL",
IF(ISNUMBER(SEARCH("SUNTHINKS",INVENTARIO!C157)),"SUN",
IF(ISNUMBER(SEARCH("FRIO",INVENTARIO!C157)),"FRI",
IF(ISNUMBER(SEARCH("CALIDO",INVENTARIO!C157)),"CAL",
IF(ISNUMBER(SEARCH("CEPILLADO",INVENTARIO!C157)),"CEP",
IF(ISNUMBER(SEARCH("ESPEJO",INVENTARIO!C157)),"ESP",
""))))))</f>
        <v/>
      </c>
      <c r="G157" t="str">
        <f>IF(ISNUMBER(SEARCH("LATEX",INVENTARIO!C157)),"LAT",
IF(ISNUMBER(SEARCH("RESP. NEGRO",INVENTARIO!C157)),"RES-NEG",
IF(ISNUMBER(SEARCH("RESPALDO CAFE",INVENTARIO!C157)),"RES-CAF",
IF(ISNUMBER(SEARCH("RESPALDO GRIS",INVENTARIO!C157)),"RES-GRI",
IF(ISNUMBER(SEARCH("OPTICO",INVENTARIO!C157)),"OPT",
IF(ISNUMBER(SEARCH("1,2 MM",INVENTARIO!C157)),"1MM2",
IF(ISNUMBER(SEARCH("2 MM",INVENTARIO!C157)),"2MM",
IF(ISNUMBER(SEARCH("3 MM",INVENTARIO!C157)),"3MM",
IF(ISNUMBER(SEARCH("4 MM",INVENTARIO!C157)),"4MM",
IF(ISNUMBER(SEARCH("5 MM",INVENTARIO!C157)),"5MM",
IF(ISNUMBER(SEARCH("6 MM",INVENTARIO!C157)),"6MM",
IF(ISNUMBER(SEARCH("9 MM",INVENTARIO!C157)),"9MM",
IF(ISNUMBER(SEARCH("10 MM",INVENTARIO!C157)),"10MM","")))))))))))))</f>
        <v/>
      </c>
      <c r="H157" t="str">
        <f>IF(ISNUMBER(SEARCH("GAMA BAJA",INVENTARIO!C157)),"GAM-BAJ",
IF(ISNUMBER(SEARCH("OPTIMIZADOR",INVENTARIO!C157)),"OPT",
IF(ISNUMBER(SEARCH("OVERCOAT",INVENTARIO!C157)),"OVE",
IF(ISNUMBER(SEARCH("WHITE",INVENTARIO!C157)),"WHI",
IF(ISNUMBER(SEARCH("LIGHT CYAN",INVENTARIO!C157)),"LIG-CYA",
IF(ISNUMBER(SEARCH("CYAN",INVENTARIO!C157)),"CYA",
IF(ISNUMBER(SEARCH("LIGHT MAGENTA",INVENTARIO!C157)),"LIG-MAG",
IF(ISNUMBER(SEARCH("MAGENTA",INVENTARIO!C157)),"MAG",
IF(ISNUMBER(SEARCH("BLACK",INVENTARIO!C157)),"BLA",
IF(ISNUMBER(SEARCH("YELLOW",INVENTARIO!C157)),"YEL",
IF(ISNUMBER(SEARCH("2 DIODOS",INVENTARIO!C157)),"2DI",
IF(ISNUMBER(SEARCH("3 DIODOS",INVENTARIO!C157)),"3DI",
IF(OR(ISNUMBER(SEARCH("TRASLUCIDO",INVENTARIO!C157)),ISNUMBER(SEARCH("TRANSLUCIDO",INVENTARIO!C157))),"TRA",
"")))))))))))))</f>
        <v>TRA</v>
      </c>
      <c r="I15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8" spans="1:9">
      <c r="A158" t="str">
        <f>IF(ISNUMBER(SEARCH("LONA",INVENTARIO!C158)),"LON",
IF(ISNUMBER(SEARCH("VINIL",INVENTARIO!C158)),"VIN",
IF(ISNUMBER(SEARCH("KROMACOTE",INVENTARIO!C158)),"KRO",
IF(ISNUMBER(SEARCH("STARDREAM",INVENTARIO!C158)),"STA",
IF(ISNUMBER(SEARCH("DISPLAY",INVENTARIO!C158)),"DIS",
IF(ISNUMBER(SEARCH("ROLL UP",INVENTARIO!C158)),"ROL-UP",
IF(ISNUMBER(SEARCH("TRANSFER DE PAPEL",INVENTARIO!C158)),"TRA-PAP",
IF(ISNUMBER(SEARCH("TRANSFER",INVENTARIO!C158)),"TRA",IF(ISNUMBER(SEARCH("KOLA LOKA",INVENTARIO!C158)),"KOL-LOK",
IF(ISNUMBER(SEARCH("PETG",INVENTARIO!C158)),"PET",
IF(ISNUMBER(SEARCH("OJILLO",INVENTARIO!C158)),"OJI",
IF(ISNUMBER(SEARCH("COUCHE",INVENTARIO!C158)),"COU",
IF(ISNUMBER(SEARCH("PANEL DE ALUMINIO",INVENTARIO!C158)),"PAN-ALU",
IF(ISNUMBER(SEARCH("PVC",INVENTARIO!C158)),"PVC",
IF(ISNUMBER(SEARCH("PAPEL",INVENTARIO!C158)),"PAP",
IF(ISNUMBER(SEARCH("TELA",INVENTARIO!C158)),"TEL",
IF(ISNUMBER(SEARCH("CARTULINA",INVENTARIO!C158)),"CAR",
IF(OR(ISNUMBER(SEARCH("LAMINA",INVENTARIO!C158)),ISNUMBER(SEARCH("LÁMINA",INVENTARIO!C158)),ISNUMBER(SEARCH("LAMPARAS",INVENTARIO!C158))),"LAM",
IF(ISNUMBER(SEARCH("ESTIRENO",INVENTARIO!C158)),"EST",
IF(ISNUMBER(SEARCH("FOAMBOARD",INVENTARIO!C158)),"FOA",
IF(ISNUMBER(SEARCH("SOLVENTE",INVENTARIO!C158)),"SOL",
IF(ISNUMBER(SEARCH("TINTA",INVENTARIO!C158)),"TIN",
IF(ISNUMBER(SEARCH("ACRILICO",INVENTARIO!C158)),"ACR",
IF(ISNUMBER(SEARCH("MICROLED",INVENTARIO!C158)),"MIC",
IF(ISNUMBER(SEARCH("LED",INVENTARIO!C158)),"LED",
IF(ISNUMBER(SEARCH("FUENTE DE PODER",INVENTARIO!C158)),"FUE-POD",
IF(ISNUMBER(SEARCH("PETG",INVENTARIO!C158)),"PET",
IF(ISNUMBER(SEARCH("ALUMINIO",INVENTARIO!C158)),"ALU",
IF(ISNUMBER(SEARCH("CANAL",INVENTARIO!C158)),"CAN",
IF(ISNUMBER(SEARCH("ESCUADRA",INVENTARIO!C158)),"ESC",
IF(ISNUMBER(SEARCH("SOPORTE",INVENTARIO!C158)),"SOP","OTR")
))))))))))))))))))))))))))))))</f>
        <v>VIN</v>
      </c>
      <c r="B158" t="str">
        <f>IF(ISNUMBER(SEARCH("CORTE",INVENTARIO!C158)),"COR",
IF(ISNUMBER(SEARCH("CITYLIGHT",INVENTARIO!C158)),"CIT",
IF(ISNUMBER(SEARCH("LINO",INVENTARIO!C158)),"LIN",
IF(ISNUMBER(SEARCH("FABRIANO",INVENTARIO!C158)),"FAB",
IF(ISNUMBER(SEARCH("SUNDANCE",INVENTARIO!C158)),"SUN",
IF(ISNUMBER(SEARCH("SINTETICA",INVENTARIO!C158)),"SIN",
IF(ISNUMBER(SEARCH("CONTROL",INVENTARIO!C158)),"CON",
IF(ISNUMBER(SEARCH("TERMICO",INVENTARIO!C158)),"TER",
IF(ISNUMBER(SEARCH("C-15",INVENTARIO!C158)),"C15",
IF(ISNUMBER(SEARCH("C-20",INVENTARIO!C158)),"C20",
IF(ISNUMBER(SEARCH("C-30",INVENTARIO!C158)),"C30",
IF(ISNUMBER(SEARCH("C-40",INVENTARIO!C158)),"C40",
IF(ISNUMBER(SEARCH("C-60",INVENTARIO!C158)),"C60",
IF(ISNUMBER(SEARCH("C-80",INVENTARIO!C158)),"C80",
IF(ISNUMBER(SEARCH("EQUIPO",INVENTARIO!C158)),"EQU",
IF(ISNUMBER(SEARCH("FLOOR",INVENTARIO!C158)),"FLO",
IF(ISNUMBER(SEARCH("CRISTAL",INVENTARIO!C158)),"CRI",
IF(ISNUMBER(SEARCH(" SULFATADA",INVENTARIO!C169)),"SUL",
IF(ISNUMBER(SEARCH("OPALINA",INVENTARIO!C158)),"OPA",
IF(ISNUMBER(SEARCH("ADHERIBLE",INVENTARIO!C158)),"ADH",
IF(ISNUMBER(SEARCH("MICRO",INVENTARIO!C158)),"MIC","")))))))))))))))))))))</f>
        <v>COR</v>
      </c>
      <c r="C158" t="str">
        <f>IF(ISNUMBER(SEARCH("PARED",INVENTARIO!C158)),"PAR",
IF(ISNUMBER(SEARCH("FRONT",INVENTARIO!C158)),"FRO",
IF(ISNUMBER(SEARCH("ALTA RESISTENCIA",INVENTARIO!C158)),
"ALT-RES",IF(ISNUMBER(SEARCH("BACKLITE",INVENTARIO!C158)),"BAC",
IF(ISNUMBER(SEARCH("MATE",INVENTARIO!C158)),"MAT",
IF(ISNUMBER(SEARCH("MESH",INVENTARIO!C158)),"MES",
IF(ISNUMBER(SEARCH("BRILLANTE",INVENTARIO!C158)),"BRI",
IF(ISNUMBER(SEARCH("DELGADA",INVENTARIO!C158)),"DEL",
IF(ISNUMBER(SEARCH("GRUESA",INVENTARIO!C158)),"GRU",
IF(ISNUMBER(SEARCH("ESTATICO",INVENTARIO!C158)),"EST",
IF(ISNUMBER(SEARCH("REFLECTIVO",INVENTARIO!C158)),"REF",
IF(ISNUMBER(SEARCH("LX700",INVENTARIO!C158)),"LX7",
IF(ISNUMBER(SEARCH("GRANDO",INVENTARIO!C158)),"GRA",
IF(ISNUMBER(SEARCH("FB700",INVENTARIO!C158)),"FB7",
IF(ISNUMBER(SEARCH("LX360",INVENTARIO!C158)),"LX3",
IF(ISNUMBER(SEARCH("XEROX",INVENTARIO!C158)),"XER",
IF(ISNUMBER(SEARCH("CEPILLADO",INVENTARIO!C158)),"CEP",
IF(ISNUMBER(SEARCH("ESPEJO",INVENTARIO!C158)),"ESP",
IF(ISNUMBER(SEARCH("10 PTS",INVENTARIO!C158)),"10PT",
IF(ISNUMBER(SEARCH("12 PTS",INVENTARIO!C158)),"12PT",
IF(ISNUMBER(SEARCH("14 PTS",INVENTARIO!C158)),"14PT",
IF(ISNUMBER(SEARCH("CLASICO",INVENTARIO!C158)),"CLA",
""))))))))))))))))))))))</f>
        <v/>
      </c>
      <c r="D158" t="str">
        <f>IF(ISNUMBER(SEARCH("GRAN FORMATO",INVENTARIO!C158)),"GRA-FOR",
IF(ISNUMBER(SEARCH("CAMA PLANA",INVENTARIO!C158)),"CAM-PLA",
IF(ISNUMBER(SEARCH("GRADO INGENIERIA",INVENTARIO!C158)),"GRA-ING",
IF(ISNUMBER(SEARCH("130 GRS",INVENTARIO!C158)),"130GR",
IF(ISNUMBER(SEARCH("150 GRS",INVENTARIO!C158)),"150GR",
IF(ISNUMBER(SEARCH("185 GRS",INVENTARIO!C158)),"185GR",
IF(ISNUMBER(SEARCH("200 GRS",INVENTARIO!C158)),"200GR",
IF(ISNUMBER(SEARCH("250 GRS",INVENTARIO!C158)),"250GR",
IF(ISNUMBER(SEARCH("300 GRS",INVENTARIO!C158)),"300GR",
IF(ISNUMBER(SEARCH("350 GRS",INVENTARIO!C158)),"350GR",
IF(ISNUMBER(SEARCH("18 OZ",INVENTARIO!C158)),"18OZ",
IF(ISNUMBER(SEARCH("15 OZ",INVENTARIO!C158)),"15OZ",
IF(OR(ISNUMBER(SEARCH("13 OZ",INVENTARIO!C158)),ISNUMBER(SEARCH("13 ONZAS",INVENTARIO!C158))),"13OZ",
IF(OR(ISNUMBER(SEARCH("9 OZ",INVENTARIO!C158)),ISNUMBER(SEARCH("9 ONZAS",INVENTARIO!C158))),"09OZ",
IF(ISNUMBER(SEARCH("DOBLE CARA",INVENTARIO!C158)),"DOB-CAR",
"")))))))))))))))</f>
        <v/>
      </c>
      <c r="E158" t="str">
        <f>IF(OR(ISNUMBER(SEARCH("TRANSPARENTE",INVENTARIO!C158)),ISNUMBER(SEARCH("TRANSPARENTES",INVENTARIO!C158))),"TRA",
IF(OR(ISNUMBER(SEARCH("BLANCO",INVENTARIO!C158)),ISNUMBER(SEARCH("BCO",INVENTARIO!C158))),"BLA",
IF(ISNUMBER(SEARCH("FOTOGRAFICO",INVENTARIO!C158)),"FOT",
IF(ISNUMBER(SEARCH("MARFIL",INVENTARIO!C158)),"MAR",
IF(ISNUMBER(SEARCH("VERDE",INVENTARIO!C158)),"VER",
IF(ISNUMBER(SEARCH("MORADO",INVENTARIO!C158)),"MOR",
IF(ISNUMBER(SEARCH("PLATA",INVENTARIO!C158)),"PLA",
IF(ISNUMBER(SEARCH("ORO",INVENTARIO!C158)),"ORO",
IF(ISNUMBER(SEARCH("AMARILLO",INVENTARIO!C158)),"AMA",
IF(ISNUMBER(SEARCH("NARANJA",INVENTARIO!C158)),"NAR",
IF(ISNUMBER(SEARCH("NEGRO",INVENTARIO!C158)),"NEG",
IF(ISNUMBER(SEARCH("ROJO",INVENTARIO!C158)),"ROJ",
IF(ISNUMBER(SEARCH("AZUL",INVENTARIO!C158)),"AZU","")))))))))))))</f>
        <v>VER</v>
      </c>
      <c r="F158" t="str">
        <f>IF(ISNUMBER(SEARCH("ARLON",INVENTARIO!C158)),"ARL",
IF(ISNUMBER(SEARCH("SUNTHINKS",INVENTARIO!C158)),"SUN",
IF(ISNUMBER(SEARCH("FRIO",INVENTARIO!C158)),"FRI",
IF(ISNUMBER(SEARCH("CALIDO",INVENTARIO!C158)),"CAL",
IF(ISNUMBER(SEARCH("CEPILLADO",INVENTARIO!C158)),"CEP",
IF(ISNUMBER(SEARCH("ESPEJO",INVENTARIO!C158)),"ESP",
""))))))</f>
        <v/>
      </c>
      <c r="G158" t="str">
        <f>IF(ISNUMBER(SEARCH("LATEX",INVENTARIO!C158)),"LAT",
IF(ISNUMBER(SEARCH("RESP. NEGRO",INVENTARIO!C158)),"RES-NEG",
IF(ISNUMBER(SEARCH("RESPALDO CAFE",INVENTARIO!C158)),"RES-CAF",
IF(ISNUMBER(SEARCH("RESPALDO GRIS",INVENTARIO!C158)),"RES-GRI",
IF(ISNUMBER(SEARCH("OPTICO",INVENTARIO!C158)),"OPT",
IF(ISNUMBER(SEARCH("1,2 MM",INVENTARIO!C158)),"1MM2",
IF(ISNUMBER(SEARCH("2 MM",INVENTARIO!C158)),"2MM",
IF(ISNUMBER(SEARCH("3 MM",INVENTARIO!C158)),"3MM",
IF(ISNUMBER(SEARCH("4 MM",INVENTARIO!C158)),"4MM",
IF(ISNUMBER(SEARCH("5 MM",INVENTARIO!C158)),"5MM",
IF(ISNUMBER(SEARCH("6 MM",INVENTARIO!C158)),"6MM",
IF(ISNUMBER(SEARCH("9 MM",INVENTARIO!C158)),"9MM",
IF(ISNUMBER(SEARCH("10 MM",INVENTARIO!C158)),"10MM","")))))))))))))</f>
        <v/>
      </c>
      <c r="H158" t="str">
        <f>IF(ISNUMBER(SEARCH("GAMA BAJA",INVENTARIO!C158)),"GAM-BAJ",
IF(ISNUMBER(SEARCH("OPTIMIZADOR",INVENTARIO!C158)),"OPT",
IF(ISNUMBER(SEARCH("OVERCOAT",INVENTARIO!C158)),"OVE",
IF(ISNUMBER(SEARCH("WHITE",INVENTARIO!C158)),"WHI",
IF(ISNUMBER(SEARCH("LIGHT CYAN",INVENTARIO!C158)),"LIG-CYA",
IF(ISNUMBER(SEARCH("CYAN",INVENTARIO!C158)),"CYA",
IF(ISNUMBER(SEARCH("LIGHT MAGENTA",INVENTARIO!C158)),"LIG-MAG",
IF(ISNUMBER(SEARCH("MAGENTA",INVENTARIO!C158)),"MAG",
IF(ISNUMBER(SEARCH("BLACK",INVENTARIO!C158)),"BLA",
IF(ISNUMBER(SEARCH("YELLOW",INVENTARIO!C158)),"YEL",
IF(ISNUMBER(SEARCH("2 DIODOS",INVENTARIO!C158)),"2DI",
IF(ISNUMBER(SEARCH("3 DIODOS",INVENTARIO!C158)),"3DI",
IF(OR(ISNUMBER(SEARCH("TRASLUCIDO",INVENTARIO!C158)),ISNUMBER(SEARCH("TRANSLUCIDO",INVENTARIO!C158))),"TRA",
"")))))))))))))</f>
        <v>TRA</v>
      </c>
      <c r="I15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59" spans="1:9">
      <c r="A159" t="str">
        <f>IF(ISNUMBER(SEARCH("LONA",INVENTARIO!C159)),"LON",
IF(ISNUMBER(SEARCH("VINIL",INVENTARIO!C159)),"VIN",
IF(ISNUMBER(SEARCH("KROMACOTE",INVENTARIO!C159)),"KRO",
IF(ISNUMBER(SEARCH("STARDREAM",INVENTARIO!C159)),"STA",
IF(ISNUMBER(SEARCH("DISPLAY",INVENTARIO!C159)),"DIS",
IF(ISNUMBER(SEARCH("ROLL UP",INVENTARIO!C159)),"ROL-UP",
IF(ISNUMBER(SEARCH("TRANSFER DE PAPEL",INVENTARIO!C159)),"TRA-PAP",
IF(ISNUMBER(SEARCH("TRANSFER",INVENTARIO!C159)),"TRA",IF(ISNUMBER(SEARCH("KOLA LOKA",INVENTARIO!C159)),"KOL-LOK",
IF(ISNUMBER(SEARCH("PETG",INVENTARIO!C159)),"PET",
IF(ISNUMBER(SEARCH("OJILLO",INVENTARIO!C159)),"OJI",
IF(ISNUMBER(SEARCH("COUCHE",INVENTARIO!C159)),"COU",
IF(ISNUMBER(SEARCH("PANEL DE ALUMINIO",INVENTARIO!C159)),"PAN-ALU",
IF(ISNUMBER(SEARCH("PVC",INVENTARIO!C159)),"PVC",
IF(ISNUMBER(SEARCH("PAPEL",INVENTARIO!C159)),"PAP",
IF(ISNUMBER(SEARCH("TELA",INVENTARIO!C159)),"TEL",
IF(ISNUMBER(SEARCH("CARTULINA",INVENTARIO!C159)),"CAR",
IF(OR(ISNUMBER(SEARCH("LAMINA",INVENTARIO!C159)),ISNUMBER(SEARCH("LÁMINA",INVENTARIO!C159)),ISNUMBER(SEARCH("LAMPARAS",INVENTARIO!C159))),"LAM",
IF(ISNUMBER(SEARCH("ESTIRENO",INVENTARIO!C159)),"EST",
IF(ISNUMBER(SEARCH("FOAMBOARD",INVENTARIO!C159)),"FOA",
IF(ISNUMBER(SEARCH("SOLVENTE",INVENTARIO!C159)),"SOL",
IF(ISNUMBER(SEARCH("TINTA",INVENTARIO!C159)),"TIN",
IF(ISNUMBER(SEARCH("ACRILICO",INVENTARIO!C159)),"ACR",
IF(ISNUMBER(SEARCH("MICROLED",INVENTARIO!C159)),"MIC",
IF(ISNUMBER(SEARCH("LED",INVENTARIO!C159)),"LED",
IF(ISNUMBER(SEARCH("FUENTE DE PODER",INVENTARIO!C159)),"FUE-POD",
IF(ISNUMBER(SEARCH("PETG",INVENTARIO!C159)),"PET",
IF(ISNUMBER(SEARCH("ALUMINIO",INVENTARIO!C159)),"ALU",
IF(ISNUMBER(SEARCH("CANAL",INVENTARIO!C159)),"CAN",
IF(ISNUMBER(SEARCH("ESCUADRA",INVENTARIO!C159)),"ESC",
IF(ISNUMBER(SEARCH("SOPORTE",INVENTARIO!C159)),"SOP","OTR")
))))))))))))))))))))))))))))))</f>
        <v>VIN</v>
      </c>
      <c r="B159" t="str">
        <f>IF(ISNUMBER(SEARCH("CORTE",INVENTARIO!C159)),"COR",
IF(ISNUMBER(SEARCH("CITYLIGHT",INVENTARIO!C159)),"CIT",
IF(ISNUMBER(SEARCH("LINO",INVENTARIO!C159)),"LIN",
IF(ISNUMBER(SEARCH("FABRIANO",INVENTARIO!C159)),"FAB",
IF(ISNUMBER(SEARCH("SUNDANCE",INVENTARIO!C159)),"SUN",
IF(ISNUMBER(SEARCH("SINTETICA",INVENTARIO!C159)),"SIN",
IF(ISNUMBER(SEARCH("CONTROL",INVENTARIO!C159)),"CON",
IF(ISNUMBER(SEARCH("TERMICO",INVENTARIO!C159)),"TER",
IF(ISNUMBER(SEARCH("C-15",INVENTARIO!C159)),"C15",
IF(ISNUMBER(SEARCH("C-20",INVENTARIO!C159)),"C20",
IF(ISNUMBER(SEARCH("C-30",INVENTARIO!C159)),"C30",
IF(ISNUMBER(SEARCH("C-40",INVENTARIO!C159)),"C40",
IF(ISNUMBER(SEARCH("C-60",INVENTARIO!C159)),"C60",
IF(ISNUMBER(SEARCH("C-80",INVENTARIO!C159)),"C80",
IF(ISNUMBER(SEARCH("EQUIPO",INVENTARIO!C159)),"EQU",
IF(ISNUMBER(SEARCH("FLOOR",INVENTARIO!C159)),"FLO",
IF(ISNUMBER(SEARCH("CRISTAL",INVENTARIO!C159)),"CRI",
IF(ISNUMBER(SEARCH(" SULFATADA",INVENTARIO!C170)),"SUL",
IF(ISNUMBER(SEARCH("OPALINA",INVENTARIO!C159)),"OPA",
IF(ISNUMBER(SEARCH("ADHERIBLE",INVENTARIO!C159)),"ADH",
IF(ISNUMBER(SEARCH("MICRO",INVENTARIO!C159)),"MIC","")))))))))))))))))))))</f>
        <v>COR</v>
      </c>
      <c r="C159" t="str">
        <f>IF(ISNUMBER(SEARCH("PARED",INVENTARIO!C159)),"PAR",
IF(ISNUMBER(SEARCH("FRONT",INVENTARIO!C159)),"FRO",
IF(ISNUMBER(SEARCH("ALTA RESISTENCIA",INVENTARIO!C159)),
"ALT-RES",IF(ISNUMBER(SEARCH("BACKLITE",INVENTARIO!C159)),"BAC",
IF(ISNUMBER(SEARCH("MATE",INVENTARIO!C159)),"MAT",
IF(ISNUMBER(SEARCH("MESH",INVENTARIO!C159)),"MES",
IF(ISNUMBER(SEARCH("BRILLANTE",INVENTARIO!C159)),"BRI",
IF(ISNUMBER(SEARCH("DELGADA",INVENTARIO!C159)),"DEL",
IF(ISNUMBER(SEARCH("GRUESA",INVENTARIO!C159)),"GRU",
IF(ISNUMBER(SEARCH("ESTATICO",INVENTARIO!C159)),"EST",
IF(ISNUMBER(SEARCH("REFLECTIVO",INVENTARIO!C159)),"REF",
IF(ISNUMBER(SEARCH("LX700",INVENTARIO!C159)),"LX7",
IF(ISNUMBER(SEARCH("GRANDO",INVENTARIO!C159)),"GRA",
IF(ISNUMBER(SEARCH("FB700",INVENTARIO!C159)),"FB7",
IF(ISNUMBER(SEARCH("LX360",INVENTARIO!C159)),"LX3",
IF(ISNUMBER(SEARCH("XEROX",INVENTARIO!C159)),"XER",
IF(ISNUMBER(SEARCH("CEPILLADO",INVENTARIO!C159)),"CEP",
IF(ISNUMBER(SEARCH("ESPEJO",INVENTARIO!C159)),"ESP",
IF(ISNUMBER(SEARCH("10 PTS",INVENTARIO!C159)),"10PT",
IF(ISNUMBER(SEARCH("12 PTS",INVENTARIO!C159)),"12PT",
IF(ISNUMBER(SEARCH("14 PTS",INVENTARIO!C159)),"14PT",
IF(ISNUMBER(SEARCH("CLASICO",INVENTARIO!C159)),"CLA",
""))))))))))))))))))))))</f>
        <v>BRI</v>
      </c>
      <c r="D159" t="str">
        <f>IF(ISNUMBER(SEARCH("GRAN FORMATO",INVENTARIO!C159)),"GRA-FOR",
IF(ISNUMBER(SEARCH("CAMA PLANA",INVENTARIO!C159)),"CAM-PLA",
IF(ISNUMBER(SEARCH("GRADO INGENIERIA",INVENTARIO!C159)),"GRA-ING",
IF(ISNUMBER(SEARCH("130 GRS",INVENTARIO!C159)),"130GR",
IF(ISNUMBER(SEARCH("150 GRS",INVENTARIO!C159)),"150GR",
IF(ISNUMBER(SEARCH("185 GRS",INVENTARIO!C159)),"185GR",
IF(ISNUMBER(SEARCH("200 GRS",INVENTARIO!C159)),"200GR",
IF(ISNUMBER(SEARCH("250 GRS",INVENTARIO!C159)),"250GR",
IF(ISNUMBER(SEARCH("300 GRS",INVENTARIO!C159)),"300GR",
IF(ISNUMBER(SEARCH("350 GRS",INVENTARIO!C159)),"350GR",
IF(ISNUMBER(SEARCH("18 OZ",INVENTARIO!C159)),"18OZ",
IF(ISNUMBER(SEARCH("15 OZ",INVENTARIO!C159)),"15OZ",
IF(OR(ISNUMBER(SEARCH("13 OZ",INVENTARIO!C159)),ISNUMBER(SEARCH("13 ONZAS",INVENTARIO!C159))),"13OZ",
IF(OR(ISNUMBER(SEARCH("9 OZ",INVENTARIO!C159)),ISNUMBER(SEARCH("9 ONZAS",INVENTARIO!C159))),"09OZ",
IF(ISNUMBER(SEARCH("DOBLE CARA",INVENTARIO!C159)),"DOB-CAR",
"")))))))))))))))</f>
        <v/>
      </c>
      <c r="E159" t="str">
        <f>IF(OR(ISNUMBER(SEARCH("TRANSPARENTE",INVENTARIO!C159)),ISNUMBER(SEARCH("TRANSPARENTES",INVENTARIO!C159))),"TRA",
IF(OR(ISNUMBER(SEARCH("BLANCO",INVENTARIO!C159)),ISNUMBER(SEARCH("BCO",INVENTARIO!C159))),"BLA",
IF(ISNUMBER(SEARCH("FOTOGRAFICO",INVENTARIO!C159)),"FOT",
IF(ISNUMBER(SEARCH("MARFIL",INVENTARIO!C159)),"MAR",
IF(ISNUMBER(SEARCH("VERDE",INVENTARIO!C159)),"VER",
IF(ISNUMBER(SEARCH("MORADO",INVENTARIO!C159)),"MOR",
IF(ISNUMBER(SEARCH("PLATA",INVENTARIO!C159)),"PLA",
IF(ISNUMBER(SEARCH("ORO",INVENTARIO!C159)),"ORO",
IF(ISNUMBER(SEARCH("AMARILLO",INVENTARIO!C159)),"AMA",
IF(ISNUMBER(SEARCH("NARANJA",INVENTARIO!C159)),"NAR",
IF(ISNUMBER(SEARCH("NEGRO",INVENTARIO!C159)),"NEG",
IF(ISNUMBER(SEARCH("ROJO",INVENTARIO!C159)),"ROJ",
IF(ISNUMBER(SEARCH("AZUL",INVENTARIO!C159)),"AZU","")))))))))))))</f>
        <v>BLA</v>
      </c>
      <c r="F159" t="str">
        <f>IF(ISNUMBER(SEARCH("ARLON",INVENTARIO!C159)),"ARL",
IF(ISNUMBER(SEARCH("SUNTHINKS",INVENTARIO!C159)),"SUN",
IF(ISNUMBER(SEARCH("FRIO",INVENTARIO!C159)),"FRI",
IF(ISNUMBER(SEARCH("CALIDO",INVENTARIO!C159)),"CAL",
IF(ISNUMBER(SEARCH("CEPILLADO",INVENTARIO!C159)),"CEP",
IF(ISNUMBER(SEARCH("ESPEJO",INVENTARIO!C159)),"ESP",
""))))))</f>
        <v/>
      </c>
      <c r="G159" t="str">
        <f>IF(ISNUMBER(SEARCH("LATEX",INVENTARIO!C159)),"LAT",
IF(ISNUMBER(SEARCH("RESP. NEGRO",INVENTARIO!C159)),"RES-NEG",
IF(ISNUMBER(SEARCH("RESPALDO CAFE",INVENTARIO!C159)),"RES-CAF",
IF(ISNUMBER(SEARCH("RESPALDO GRIS",INVENTARIO!C159)),"RES-GRI",
IF(ISNUMBER(SEARCH("OPTICO",INVENTARIO!C159)),"OPT",
IF(ISNUMBER(SEARCH("1,2 MM",INVENTARIO!C159)),"1MM2",
IF(ISNUMBER(SEARCH("2 MM",INVENTARIO!C159)),"2MM",
IF(ISNUMBER(SEARCH("3 MM",INVENTARIO!C159)),"3MM",
IF(ISNUMBER(SEARCH("4 MM",INVENTARIO!C159)),"4MM",
IF(ISNUMBER(SEARCH("5 MM",INVENTARIO!C159)),"5MM",
IF(ISNUMBER(SEARCH("6 MM",INVENTARIO!C159)),"6MM",
IF(ISNUMBER(SEARCH("9 MM",INVENTARIO!C159)),"9MM",
IF(ISNUMBER(SEARCH("10 MM",INVENTARIO!C159)),"10MM","")))))))))))))</f>
        <v/>
      </c>
      <c r="H159" t="str">
        <f>IF(ISNUMBER(SEARCH("GAMA BAJA",INVENTARIO!C159)),"GAM-BAJ",
IF(ISNUMBER(SEARCH("OPTIMIZADOR",INVENTARIO!C159)),"OPT",
IF(ISNUMBER(SEARCH("OVERCOAT",INVENTARIO!C159)),"OVE",
IF(ISNUMBER(SEARCH("WHITE",INVENTARIO!C159)),"WHI",
IF(ISNUMBER(SEARCH("LIGHT CYAN",INVENTARIO!C159)),"LIG-CYA",
IF(ISNUMBER(SEARCH("CYAN",INVENTARIO!C159)),"CYA",
IF(ISNUMBER(SEARCH("LIGHT MAGENTA",INVENTARIO!C159)),"LIG-MAG",
IF(ISNUMBER(SEARCH("MAGENTA",INVENTARIO!C159)),"MAG",
IF(ISNUMBER(SEARCH("BLACK",INVENTARIO!C159)),"BLA",
IF(ISNUMBER(SEARCH("YELLOW",INVENTARIO!C159)),"YEL",
IF(ISNUMBER(SEARCH("2 DIODOS",INVENTARIO!C159)),"2DI",
IF(ISNUMBER(SEARCH("3 DIODOS",INVENTARIO!C159)),"3DI",
IF(OR(ISNUMBER(SEARCH("TRASLUCIDO",INVENTARIO!C159)),ISNUMBER(SEARCH("TRANSLUCIDO",INVENTARIO!C159))),"TRA",
"")))))))))))))</f>
        <v/>
      </c>
      <c r="I15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0" spans="1:9">
      <c r="A160" t="str">
        <f>IF(ISNUMBER(SEARCH("LONA",INVENTARIO!C160)),"LON",
IF(ISNUMBER(SEARCH("VINIL",INVENTARIO!C160)),"VIN",
IF(ISNUMBER(SEARCH("KROMACOTE",INVENTARIO!C160)),"KRO",
IF(ISNUMBER(SEARCH("STARDREAM",INVENTARIO!C160)),"STA",
IF(ISNUMBER(SEARCH("DISPLAY",INVENTARIO!C160)),"DIS",
IF(ISNUMBER(SEARCH("ROLL UP",INVENTARIO!C160)),"ROL-UP",
IF(ISNUMBER(SEARCH("TRANSFER DE PAPEL",INVENTARIO!C160)),"TRA-PAP",
IF(ISNUMBER(SEARCH("TRANSFER",INVENTARIO!C160)),"TRA",IF(ISNUMBER(SEARCH("KOLA LOKA",INVENTARIO!C160)),"KOL-LOK",
IF(ISNUMBER(SEARCH("PETG",INVENTARIO!C160)),"PET",
IF(ISNUMBER(SEARCH("OJILLO",INVENTARIO!C160)),"OJI",
IF(ISNUMBER(SEARCH("COUCHE",INVENTARIO!C160)),"COU",
IF(ISNUMBER(SEARCH("PANEL DE ALUMINIO",INVENTARIO!C160)),"PAN-ALU",
IF(ISNUMBER(SEARCH("PVC",INVENTARIO!C160)),"PVC",
IF(ISNUMBER(SEARCH("PAPEL",INVENTARIO!C160)),"PAP",
IF(ISNUMBER(SEARCH("TELA",INVENTARIO!C160)),"TEL",
IF(ISNUMBER(SEARCH("CARTULINA",INVENTARIO!C160)),"CAR",
IF(OR(ISNUMBER(SEARCH("LAMINA",INVENTARIO!C160)),ISNUMBER(SEARCH("LÁMINA",INVENTARIO!C160)),ISNUMBER(SEARCH("LAMPARAS",INVENTARIO!C160))),"LAM",
IF(ISNUMBER(SEARCH("ESTIRENO",INVENTARIO!C160)),"EST",
IF(ISNUMBER(SEARCH("FOAMBOARD",INVENTARIO!C160)),"FOA",
IF(ISNUMBER(SEARCH("SOLVENTE",INVENTARIO!C160)),"SOL",
IF(ISNUMBER(SEARCH("TINTA",INVENTARIO!C160)),"TIN",
IF(ISNUMBER(SEARCH("ACRILICO",INVENTARIO!C160)),"ACR",
IF(ISNUMBER(SEARCH("MICROLED",INVENTARIO!C160)),"MIC",
IF(ISNUMBER(SEARCH("LED",INVENTARIO!C160)),"LED",
IF(ISNUMBER(SEARCH("FUENTE DE PODER",INVENTARIO!C160)),"FUE-POD",
IF(ISNUMBER(SEARCH("PETG",INVENTARIO!C160)),"PET",
IF(ISNUMBER(SEARCH("ALUMINIO",INVENTARIO!C160)),"ALU",
IF(ISNUMBER(SEARCH("CANAL",INVENTARIO!C160)),"CAN",
IF(ISNUMBER(SEARCH("ESCUADRA",INVENTARIO!C160)),"ESC",
IF(ISNUMBER(SEARCH("SOPORTE",INVENTARIO!C160)),"SOP","OTR")
))))))))))))))))))))))))))))))</f>
        <v>VIN</v>
      </c>
      <c r="B160" t="str">
        <f>IF(ISNUMBER(SEARCH("CORTE",INVENTARIO!C160)),"COR",
IF(ISNUMBER(SEARCH("CITYLIGHT",INVENTARIO!C160)),"CIT",
IF(ISNUMBER(SEARCH("LINO",INVENTARIO!C160)),"LIN",
IF(ISNUMBER(SEARCH("FABRIANO",INVENTARIO!C160)),"FAB",
IF(ISNUMBER(SEARCH("SUNDANCE",INVENTARIO!C160)),"SUN",
IF(ISNUMBER(SEARCH("SINTETICA",INVENTARIO!C160)),"SIN",
IF(ISNUMBER(SEARCH("CONTROL",INVENTARIO!C160)),"CON",
IF(ISNUMBER(SEARCH("TERMICO",INVENTARIO!C160)),"TER",
IF(ISNUMBER(SEARCH("C-15",INVENTARIO!C160)),"C15",
IF(ISNUMBER(SEARCH("C-20",INVENTARIO!C160)),"C20",
IF(ISNUMBER(SEARCH("C-30",INVENTARIO!C160)),"C30",
IF(ISNUMBER(SEARCH("C-40",INVENTARIO!C160)),"C40",
IF(ISNUMBER(SEARCH("C-60",INVENTARIO!C160)),"C60",
IF(ISNUMBER(SEARCH("C-80",INVENTARIO!C160)),"C80",
IF(ISNUMBER(SEARCH("EQUIPO",INVENTARIO!C160)),"EQU",
IF(ISNUMBER(SEARCH("FLOOR",INVENTARIO!C160)),"FLO",
IF(ISNUMBER(SEARCH("CRISTAL",INVENTARIO!C160)),"CRI",
IF(ISNUMBER(SEARCH(" SULFATADA",INVENTARIO!C171)),"SUL",
IF(ISNUMBER(SEARCH("OPALINA",INVENTARIO!C160)),"OPA",
IF(ISNUMBER(SEARCH("ADHERIBLE",INVENTARIO!C160)),"ADH",
IF(ISNUMBER(SEARCH("MICRO",INVENTARIO!C160)),"MIC","")))))))))))))))))))))</f>
        <v>COR</v>
      </c>
      <c r="C160" t="str">
        <f>IF(ISNUMBER(SEARCH("PARED",INVENTARIO!C160)),"PAR",
IF(ISNUMBER(SEARCH("FRONT",INVENTARIO!C160)),"FRO",
IF(ISNUMBER(SEARCH("ALTA RESISTENCIA",INVENTARIO!C160)),
"ALT-RES",IF(ISNUMBER(SEARCH("BACKLITE",INVENTARIO!C160)),"BAC",
IF(ISNUMBER(SEARCH("MATE",INVENTARIO!C160)),"MAT",
IF(ISNUMBER(SEARCH("MESH",INVENTARIO!C160)),"MES",
IF(ISNUMBER(SEARCH("BRILLANTE",INVENTARIO!C160)),"BRI",
IF(ISNUMBER(SEARCH("DELGADA",INVENTARIO!C160)),"DEL",
IF(ISNUMBER(SEARCH("GRUESA",INVENTARIO!C160)),"GRU",
IF(ISNUMBER(SEARCH("ESTATICO",INVENTARIO!C160)),"EST",
IF(ISNUMBER(SEARCH("REFLECTIVO",INVENTARIO!C160)),"REF",
IF(ISNUMBER(SEARCH("LX700",INVENTARIO!C160)),"LX7",
IF(ISNUMBER(SEARCH("GRANDO",INVENTARIO!C160)),"GRA",
IF(ISNUMBER(SEARCH("FB700",INVENTARIO!C160)),"FB7",
IF(ISNUMBER(SEARCH("LX360",INVENTARIO!C160)),"LX3",
IF(ISNUMBER(SEARCH("XEROX",INVENTARIO!C160)),"XER",
IF(ISNUMBER(SEARCH("CEPILLADO",INVENTARIO!C160)),"CEP",
IF(ISNUMBER(SEARCH("ESPEJO",INVENTARIO!C160)),"ESP",
IF(ISNUMBER(SEARCH("10 PTS",INVENTARIO!C160)),"10PT",
IF(ISNUMBER(SEARCH("12 PTS",INVENTARIO!C160)),"12PT",
IF(ISNUMBER(SEARCH("14 PTS",INVENTARIO!C160)),"14PT",
IF(ISNUMBER(SEARCH("CLASICO",INVENTARIO!C160)),"CLA",
""))))))))))))))))))))))</f>
        <v>MAT</v>
      </c>
      <c r="D160" t="str">
        <f>IF(ISNUMBER(SEARCH("GRAN FORMATO",INVENTARIO!C160)),"GRA-FOR",
IF(ISNUMBER(SEARCH("CAMA PLANA",INVENTARIO!C160)),"CAM-PLA",
IF(ISNUMBER(SEARCH("GRADO INGENIERIA",INVENTARIO!C160)),"GRA-ING",
IF(ISNUMBER(SEARCH("130 GRS",INVENTARIO!C160)),"130GR",
IF(ISNUMBER(SEARCH("150 GRS",INVENTARIO!C160)),"150GR",
IF(ISNUMBER(SEARCH("185 GRS",INVENTARIO!C160)),"185GR",
IF(ISNUMBER(SEARCH("200 GRS",INVENTARIO!C160)),"200GR",
IF(ISNUMBER(SEARCH("250 GRS",INVENTARIO!C160)),"250GR",
IF(ISNUMBER(SEARCH("300 GRS",INVENTARIO!C160)),"300GR",
IF(ISNUMBER(SEARCH("350 GRS",INVENTARIO!C160)),"350GR",
IF(ISNUMBER(SEARCH("18 OZ",INVENTARIO!C160)),"18OZ",
IF(ISNUMBER(SEARCH("15 OZ",INVENTARIO!C160)),"15OZ",
IF(OR(ISNUMBER(SEARCH("13 OZ",INVENTARIO!C160)),ISNUMBER(SEARCH("13 ONZAS",INVENTARIO!C160))),"13OZ",
IF(OR(ISNUMBER(SEARCH("9 OZ",INVENTARIO!C160)),ISNUMBER(SEARCH("9 ONZAS",INVENTARIO!C160))),"09OZ",
IF(ISNUMBER(SEARCH("DOBLE CARA",INVENTARIO!C160)),"DOB-CAR",
"")))))))))))))))</f>
        <v/>
      </c>
      <c r="E160" t="str">
        <f>IF(OR(ISNUMBER(SEARCH("TRANSPARENTE",INVENTARIO!C160)),ISNUMBER(SEARCH("TRANSPARENTES",INVENTARIO!C160))),"TRA",
IF(OR(ISNUMBER(SEARCH("BLANCO",INVENTARIO!C160)),ISNUMBER(SEARCH("BCO",INVENTARIO!C160))),"BLA",
IF(ISNUMBER(SEARCH("FOTOGRAFICO",INVENTARIO!C160)),"FOT",
IF(ISNUMBER(SEARCH("MARFIL",INVENTARIO!C160)),"MAR",
IF(ISNUMBER(SEARCH("VERDE",INVENTARIO!C160)),"VER",
IF(ISNUMBER(SEARCH("MORADO",INVENTARIO!C160)),"MOR",
IF(ISNUMBER(SEARCH("PLATA",INVENTARIO!C160)),"PLA",
IF(ISNUMBER(SEARCH("ORO",INVENTARIO!C160)),"ORO",
IF(ISNUMBER(SEARCH("AMARILLO",INVENTARIO!C160)),"AMA",
IF(ISNUMBER(SEARCH("NARANJA",INVENTARIO!C160)),"NAR",
IF(ISNUMBER(SEARCH("NEGRO",INVENTARIO!C160)),"NEG",
IF(ISNUMBER(SEARCH("ROJO",INVENTARIO!C160)),"ROJ",
IF(ISNUMBER(SEARCH("AZUL",INVENTARIO!C160)),"AZU","")))))))))))))</f>
        <v>BLA</v>
      </c>
      <c r="F160" t="str">
        <f>IF(ISNUMBER(SEARCH("ARLON",INVENTARIO!C160)),"ARL",
IF(ISNUMBER(SEARCH("SUNTHINKS",INVENTARIO!C160)),"SUN",
IF(ISNUMBER(SEARCH("FRIO",INVENTARIO!C160)),"FRI",
IF(ISNUMBER(SEARCH("CALIDO",INVENTARIO!C160)),"CAL",
IF(ISNUMBER(SEARCH("CEPILLADO",INVENTARIO!C160)),"CEP",
IF(ISNUMBER(SEARCH("ESPEJO",INVENTARIO!C160)),"ESP",
""))))))</f>
        <v/>
      </c>
      <c r="G160" t="str">
        <f>IF(ISNUMBER(SEARCH("LATEX",INVENTARIO!C160)),"LAT",
IF(ISNUMBER(SEARCH("RESP. NEGRO",INVENTARIO!C160)),"RES-NEG",
IF(ISNUMBER(SEARCH("RESPALDO CAFE",INVENTARIO!C160)),"RES-CAF",
IF(ISNUMBER(SEARCH("RESPALDO GRIS",INVENTARIO!C160)),"RES-GRI",
IF(ISNUMBER(SEARCH("OPTICO",INVENTARIO!C160)),"OPT",
IF(ISNUMBER(SEARCH("1,2 MM",INVENTARIO!C160)),"1MM2",
IF(ISNUMBER(SEARCH("2 MM",INVENTARIO!C160)),"2MM",
IF(ISNUMBER(SEARCH("3 MM",INVENTARIO!C160)),"3MM",
IF(ISNUMBER(SEARCH("4 MM",INVENTARIO!C160)),"4MM",
IF(ISNUMBER(SEARCH("5 MM",INVENTARIO!C160)),"5MM",
IF(ISNUMBER(SEARCH("6 MM",INVENTARIO!C160)),"6MM",
IF(ISNUMBER(SEARCH("9 MM",INVENTARIO!C160)),"9MM",
IF(ISNUMBER(SEARCH("10 MM",INVENTARIO!C160)),"10MM","")))))))))))))</f>
        <v/>
      </c>
      <c r="H160" t="str">
        <f>IF(ISNUMBER(SEARCH("GAMA BAJA",INVENTARIO!C160)),"GAM-BAJ",
IF(ISNUMBER(SEARCH("OPTIMIZADOR",INVENTARIO!C160)),"OPT",
IF(ISNUMBER(SEARCH("OVERCOAT",INVENTARIO!C160)),"OVE",
IF(ISNUMBER(SEARCH("WHITE",INVENTARIO!C160)),"WHI",
IF(ISNUMBER(SEARCH("LIGHT CYAN",INVENTARIO!C160)),"LIG-CYA",
IF(ISNUMBER(SEARCH("CYAN",INVENTARIO!C160)),"CYA",
IF(ISNUMBER(SEARCH("LIGHT MAGENTA",INVENTARIO!C160)),"LIG-MAG",
IF(ISNUMBER(SEARCH("MAGENTA",INVENTARIO!C160)),"MAG",
IF(ISNUMBER(SEARCH("BLACK",INVENTARIO!C160)),"BLA",
IF(ISNUMBER(SEARCH("YELLOW",INVENTARIO!C160)),"YEL",
IF(ISNUMBER(SEARCH("2 DIODOS",INVENTARIO!C160)),"2DI",
IF(ISNUMBER(SEARCH("3 DIODOS",INVENTARIO!C160)),"3DI",
IF(OR(ISNUMBER(SEARCH("TRASLUCIDO",INVENTARIO!C160)),ISNUMBER(SEARCH("TRANSLUCIDO",INVENTARIO!C160))),"TRA",
"")))))))))))))</f>
        <v/>
      </c>
      <c r="I16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1" spans="1:9">
      <c r="A161" t="str">
        <f>IF(ISNUMBER(SEARCH("LONA",INVENTARIO!C161)),"LON",
IF(ISNUMBER(SEARCH("VINIL",INVENTARIO!C161)),"VIN",
IF(ISNUMBER(SEARCH("KROMACOTE",INVENTARIO!C161)),"KRO",
IF(ISNUMBER(SEARCH("STARDREAM",INVENTARIO!C161)),"STA",
IF(ISNUMBER(SEARCH("DISPLAY",INVENTARIO!C161)),"DIS",
IF(ISNUMBER(SEARCH("ROLL UP",INVENTARIO!C161)),"ROL-UP",
IF(ISNUMBER(SEARCH("TRANSFER DE PAPEL",INVENTARIO!C161)),"TRA-PAP",
IF(ISNUMBER(SEARCH("TRANSFER",INVENTARIO!C161)),"TRA",IF(ISNUMBER(SEARCH("KOLA LOKA",INVENTARIO!C161)),"KOL-LOK",
IF(ISNUMBER(SEARCH("PETG",INVENTARIO!C161)),"PET",
IF(ISNUMBER(SEARCH("OJILLO",INVENTARIO!C161)),"OJI",
IF(ISNUMBER(SEARCH("COUCHE",INVENTARIO!C161)),"COU",
IF(ISNUMBER(SEARCH("PANEL DE ALUMINIO",INVENTARIO!C161)),"PAN-ALU",
IF(ISNUMBER(SEARCH("PVC",INVENTARIO!C161)),"PVC",
IF(ISNUMBER(SEARCH("PAPEL",INVENTARIO!C161)),"PAP",
IF(ISNUMBER(SEARCH("TELA",INVENTARIO!C161)),"TEL",
IF(ISNUMBER(SEARCH("CARTULINA",INVENTARIO!C161)),"CAR",
IF(OR(ISNUMBER(SEARCH("LAMINA",INVENTARIO!C161)),ISNUMBER(SEARCH("LÁMINA",INVENTARIO!C161)),ISNUMBER(SEARCH("LAMPARAS",INVENTARIO!C161))),"LAM",
IF(ISNUMBER(SEARCH("ESTIRENO",INVENTARIO!C161)),"EST",
IF(ISNUMBER(SEARCH("FOAMBOARD",INVENTARIO!C161)),"FOA",
IF(ISNUMBER(SEARCH("SOLVENTE",INVENTARIO!C161)),"SOL",
IF(ISNUMBER(SEARCH("TINTA",INVENTARIO!C161)),"TIN",
IF(ISNUMBER(SEARCH("ACRILICO",INVENTARIO!C161)),"ACR",
IF(ISNUMBER(SEARCH("MICROLED",INVENTARIO!C161)),"MIC",
IF(ISNUMBER(SEARCH("LED",INVENTARIO!C161)),"LED",
IF(ISNUMBER(SEARCH("FUENTE DE PODER",INVENTARIO!C161)),"FUE-POD",
IF(ISNUMBER(SEARCH("PETG",INVENTARIO!C161)),"PET",
IF(ISNUMBER(SEARCH("ALUMINIO",INVENTARIO!C161)),"ALU",
IF(ISNUMBER(SEARCH("CANAL",INVENTARIO!C161)),"CAN",
IF(ISNUMBER(SEARCH("ESCUADRA",INVENTARIO!C161)),"ESC",
IF(ISNUMBER(SEARCH("SOPORTE",INVENTARIO!C161)),"SOP","OTR")
))))))))))))))))))))))))))))))</f>
        <v>VIN</v>
      </c>
      <c r="B161" t="str">
        <f>IF(ISNUMBER(SEARCH("CORTE",INVENTARIO!C161)),"COR",
IF(ISNUMBER(SEARCH("CITYLIGHT",INVENTARIO!C161)),"CIT",
IF(ISNUMBER(SEARCH("LINO",INVENTARIO!C161)),"LIN",
IF(ISNUMBER(SEARCH("FABRIANO",INVENTARIO!C161)),"FAB",
IF(ISNUMBER(SEARCH("SUNDANCE",INVENTARIO!C161)),"SUN",
IF(ISNUMBER(SEARCH("SINTETICA",INVENTARIO!C161)),"SIN",
IF(ISNUMBER(SEARCH("CONTROL",INVENTARIO!C161)),"CON",
IF(ISNUMBER(SEARCH("TERMICO",INVENTARIO!C161)),"TER",
IF(ISNUMBER(SEARCH("C-15",INVENTARIO!C161)),"C15",
IF(ISNUMBER(SEARCH("C-20",INVENTARIO!C161)),"C20",
IF(ISNUMBER(SEARCH("C-30",INVENTARIO!C161)),"C30",
IF(ISNUMBER(SEARCH("C-40",INVENTARIO!C161)),"C40",
IF(ISNUMBER(SEARCH("C-60",INVENTARIO!C161)),"C60",
IF(ISNUMBER(SEARCH("C-80",INVENTARIO!C161)),"C80",
IF(ISNUMBER(SEARCH("EQUIPO",INVENTARIO!C161)),"EQU",
IF(ISNUMBER(SEARCH("FLOOR",INVENTARIO!C161)),"FLO",
IF(ISNUMBER(SEARCH("CRISTAL",INVENTARIO!C161)),"CRI",
IF(ISNUMBER(SEARCH(" SULFATADA",INVENTARIO!C172)),"SUL",
IF(ISNUMBER(SEARCH("OPALINA",INVENTARIO!C161)),"OPA",
IF(ISNUMBER(SEARCH("ADHERIBLE",INVENTARIO!C161)),"ADH",
IF(ISNUMBER(SEARCH("MICRO",INVENTARIO!C161)),"MIC","")))))))))))))))))))))</f>
        <v>COR</v>
      </c>
      <c r="C161" t="str">
        <f>IF(ISNUMBER(SEARCH("PARED",INVENTARIO!C161)),"PAR",
IF(ISNUMBER(SEARCH("FRONT",INVENTARIO!C161)),"FRO",
IF(ISNUMBER(SEARCH("ALTA RESISTENCIA",INVENTARIO!C161)),
"ALT-RES",IF(ISNUMBER(SEARCH("BACKLITE",INVENTARIO!C161)),"BAC",
IF(ISNUMBER(SEARCH("MATE",INVENTARIO!C161)),"MAT",
IF(ISNUMBER(SEARCH("MESH",INVENTARIO!C161)),"MES",
IF(ISNUMBER(SEARCH("BRILLANTE",INVENTARIO!C161)),"BRI",
IF(ISNUMBER(SEARCH("DELGADA",INVENTARIO!C161)),"DEL",
IF(ISNUMBER(SEARCH("GRUESA",INVENTARIO!C161)),"GRU",
IF(ISNUMBER(SEARCH("ESTATICO",INVENTARIO!C161)),"EST",
IF(ISNUMBER(SEARCH("REFLECTIVO",INVENTARIO!C161)),"REF",
IF(ISNUMBER(SEARCH("LX700",INVENTARIO!C161)),"LX7",
IF(ISNUMBER(SEARCH("GRANDO",INVENTARIO!C161)),"GRA",
IF(ISNUMBER(SEARCH("FB700",INVENTARIO!C161)),"FB7",
IF(ISNUMBER(SEARCH("LX360",INVENTARIO!C161)),"LX3",
IF(ISNUMBER(SEARCH("XEROX",INVENTARIO!C161)),"XER",
IF(ISNUMBER(SEARCH("CEPILLADO",INVENTARIO!C161)),"CEP",
IF(ISNUMBER(SEARCH("ESPEJO",INVENTARIO!C161)),"ESP",
IF(ISNUMBER(SEARCH("10 PTS",INVENTARIO!C161)),"10PT",
IF(ISNUMBER(SEARCH("12 PTS",INVENTARIO!C161)),"12PT",
IF(ISNUMBER(SEARCH("14 PTS",INVENTARIO!C161)),"14PT",
IF(ISNUMBER(SEARCH("CLASICO",INVENTARIO!C161)),"CLA",
""))))))))))))))))))))))</f>
        <v/>
      </c>
      <c r="D161" t="str">
        <f>IF(ISNUMBER(SEARCH("GRAN FORMATO",INVENTARIO!C161)),"GRA-FOR",
IF(ISNUMBER(SEARCH("CAMA PLANA",INVENTARIO!C161)),"CAM-PLA",
IF(ISNUMBER(SEARCH("GRADO INGENIERIA",INVENTARIO!C161)),"GRA-ING",
IF(ISNUMBER(SEARCH("130 GRS",INVENTARIO!C161)),"130GR",
IF(ISNUMBER(SEARCH("150 GRS",INVENTARIO!C161)),"150GR",
IF(ISNUMBER(SEARCH("185 GRS",INVENTARIO!C161)),"185GR",
IF(ISNUMBER(SEARCH("200 GRS",INVENTARIO!C161)),"200GR",
IF(ISNUMBER(SEARCH("250 GRS",INVENTARIO!C161)),"250GR",
IF(ISNUMBER(SEARCH("300 GRS",INVENTARIO!C161)),"300GR",
IF(ISNUMBER(SEARCH("350 GRS",INVENTARIO!C161)),"350GR",
IF(ISNUMBER(SEARCH("18 OZ",INVENTARIO!C161)),"18OZ",
IF(ISNUMBER(SEARCH("15 OZ",INVENTARIO!C161)),"15OZ",
IF(OR(ISNUMBER(SEARCH("13 OZ",INVENTARIO!C161)),ISNUMBER(SEARCH("13 ONZAS",INVENTARIO!C161))),"13OZ",
IF(OR(ISNUMBER(SEARCH("9 OZ",INVENTARIO!C161)),ISNUMBER(SEARCH("9 ONZAS",INVENTARIO!C161))),"09OZ",
IF(ISNUMBER(SEARCH("DOBLE CARA",INVENTARIO!C161)),"DOB-CAR",
"")))))))))))))))</f>
        <v/>
      </c>
      <c r="E161" t="str">
        <f>IF(OR(ISNUMBER(SEARCH("TRANSPARENTE",INVENTARIO!C161)),ISNUMBER(SEARCH("TRANSPARENTES",INVENTARIO!C161))),"TRA",
IF(OR(ISNUMBER(SEARCH("BLANCO",INVENTARIO!C161)),ISNUMBER(SEARCH("BCO",INVENTARIO!C161))),"BLA",
IF(ISNUMBER(SEARCH("FOTOGRAFICO",INVENTARIO!C161)),"FOT",
IF(ISNUMBER(SEARCH("MARFIL",INVENTARIO!C161)),"MAR",
IF(ISNUMBER(SEARCH("VERDE",INVENTARIO!C161)),"VER",
IF(ISNUMBER(SEARCH("MORADO",INVENTARIO!C161)),"MOR",
IF(ISNUMBER(SEARCH("PLATA",INVENTARIO!C161)),"PLA",
IF(ISNUMBER(SEARCH("ORO",INVENTARIO!C161)),"ORO",
IF(ISNUMBER(SEARCH("AMARILLO",INVENTARIO!C161)),"AMA",
IF(ISNUMBER(SEARCH("NARANJA",INVENTARIO!C161)),"NAR",
IF(ISNUMBER(SEARCH("NEGRO",INVENTARIO!C161)),"NEG",
IF(ISNUMBER(SEARCH("ROJO",INVENTARIO!C161)),"ROJ",
IF(ISNUMBER(SEARCH("AZUL",INVENTARIO!C161)),"AZU","")))))))))))))</f>
        <v/>
      </c>
      <c r="F161" t="str">
        <f>IF(ISNUMBER(SEARCH("ARLON",INVENTARIO!C161)),"ARL",
IF(ISNUMBER(SEARCH("SUNTHINKS",INVENTARIO!C161)),"SUN",
IF(ISNUMBER(SEARCH("FRIO",INVENTARIO!C161)),"FRI",
IF(ISNUMBER(SEARCH("CALIDO",INVENTARIO!C161)),"CAL",
IF(ISNUMBER(SEARCH("CEPILLADO",INVENTARIO!C161)),"CEP",
IF(ISNUMBER(SEARCH("ESPEJO",INVENTARIO!C161)),"ESP",
""))))))</f>
        <v/>
      </c>
      <c r="G161" t="str">
        <f>IF(ISNUMBER(SEARCH("LATEX",INVENTARIO!C161)),"LAT",
IF(ISNUMBER(SEARCH("RESP. NEGRO",INVENTARIO!C161)),"RES-NEG",
IF(ISNUMBER(SEARCH("RESPALDO CAFE",INVENTARIO!C161)),"RES-CAF",
IF(ISNUMBER(SEARCH("RESPALDO GRIS",INVENTARIO!C161)),"RES-GRI",
IF(ISNUMBER(SEARCH("OPTICO",INVENTARIO!C161)),"OPT",
IF(ISNUMBER(SEARCH("1,2 MM",INVENTARIO!C161)),"1MM2",
IF(ISNUMBER(SEARCH("2 MM",INVENTARIO!C161)),"2MM",
IF(ISNUMBER(SEARCH("3 MM",INVENTARIO!C161)),"3MM",
IF(ISNUMBER(SEARCH("4 MM",INVENTARIO!C161)),"4MM",
IF(ISNUMBER(SEARCH("5 MM",INVENTARIO!C161)),"5MM",
IF(ISNUMBER(SEARCH("6 MM",INVENTARIO!C161)),"6MM",
IF(ISNUMBER(SEARCH("9 MM",INVENTARIO!C161)),"9MM",
IF(ISNUMBER(SEARCH("10 MM",INVENTARIO!C161)),"10MM","")))))))))))))</f>
        <v/>
      </c>
      <c r="H161" t="str">
        <f>IF(ISNUMBER(SEARCH("GAMA BAJA",INVENTARIO!C161)),"GAM-BAJ",
IF(ISNUMBER(SEARCH("OPTIMIZADOR",INVENTARIO!C161)),"OPT",
IF(ISNUMBER(SEARCH("OVERCOAT",INVENTARIO!C161)),"OVE",
IF(ISNUMBER(SEARCH("WHITE",INVENTARIO!C161)),"WHI",
IF(ISNUMBER(SEARCH("LIGHT CYAN",INVENTARIO!C161)),"LIG-CYA",
IF(ISNUMBER(SEARCH("CYAN",INVENTARIO!C161)),"CYA",
IF(ISNUMBER(SEARCH("LIGHT MAGENTA",INVENTARIO!C161)),"LIG-MAG",
IF(ISNUMBER(SEARCH("MAGENTA",INVENTARIO!C161)),"MAG",
IF(ISNUMBER(SEARCH("BLACK",INVENTARIO!C161)),"BLA",
IF(ISNUMBER(SEARCH("YELLOW",INVENTARIO!C161)),"YEL",
IF(ISNUMBER(SEARCH("2 DIODOS",INVENTARIO!C161)),"2DI",
IF(ISNUMBER(SEARCH("3 DIODOS",INVENTARIO!C161)),"3DI",
IF(OR(ISNUMBER(SEARCH("TRASLUCIDO",INVENTARIO!C161)),ISNUMBER(SEARCH("TRANSLUCIDO",INVENTARIO!C161))),"TRA",
"")))))))))))))</f>
        <v/>
      </c>
      <c r="I16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2" spans="1:9">
      <c r="A162" t="str">
        <f>IF(ISNUMBER(SEARCH("LONA",INVENTARIO!C162)),"LON",
IF(ISNUMBER(SEARCH("VINIL",INVENTARIO!C162)),"VIN",
IF(ISNUMBER(SEARCH("KROMACOTE",INVENTARIO!C162)),"KRO",
IF(ISNUMBER(SEARCH("STARDREAM",INVENTARIO!C162)),"STA",
IF(ISNUMBER(SEARCH("DISPLAY",INVENTARIO!C162)),"DIS",
IF(ISNUMBER(SEARCH("ROLL UP",INVENTARIO!C162)),"ROL-UP",
IF(ISNUMBER(SEARCH("TRANSFER DE PAPEL",INVENTARIO!C162)),"TRA-PAP",
IF(ISNUMBER(SEARCH("TRANSFER",INVENTARIO!C162)),"TRA",IF(ISNUMBER(SEARCH("KOLA LOKA",INVENTARIO!C162)),"KOL-LOK",
IF(ISNUMBER(SEARCH("PETG",INVENTARIO!C162)),"PET",
IF(ISNUMBER(SEARCH("OJILLO",INVENTARIO!C162)),"OJI",
IF(ISNUMBER(SEARCH("COUCHE",INVENTARIO!C162)),"COU",
IF(ISNUMBER(SEARCH("PANEL DE ALUMINIO",INVENTARIO!C162)),"PAN-ALU",
IF(ISNUMBER(SEARCH("PVC",INVENTARIO!C162)),"PVC",
IF(ISNUMBER(SEARCH("PAPEL",INVENTARIO!C162)),"PAP",
IF(ISNUMBER(SEARCH("TELA",INVENTARIO!C162)),"TEL",
IF(ISNUMBER(SEARCH("CARTULINA",INVENTARIO!C162)),"CAR",
IF(OR(ISNUMBER(SEARCH("LAMINA",INVENTARIO!C162)),ISNUMBER(SEARCH("LÁMINA",INVENTARIO!C162)),ISNUMBER(SEARCH("LAMPARAS",INVENTARIO!C162))),"LAM",
IF(ISNUMBER(SEARCH("ESTIRENO",INVENTARIO!C162)),"EST",
IF(ISNUMBER(SEARCH("FOAMBOARD",INVENTARIO!C162)),"FOA",
IF(ISNUMBER(SEARCH("SOLVENTE",INVENTARIO!C162)),"SOL",
IF(ISNUMBER(SEARCH("TINTA",INVENTARIO!C162)),"TIN",
IF(ISNUMBER(SEARCH("ACRILICO",INVENTARIO!C162)),"ACR",
IF(ISNUMBER(SEARCH("MICROLED",INVENTARIO!C162)),"MIC",
IF(ISNUMBER(SEARCH("LED",INVENTARIO!C162)),"LED",
IF(ISNUMBER(SEARCH("FUENTE DE PODER",INVENTARIO!C162)),"FUE-POD",
IF(ISNUMBER(SEARCH("PETG",INVENTARIO!C162)),"PET",
IF(ISNUMBER(SEARCH("ALUMINIO",INVENTARIO!C162)),"ALU",
IF(ISNUMBER(SEARCH("CANAL",INVENTARIO!C162)),"CAN",
IF(ISNUMBER(SEARCH("ESCUADRA",INVENTARIO!C162)),"ESC",
IF(ISNUMBER(SEARCH("SOPORTE",INVENTARIO!C162)),"SOP","OTR")
))))))))))))))))))))))))))))))</f>
        <v>VIN</v>
      </c>
      <c r="B162" t="str">
        <f>IF(ISNUMBER(SEARCH("CORTE",INVENTARIO!C162)),"COR",
IF(ISNUMBER(SEARCH("CITYLIGHT",INVENTARIO!C162)),"CIT",
IF(ISNUMBER(SEARCH("LINO",INVENTARIO!C162)),"LIN",
IF(ISNUMBER(SEARCH("FABRIANO",INVENTARIO!C162)),"FAB",
IF(ISNUMBER(SEARCH("SUNDANCE",INVENTARIO!C162)),"SUN",
IF(ISNUMBER(SEARCH("SINTETICA",INVENTARIO!C162)),"SIN",
IF(ISNUMBER(SEARCH("CONTROL",INVENTARIO!C162)),"CON",
IF(ISNUMBER(SEARCH("TERMICO",INVENTARIO!C162)),"TER",
IF(ISNUMBER(SEARCH("C-15",INVENTARIO!C162)),"C15",
IF(ISNUMBER(SEARCH("C-20",INVENTARIO!C162)),"C20",
IF(ISNUMBER(SEARCH("C-30",INVENTARIO!C162)),"C30",
IF(ISNUMBER(SEARCH("C-40",INVENTARIO!C162)),"C40",
IF(ISNUMBER(SEARCH("C-60",INVENTARIO!C162)),"C60",
IF(ISNUMBER(SEARCH("C-80",INVENTARIO!C162)),"C80",
IF(ISNUMBER(SEARCH("EQUIPO",INVENTARIO!C162)),"EQU",
IF(ISNUMBER(SEARCH("FLOOR",INVENTARIO!C162)),"FLO",
IF(ISNUMBER(SEARCH("CRISTAL",INVENTARIO!C162)),"CRI",
IF(ISNUMBER(SEARCH(" SULFATADA",INVENTARIO!C173)),"SUL",
IF(ISNUMBER(SEARCH("OPALINA",INVENTARIO!C162)),"OPA",
IF(ISNUMBER(SEARCH("ADHERIBLE",INVENTARIO!C162)),"ADH",
IF(ISNUMBER(SEARCH("MICRO",INVENTARIO!C162)),"MIC","")))))))))))))))))))))</f>
        <v>COR</v>
      </c>
      <c r="C162" t="str">
        <f>IF(ISNUMBER(SEARCH("PARED",INVENTARIO!C162)),"PAR",
IF(ISNUMBER(SEARCH("FRONT",INVENTARIO!C162)),"FRO",
IF(ISNUMBER(SEARCH("ALTA RESISTENCIA",INVENTARIO!C162)),
"ALT-RES",IF(ISNUMBER(SEARCH("BACKLITE",INVENTARIO!C162)),"BAC",
IF(ISNUMBER(SEARCH("MATE",INVENTARIO!C162)),"MAT",
IF(ISNUMBER(SEARCH("MESH",INVENTARIO!C162)),"MES",
IF(ISNUMBER(SEARCH("BRILLANTE",INVENTARIO!C162)),"BRI",
IF(ISNUMBER(SEARCH("DELGADA",INVENTARIO!C162)),"DEL",
IF(ISNUMBER(SEARCH("GRUESA",INVENTARIO!C162)),"GRU",
IF(ISNUMBER(SEARCH("ESTATICO",INVENTARIO!C162)),"EST",
IF(ISNUMBER(SEARCH("REFLECTIVO",INVENTARIO!C162)),"REF",
IF(ISNUMBER(SEARCH("LX700",INVENTARIO!C162)),"LX7",
IF(ISNUMBER(SEARCH("GRANDO",INVENTARIO!C162)),"GRA",
IF(ISNUMBER(SEARCH("FB700",INVENTARIO!C162)),"FB7",
IF(ISNUMBER(SEARCH("LX360",INVENTARIO!C162)),"LX3",
IF(ISNUMBER(SEARCH("XEROX",INVENTARIO!C162)),"XER",
IF(ISNUMBER(SEARCH("CEPILLADO",INVENTARIO!C162)),"CEP",
IF(ISNUMBER(SEARCH("ESPEJO",INVENTARIO!C162)),"ESP",
IF(ISNUMBER(SEARCH("10 PTS",INVENTARIO!C162)),"10PT",
IF(ISNUMBER(SEARCH("12 PTS",INVENTARIO!C162)),"12PT",
IF(ISNUMBER(SEARCH("14 PTS",INVENTARIO!C162)),"14PT",
IF(ISNUMBER(SEARCH("CLASICO",INVENTARIO!C162)),"CLA",
""))))))))))))))))))))))</f>
        <v/>
      </c>
      <c r="D162" t="str">
        <f>IF(ISNUMBER(SEARCH("GRAN FORMATO",INVENTARIO!C162)),"GRA-FOR",
IF(ISNUMBER(SEARCH("CAMA PLANA",INVENTARIO!C162)),"CAM-PLA",
IF(ISNUMBER(SEARCH("GRADO INGENIERIA",INVENTARIO!C162)),"GRA-ING",
IF(ISNUMBER(SEARCH("130 GRS",INVENTARIO!C162)),"130GR",
IF(ISNUMBER(SEARCH("150 GRS",INVENTARIO!C162)),"150GR",
IF(ISNUMBER(SEARCH("185 GRS",INVENTARIO!C162)),"185GR",
IF(ISNUMBER(SEARCH("200 GRS",INVENTARIO!C162)),"200GR",
IF(ISNUMBER(SEARCH("250 GRS",INVENTARIO!C162)),"250GR",
IF(ISNUMBER(SEARCH("300 GRS",INVENTARIO!C162)),"300GR",
IF(ISNUMBER(SEARCH("350 GRS",INVENTARIO!C162)),"350GR",
IF(ISNUMBER(SEARCH("18 OZ",INVENTARIO!C162)),"18OZ",
IF(ISNUMBER(SEARCH("15 OZ",INVENTARIO!C162)),"15OZ",
IF(OR(ISNUMBER(SEARCH("13 OZ",INVENTARIO!C162)),ISNUMBER(SEARCH("13 ONZAS",INVENTARIO!C162))),"13OZ",
IF(OR(ISNUMBER(SEARCH("9 OZ",INVENTARIO!C162)),ISNUMBER(SEARCH("9 ONZAS",INVENTARIO!C162))),"09OZ",
IF(ISNUMBER(SEARCH("DOBLE CARA",INVENTARIO!C162)),"DOB-CAR",
"")))))))))))))))</f>
        <v/>
      </c>
      <c r="E162" t="str">
        <f>IF(OR(ISNUMBER(SEARCH("TRANSPARENTE",INVENTARIO!C162)),ISNUMBER(SEARCH("TRANSPARENTES",INVENTARIO!C162))),"TRA",
IF(OR(ISNUMBER(SEARCH("BLANCO",INVENTARIO!C162)),ISNUMBER(SEARCH("BCO",INVENTARIO!C162))),"BLA",
IF(ISNUMBER(SEARCH("FOTOGRAFICO",INVENTARIO!C162)),"FOT",
IF(ISNUMBER(SEARCH("MARFIL",INVENTARIO!C162)),"MAR",
IF(ISNUMBER(SEARCH("VERDE",INVENTARIO!C162)),"VER",
IF(ISNUMBER(SEARCH("MORADO",INVENTARIO!C162)),"MOR",
IF(ISNUMBER(SEARCH("PLATA",INVENTARIO!C162)),"PLA",
IF(ISNUMBER(SEARCH("ORO",INVENTARIO!C162)),"ORO",
IF(ISNUMBER(SEARCH("AMARILLO",INVENTARIO!C162)),"AMA",
IF(ISNUMBER(SEARCH("NARANJA",INVENTARIO!C162)),"NAR",
IF(ISNUMBER(SEARCH("NEGRO",INVENTARIO!C162)),"NEG",
IF(ISNUMBER(SEARCH("ROJO",INVENTARIO!C162)),"ROJ",
IF(ISNUMBER(SEARCH("AZUL",INVENTARIO!C162)),"AZU","")))))))))))))</f>
        <v/>
      </c>
      <c r="F162" t="str">
        <f>IF(ISNUMBER(SEARCH("ARLON",INVENTARIO!C162)),"ARL",
IF(ISNUMBER(SEARCH("SUNTHINKS",INVENTARIO!C162)),"SUN",
IF(ISNUMBER(SEARCH("FRIO",INVENTARIO!C162)),"FRI",
IF(ISNUMBER(SEARCH("CALIDO",INVENTARIO!C162)),"CAL",
IF(ISNUMBER(SEARCH("CEPILLADO",INVENTARIO!C162)),"CEP",
IF(ISNUMBER(SEARCH("ESPEJO",INVENTARIO!C162)),"ESP",
""))))))</f>
        <v/>
      </c>
      <c r="G162" t="str">
        <f>IF(ISNUMBER(SEARCH("LATEX",INVENTARIO!C162)),"LAT",
IF(ISNUMBER(SEARCH("RESP. NEGRO",INVENTARIO!C162)),"RES-NEG",
IF(ISNUMBER(SEARCH("RESPALDO CAFE",INVENTARIO!C162)),"RES-CAF",
IF(ISNUMBER(SEARCH("RESPALDO GRIS",INVENTARIO!C162)),"RES-GRI",
IF(ISNUMBER(SEARCH("OPTICO",INVENTARIO!C162)),"OPT",
IF(ISNUMBER(SEARCH("1,2 MM",INVENTARIO!C162)),"1MM2",
IF(ISNUMBER(SEARCH("2 MM",INVENTARIO!C162)),"2MM",
IF(ISNUMBER(SEARCH("3 MM",INVENTARIO!C162)),"3MM",
IF(ISNUMBER(SEARCH("4 MM",INVENTARIO!C162)),"4MM",
IF(ISNUMBER(SEARCH("5 MM",INVENTARIO!C162)),"5MM",
IF(ISNUMBER(SEARCH("6 MM",INVENTARIO!C162)),"6MM",
IF(ISNUMBER(SEARCH("9 MM",INVENTARIO!C162)),"9MM",
IF(ISNUMBER(SEARCH("10 MM",INVENTARIO!C162)),"10MM","")))))))))))))</f>
        <v/>
      </c>
      <c r="H162" t="str">
        <f>IF(ISNUMBER(SEARCH("GAMA BAJA",INVENTARIO!C162)),"GAM-BAJ",
IF(ISNUMBER(SEARCH("OPTIMIZADOR",INVENTARIO!C162)),"OPT",
IF(ISNUMBER(SEARCH("OVERCOAT",INVENTARIO!C162)),"OVE",
IF(ISNUMBER(SEARCH("WHITE",INVENTARIO!C162)),"WHI",
IF(ISNUMBER(SEARCH("LIGHT CYAN",INVENTARIO!C162)),"LIG-CYA",
IF(ISNUMBER(SEARCH("CYAN",INVENTARIO!C162)),"CYA",
IF(ISNUMBER(SEARCH("LIGHT MAGENTA",INVENTARIO!C162)),"LIG-MAG",
IF(ISNUMBER(SEARCH("MAGENTA",INVENTARIO!C162)),"MAG",
IF(ISNUMBER(SEARCH("BLACK",INVENTARIO!C162)),"BLA",
IF(ISNUMBER(SEARCH("YELLOW",INVENTARIO!C162)),"YEL",
IF(ISNUMBER(SEARCH("2 DIODOS",INVENTARIO!C162)),"2DI",
IF(ISNUMBER(SEARCH("3 DIODOS",INVENTARIO!C162)),"3DI",
IF(OR(ISNUMBER(SEARCH("TRASLUCIDO",INVENTARIO!C162)),ISNUMBER(SEARCH("TRANSLUCIDO",INVENTARIO!C162))),"TRA",
"")))))))))))))</f>
        <v/>
      </c>
      <c r="I16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3" spans="1:9">
      <c r="A163" t="str">
        <f>IF(ISNUMBER(SEARCH("LONA",INVENTARIO!C163)),"LON",
IF(ISNUMBER(SEARCH("VINIL",INVENTARIO!C163)),"VIN",
IF(ISNUMBER(SEARCH("KROMACOTE",INVENTARIO!C163)),"KRO",
IF(ISNUMBER(SEARCH("STARDREAM",INVENTARIO!C163)),"STA",
IF(ISNUMBER(SEARCH("DISPLAY",INVENTARIO!C163)),"DIS",
IF(ISNUMBER(SEARCH("ROLL UP",INVENTARIO!C163)),"ROL-UP",
IF(ISNUMBER(SEARCH("TRANSFER DE PAPEL",INVENTARIO!C163)),"TRA-PAP",
IF(ISNUMBER(SEARCH("TRANSFER",INVENTARIO!C163)),"TRA",IF(ISNUMBER(SEARCH("KOLA LOKA",INVENTARIO!C163)),"KOL-LOK",
IF(ISNUMBER(SEARCH("PETG",INVENTARIO!C163)),"PET",
IF(ISNUMBER(SEARCH("OJILLO",INVENTARIO!C163)),"OJI",
IF(ISNUMBER(SEARCH("COUCHE",INVENTARIO!C163)),"COU",
IF(ISNUMBER(SEARCH("PANEL DE ALUMINIO",INVENTARIO!C163)),"PAN-ALU",
IF(ISNUMBER(SEARCH("PVC",INVENTARIO!C163)),"PVC",
IF(ISNUMBER(SEARCH("PAPEL",INVENTARIO!C163)),"PAP",
IF(ISNUMBER(SEARCH("TELA",INVENTARIO!C163)),"TEL",
IF(ISNUMBER(SEARCH("CARTULINA",INVENTARIO!C163)),"CAR",
IF(OR(ISNUMBER(SEARCH("LAMINA",INVENTARIO!C163)),ISNUMBER(SEARCH("LÁMINA",INVENTARIO!C163)),ISNUMBER(SEARCH("LAMPARAS",INVENTARIO!C163))),"LAM",
IF(ISNUMBER(SEARCH("ESTIRENO",INVENTARIO!C163)),"EST",
IF(ISNUMBER(SEARCH("FOAMBOARD",INVENTARIO!C163)),"FOA",
IF(ISNUMBER(SEARCH("SOLVENTE",INVENTARIO!C163)),"SOL",
IF(ISNUMBER(SEARCH("TINTA",INVENTARIO!C163)),"TIN",
IF(ISNUMBER(SEARCH("ACRILICO",INVENTARIO!C163)),"ACR",
IF(ISNUMBER(SEARCH("MICROLED",INVENTARIO!C163)),"MIC",
IF(ISNUMBER(SEARCH("LED",INVENTARIO!C163)),"LED",
IF(ISNUMBER(SEARCH("FUENTE DE PODER",INVENTARIO!C163)),"FUE-POD",
IF(ISNUMBER(SEARCH("PETG",INVENTARIO!C163)),"PET",
IF(ISNUMBER(SEARCH("ALUMINIO",INVENTARIO!C163)),"ALU",
IF(ISNUMBER(SEARCH("CANAL",INVENTARIO!C163)),"CAN",
IF(ISNUMBER(SEARCH("ESCUADRA",INVENTARIO!C163)),"ESC",
IF(ISNUMBER(SEARCH("SOPORTE",INVENTARIO!C163)),"SOP","OTR")
))))))))))))))))))))))))))))))</f>
        <v>VIN</v>
      </c>
      <c r="B163" t="str">
        <f>IF(ISNUMBER(SEARCH("CORTE",INVENTARIO!C163)),"COR",
IF(ISNUMBER(SEARCH("CITYLIGHT",INVENTARIO!C163)),"CIT",
IF(ISNUMBER(SEARCH("LINO",INVENTARIO!C163)),"LIN",
IF(ISNUMBER(SEARCH("FABRIANO",INVENTARIO!C163)),"FAB",
IF(ISNUMBER(SEARCH("SUNDANCE",INVENTARIO!C163)),"SUN",
IF(ISNUMBER(SEARCH("SINTETICA",INVENTARIO!C163)),"SIN",
IF(ISNUMBER(SEARCH("CONTROL",INVENTARIO!C163)),"CON",
IF(ISNUMBER(SEARCH("TERMICO",INVENTARIO!C163)),"TER",
IF(ISNUMBER(SEARCH("C-15",INVENTARIO!C163)),"C15",
IF(ISNUMBER(SEARCH("C-20",INVENTARIO!C163)),"C20",
IF(ISNUMBER(SEARCH("C-30",INVENTARIO!C163)),"C30",
IF(ISNUMBER(SEARCH("C-40",INVENTARIO!C163)),"C40",
IF(ISNUMBER(SEARCH("C-60",INVENTARIO!C163)),"C60",
IF(ISNUMBER(SEARCH("C-80",INVENTARIO!C163)),"C80",
IF(ISNUMBER(SEARCH("EQUIPO",INVENTARIO!C163)),"EQU",
IF(ISNUMBER(SEARCH("FLOOR",INVENTARIO!C163)),"FLO",
IF(ISNUMBER(SEARCH("CRISTAL",INVENTARIO!C163)),"CRI",
IF(ISNUMBER(SEARCH(" SULFATADA",INVENTARIO!C174)),"SUL",
IF(ISNUMBER(SEARCH("OPALINA",INVENTARIO!C163)),"OPA",
IF(ISNUMBER(SEARCH("ADHERIBLE",INVENTARIO!C163)),"ADH",
IF(ISNUMBER(SEARCH("MICRO",INVENTARIO!C163)),"MIC","")))))))))))))))))))))</f>
        <v>COR</v>
      </c>
      <c r="C163" t="str">
        <f>IF(ISNUMBER(SEARCH("PARED",INVENTARIO!C163)),"PAR",
IF(ISNUMBER(SEARCH("FRONT",INVENTARIO!C163)),"FRO",
IF(ISNUMBER(SEARCH("ALTA RESISTENCIA",INVENTARIO!C163)),
"ALT-RES",IF(ISNUMBER(SEARCH("BACKLITE",INVENTARIO!C163)),"BAC",
IF(ISNUMBER(SEARCH("MATE",INVENTARIO!C163)),"MAT",
IF(ISNUMBER(SEARCH("MESH",INVENTARIO!C163)),"MES",
IF(ISNUMBER(SEARCH("BRILLANTE",INVENTARIO!C163)),"BRI",
IF(ISNUMBER(SEARCH("DELGADA",INVENTARIO!C163)),"DEL",
IF(ISNUMBER(SEARCH("GRUESA",INVENTARIO!C163)),"GRU",
IF(ISNUMBER(SEARCH("ESTATICO",INVENTARIO!C163)),"EST",
IF(ISNUMBER(SEARCH("REFLECTIVO",INVENTARIO!C163)),"REF",
IF(ISNUMBER(SEARCH("LX700",INVENTARIO!C163)),"LX7",
IF(ISNUMBER(SEARCH("GRANDO",INVENTARIO!C163)),"GRA",
IF(ISNUMBER(SEARCH("FB700",INVENTARIO!C163)),"FB7",
IF(ISNUMBER(SEARCH("LX360",INVENTARIO!C163)),"LX3",
IF(ISNUMBER(SEARCH("XEROX",INVENTARIO!C163)),"XER",
IF(ISNUMBER(SEARCH("CEPILLADO",INVENTARIO!C163)),"CEP",
IF(ISNUMBER(SEARCH("ESPEJO",INVENTARIO!C163)),"ESP",
IF(ISNUMBER(SEARCH("10 PTS",INVENTARIO!C163)),"10PT",
IF(ISNUMBER(SEARCH("12 PTS",INVENTARIO!C163)),"12PT",
IF(ISNUMBER(SEARCH("14 PTS",INVENTARIO!C163)),"14PT",
IF(ISNUMBER(SEARCH("CLASICO",INVENTARIO!C163)),"CLA",
""))))))))))))))))))))))</f>
        <v/>
      </c>
      <c r="D163" t="str">
        <f>IF(ISNUMBER(SEARCH("GRAN FORMATO",INVENTARIO!C163)),"GRA-FOR",
IF(ISNUMBER(SEARCH("CAMA PLANA",INVENTARIO!C163)),"CAM-PLA",
IF(ISNUMBER(SEARCH("GRADO INGENIERIA",INVENTARIO!C163)),"GRA-ING",
IF(ISNUMBER(SEARCH("130 GRS",INVENTARIO!C163)),"130GR",
IF(ISNUMBER(SEARCH("150 GRS",INVENTARIO!C163)),"150GR",
IF(ISNUMBER(SEARCH("185 GRS",INVENTARIO!C163)),"185GR",
IF(ISNUMBER(SEARCH("200 GRS",INVENTARIO!C163)),"200GR",
IF(ISNUMBER(SEARCH("250 GRS",INVENTARIO!C163)),"250GR",
IF(ISNUMBER(SEARCH("300 GRS",INVENTARIO!C163)),"300GR",
IF(ISNUMBER(SEARCH("350 GRS",INVENTARIO!C163)),"350GR",
IF(ISNUMBER(SEARCH("18 OZ",INVENTARIO!C163)),"18OZ",
IF(ISNUMBER(SEARCH("15 OZ",INVENTARIO!C163)),"15OZ",
IF(OR(ISNUMBER(SEARCH("13 OZ",INVENTARIO!C163)),ISNUMBER(SEARCH("13 ONZAS",INVENTARIO!C163))),"13OZ",
IF(OR(ISNUMBER(SEARCH("9 OZ",INVENTARIO!C163)),ISNUMBER(SEARCH("9 ONZAS",INVENTARIO!C163))),"09OZ",
IF(ISNUMBER(SEARCH("DOBLE CARA",INVENTARIO!C163)),"DOB-CAR",
"")))))))))))))))</f>
        <v/>
      </c>
      <c r="E163" t="str">
        <f>IF(OR(ISNUMBER(SEARCH("TRANSPARENTE",INVENTARIO!C163)),ISNUMBER(SEARCH("TRANSPARENTES",INVENTARIO!C163))),"TRA",
IF(OR(ISNUMBER(SEARCH("BLANCO",INVENTARIO!C163)),ISNUMBER(SEARCH("BCO",INVENTARIO!C163))),"BLA",
IF(ISNUMBER(SEARCH("FOTOGRAFICO",INVENTARIO!C163)),"FOT",
IF(ISNUMBER(SEARCH("MARFIL",INVENTARIO!C163)),"MAR",
IF(ISNUMBER(SEARCH("VERDE",INVENTARIO!C163)),"VER",
IF(ISNUMBER(SEARCH("MORADO",INVENTARIO!C163)),"MOR",
IF(ISNUMBER(SEARCH("PLATA",INVENTARIO!C163)),"PLA",
IF(ISNUMBER(SEARCH("ORO",INVENTARIO!C163)),"ORO",
IF(ISNUMBER(SEARCH("AMARILLO",INVENTARIO!C163)),"AMA",
IF(ISNUMBER(SEARCH("NARANJA",INVENTARIO!C163)),"NAR",
IF(ISNUMBER(SEARCH("NEGRO",INVENTARIO!C163)),"NEG",
IF(ISNUMBER(SEARCH("ROJO",INVENTARIO!C163)),"ROJ",
IF(ISNUMBER(SEARCH("AZUL",INVENTARIO!C163)),"AZU","")))))))))))))</f>
        <v/>
      </c>
      <c r="F163" t="str">
        <f>IF(ISNUMBER(SEARCH("ARLON",INVENTARIO!C163)),"ARL",
IF(ISNUMBER(SEARCH("SUNTHINKS",INVENTARIO!C163)),"SUN",
IF(ISNUMBER(SEARCH("FRIO",INVENTARIO!C163)),"FRI",
IF(ISNUMBER(SEARCH("CALIDO",INVENTARIO!C163)),"CAL",
IF(ISNUMBER(SEARCH("CEPILLADO",INVENTARIO!C163)),"CEP",
IF(ISNUMBER(SEARCH("ESPEJO",INVENTARIO!C163)),"ESP",
""))))))</f>
        <v/>
      </c>
      <c r="G163" t="str">
        <f>IF(ISNUMBER(SEARCH("LATEX",INVENTARIO!C163)),"LAT",
IF(ISNUMBER(SEARCH("RESP. NEGRO",INVENTARIO!C163)),"RES-NEG",
IF(ISNUMBER(SEARCH("RESPALDO CAFE",INVENTARIO!C163)),"RES-CAF",
IF(ISNUMBER(SEARCH("RESPALDO GRIS",INVENTARIO!C163)),"RES-GRI",
IF(ISNUMBER(SEARCH("OPTICO",INVENTARIO!C163)),"OPT",
IF(ISNUMBER(SEARCH("1,2 MM",INVENTARIO!C163)),"1MM2",
IF(ISNUMBER(SEARCH("2 MM",INVENTARIO!C163)),"2MM",
IF(ISNUMBER(SEARCH("3 MM",INVENTARIO!C163)),"3MM",
IF(ISNUMBER(SEARCH("4 MM",INVENTARIO!C163)),"4MM",
IF(ISNUMBER(SEARCH("5 MM",INVENTARIO!C163)),"5MM",
IF(ISNUMBER(SEARCH("6 MM",INVENTARIO!C163)),"6MM",
IF(ISNUMBER(SEARCH("9 MM",INVENTARIO!C163)),"9MM",
IF(ISNUMBER(SEARCH("10 MM",INVENTARIO!C163)),"10MM","")))))))))))))</f>
        <v/>
      </c>
      <c r="H163" t="str">
        <f>IF(ISNUMBER(SEARCH("GAMA BAJA",INVENTARIO!C163)),"GAM-BAJ",
IF(ISNUMBER(SEARCH("OPTIMIZADOR",INVENTARIO!C163)),"OPT",
IF(ISNUMBER(SEARCH("OVERCOAT",INVENTARIO!C163)),"OVE",
IF(ISNUMBER(SEARCH("WHITE",INVENTARIO!C163)),"WHI",
IF(ISNUMBER(SEARCH("LIGHT CYAN",INVENTARIO!C163)),"LIG-CYA",
IF(ISNUMBER(SEARCH("CYAN",INVENTARIO!C163)),"CYA",
IF(ISNUMBER(SEARCH("LIGHT MAGENTA",INVENTARIO!C163)),"LIG-MAG",
IF(ISNUMBER(SEARCH("MAGENTA",INVENTARIO!C163)),"MAG",
IF(ISNUMBER(SEARCH("BLACK",INVENTARIO!C163)),"BLA",
IF(ISNUMBER(SEARCH("YELLOW",INVENTARIO!C163)),"YEL",
IF(ISNUMBER(SEARCH("2 DIODOS",INVENTARIO!C163)),"2DI",
IF(ISNUMBER(SEARCH("3 DIODOS",INVENTARIO!C163)),"3DI",
IF(OR(ISNUMBER(SEARCH("TRASLUCIDO",INVENTARIO!C163)),ISNUMBER(SEARCH("TRANSLUCIDO",INVENTARIO!C163))),"TRA",
"")))))))))))))</f>
        <v/>
      </c>
      <c r="I16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4" spans="1:9">
      <c r="A164" t="str">
        <f>IF(ISNUMBER(SEARCH("LONA",INVENTARIO!C164)),"LON",
IF(ISNUMBER(SEARCH("VINIL",INVENTARIO!C164)),"VIN",
IF(ISNUMBER(SEARCH("KROMACOTE",INVENTARIO!C164)),"KRO",
IF(ISNUMBER(SEARCH("STARDREAM",INVENTARIO!C164)),"STA",
IF(ISNUMBER(SEARCH("DISPLAY",INVENTARIO!C164)),"DIS",
IF(ISNUMBER(SEARCH("ROLL UP",INVENTARIO!C164)),"ROL-UP",
IF(ISNUMBER(SEARCH("TRANSFER DE PAPEL",INVENTARIO!C164)),"TRA-PAP",
IF(ISNUMBER(SEARCH("TRANSFER",INVENTARIO!C164)),"TRA",IF(ISNUMBER(SEARCH("KOLA LOKA",INVENTARIO!C164)),"KOL-LOK",
IF(ISNUMBER(SEARCH("PETG",INVENTARIO!C164)),"PET",
IF(ISNUMBER(SEARCH("OJILLO",INVENTARIO!C164)),"OJI",
IF(ISNUMBER(SEARCH("COUCHE",INVENTARIO!C164)),"COU",
IF(ISNUMBER(SEARCH("PANEL DE ALUMINIO",INVENTARIO!C164)),"PAN-ALU",
IF(ISNUMBER(SEARCH("PVC",INVENTARIO!C164)),"PVC",
IF(ISNUMBER(SEARCH("PAPEL",INVENTARIO!C164)),"PAP",
IF(ISNUMBER(SEARCH("TELA",INVENTARIO!C164)),"TEL",
IF(ISNUMBER(SEARCH("CARTULINA",INVENTARIO!C164)),"CAR",
IF(OR(ISNUMBER(SEARCH("LAMINA",INVENTARIO!C164)),ISNUMBER(SEARCH("LÁMINA",INVENTARIO!C164)),ISNUMBER(SEARCH("LAMPARAS",INVENTARIO!C164))),"LAM",
IF(ISNUMBER(SEARCH("ESTIRENO",INVENTARIO!C164)),"EST",
IF(ISNUMBER(SEARCH("FOAMBOARD",INVENTARIO!C164)),"FOA",
IF(ISNUMBER(SEARCH("SOLVENTE",INVENTARIO!C164)),"SOL",
IF(ISNUMBER(SEARCH("TINTA",INVENTARIO!C164)),"TIN",
IF(ISNUMBER(SEARCH("ACRILICO",INVENTARIO!C164)),"ACR",
IF(ISNUMBER(SEARCH("MICROLED",INVENTARIO!C164)),"MIC",
IF(ISNUMBER(SEARCH("LED",INVENTARIO!C164)),"LED",
IF(ISNUMBER(SEARCH("FUENTE DE PODER",INVENTARIO!C164)),"FUE-POD",
IF(ISNUMBER(SEARCH("PETG",INVENTARIO!C164)),"PET",
IF(ISNUMBER(SEARCH("ALUMINIO",INVENTARIO!C164)),"ALU",
IF(ISNUMBER(SEARCH("CANAL",INVENTARIO!C164)),"CAN",
IF(ISNUMBER(SEARCH("ESCUADRA",INVENTARIO!C164)),"ESC",
IF(ISNUMBER(SEARCH("SOPORTE",INVENTARIO!C164)),"SOP","OTR")
))))))))))))))))))))))))))))))</f>
        <v>VIN</v>
      </c>
      <c r="B164" t="str">
        <f>IF(ISNUMBER(SEARCH("CORTE",INVENTARIO!C164)),"COR",
IF(ISNUMBER(SEARCH("CITYLIGHT",INVENTARIO!C164)),"CIT",
IF(ISNUMBER(SEARCH("LINO",INVENTARIO!C164)),"LIN",
IF(ISNUMBER(SEARCH("FABRIANO",INVENTARIO!C164)),"FAB",
IF(ISNUMBER(SEARCH("SUNDANCE",INVENTARIO!C164)),"SUN",
IF(ISNUMBER(SEARCH("SINTETICA",INVENTARIO!C164)),"SIN",
IF(ISNUMBER(SEARCH("CONTROL",INVENTARIO!C164)),"CON",
IF(ISNUMBER(SEARCH("TERMICO",INVENTARIO!C164)),"TER",
IF(ISNUMBER(SEARCH("C-15",INVENTARIO!C164)),"C15",
IF(ISNUMBER(SEARCH("C-20",INVENTARIO!C164)),"C20",
IF(ISNUMBER(SEARCH("C-30",INVENTARIO!C164)),"C30",
IF(ISNUMBER(SEARCH("C-40",INVENTARIO!C164)),"C40",
IF(ISNUMBER(SEARCH("C-60",INVENTARIO!C164)),"C60",
IF(ISNUMBER(SEARCH("C-80",INVENTARIO!C164)),"C80",
IF(ISNUMBER(SEARCH("EQUIPO",INVENTARIO!C164)),"EQU",
IF(ISNUMBER(SEARCH("FLOOR",INVENTARIO!C164)),"FLO",
IF(ISNUMBER(SEARCH("CRISTAL",INVENTARIO!C164)),"CRI",
IF(ISNUMBER(SEARCH(" SULFATADA",INVENTARIO!C175)),"SUL",
IF(ISNUMBER(SEARCH("OPALINA",INVENTARIO!C164)),"OPA",
IF(ISNUMBER(SEARCH("ADHERIBLE",INVENTARIO!C164)),"ADH",
IF(ISNUMBER(SEARCH("MICRO",INVENTARIO!C164)),"MIC","")))))))))))))))))))))</f>
        <v>COR</v>
      </c>
      <c r="C164" t="str">
        <f>IF(ISNUMBER(SEARCH("PARED",INVENTARIO!C164)),"PAR",
IF(ISNUMBER(SEARCH("FRONT",INVENTARIO!C164)),"FRO",
IF(ISNUMBER(SEARCH("ALTA RESISTENCIA",INVENTARIO!C164)),
"ALT-RES",IF(ISNUMBER(SEARCH("BACKLITE",INVENTARIO!C164)),"BAC",
IF(ISNUMBER(SEARCH("MATE",INVENTARIO!C164)),"MAT",
IF(ISNUMBER(SEARCH("MESH",INVENTARIO!C164)),"MES",
IF(ISNUMBER(SEARCH("BRILLANTE",INVENTARIO!C164)),"BRI",
IF(ISNUMBER(SEARCH("DELGADA",INVENTARIO!C164)),"DEL",
IF(ISNUMBER(SEARCH("GRUESA",INVENTARIO!C164)),"GRU",
IF(ISNUMBER(SEARCH("ESTATICO",INVENTARIO!C164)),"EST",
IF(ISNUMBER(SEARCH("REFLECTIVO",INVENTARIO!C164)),"REF",
IF(ISNUMBER(SEARCH("LX700",INVENTARIO!C164)),"LX7",
IF(ISNUMBER(SEARCH("GRANDO",INVENTARIO!C164)),"GRA",
IF(ISNUMBER(SEARCH("FB700",INVENTARIO!C164)),"FB7",
IF(ISNUMBER(SEARCH("LX360",INVENTARIO!C164)),"LX3",
IF(ISNUMBER(SEARCH("XEROX",INVENTARIO!C164)),"XER",
IF(ISNUMBER(SEARCH("CEPILLADO",INVENTARIO!C164)),"CEP",
IF(ISNUMBER(SEARCH("ESPEJO",INVENTARIO!C164)),"ESP",
IF(ISNUMBER(SEARCH("10 PTS",INVENTARIO!C164)),"10PT",
IF(ISNUMBER(SEARCH("12 PTS",INVENTARIO!C164)),"12PT",
IF(ISNUMBER(SEARCH("14 PTS",INVENTARIO!C164)),"14PT",
IF(ISNUMBER(SEARCH("CLASICO",INVENTARIO!C164)),"CLA",
""))))))))))))))))))))))</f>
        <v/>
      </c>
      <c r="D164" t="str">
        <f>IF(ISNUMBER(SEARCH("GRAN FORMATO",INVENTARIO!C164)),"GRA-FOR",
IF(ISNUMBER(SEARCH("CAMA PLANA",INVENTARIO!C164)),"CAM-PLA",
IF(ISNUMBER(SEARCH("GRADO INGENIERIA",INVENTARIO!C164)),"GRA-ING",
IF(ISNUMBER(SEARCH("130 GRS",INVENTARIO!C164)),"130GR",
IF(ISNUMBER(SEARCH("150 GRS",INVENTARIO!C164)),"150GR",
IF(ISNUMBER(SEARCH("185 GRS",INVENTARIO!C164)),"185GR",
IF(ISNUMBER(SEARCH("200 GRS",INVENTARIO!C164)),"200GR",
IF(ISNUMBER(SEARCH("250 GRS",INVENTARIO!C164)),"250GR",
IF(ISNUMBER(SEARCH("300 GRS",INVENTARIO!C164)),"300GR",
IF(ISNUMBER(SEARCH("350 GRS",INVENTARIO!C164)),"350GR",
IF(ISNUMBER(SEARCH("18 OZ",INVENTARIO!C164)),"18OZ",
IF(ISNUMBER(SEARCH("15 OZ",INVENTARIO!C164)),"15OZ",
IF(OR(ISNUMBER(SEARCH("13 OZ",INVENTARIO!C164)),ISNUMBER(SEARCH("13 ONZAS",INVENTARIO!C164))),"13OZ",
IF(OR(ISNUMBER(SEARCH("9 OZ",INVENTARIO!C164)),ISNUMBER(SEARCH("9 ONZAS",INVENTARIO!C164))),"09OZ",
IF(ISNUMBER(SEARCH("DOBLE CARA",INVENTARIO!C164)),"DOB-CAR",
"")))))))))))))))</f>
        <v/>
      </c>
      <c r="E164" t="str">
        <f>IF(OR(ISNUMBER(SEARCH("TRANSPARENTE",INVENTARIO!C164)),ISNUMBER(SEARCH("TRANSPARENTES",INVENTARIO!C164))),"TRA",
IF(OR(ISNUMBER(SEARCH("BLANCO",INVENTARIO!C164)),ISNUMBER(SEARCH("BCO",INVENTARIO!C164))),"BLA",
IF(ISNUMBER(SEARCH("FOTOGRAFICO",INVENTARIO!C164)),"FOT",
IF(ISNUMBER(SEARCH("MARFIL",INVENTARIO!C164)),"MAR",
IF(ISNUMBER(SEARCH("VERDE",INVENTARIO!C164)),"VER",
IF(ISNUMBER(SEARCH("MORADO",INVENTARIO!C164)),"MOR",
IF(ISNUMBER(SEARCH("PLATA",INVENTARIO!C164)),"PLA",
IF(ISNUMBER(SEARCH("ORO",INVENTARIO!C164)),"ORO",
IF(ISNUMBER(SEARCH("AMARILLO",INVENTARIO!C164)),"AMA",
IF(ISNUMBER(SEARCH("NARANJA",INVENTARIO!C164)),"NAR",
IF(ISNUMBER(SEARCH("NEGRO",INVENTARIO!C164)),"NEG",
IF(ISNUMBER(SEARCH("ROJO",INVENTARIO!C164)),"ROJ",
IF(ISNUMBER(SEARCH("AZUL",INVENTARIO!C164)),"AZU","")))))))))))))</f>
        <v/>
      </c>
      <c r="F164" t="str">
        <f>IF(ISNUMBER(SEARCH("ARLON",INVENTARIO!C164)),"ARL",
IF(ISNUMBER(SEARCH("SUNTHINKS",INVENTARIO!C164)),"SUN",
IF(ISNUMBER(SEARCH("FRIO",INVENTARIO!C164)),"FRI",
IF(ISNUMBER(SEARCH("CALIDO",INVENTARIO!C164)),"CAL",
IF(ISNUMBER(SEARCH("CEPILLADO",INVENTARIO!C164)),"CEP",
IF(ISNUMBER(SEARCH("ESPEJO",INVENTARIO!C164)),"ESP",
""))))))</f>
        <v/>
      </c>
      <c r="G164" t="str">
        <f>IF(ISNUMBER(SEARCH("LATEX",INVENTARIO!C164)),"LAT",
IF(ISNUMBER(SEARCH("RESP. NEGRO",INVENTARIO!C164)),"RES-NEG",
IF(ISNUMBER(SEARCH("RESPALDO CAFE",INVENTARIO!C164)),"RES-CAF",
IF(ISNUMBER(SEARCH("RESPALDO GRIS",INVENTARIO!C164)),"RES-GRI",
IF(ISNUMBER(SEARCH("OPTICO",INVENTARIO!C164)),"OPT",
IF(ISNUMBER(SEARCH("1,2 MM",INVENTARIO!C164)),"1MM2",
IF(ISNUMBER(SEARCH("2 MM",INVENTARIO!C164)),"2MM",
IF(ISNUMBER(SEARCH("3 MM",INVENTARIO!C164)),"3MM",
IF(ISNUMBER(SEARCH("4 MM",INVENTARIO!C164)),"4MM",
IF(ISNUMBER(SEARCH("5 MM",INVENTARIO!C164)),"5MM",
IF(ISNUMBER(SEARCH("6 MM",INVENTARIO!C164)),"6MM",
IF(ISNUMBER(SEARCH("9 MM",INVENTARIO!C164)),"9MM",
IF(ISNUMBER(SEARCH("10 MM",INVENTARIO!C164)),"10MM","")))))))))))))</f>
        <v/>
      </c>
      <c r="H164" t="str">
        <f>IF(ISNUMBER(SEARCH("GAMA BAJA",INVENTARIO!C164)),"GAM-BAJ",
IF(ISNUMBER(SEARCH("OPTIMIZADOR",INVENTARIO!C164)),"OPT",
IF(ISNUMBER(SEARCH("OVERCOAT",INVENTARIO!C164)),"OVE",
IF(ISNUMBER(SEARCH("WHITE",INVENTARIO!C164)),"WHI",
IF(ISNUMBER(SEARCH("LIGHT CYAN",INVENTARIO!C164)),"LIG-CYA",
IF(ISNUMBER(SEARCH("CYAN",INVENTARIO!C164)),"CYA",
IF(ISNUMBER(SEARCH("LIGHT MAGENTA",INVENTARIO!C164)),"LIG-MAG",
IF(ISNUMBER(SEARCH("MAGENTA",INVENTARIO!C164)),"MAG",
IF(ISNUMBER(SEARCH("BLACK",INVENTARIO!C164)),"BLA",
IF(ISNUMBER(SEARCH("YELLOW",INVENTARIO!C164)),"YEL",
IF(ISNUMBER(SEARCH("2 DIODOS",INVENTARIO!C164)),"2DI",
IF(ISNUMBER(SEARCH("3 DIODOS",INVENTARIO!C164)),"3DI",
IF(OR(ISNUMBER(SEARCH("TRASLUCIDO",INVENTARIO!C164)),ISNUMBER(SEARCH("TRANSLUCIDO",INVENTARIO!C164))),"TRA",
"")))))))))))))</f>
        <v/>
      </c>
      <c r="I16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5" spans="1:9">
      <c r="A165" t="str">
        <f>IF(ISNUMBER(SEARCH("LONA",INVENTARIO!C165)),"LON",
IF(ISNUMBER(SEARCH("VINIL",INVENTARIO!C165)),"VIN",
IF(ISNUMBER(SEARCH("KROMACOTE",INVENTARIO!C165)),"KRO",
IF(ISNUMBER(SEARCH("STARDREAM",INVENTARIO!C165)),"STA",
IF(ISNUMBER(SEARCH("DISPLAY",INVENTARIO!C165)),"DIS",
IF(ISNUMBER(SEARCH("ROLL UP",INVENTARIO!C165)),"ROL-UP",
IF(ISNUMBER(SEARCH("TRANSFER DE PAPEL",INVENTARIO!C165)),"TRA-PAP",
IF(ISNUMBER(SEARCH("TRANSFER",INVENTARIO!C165)),"TRA",IF(ISNUMBER(SEARCH("KOLA LOKA",INVENTARIO!C165)),"KOL-LOK",
IF(ISNUMBER(SEARCH("PETG",INVENTARIO!C165)),"PET",
IF(ISNUMBER(SEARCH("OJILLO",INVENTARIO!C165)),"OJI",
IF(ISNUMBER(SEARCH("COUCHE",INVENTARIO!C165)),"COU",
IF(ISNUMBER(SEARCH("PANEL DE ALUMINIO",INVENTARIO!C165)),"PAN-ALU",
IF(ISNUMBER(SEARCH("PVC",INVENTARIO!C165)),"PVC",
IF(ISNUMBER(SEARCH("PAPEL",INVENTARIO!C165)),"PAP",
IF(ISNUMBER(SEARCH("TELA",INVENTARIO!C165)),"TEL",
IF(ISNUMBER(SEARCH("CARTULINA",INVENTARIO!C165)),"CAR",
IF(OR(ISNUMBER(SEARCH("LAMINA",INVENTARIO!C165)),ISNUMBER(SEARCH("LÁMINA",INVENTARIO!C165)),ISNUMBER(SEARCH("LAMPARAS",INVENTARIO!C165))),"LAM",
IF(ISNUMBER(SEARCH("ESTIRENO",INVENTARIO!C165)),"EST",
IF(ISNUMBER(SEARCH("FOAMBOARD",INVENTARIO!C165)),"FOA",
IF(ISNUMBER(SEARCH("SOLVENTE",INVENTARIO!C165)),"SOL",
IF(ISNUMBER(SEARCH("TINTA",INVENTARIO!C165)),"TIN",
IF(ISNUMBER(SEARCH("ACRILICO",INVENTARIO!C165)),"ACR",
IF(ISNUMBER(SEARCH("MICROLED",INVENTARIO!C165)),"MIC",
IF(ISNUMBER(SEARCH("LED",INVENTARIO!C165)),"LED",
IF(ISNUMBER(SEARCH("FUENTE DE PODER",INVENTARIO!C165)),"FUE-POD",
IF(ISNUMBER(SEARCH("PETG",INVENTARIO!C165)),"PET",
IF(ISNUMBER(SEARCH("ALUMINIO",INVENTARIO!C165)),"ALU",
IF(ISNUMBER(SEARCH("CANAL",INVENTARIO!C165)),"CAN",
IF(ISNUMBER(SEARCH("ESCUADRA",INVENTARIO!C165)),"ESC",
IF(ISNUMBER(SEARCH("SOPORTE",INVENTARIO!C165)),"SOP","OTR")
))))))))))))))))))))))))))))))</f>
        <v>VIN</v>
      </c>
      <c r="B165" t="str">
        <f>IF(ISNUMBER(SEARCH("CORTE",INVENTARIO!C165)),"COR",
IF(ISNUMBER(SEARCH("CITYLIGHT",INVENTARIO!C165)),"CIT",
IF(ISNUMBER(SEARCH("LINO",INVENTARIO!C165)),"LIN",
IF(ISNUMBER(SEARCH("FABRIANO",INVENTARIO!C165)),"FAB",
IF(ISNUMBER(SEARCH("SUNDANCE",INVENTARIO!C165)),"SUN",
IF(ISNUMBER(SEARCH("SINTETICA",INVENTARIO!C165)),"SIN",
IF(ISNUMBER(SEARCH("CONTROL",INVENTARIO!C165)),"CON",
IF(ISNUMBER(SEARCH("TERMICO",INVENTARIO!C165)),"TER",
IF(ISNUMBER(SEARCH("C-15",INVENTARIO!C165)),"C15",
IF(ISNUMBER(SEARCH("C-20",INVENTARIO!C165)),"C20",
IF(ISNUMBER(SEARCH("C-30",INVENTARIO!C165)),"C30",
IF(ISNUMBER(SEARCH("C-40",INVENTARIO!C165)),"C40",
IF(ISNUMBER(SEARCH("C-60",INVENTARIO!C165)),"C60",
IF(ISNUMBER(SEARCH("C-80",INVENTARIO!C165)),"C80",
IF(ISNUMBER(SEARCH("EQUIPO",INVENTARIO!C165)),"EQU",
IF(ISNUMBER(SEARCH("FLOOR",INVENTARIO!C165)),"FLO",
IF(ISNUMBER(SEARCH("CRISTAL",INVENTARIO!C165)),"CRI",
IF(ISNUMBER(SEARCH(" SULFATADA",INVENTARIO!C176)),"SUL",
IF(ISNUMBER(SEARCH("OPALINA",INVENTARIO!C165)),"OPA",
IF(ISNUMBER(SEARCH("ADHERIBLE",INVENTARIO!C165)),"ADH",
IF(ISNUMBER(SEARCH("MICRO",INVENTARIO!C165)),"MIC","")))))))))))))))))))))</f>
        <v>COR</v>
      </c>
      <c r="C165" t="str">
        <f>IF(ISNUMBER(SEARCH("PARED",INVENTARIO!C165)),"PAR",
IF(ISNUMBER(SEARCH("FRONT",INVENTARIO!C165)),"FRO",
IF(ISNUMBER(SEARCH("ALTA RESISTENCIA",INVENTARIO!C165)),
"ALT-RES",IF(ISNUMBER(SEARCH("BACKLITE",INVENTARIO!C165)),"BAC",
IF(ISNUMBER(SEARCH("MATE",INVENTARIO!C165)),"MAT",
IF(ISNUMBER(SEARCH("MESH",INVENTARIO!C165)),"MES",
IF(ISNUMBER(SEARCH("BRILLANTE",INVENTARIO!C165)),"BRI",
IF(ISNUMBER(SEARCH("DELGADA",INVENTARIO!C165)),"DEL",
IF(ISNUMBER(SEARCH("GRUESA",INVENTARIO!C165)),"GRU",
IF(ISNUMBER(SEARCH("ESTATICO",INVENTARIO!C165)),"EST",
IF(ISNUMBER(SEARCH("REFLECTIVO",INVENTARIO!C165)),"REF",
IF(ISNUMBER(SEARCH("LX700",INVENTARIO!C165)),"LX7",
IF(ISNUMBER(SEARCH("GRANDO",INVENTARIO!C165)),"GRA",
IF(ISNUMBER(SEARCH("FB700",INVENTARIO!C165)),"FB7",
IF(ISNUMBER(SEARCH("LX360",INVENTARIO!C165)),"LX3",
IF(ISNUMBER(SEARCH("XEROX",INVENTARIO!C165)),"XER",
IF(ISNUMBER(SEARCH("CEPILLADO",INVENTARIO!C165)),"CEP",
IF(ISNUMBER(SEARCH("ESPEJO",INVENTARIO!C165)),"ESP",
IF(ISNUMBER(SEARCH("10 PTS",INVENTARIO!C165)),"10PT",
IF(ISNUMBER(SEARCH("12 PTS",INVENTARIO!C165)),"12PT",
IF(ISNUMBER(SEARCH("14 PTS",INVENTARIO!C165)),"14PT",
IF(ISNUMBER(SEARCH("CLASICO",INVENTARIO!C165)),"CLA",
""))))))))))))))))))))))</f>
        <v/>
      </c>
      <c r="D165" t="str">
        <f>IF(ISNUMBER(SEARCH("GRAN FORMATO",INVENTARIO!C165)),"GRA-FOR",
IF(ISNUMBER(SEARCH("CAMA PLANA",INVENTARIO!C165)),"CAM-PLA",
IF(ISNUMBER(SEARCH("GRADO INGENIERIA",INVENTARIO!C165)),"GRA-ING",
IF(ISNUMBER(SEARCH("130 GRS",INVENTARIO!C165)),"130GR",
IF(ISNUMBER(SEARCH("150 GRS",INVENTARIO!C165)),"150GR",
IF(ISNUMBER(SEARCH("185 GRS",INVENTARIO!C165)),"185GR",
IF(ISNUMBER(SEARCH("200 GRS",INVENTARIO!C165)),"200GR",
IF(ISNUMBER(SEARCH("250 GRS",INVENTARIO!C165)),"250GR",
IF(ISNUMBER(SEARCH("300 GRS",INVENTARIO!C165)),"300GR",
IF(ISNUMBER(SEARCH("350 GRS",INVENTARIO!C165)),"350GR",
IF(ISNUMBER(SEARCH("18 OZ",INVENTARIO!C165)),"18OZ",
IF(ISNUMBER(SEARCH("15 OZ",INVENTARIO!C165)),"15OZ",
IF(OR(ISNUMBER(SEARCH("13 OZ",INVENTARIO!C165)),ISNUMBER(SEARCH("13 ONZAS",INVENTARIO!C165))),"13OZ",
IF(OR(ISNUMBER(SEARCH("9 OZ",INVENTARIO!C165)),ISNUMBER(SEARCH("9 ONZAS",INVENTARIO!C165))),"09OZ",
IF(ISNUMBER(SEARCH("DOBLE CARA",INVENTARIO!C165)),"DOB-CAR",
"")))))))))))))))</f>
        <v/>
      </c>
      <c r="E165" t="str">
        <f>IF(OR(ISNUMBER(SEARCH("TRANSPARENTE",INVENTARIO!C165)),ISNUMBER(SEARCH("TRANSPARENTES",INVENTARIO!C165))),"TRA",
IF(OR(ISNUMBER(SEARCH("BLANCO",INVENTARIO!C165)),ISNUMBER(SEARCH("BCO",INVENTARIO!C165))),"BLA",
IF(ISNUMBER(SEARCH("FOTOGRAFICO",INVENTARIO!C165)),"FOT",
IF(ISNUMBER(SEARCH("MARFIL",INVENTARIO!C165)),"MAR",
IF(ISNUMBER(SEARCH("VERDE",INVENTARIO!C165)),"VER",
IF(ISNUMBER(SEARCH("MORADO",INVENTARIO!C165)),"MOR",
IF(ISNUMBER(SEARCH("PLATA",INVENTARIO!C165)),"PLA",
IF(ISNUMBER(SEARCH("ORO",INVENTARIO!C165)),"ORO",
IF(ISNUMBER(SEARCH("AMARILLO",INVENTARIO!C165)),"AMA",
IF(ISNUMBER(SEARCH("NARANJA",INVENTARIO!C165)),"NAR",
IF(ISNUMBER(SEARCH("NEGRO",INVENTARIO!C165)),"NEG",
IF(ISNUMBER(SEARCH("ROJO",INVENTARIO!C165)),"ROJ",
IF(ISNUMBER(SEARCH("AZUL",INVENTARIO!C165)),"AZU","")))))))))))))</f>
        <v/>
      </c>
      <c r="F165" t="str">
        <f>IF(ISNUMBER(SEARCH("ARLON",INVENTARIO!C165)),"ARL",
IF(ISNUMBER(SEARCH("SUNTHINKS",INVENTARIO!C165)),"SUN",
IF(ISNUMBER(SEARCH("FRIO",INVENTARIO!C165)),"FRI",
IF(ISNUMBER(SEARCH("CALIDO",INVENTARIO!C165)),"CAL",
IF(ISNUMBER(SEARCH("CEPILLADO",INVENTARIO!C165)),"CEP",
IF(ISNUMBER(SEARCH("ESPEJO",INVENTARIO!C165)),"ESP",
""))))))</f>
        <v/>
      </c>
      <c r="G165" t="str">
        <f>IF(ISNUMBER(SEARCH("LATEX",INVENTARIO!C165)),"LAT",
IF(ISNUMBER(SEARCH("RESP. NEGRO",INVENTARIO!C165)),"RES-NEG",
IF(ISNUMBER(SEARCH("RESPALDO CAFE",INVENTARIO!C165)),"RES-CAF",
IF(ISNUMBER(SEARCH("RESPALDO GRIS",INVENTARIO!C165)),"RES-GRI",
IF(ISNUMBER(SEARCH("OPTICO",INVENTARIO!C165)),"OPT",
IF(ISNUMBER(SEARCH("1,2 MM",INVENTARIO!C165)),"1MM2",
IF(ISNUMBER(SEARCH("2 MM",INVENTARIO!C165)),"2MM",
IF(ISNUMBER(SEARCH("3 MM",INVENTARIO!C165)),"3MM",
IF(ISNUMBER(SEARCH("4 MM",INVENTARIO!C165)),"4MM",
IF(ISNUMBER(SEARCH("5 MM",INVENTARIO!C165)),"5MM",
IF(ISNUMBER(SEARCH("6 MM",INVENTARIO!C165)),"6MM",
IF(ISNUMBER(SEARCH("9 MM",INVENTARIO!C165)),"9MM",
IF(ISNUMBER(SEARCH("10 MM",INVENTARIO!C165)),"10MM","")))))))))))))</f>
        <v/>
      </c>
      <c r="H165" t="str">
        <f>IF(ISNUMBER(SEARCH("GAMA BAJA",INVENTARIO!C165)),"GAM-BAJ",
IF(ISNUMBER(SEARCH("OPTIMIZADOR",INVENTARIO!C165)),"OPT",
IF(ISNUMBER(SEARCH("OVERCOAT",INVENTARIO!C165)),"OVE",
IF(ISNUMBER(SEARCH("WHITE",INVENTARIO!C165)),"WHI",
IF(ISNUMBER(SEARCH("LIGHT CYAN",INVENTARIO!C165)),"LIG-CYA",
IF(ISNUMBER(SEARCH("CYAN",INVENTARIO!C165)),"CYA",
IF(ISNUMBER(SEARCH("LIGHT MAGENTA",INVENTARIO!C165)),"LIG-MAG",
IF(ISNUMBER(SEARCH("MAGENTA",INVENTARIO!C165)),"MAG",
IF(ISNUMBER(SEARCH("BLACK",INVENTARIO!C165)),"BLA",
IF(ISNUMBER(SEARCH("YELLOW",INVENTARIO!C165)),"YEL",
IF(ISNUMBER(SEARCH("2 DIODOS",INVENTARIO!C165)),"2DI",
IF(ISNUMBER(SEARCH("3 DIODOS",INVENTARIO!C165)),"3DI",
IF(OR(ISNUMBER(SEARCH("TRASLUCIDO",INVENTARIO!C165)),ISNUMBER(SEARCH("TRANSLUCIDO",INVENTARIO!C165))),"TRA",
"")))))))))))))</f>
        <v/>
      </c>
      <c r="I16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66" spans="1:9">
      <c r="A166" t="str">
        <f>IF(ISNUMBER(SEARCH("LONA",INVENTARIO!C166)),"LON",
IF(ISNUMBER(SEARCH("VINIL",INVENTARIO!C166)),"VIN",
IF(ISNUMBER(SEARCH("KROMACOTE",INVENTARIO!C166)),"KRO",
IF(ISNUMBER(SEARCH("STARDREAM",INVENTARIO!C166)),"STA",
IF(ISNUMBER(SEARCH("DISPLAY",INVENTARIO!C166)),"DIS",
IF(ISNUMBER(SEARCH("ROLL UP",INVENTARIO!C166)),"ROL-UP",
IF(ISNUMBER(SEARCH("TRANSFER DE PAPEL",INVENTARIO!C166)),"TRA-PAP",
IF(ISNUMBER(SEARCH("TRANSFER",INVENTARIO!C166)),"TRA",IF(ISNUMBER(SEARCH("KOLA LOKA",INVENTARIO!C166)),"KOL-LOK",
IF(ISNUMBER(SEARCH("PETG",INVENTARIO!C166)),"PET",
IF(ISNUMBER(SEARCH("OJILLO",INVENTARIO!C166)),"OJI",
IF(ISNUMBER(SEARCH("COUCHE",INVENTARIO!C166)),"COU",
IF(ISNUMBER(SEARCH("PANEL DE ALUMINIO",INVENTARIO!C166)),"PAN-ALU",
IF(ISNUMBER(SEARCH("PVC",INVENTARIO!C166)),"PVC",
IF(ISNUMBER(SEARCH("PAPEL",INVENTARIO!C166)),"PAP",
IF(ISNUMBER(SEARCH("TELA",INVENTARIO!C166)),"TEL",
IF(ISNUMBER(SEARCH("CARTULINA",INVENTARIO!C166)),"CAR",
IF(OR(ISNUMBER(SEARCH("LAMINA",INVENTARIO!C166)),ISNUMBER(SEARCH("LÁMINA",INVENTARIO!C166)),ISNUMBER(SEARCH("LAMPARAS",INVENTARIO!C166))),"LAM",
IF(ISNUMBER(SEARCH("ESTIRENO",INVENTARIO!C166)),"EST",
IF(ISNUMBER(SEARCH("FOAMBOARD",INVENTARIO!C166)),"FOA",
IF(ISNUMBER(SEARCH("SOLVENTE",INVENTARIO!C166)),"SOL",
IF(ISNUMBER(SEARCH("TINTA",INVENTARIO!C166)),"TIN",
IF(ISNUMBER(SEARCH("ACRILICO",INVENTARIO!C166)),"ACR",
IF(ISNUMBER(SEARCH("MICROLED",INVENTARIO!C166)),"MIC",
IF(ISNUMBER(SEARCH("LED",INVENTARIO!C166)),"LED",
IF(ISNUMBER(SEARCH("FUENTE DE PODER",INVENTARIO!C166)),"FUE-POD",
IF(ISNUMBER(SEARCH("PETG",INVENTARIO!C166)),"PET",
IF(ISNUMBER(SEARCH("ALUMINIO",INVENTARIO!C166)),"ALU",
IF(ISNUMBER(SEARCH("CANAL",INVENTARIO!C166)),"CAN",
IF(ISNUMBER(SEARCH("ESCUADRA",INVENTARIO!C166)),"ESC",
IF(ISNUMBER(SEARCH("SOPORTE",INVENTARIO!C166)),"SOP","OTR")
))))))))))))))))))))))))))))))</f>
        <v>VIN</v>
      </c>
      <c r="B166" t="str">
        <f>IF(ISNUMBER(SEARCH("CORTE",INVENTARIO!C166)),"COR",
IF(ISNUMBER(SEARCH("CITYLIGHT",INVENTARIO!C166)),"CIT",
IF(ISNUMBER(SEARCH("LINO",INVENTARIO!C166)),"LIN",
IF(ISNUMBER(SEARCH("FABRIANO",INVENTARIO!C166)),"FAB",
IF(ISNUMBER(SEARCH("SUNDANCE",INVENTARIO!C166)),"SUN",
IF(ISNUMBER(SEARCH("SINTETICA",INVENTARIO!C166)),"SIN",
IF(ISNUMBER(SEARCH("CONTROL",INVENTARIO!C166)),"CON",
IF(ISNUMBER(SEARCH("TERMICO",INVENTARIO!C166)),"TER",
IF(ISNUMBER(SEARCH("C-15",INVENTARIO!C166)),"C15",
IF(ISNUMBER(SEARCH("C-20",INVENTARIO!C166)),"C20",
IF(ISNUMBER(SEARCH("C-30",INVENTARIO!C166)),"C30",
IF(ISNUMBER(SEARCH("C-40",INVENTARIO!C166)),"C40",
IF(ISNUMBER(SEARCH("C-60",INVENTARIO!C166)),"C60",
IF(ISNUMBER(SEARCH("C-80",INVENTARIO!C166)),"C80",
IF(ISNUMBER(SEARCH("EQUIPO",INVENTARIO!C166)),"EQU",
IF(ISNUMBER(SEARCH("FLOOR",INVENTARIO!C166)),"FLO",
IF(ISNUMBER(SEARCH("CRISTAL",INVENTARIO!C166)),"CRI",
IF(ISNUMBER(SEARCH(" SULFATADA",INVENTARIO!C177)),"SUL",
IF(ISNUMBER(SEARCH("OPALINA",INVENTARIO!C166)),"OPA",
IF(ISNUMBER(SEARCH("ADHERIBLE",INVENTARIO!C166)),"ADH",
IF(ISNUMBER(SEARCH("MICRO",INVENTARIO!C166)),"MIC","")))))))))))))))))))))</f>
        <v>COR</v>
      </c>
      <c r="C166" t="str">
        <f>IF(ISNUMBER(SEARCH("PARED",INVENTARIO!C166)),"PAR",
IF(ISNUMBER(SEARCH("FRONT",INVENTARIO!C166)),"FRO",
IF(ISNUMBER(SEARCH("ALTA RESISTENCIA",INVENTARIO!C166)),
"ALT-RES",IF(ISNUMBER(SEARCH("BACKLITE",INVENTARIO!C166)),"BAC",
IF(ISNUMBER(SEARCH("MATE",INVENTARIO!C166)),"MAT",
IF(ISNUMBER(SEARCH("MESH",INVENTARIO!C166)),"MES",
IF(ISNUMBER(SEARCH("BRILLANTE",INVENTARIO!C166)),"BRI",
IF(ISNUMBER(SEARCH("DELGADA",INVENTARIO!C166)),"DEL",
IF(ISNUMBER(SEARCH("GRUESA",INVENTARIO!C166)),"GRU",
IF(ISNUMBER(SEARCH("ESTATICO",INVENTARIO!C166)),"EST",
IF(ISNUMBER(SEARCH("REFLECTIVO",INVENTARIO!C166)),"REF",
IF(ISNUMBER(SEARCH("LX700",INVENTARIO!C166)),"LX7",
IF(ISNUMBER(SEARCH("GRANDO",INVENTARIO!C166)),"GRA",
IF(ISNUMBER(SEARCH("FB700",INVENTARIO!C166)),"FB7",
IF(ISNUMBER(SEARCH("LX360",INVENTARIO!C166)),"LX3",
IF(ISNUMBER(SEARCH("XEROX",INVENTARIO!C166)),"XER",
IF(ISNUMBER(SEARCH("CEPILLADO",INVENTARIO!C166)),"CEP",
IF(ISNUMBER(SEARCH("ESPEJO",INVENTARIO!C166)),"ESP",
IF(ISNUMBER(SEARCH("10 PTS",INVENTARIO!C166)),"10PT",
IF(ISNUMBER(SEARCH("12 PTS",INVENTARIO!C166)),"12PT",
IF(ISNUMBER(SEARCH("14 PTS",INVENTARIO!C166)),"14PT",
IF(ISNUMBER(SEARCH("CLASICO",INVENTARIO!C166)),"CLA",
""))))))))))))))))))))))</f>
        <v>MAT</v>
      </c>
      <c r="D166" t="str">
        <f>IF(ISNUMBER(SEARCH("GRAN FORMATO",INVENTARIO!C166)),"GRA-FOR",
IF(ISNUMBER(SEARCH("CAMA PLANA",INVENTARIO!C166)),"CAM-PLA",
IF(ISNUMBER(SEARCH("GRADO INGENIERIA",INVENTARIO!C166)),"GRA-ING",
IF(ISNUMBER(SEARCH("130 GRS",INVENTARIO!C166)),"130GR",
IF(ISNUMBER(SEARCH("150 GRS",INVENTARIO!C166)),"150GR",
IF(ISNUMBER(SEARCH("185 GRS",INVENTARIO!C166)),"185GR",
IF(ISNUMBER(SEARCH("200 GRS",INVENTARIO!C166)),"200GR",
IF(ISNUMBER(SEARCH("250 GRS",INVENTARIO!C166)),"250GR",
IF(ISNUMBER(SEARCH("300 GRS",INVENTARIO!C166)),"300GR",
IF(ISNUMBER(SEARCH("350 GRS",INVENTARIO!C166)),"350GR",
IF(ISNUMBER(SEARCH("18 OZ",INVENTARIO!C166)),"18OZ",
IF(ISNUMBER(SEARCH("15 OZ",INVENTARIO!C166)),"15OZ",
IF(OR(ISNUMBER(SEARCH("13 OZ",INVENTARIO!C166)),ISNUMBER(SEARCH("13 ONZAS",INVENTARIO!C166))),"13OZ",
IF(OR(ISNUMBER(SEARCH("9 OZ",INVENTARIO!C166)),ISNUMBER(SEARCH("9 ONZAS",INVENTARIO!C166))),"09OZ",
IF(ISNUMBER(SEARCH("DOBLE CARA",INVENTARIO!C166)),"DOB-CAR",
"")))))))))))))))</f>
        <v/>
      </c>
      <c r="E166" t="str">
        <f>IF(OR(ISNUMBER(SEARCH("TRANSPARENTE",INVENTARIO!C166)),ISNUMBER(SEARCH("TRANSPARENTES",INVENTARIO!C166))),"TRA",
IF(OR(ISNUMBER(SEARCH("BLANCO",INVENTARIO!C166)),ISNUMBER(SEARCH("BCO",INVENTARIO!C166))),"BLA",
IF(ISNUMBER(SEARCH("FOTOGRAFICO",INVENTARIO!C166)),"FOT",
IF(ISNUMBER(SEARCH("MARFIL",INVENTARIO!C166)),"MAR",
IF(ISNUMBER(SEARCH("VERDE",INVENTARIO!C166)),"VER",
IF(ISNUMBER(SEARCH("MORADO",INVENTARIO!C166)),"MOR",
IF(ISNUMBER(SEARCH("PLATA",INVENTARIO!C166)),"PLA",
IF(ISNUMBER(SEARCH("ORO",INVENTARIO!C166)),"ORO",
IF(ISNUMBER(SEARCH("AMARILLO",INVENTARIO!C166)),"AMA",
IF(ISNUMBER(SEARCH("NARANJA",INVENTARIO!C166)),"NAR",
IF(ISNUMBER(SEARCH("NEGRO",INVENTARIO!C166)),"NEG",
IF(ISNUMBER(SEARCH("ROJO",INVENTARIO!C166)),"ROJ",
IF(ISNUMBER(SEARCH("AZUL",INVENTARIO!C166)),"AZU","")))))))))))))</f>
        <v/>
      </c>
      <c r="F166" t="str">
        <f>IF(ISNUMBER(SEARCH("ARLON",INVENTARIO!C166)),"ARL",
IF(ISNUMBER(SEARCH("SUNTHINKS",INVENTARIO!C166)),"SUN",
IF(ISNUMBER(SEARCH("FRIO",INVENTARIO!C166)),"FRI",
IF(ISNUMBER(SEARCH("CALIDO",INVENTARIO!C166)),"CAL",
IF(ISNUMBER(SEARCH("CEPILLADO",INVENTARIO!C166)),"CEP",
IF(ISNUMBER(SEARCH("ESPEJO",INVENTARIO!C166)),"ESP",
""))))))</f>
        <v/>
      </c>
      <c r="G166" t="str">
        <f>IF(ISNUMBER(SEARCH("LATEX",INVENTARIO!C166)),"LAT",
IF(ISNUMBER(SEARCH("RESP. NEGRO",INVENTARIO!C166)),"RES-NEG",
IF(ISNUMBER(SEARCH("RESPALDO CAFE",INVENTARIO!C166)),"RES-CAF",
IF(ISNUMBER(SEARCH("RESPALDO GRIS",INVENTARIO!C166)),"RES-GRI",
IF(ISNUMBER(SEARCH("OPTICO",INVENTARIO!C166)),"OPT",
IF(ISNUMBER(SEARCH("1,2 MM",INVENTARIO!C166)),"1MM2",
IF(ISNUMBER(SEARCH("2 MM",INVENTARIO!C166)),"2MM",
IF(ISNUMBER(SEARCH("3 MM",INVENTARIO!C166)),"3MM",
IF(ISNUMBER(SEARCH("4 MM",INVENTARIO!C166)),"4MM",
IF(ISNUMBER(SEARCH("5 MM",INVENTARIO!C166)),"5MM",
IF(ISNUMBER(SEARCH("6 MM",INVENTARIO!C166)),"6MM",
IF(ISNUMBER(SEARCH("9 MM",INVENTARIO!C166)),"9MM",
IF(ISNUMBER(SEARCH("10 MM",INVENTARIO!C166)),"10MM","")))))))))))))</f>
        <v/>
      </c>
      <c r="H166" t="str">
        <f>IF(ISNUMBER(SEARCH("GAMA BAJA",INVENTARIO!C166)),"GAM-BAJ",
IF(ISNUMBER(SEARCH("OPTIMIZADOR",INVENTARIO!C166)),"OPT",
IF(ISNUMBER(SEARCH("OVERCOAT",INVENTARIO!C166)),"OVE",
IF(ISNUMBER(SEARCH("WHITE",INVENTARIO!C166)),"WHI",
IF(ISNUMBER(SEARCH("LIGHT CYAN",INVENTARIO!C166)),"LIG-CYA",
IF(ISNUMBER(SEARCH("CYAN",INVENTARIO!C166)),"CYA",
IF(ISNUMBER(SEARCH("LIGHT MAGENTA",INVENTARIO!C166)),"LIG-MAG",
IF(ISNUMBER(SEARCH("MAGENTA",INVENTARIO!C166)),"MAG",
IF(ISNUMBER(SEARCH("BLACK",INVENTARIO!C166)),"BLA",
IF(ISNUMBER(SEARCH("YELLOW",INVENTARIO!C166)),"YEL",
IF(ISNUMBER(SEARCH("2 DIODOS",INVENTARIO!C166)),"2DI",
IF(ISNUMBER(SEARCH("3 DIODOS",INVENTARIO!C166)),"3DI",
IF(OR(ISNUMBER(SEARCH("TRASLUCIDO",INVENTARIO!C166)),ISNUMBER(SEARCH("TRANSLUCIDO",INVENTARIO!C166))),"TRA",
"")))))))))))))</f>
        <v/>
      </c>
      <c r="I166" t="str">
        <f>IF(ISNUMBER(SEARCH("SILED",INVENTARIO!C185)),"SI",
IF(ISNUMBER(SEARCH("SYDEMEX",INVENTARIO!C185)),"SY",
IF(ISNUMBER(SEARCH("ROHS",INVENTARIO!C185)),"RO",
IF(ISNUMBER(SEARCH("RISHANG",INVENTARIO!C185)),"RS",
IF(ISNUMBER(SEARCH("VYG",INVENTARIO!C185)),"VYG",
IF(ISNUMBER(SEARCH("COLED",INVENTARIO!C185)),"CO",""))))))</f>
        <v/>
      </c>
    </row>
    <row r="167" spans="1:9">
      <c r="A167" t="str">
        <f>IF(ISNUMBER(SEARCH("LONA",INVENTARIO!C167)),"LON",
IF(ISNUMBER(SEARCH("VINIL",INVENTARIO!C167)),"VIN",
IF(ISNUMBER(SEARCH("KROMACOTE",INVENTARIO!C167)),"KRO",
IF(ISNUMBER(SEARCH("STARDREAM",INVENTARIO!C167)),"STA",
IF(ISNUMBER(SEARCH("DISPLAY",INVENTARIO!C167)),"DIS",
IF(ISNUMBER(SEARCH("ROLL UP",INVENTARIO!C167)),"ROL-UP",
IF(ISNUMBER(SEARCH("TRANSFER DE PAPEL",INVENTARIO!C167)),"TRA-PAP",
IF(ISNUMBER(SEARCH("TRANSFER",INVENTARIO!C167)),"TRA",IF(ISNUMBER(SEARCH("KOLA LOKA",INVENTARIO!C167)),"KOL-LOK",
IF(ISNUMBER(SEARCH("PETG",INVENTARIO!C167)),"PET",
IF(ISNUMBER(SEARCH("OJILLO",INVENTARIO!C167)),"OJI",
IF(ISNUMBER(SEARCH("COUCHE",INVENTARIO!C167)),"COU",
IF(ISNUMBER(SEARCH("PANEL DE ALUMINIO",INVENTARIO!C167)),"PAN-ALU",
IF(ISNUMBER(SEARCH("PVC",INVENTARIO!C167)),"PVC",
IF(ISNUMBER(SEARCH("PAPEL",INVENTARIO!C167)),"PAP",
IF(ISNUMBER(SEARCH("TELA",INVENTARIO!C167)),"TEL",
IF(ISNUMBER(SEARCH("CARTULINA",INVENTARIO!C167)),"CAR",
IF(OR(ISNUMBER(SEARCH("LAMINA",INVENTARIO!C167)),ISNUMBER(SEARCH("LÁMINA",INVENTARIO!C167)),ISNUMBER(SEARCH("LAMPARAS",INVENTARIO!C167))),"LAM",
IF(ISNUMBER(SEARCH("ESTIRENO",INVENTARIO!C167)),"EST",
IF(ISNUMBER(SEARCH("FOAMBOARD",INVENTARIO!C167)),"FOA",
IF(ISNUMBER(SEARCH("SOLVENTE",INVENTARIO!C167)),"SOL",
IF(ISNUMBER(SEARCH("TINTA",INVENTARIO!C167)),"TIN",
IF(ISNUMBER(SEARCH("ACRILICO",INVENTARIO!C167)),"ACR",
IF(ISNUMBER(SEARCH("MICROLED",INVENTARIO!C167)),"MIC",
IF(ISNUMBER(SEARCH("LED",INVENTARIO!C167)),"LED",
IF(ISNUMBER(SEARCH("FUENTE DE PODER",INVENTARIO!C167)),"FUE-POD",
IF(ISNUMBER(SEARCH("PETG",INVENTARIO!C167)),"PET",
IF(ISNUMBER(SEARCH("ALUMINIO",INVENTARIO!C167)),"ALU",
IF(ISNUMBER(SEARCH("CANAL",INVENTARIO!C167)),"CAN",
IF(ISNUMBER(SEARCH("ESCUADRA",INVENTARIO!C167)),"ESC",
IF(ISNUMBER(SEARCH("SOPORTE",INVENTARIO!C167)),"SOP","OTR")
))))))))))))))))))))))))))))))</f>
        <v>VIN</v>
      </c>
      <c r="B167" t="str">
        <f>IF(ISNUMBER(SEARCH("CORTE",INVENTARIO!C167)),"COR",
IF(ISNUMBER(SEARCH("CITYLIGHT",INVENTARIO!C167)),"CIT",
IF(ISNUMBER(SEARCH("LINO",INVENTARIO!C167)),"LIN",
IF(ISNUMBER(SEARCH("FABRIANO",INVENTARIO!C167)),"FAB",
IF(ISNUMBER(SEARCH("SUNDANCE",INVENTARIO!C167)),"SUN",
IF(ISNUMBER(SEARCH("SINTETICA",INVENTARIO!C167)),"SIN",
IF(ISNUMBER(SEARCH("CONTROL",INVENTARIO!C167)),"CON",
IF(ISNUMBER(SEARCH("TERMICO",INVENTARIO!C167)),"TER",
IF(ISNUMBER(SEARCH("C-15",INVENTARIO!C167)),"C15",
IF(ISNUMBER(SEARCH("C-20",INVENTARIO!C167)),"C20",
IF(ISNUMBER(SEARCH("C-30",INVENTARIO!C167)),"C30",
IF(ISNUMBER(SEARCH("C-40",INVENTARIO!C167)),"C40",
IF(ISNUMBER(SEARCH("C-60",INVENTARIO!C167)),"C60",
IF(ISNUMBER(SEARCH("C-80",INVENTARIO!C167)),"C80",
IF(ISNUMBER(SEARCH("EQUIPO",INVENTARIO!C167)),"EQU",
IF(ISNUMBER(SEARCH("FLOOR",INVENTARIO!C167)),"FLO",
IF(ISNUMBER(SEARCH("CRISTAL",INVENTARIO!C167)),"CRI",
IF(ISNUMBER(SEARCH(" SULFATADA",INVENTARIO!C178)),"SUL",
IF(ISNUMBER(SEARCH("OPALINA",INVENTARIO!C167)),"OPA",
IF(ISNUMBER(SEARCH("ADHERIBLE",INVENTARIO!C167)),"ADH",
IF(ISNUMBER(SEARCH("MICRO",INVENTARIO!C167)),"MIC","")))))))))))))))))))))</f>
        <v>COR</v>
      </c>
      <c r="C167" t="str">
        <f>IF(ISNUMBER(SEARCH("PARED",INVENTARIO!C167)),"PAR",
IF(ISNUMBER(SEARCH("FRONT",INVENTARIO!C167)),"FRO",
IF(ISNUMBER(SEARCH("ALTA RESISTENCIA",INVENTARIO!C167)),
"ALT-RES",IF(ISNUMBER(SEARCH("BACKLITE",INVENTARIO!C167)),"BAC",
IF(ISNUMBER(SEARCH("MATE",INVENTARIO!C167)),"MAT",
IF(ISNUMBER(SEARCH("MESH",INVENTARIO!C167)),"MES",
IF(ISNUMBER(SEARCH("BRILLANTE",INVENTARIO!C167)),"BRI",
IF(ISNUMBER(SEARCH("DELGADA",INVENTARIO!C167)),"DEL",
IF(ISNUMBER(SEARCH("GRUESA",INVENTARIO!C167)),"GRU",
IF(ISNUMBER(SEARCH("ESTATICO",INVENTARIO!C167)),"EST",
IF(ISNUMBER(SEARCH("REFLECTIVO",INVENTARIO!C167)),"REF",
IF(ISNUMBER(SEARCH("LX700",INVENTARIO!C167)),"LX7",
IF(ISNUMBER(SEARCH("GRANDO",INVENTARIO!C167)),"GRA",
IF(ISNUMBER(SEARCH("FB700",INVENTARIO!C167)),"FB7",
IF(ISNUMBER(SEARCH("LX360",INVENTARIO!C167)),"LX3",
IF(ISNUMBER(SEARCH("XEROX",INVENTARIO!C167)),"XER",
IF(ISNUMBER(SEARCH("CEPILLADO",INVENTARIO!C167)),"CEP",
IF(ISNUMBER(SEARCH("ESPEJO",INVENTARIO!C167)),"ESP",
IF(ISNUMBER(SEARCH("10 PTS",INVENTARIO!C167)),"10PT",
IF(ISNUMBER(SEARCH("12 PTS",INVENTARIO!C167)),"12PT",
IF(ISNUMBER(SEARCH("14 PTS",INVENTARIO!C167)),"14PT",
IF(ISNUMBER(SEARCH("CLASICO",INVENTARIO!C167)),"CLA",
""))))))))))))))))))))))</f>
        <v/>
      </c>
      <c r="D167" t="str">
        <f>IF(ISNUMBER(SEARCH("GRAN FORMATO",INVENTARIO!C167)),"GRA-FOR",
IF(ISNUMBER(SEARCH("CAMA PLANA",INVENTARIO!C167)),"CAM-PLA",
IF(ISNUMBER(SEARCH("GRADO INGENIERIA",INVENTARIO!C167)),"GRA-ING",
IF(ISNUMBER(SEARCH("130 GRS",INVENTARIO!C167)),"130GR",
IF(ISNUMBER(SEARCH("150 GRS",INVENTARIO!C167)),"150GR",
IF(ISNUMBER(SEARCH("185 GRS",INVENTARIO!C167)),"185GR",
IF(ISNUMBER(SEARCH("200 GRS",INVENTARIO!C167)),"200GR",
IF(ISNUMBER(SEARCH("250 GRS",INVENTARIO!C167)),"250GR",
IF(ISNUMBER(SEARCH("300 GRS",INVENTARIO!C167)),"300GR",
IF(ISNUMBER(SEARCH("350 GRS",INVENTARIO!C167)),"350GR",
IF(ISNUMBER(SEARCH("18 OZ",INVENTARIO!C167)),"18OZ",
IF(ISNUMBER(SEARCH("15 OZ",INVENTARIO!C167)),"15OZ",
IF(OR(ISNUMBER(SEARCH("13 OZ",INVENTARIO!C167)),ISNUMBER(SEARCH("13 ONZAS",INVENTARIO!C167))),"13OZ",
IF(OR(ISNUMBER(SEARCH("9 OZ",INVENTARIO!C167)),ISNUMBER(SEARCH("9 ONZAS",INVENTARIO!C167))),"09OZ",
IF(ISNUMBER(SEARCH("DOBLE CARA",INVENTARIO!C167)),"DOB-CAR",
"")))))))))))))))</f>
        <v/>
      </c>
      <c r="E167" t="str">
        <f>IF(OR(ISNUMBER(SEARCH("TRANSPARENTE",INVENTARIO!C167)),ISNUMBER(SEARCH("TRANSPARENTES",INVENTARIO!C167))),"TRA",
IF(OR(ISNUMBER(SEARCH("BLANCO",INVENTARIO!C167)),ISNUMBER(SEARCH("BCO",INVENTARIO!C167))),"BLA",
IF(ISNUMBER(SEARCH("FOTOGRAFICO",INVENTARIO!C167)),"FOT",
IF(ISNUMBER(SEARCH("MARFIL",INVENTARIO!C167)),"MAR",
IF(ISNUMBER(SEARCH("VERDE",INVENTARIO!C167)),"VER",
IF(ISNUMBER(SEARCH("MORADO",INVENTARIO!C167)),"MOR",
IF(ISNUMBER(SEARCH("PLATA",INVENTARIO!C167)),"PLA",
IF(ISNUMBER(SEARCH("ORO",INVENTARIO!C167)),"ORO",
IF(ISNUMBER(SEARCH("AMARILLO",INVENTARIO!C167)),"AMA",
IF(ISNUMBER(SEARCH("NARANJA",INVENTARIO!C167)),"NAR",
IF(ISNUMBER(SEARCH("NEGRO",INVENTARIO!C167)),"NEG",
IF(ISNUMBER(SEARCH("ROJO",INVENTARIO!C167)),"ROJ",
IF(ISNUMBER(SEARCH("AZUL",INVENTARIO!C167)),"AZU","")))))))))))))</f>
        <v/>
      </c>
      <c r="F167" t="str">
        <f>IF(ISNUMBER(SEARCH("ARLON",INVENTARIO!C167)),"ARL",
IF(ISNUMBER(SEARCH("SUNTHINKS",INVENTARIO!C167)),"SUN",
IF(ISNUMBER(SEARCH("FRIO",INVENTARIO!C167)),"FRI",
IF(ISNUMBER(SEARCH("CALIDO",INVENTARIO!C167)),"CAL",
IF(ISNUMBER(SEARCH("CEPILLADO",INVENTARIO!C167)),"CEP",
IF(ISNUMBER(SEARCH("ESPEJO",INVENTARIO!C167)),"ESP",
""))))))</f>
        <v/>
      </c>
      <c r="G167" t="str">
        <f>IF(ISNUMBER(SEARCH("LATEX",INVENTARIO!C167)),"LAT",
IF(ISNUMBER(SEARCH("RESP. NEGRO",INVENTARIO!C167)),"RES-NEG",
IF(ISNUMBER(SEARCH("RESPALDO CAFE",INVENTARIO!C167)),"RES-CAF",
IF(ISNUMBER(SEARCH("RESPALDO GRIS",INVENTARIO!C167)),"RES-GRI",
IF(ISNUMBER(SEARCH("OPTICO",INVENTARIO!C167)),"OPT",
IF(ISNUMBER(SEARCH("1,2 MM",INVENTARIO!C167)),"1MM2",
IF(ISNUMBER(SEARCH("2 MM",INVENTARIO!C167)),"2MM",
IF(ISNUMBER(SEARCH("3 MM",INVENTARIO!C167)),"3MM",
IF(ISNUMBER(SEARCH("4 MM",INVENTARIO!C167)),"4MM",
IF(ISNUMBER(SEARCH("5 MM",INVENTARIO!C167)),"5MM",
IF(ISNUMBER(SEARCH("6 MM",INVENTARIO!C167)),"6MM",
IF(ISNUMBER(SEARCH("9 MM",INVENTARIO!C167)),"9MM",
IF(ISNUMBER(SEARCH("10 MM",INVENTARIO!C167)),"10MM","")))))))))))))</f>
        <v/>
      </c>
      <c r="H167" t="str">
        <f>IF(ISNUMBER(SEARCH("GAMA BAJA",INVENTARIO!C167)),"GAM-BAJ",
IF(ISNUMBER(SEARCH("OPTIMIZADOR",INVENTARIO!C167)),"OPT",
IF(ISNUMBER(SEARCH("OVERCOAT",INVENTARIO!C167)),"OVE",
IF(ISNUMBER(SEARCH("WHITE",INVENTARIO!C167)),"WHI",
IF(ISNUMBER(SEARCH("LIGHT CYAN",INVENTARIO!C167)),"LIG-CYA",
IF(ISNUMBER(SEARCH("CYAN",INVENTARIO!C167)),"CYA",
IF(ISNUMBER(SEARCH("LIGHT MAGENTA",INVENTARIO!C167)),"LIG-MAG",
IF(ISNUMBER(SEARCH("MAGENTA",INVENTARIO!C167)),"MAG",
IF(ISNUMBER(SEARCH("BLACK",INVENTARIO!C167)),"BLA",
IF(ISNUMBER(SEARCH("YELLOW",INVENTARIO!C167)),"YEL",
IF(ISNUMBER(SEARCH("2 DIODOS",INVENTARIO!C167)),"2DI",
IF(ISNUMBER(SEARCH("3 DIODOS",INVENTARIO!C167)),"3DI",
IF(OR(ISNUMBER(SEARCH("TRASLUCIDO",INVENTARIO!C167)),ISNUMBER(SEARCH("TRANSLUCIDO",INVENTARIO!C167))),"TRA",
"")))))))))))))</f>
        <v/>
      </c>
      <c r="I167" t="str">
        <f>IF(ISNUMBER(SEARCH("SILED",INVENTARIO!C186)),"SI",
IF(ISNUMBER(SEARCH("SYDEMEX",INVENTARIO!C186)),"SY",
IF(ISNUMBER(SEARCH("ROHS",INVENTARIO!C186)),"RO",
IF(ISNUMBER(SEARCH("RISHANG",INVENTARIO!C186)),"RS",
IF(ISNUMBER(SEARCH("VYG",INVENTARIO!C186)),"VYG",
IF(ISNUMBER(SEARCH("COLED",INVENTARIO!C186)),"CO",""))))))</f>
        <v/>
      </c>
    </row>
    <row r="168" spans="1:9">
      <c r="A168" t="str">
        <f>IF(ISNUMBER(SEARCH("LONA",INVENTARIO!C168)),"LON",
IF(ISNUMBER(SEARCH("VINIL",INVENTARIO!C168)),"VIN",
IF(ISNUMBER(SEARCH("KROMACOTE",INVENTARIO!C168)),"KRO",
IF(ISNUMBER(SEARCH("STARDREAM",INVENTARIO!C168)),"STA",
IF(ISNUMBER(SEARCH("DISPLAY",INVENTARIO!C168)),"DIS",
IF(ISNUMBER(SEARCH("ROLL UP",INVENTARIO!C168)),"ROL-UP",
IF(ISNUMBER(SEARCH("TRANSFER DE PAPEL",INVENTARIO!C168)),"TRA-PAP",
IF(ISNUMBER(SEARCH("TRANSFER",INVENTARIO!C168)),"TRA",IF(ISNUMBER(SEARCH("KOLA LOKA",INVENTARIO!C168)),"KOL-LOK",
IF(ISNUMBER(SEARCH("PETG",INVENTARIO!C168)),"PET",
IF(ISNUMBER(SEARCH("OJILLO",INVENTARIO!C168)),"OJI",
IF(ISNUMBER(SEARCH("COUCHE",INVENTARIO!C168)),"COU",
IF(ISNUMBER(SEARCH("PANEL DE ALUMINIO",INVENTARIO!C168)),"PAN-ALU",
IF(ISNUMBER(SEARCH("PVC",INVENTARIO!C168)),"PVC",
IF(ISNUMBER(SEARCH("PAPEL",INVENTARIO!C168)),"PAP",
IF(ISNUMBER(SEARCH("TELA",INVENTARIO!C168)),"TEL",
IF(ISNUMBER(SEARCH("CARTULINA",INVENTARIO!C168)),"CAR",
IF(OR(ISNUMBER(SEARCH("LAMINA",INVENTARIO!C168)),ISNUMBER(SEARCH("LÁMINA",INVENTARIO!C168)),ISNUMBER(SEARCH("LAMPARAS",INVENTARIO!C168))),"LAM",
IF(ISNUMBER(SEARCH("ESTIRENO",INVENTARIO!C168)),"EST",
IF(ISNUMBER(SEARCH("FOAMBOARD",INVENTARIO!C168)),"FOA",
IF(ISNUMBER(SEARCH("SOLVENTE",INVENTARIO!C168)),"SOL",
IF(ISNUMBER(SEARCH("TINTA",INVENTARIO!C168)),"TIN",
IF(ISNUMBER(SEARCH("ACRILICO",INVENTARIO!C168)),"ACR",
IF(ISNUMBER(SEARCH("MICROLED",INVENTARIO!C168)),"MIC",
IF(ISNUMBER(SEARCH("LED",INVENTARIO!C168)),"LED",
IF(ISNUMBER(SEARCH("FUENTE DE PODER",INVENTARIO!C168)),"FUE-POD",
IF(ISNUMBER(SEARCH("PETG",INVENTARIO!C168)),"PET",
IF(ISNUMBER(SEARCH("ALUMINIO",INVENTARIO!C168)),"ALU",
IF(ISNUMBER(SEARCH("CANAL",INVENTARIO!C168)),"CAN",
IF(ISNUMBER(SEARCH("ESCUADRA",INVENTARIO!C168)),"ESC",
IF(ISNUMBER(SEARCH("SOPORTE",INVENTARIO!C168)),"SOP","OTR")
))))))))))))))))))))))))))))))</f>
        <v>VIN</v>
      </c>
      <c r="B168" t="str">
        <f>IF(ISNUMBER(SEARCH("CORTE",INVENTARIO!C168)),"COR",
IF(ISNUMBER(SEARCH("CITYLIGHT",INVENTARIO!C168)),"CIT",
IF(ISNUMBER(SEARCH("LINO",INVENTARIO!C168)),"LIN",
IF(ISNUMBER(SEARCH("FABRIANO",INVENTARIO!C168)),"FAB",
IF(ISNUMBER(SEARCH("SUNDANCE",INVENTARIO!C168)),"SUN",
IF(ISNUMBER(SEARCH("SINTETICA",INVENTARIO!C168)),"SIN",
IF(ISNUMBER(SEARCH("CONTROL",INVENTARIO!C168)),"CON",
IF(ISNUMBER(SEARCH("TERMICO",INVENTARIO!C168)),"TER",
IF(ISNUMBER(SEARCH("C-15",INVENTARIO!C168)),"C15",
IF(ISNUMBER(SEARCH("C-20",INVENTARIO!C168)),"C20",
IF(ISNUMBER(SEARCH("C-30",INVENTARIO!C168)),"C30",
IF(ISNUMBER(SEARCH("C-40",INVENTARIO!C168)),"C40",
IF(ISNUMBER(SEARCH("C-60",INVENTARIO!C168)),"C60",
IF(ISNUMBER(SEARCH("C-80",INVENTARIO!C168)),"C80",
IF(ISNUMBER(SEARCH("EQUIPO",INVENTARIO!C168)),"EQU",
IF(ISNUMBER(SEARCH("FLOOR",INVENTARIO!C168)),"FLO",
IF(ISNUMBER(SEARCH("CRISTAL",INVENTARIO!C168)),"CRI",
IF(ISNUMBER(SEARCH(" SULFATADA",INVENTARIO!C179)),"SUL",
IF(ISNUMBER(SEARCH("OPALINA",INVENTARIO!C168)),"OPA",
IF(ISNUMBER(SEARCH("ADHERIBLE",INVENTARIO!C168)),"ADH",
IF(ISNUMBER(SEARCH("MICRO",INVENTARIO!C168)),"MIC","")))))))))))))))))))))</f>
        <v>COR</v>
      </c>
      <c r="C168" t="str">
        <f>IF(ISNUMBER(SEARCH("PARED",INVENTARIO!C168)),"PAR",
IF(ISNUMBER(SEARCH("FRONT",INVENTARIO!C168)),"FRO",
IF(ISNUMBER(SEARCH("ALTA RESISTENCIA",INVENTARIO!C168)),
"ALT-RES",IF(ISNUMBER(SEARCH("BACKLITE",INVENTARIO!C168)),"BAC",
IF(ISNUMBER(SEARCH("MATE",INVENTARIO!C168)),"MAT",
IF(ISNUMBER(SEARCH("MESH",INVENTARIO!C168)),"MES",
IF(ISNUMBER(SEARCH("BRILLANTE",INVENTARIO!C168)),"BRI",
IF(ISNUMBER(SEARCH("DELGADA",INVENTARIO!C168)),"DEL",
IF(ISNUMBER(SEARCH("GRUESA",INVENTARIO!C168)),"GRU",
IF(ISNUMBER(SEARCH("ESTATICO",INVENTARIO!C168)),"EST",
IF(ISNUMBER(SEARCH("REFLECTIVO",INVENTARIO!C168)),"REF",
IF(ISNUMBER(SEARCH("LX700",INVENTARIO!C168)),"LX7",
IF(ISNUMBER(SEARCH("GRANDO",INVENTARIO!C168)),"GRA",
IF(ISNUMBER(SEARCH("FB700",INVENTARIO!C168)),"FB7",
IF(ISNUMBER(SEARCH("LX360",INVENTARIO!C168)),"LX3",
IF(ISNUMBER(SEARCH("XEROX",INVENTARIO!C168)),"XER",
IF(ISNUMBER(SEARCH("CEPILLADO",INVENTARIO!C168)),"CEP",
IF(ISNUMBER(SEARCH("ESPEJO",INVENTARIO!C168)),"ESP",
IF(ISNUMBER(SEARCH("10 PTS",INVENTARIO!C168)),"10PT",
IF(ISNUMBER(SEARCH("12 PTS",INVENTARIO!C168)),"12PT",
IF(ISNUMBER(SEARCH("14 PTS",INVENTARIO!C168)),"14PT",
IF(ISNUMBER(SEARCH("CLASICO",INVENTARIO!C168)),"CLA",
""))))))))))))))))))))))</f>
        <v/>
      </c>
      <c r="D168" t="str">
        <f>IF(ISNUMBER(SEARCH("GRAN FORMATO",INVENTARIO!C168)),"GRA-FOR",
IF(ISNUMBER(SEARCH("CAMA PLANA",INVENTARIO!C168)),"CAM-PLA",
IF(ISNUMBER(SEARCH("GRADO INGENIERIA",INVENTARIO!C168)),"GRA-ING",
IF(ISNUMBER(SEARCH("130 GRS",INVENTARIO!C168)),"130GR",
IF(ISNUMBER(SEARCH("150 GRS",INVENTARIO!C168)),"150GR",
IF(ISNUMBER(SEARCH("185 GRS",INVENTARIO!C168)),"185GR",
IF(ISNUMBER(SEARCH("200 GRS",INVENTARIO!C168)),"200GR",
IF(ISNUMBER(SEARCH("250 GRS",INVENTARIO!C168)),"250GR",
IF(ISNUMBER(SEARCH("300 GRS",INVENTARIO!C168)),"300GR",
IF(ISNUMBER(SEARCH("350 GRS",INVENTARIO!C168)),"350GR",
IF(ISNUMBER(SEARCH("18 OZ",INVENTARIO!C168)),"18OZ",
IF(ISNUMBER(SEARCH("15 OZ",INVENTARIO!C168)),"15OZ",
IF(OR(ISNUMBER(SEARCH("13 OZ",INVENTARIO!C168)),ISNUMBER(SEARCH("13 ONZAS",INVENTARIO!C168))),"13OZ",
IF(OR(ISNUMBER(SEARCH("9 OZ",INVENTARIO!C168)),ISNUMBER(SEARCH("9 ONZAS",INVENTARIO!C168))),"09OZ",
IF(ISNUMBER(SEARCH("DOBLE CARA",INVENTARIO!C168)),"DOB-CAR",
"")))))))))))))))</f>
        <v/>
      </c>
      <c r="E168" t="str">
        <f>IF(OR(ISNUMBER(SEARCH("TRANSPARENTE",INVENTARIO!C168)),ISNUMBER(SEARCH("TRANSPARENTES",INVENTARIO!C168))),"TRA",
IF(OR(ISNUMBER(SEARCH("BLANCO",INVENTARIO!C168)),ISNUMBER(SEARCH("BCO",INVENTARIO!C168))),"BLA",
IF(ISNUMBER(SEARCH("FOTOGRAFICO",INVENTARIO!C168)),"FOT",
IF(ISNUMBER(SEARCH("MARFIL",INVENTARIO!C168)),"MAR",
IF(ISNUMBER(SEARCH("VERDE",INVENTARIO!C168)),"VER",
IF(ISNUMBER(SEARCH("MORADO",INVENTARIO!C168)),"MOR",
IF(ISNUMBER(SEARCH("PLATA",INVENTARIO!C168)),"PLA",
IF(ISNUMBER(SEARCH("ORO",INVENTARIO!C168)),"ORO",
IF(ISNUMBER(SEARCH("AMARILLO",INVENTARIO!C168)),"AMA",
IF(ISNUMBER(SEARCH("NARANJA",INVENTARIO!C168)),"NAR",
IF(ISNUMBER(SEARCH("NEGRO",INVENTARIO!C168)),"NEG",
IF(ISNUMBER(SEARCH("ROJO",INVENTARIO!C168)),"ROJ",
IF(ISNUMBER(SEARCH("AZUL",INVENTARIO!C168)),"AZU","")))))))))))))</f>
        <v/>
      </c>
      <c r="F168" t="str">
        <f>IF(ISNUMBER(SEARCH("ARLON",INVENTARIO!C168)),"ARL",
IF(ISNUMBER(SEARCH("SUNTHINKS",INVENTARIO!C168)),"SUN",
IF(ISNUMBER(SEARCH("FRIO",INVENTARIO!C168)),"FRI",
IF(ISNUMBER(SEARCH("CALIDO",INVENTARIO!C168)),"CAL",
IF(ISNUMBER(SEARCH("CEPILLADO",INVENTARIO!C168)),"CEP",
IF(ISNUMBER(SEARCH("ESPEJO",INVENTARIO!C168)),"ESP",
""))))))</f>
        <v/>
      </c>
      <c r="G168" t="str">
        <f>IF(ISNUMBER(SEARCH("LATEX",INVENTARIO!C168)),"LAT",
IF(ISNUMBER(SEARCH("RESP. NEGRO",INVENTARIO!C168)),"RES-NEG",
IF(ISNUMBER(SEARCH("RESPALDO CAFE",INVENTARIO!C168)),"RES-CAF",
IF(ISNUMBER(SEARCH("RESPALDO GRIS",INVENTARIO!C168)),"RES-GRI",
IF(ISNUMBER(SEARCH("OPTICO",INVENTARIO!C168)),"OPT",
IF(ISNUMBER(SEARCH("1,2 MM",INVENTARIO!C168)),"1MM2",
IF(ISNUMBER(SEARCH("2 MM",INVENTARIO!C168)),"2MM",
IF(ISNUMBER(SEARCH("3 MM",INVENTARIO!C168)),"3MM",
IF(ISNUMBER(SEARCH("4 MM",INVENTARIO!C168)),"4MM",
IF(ISNUMBER(SEARCH("5 MM",INVENTARIO!C168)),"5MM",
IF(ISNUMBER(SEARCH("6 MM",INVENTARIO!C168)),"6MM",
IF(ISNUMBER(SEARCH("9 MM",INVENTARIO!C168)),"9MM",
IF(ISNUMBER(SEARCH("10 MM",INVENTARIO!C168)),"10MM","")))))))))))))</f>
        <v/>
      </c>
      <c r="H168" t="str">
        <f>IF(ISNUMBER(SEARCH("GAMA BAJA",INVENTARIO!C168)),"GAM-BAJ",
IF(ISNUMBER(SEARCH("OPTIMIZADOR",INVENTARIO!C168)),"OPT",
IF(ISNUMBER(SEARCH("OVERCOAT",INVENTARIO!C168)),"OVE",
IF(ISNUMBER(SEARCH("WHITE",INVENTARIO!C168)),"WHI",
IF(ISNUMBER(SEARCH("LIGHT CYAN",INVENTARIO!C168)),"LIG-CYA",
IF(ISNUMBER(SEARCH("CYAN",INVENTARIO!C168)),"CYA",
IF(ISNUMBER(SEARCH("LIGHT MAGENTA",INVENTARIO!C168)),"LIG-MAG",
IF(ISNUMBER(SEARCH("MAGENTA",INVENTARIO!C168)),"MAG",
IF(ISNUMBER(SEARCH("BLACK",INVENTARIO!C168)),"BLA",
IF(ISNUMBER(SEARCH("YELLOW",INVENTARIO!C168)),"YEL",
IF(ISNUMBER(SEARCH("2 DIODOS",INVENTARIO!C168)),"2DI",
IF(ISNUMBER(SEARCH("3 DIODOS",INVENTARIO!C168)),"3DI",
IF(OR(ISNUMBER(SEARCH("TRASLUCIDO",INVENTARIO!C168)),ISNUMBER(SEARCH("TRANSLUCIDO",INVENTARIO!C168))),"TRA",
"")))))))))))))</f>
        <v/>
      </c>
      <c r="I168" t="str">
        <f>IF(ISNUMBER(SEARCH("SILED",INVENTARIO!C188)),"SI",
IF(ISNUMBER(SEARCH("SYDEMEX",INVENTARIO!C188)),"SY",
IF(ISNUMBER(SEARCH("ROHS",INVENTARIO!C188)),"RO",
IF(ISNUMBER(SEARCH("RISHANG",INVENTARIO!C188)),"RS",
IF(ISNUMBER(SEARCH("VYG",INVENTARIO!C188)),"VYG",
IF(ISNUMBER(SEARCH("COLED",INVENTARIO!C188)),"CO",""))))))</f>
        <v/>
      </c>
    </row>
    <row r="169" spans="1:9">
      <c r="A169" t="str">
        <f>IF(ISNUMBER(SEARCH("LONA",INVENTARIO!C169)),"LON",
IF(ISNUMBER(SEARCH("VINIL",INVENTARIO!C169)),"VIN",
IF(ISNUMBER(SEARCH("KROMACOTE",INVENTARIO!C169)),"KRO",
IF(ISNUMBER(SEARCH("STARDREAM",INVENTARIO!C169)),"STA",
IF(ISNUMBER(SEARCH("DISPLAY",INVENTARIO!C169)),"DIS",
IF(ISNUMBER(SEARCH("ROLL UP",INVENTARIO!C169)),"ROL-UP",
IF(ISNUMBER(SEARCH("TRANSFER DE PAPEL",INVENTARIO!C169)),"TRA-PAP",
IF(ISNUMBER(SEARCH("TRANSFER",INVENTARIO!C169)),"TRA",IF(ISNUMBER(SEARCH("KOLA LOKA",INVENTARIO!C169)),"KOL-LOK",
IF(ISNUMBER(SEARCH("PETG",INVENTARIO!C169)),"PET",
IF(ISNUMBER(SEARCH("OJILLO",INVENTARIO!C169)),"OJI",
IF(ISNUMBER(SEARCH("COUCHE",INVENTARIO!C169)),"COU",
IF(ISNUMBER(SEARCH("PANEL DE ALUMINIO",INVENTARIO!C169)),"PAN-ALU",
IF(ISNUMBER(SEARCH("PVC",INVENTARIO!C169)),"PVC",
IF(ISNUMBER(SEARCH("PAPEL",INVENTARIO!C169)),"PAP",
IF(ISNUMBER(SEARCH("TELA",INVENTARIO!C169)),"TEL",
IF(ISNUMBER(SEARCH("CARTULINA",INVENTARIO!C169)),"CAR",
IF(OR(ISNUMBER(SEARCH("LAMINA",INVENTARIO!C169)),ISNUMBER(SEARCH("LÁMINA",INVENTARIO!C169)),ISNUMBER(SEARCH("LAMPARAS",INVENTARIO!C169))),"LAM",
IF(ISNUMBER(SEARCH("ESTIRENO",INVENTARIO!C169)),"EST",
IF(ISNUMBER(SEARCH("FOAMBOARD",INVENTARIO!C169)),"FOA",
IF(ISNUMBER(SEARCH("SOLVENTE",INVENTARIO!C169)),"SOL",
IF(ISNUMBER(SEARCH("TINTA",INVENTARIO!C169)),"TIN",
IF(ISNUMBER(SEARCH("ACRILICO",INVENTARIO!C169)),"ACR",
IF(ISNUMBER(SEARCH("MICROLED",INVENTARIO!C169)),"MIC",
IF(ISNUMBER(SEARCH("LED",INVENTARIO!C169)),"LED",
IF(ISNUMBER(SEARCH("FUENTE DE PODER",INVENTARIO!C169)),"FUE-POD",
IF(ISNUMBER(SEARCH("PETG",INVENTARIO!C169)),"PET",
IF(ISNUMBER(SEARCH("ALUMINIO",INVENTARIO!C169)),"ALU",
IF(ISNUMBER(SEARCH("CANAL",INVENTARIO!C169)),"CAN",
IF(ISNUMBER(SEARCH("ESCUADRA",INVENTARIO!C169)),"ESC",
IF(ISNUMBER(SEARCH("SOPORTE",INVENTARIO!C169)),"SOP","OTR")
))))))))))))))))))))))))))))))</f>
        <v>VIN</v>
      </c>
      <c r="B169" t="str">
        <f>IF(ISNUMBER(SEARCH("CORTE",INVENTARIO!C169)),"COR",
IF(ISNUMBER(SEARCH("CITYLIGHT",INVENTARIO!C169)),"CIT",
IF(ISNUMBER(SEARCH("LINO",INVENTARIO!C169)),"LIN",
IF(ISNUMBER(SEARCH("FABRIANO",INVENTARIO!C169)),"FAB",
IF(ISNUMBER(SEARCH("SUNDANCE",INVENTARIO!C169)),"SUN",
IF(ISNUMBER(SEARCH("SINTETICA",INVENTARIO!C169)),"SIN",
IF(ISNUMBER(SEARCH("CONTROL",INVENTARIO!C169)),"CON",
IF(ISNUMBER(SEARCH("TERMICO",INVENTARIO!C169)),"TER",
IF(ISNUMBER(SEARCH("C-15",INVENTARIO!C169)),"C15",
IF(ISNUMBER(SEARCH("C-20",INVENTARIO!C169)),"C20",
IF(ISNUMBER(SEARCH("C-30",INVENTARIO!C169)),"C30",
IF(ISNUMBER(SEARCH("C-40",INVENTARIO!C169)),"C40",
IF(ISNUMBER(SEARCH("C-60",INVENTARIO!C169)),"C60",
IF(ISNUMBER(SEARCH("C-80",INVENTARIO!C169)),"C80",
IF(ISNUMBER(SEARCH("EQUIPO",INVENTARIO!C169)),"EQU",
IF(ISNUMBER(SEARCH("FLOOR",INVENTARIO!C169)),"FLO",
IF(ISNUMBER(SEARCH("CRISTAL",INVENTARIO!C169)),"CRI",
IF(ISNUMBER(SEARCH(" SULFATADA",INVENTARIO!C180)),"SUL",
IF(ISNUMBER(SEARCH("OPALINA",INVENTARIO!C169)),"OPA",
IF(ISNUMBER(SEARCH("ADHERIBLE",INVENTARIO!C169)),"ADH",
IF(ISNUMBER(SEARCH("MICRO",INVENTARIO!C169)),"MIC","")))))))))))))))))))))</f>
        <v>COR</v>
      </c>
      <c r="C169" t="str">
        <f>IF(ISNUMBER(SEARCH("PARED",INVENTARIO!C169)),"PAR",
IF(ISNUMBER(SEARCH("FRONT",INVENTARIO!C169)),"FRO",
IF(ISNUMBER(SEARCH("ALTA RESISTENCIA",INVENTARIO!C169)),
"ALT-RES",IF(ISNUMBER(SEARCH("BACKLITE",INVENTARIO!C169)),"BAC",
IF(ISNUMBER(SEARCH("MATE",INVENTARIO!C169)),"MAT",
IF(ISNUMBER(SEARCH("MESH",INVENTARIO!C169)),"MES",
IF(ISNUMBER(SEARCH("BRILLANTE",INVENTARIO!C169)),"BRI",
IF(ISNUMBER(SEARCH("DELGADA",INVENTARIO!C169)),"DEL",
IF(ISNUMBER(SEARCH("GRUESA",INVENTARIO!C169)),"GRU",
IF(ISNUMBER(SEARCH("ESTATICO",INVENTARIO!C169)),"EST",
IF(ISNUMBER(SEARCH("REFLECTIVO",INVENTARIO!C169)),"REF",
IF(ISNUMBER(SEARCH("LX700",INVENTARIO!C169)),"LX7",
IF(ISNUMBER(SEARCH("GRANDO",INVENTARIO!C169)),"GRA",
IF(ISNUMBER(SEARCH("FB700",INVENTARIO!C169)),"FB7",
IF(ISNUMBER(SEARCH("LX360",INVENTARIO!C169)),"LX3",
IF(ISNUMBER(SEARCH("XEROX",INVENTARIO!C169)),"XER",
IF(ISNUMBER(SEARCH("CEPILLADO",INVENTARIO!C169)),"CEP",
IF(ISNUMBER(SEARCH("ESPEJO",INVENTARIO!C169)),"ESP",
IF(ISNUMBER(SEARCH("10 PTS",INVENTARIO!C169)),"10PT",
IF(ISNUMBER(SEARCH("12 PTS",INVENTARIO!C169)),"12PT",
IF(ISNUMBER(SEARCH("14 PTS",INVENTARIO!C169)),"14PT",
IF(ISNUMBER(SEARCH("CLASICO",INVENTARIO!C169)),"CLA",
""))))))))))))))))))))))</f>
        <v/>
      </c>
      <c r="D169" t="str">
        <f>IF(ISNUMBER(SEARCH("GRAN FORMATO",INVENTARIO!C169)),"GRA-FOR",
IF(ISNUMBER(SEARCH("CAMA PLANA",INVENTARIO!C169)),"CAM-PLA",
IF(ISNUMBER(SEARCH("GRADO INGENIERIA",INVENTARIO!C169)),"GRA-ING",
IF(ISNUMBER(SEARCH("130 GRS",INVENTARIO!C169)),"130GR",
IF(ISNUMBER(SEARCH("150 GRS",INVENTARIO!C169)),"150GR",
IF(ISNUMBER(SEARCH("185 GRS",INVENTARIO!C169)),"185GR",
IF(ISNUMBER(SEARCH("200 GRS",INVENTARIO!C169)),"200GR",
IF(ISNUMBER(SEARCH("250 GRS",INVENTARIO!C169)),"250GR",
IF(ISNUMBER(SEARCH("300 GRS",INVENTARIO!C169)),"300GR",
IF(ISNUMBER(SEARCH("350 GRS",INVENTARIO!C169)),"350GR",
IF(ISNUMBER(SEARCH("18 OZ",INVENTARIO!C169)),"18OZ",
IF(ISNUMBER(SEARCH("15 OZ",INVENTARIO!C169)),"15OZ",
IF(OR(ISNUMBER(SEARCH("13 OZ",INVENTARIO!C169)),ISNUMBER(SEARCH("13 ONZAS",INVENTARIO!C169))),"13OZ",
IF(OR(ISNUMBER(SEARCH("9 OZ",INVENTARIO!C169)),ISNUMBER(SEARCH("9 ONZAS",INVENTARIO!C169))),"09OZ",
IF(ISNUMBER(SEARCH("DOBLE CARA",INVENTARIO!C169)),"DOB-CAR",
"")))))))))))))))</f>
        <v/>
      </c>
      <c r="E169" t="str">
        <f>IF(OR(ISNUMBER(SEARCH("TRANSPARENTE",INVENTARIO!C169)),ISNUMBER(SEARCH("TRANSPARENTES",INVENTARIO!C169))),"TRA",
IF(OR(ISNUMBER(SEARCH("BLANCO",INVENTARIO!C169)),ISNUMBER(SEARCH("BCO",INVENTARIO!C169))),"BLA",
IF(ISNUMBER(SEARCH("FOTOGRAFICO",INVENTARIO!C169)),"FOT",
IF(ISNUMBER(SEARCH("MARFIL",INVENTARIO!C169)),"MAR",
IF(ISNUMBER(SEARCH("VERDE",INVENTARIO!C169)),"VER",
IF(ISNUMBER(SEARCH("MORADO",INVENTARIO!C169)),"MOR",
IF(ISNUMBER(SEARCH("PLATA",INVENTARIO!C169)),"PLA",
IF(ISNUMBER(SEARCH("ORO",INVENTARIO!C169)),"ORO",
IF(ISNUMBER(SEARCH("AMARILLO",INVENTARIO!C169)),"AMA",
IF(ISNUMBER(SEARCH("NARANJA",INVENTARIO!C169)),"NAR",
IF(ISNUMBER(SEARCH("NEGRO",INVENTARIO!C169)),"NEG",
IF(ISNUMBER(SEARCH("ROJO",INVENTARIO!C169)),"ROJ",
IF(ISNUMBER(SEARCH("AZUL",INVENTARIO!C169)),"AZU","")))))))))))))</f>
        <v/>
      </c>
      <c r="F169" t="str">
        <f>IF(ISNUMBER(SEARCH("ARLON",INVENTARIO!C169)),"ARL",
IF(ISNUMBER(SEARCH("SUNTHINKS",INVENTARIO!C169)),"SUN",
IF(ISNUMBER(SEARCH("FRIO",INVENTARIO!C169)),"FRI",
IF(ISNUMBER(SEARCH("CALIDO",INVENTARIO!C169)),"CAL",
IF(ISNUMBER(SEARCH("CEPILLADO",INVENTARIO!C169)),"CEP",
IF(ISNUMBER(SEARCH("ESPEJO",INVENTARIO!C169)),"ESP",
""))))))</f>
        <v/>
      </c>
      <c r="G169" t="str">
        <f>IF(ISNUMBER(SEARCH("LATEX",INVENTARIO!C169)),"LAT",
IF(ISNUMBER(SEARCH("RESP. NEGRO",INVENTARIO!C169)),"RES-NEG",
IF(ISNUMBER(SEARCH("RESPALDO CAFE",INVENTARIO!C169)),"RES-CAF",
IF(ISNUMBER(SEARCH("RESPALDO GRIS",INVENTARIO!C169)),"RES-GRI",
IF(ISNUMBER(SEARCH("OPTICO",INVENTARIO!C169)),"OPT",
IF(ISNUMBER(SEARCH("1,2 MM",INVENTARIO!C169)),"1MM2",
IF(ISNUMBER(SEARCH("2 MM",INVENTARIO!C169)),"2MM",
IF(ISNUMBER(SEARCH("3 MM",INVENTARIO!C169)),"3MM",
IF(ISNUMBER(SEARCH("4 MM",INVENTARIO!C169)),"4MM",
IF(ISNUMBER(SEARCH("5 MM",INVENTARIO!C169)),"5MM",
IF(ISNUMBER(SEARCH("6 MM",INVENTARIO!C169)),"6MM",
IF(ISNUMBER(SEARCH("9 MM",INVENTARIO!C169)),"9MM",
IF(ISNUMBER(SEARCH("10 MM",INVENTARIO!C169)),"10MM","")))))))))))))</f>
        <v/>
      </c>
      <c r="H169" t="str">
        <f>IF(ISNUMBER(SEARCH("GAMA BAJA",INVENTARIO!C169)),"GAM-BAJ",
IF(ISNUMBER(SEARCH("OPTIMIZADOR",INVENTARIO!C169)),"OPT",
IF(ISNUMBER(SEARCH("OVERCOAT",INVENTARIO!C169)),"OVE",
IF(ISNUMBER(SEARCH("WHITE",INVENTARIO!C169)),"WHI",
IF(ISNUMBER(SEARCH("LIGHT CYAN",INVENTARIO!C169)),"LIG-CYA",
IF(ISNUMBER(SEARCH("CYAN",INVENTARIO!C169)),"CYA",
IF(ISNUMBER(SEARCH("LIGHT MAGENTA",INVENTARIO!C169)),"LIG-MAG",
IF(ISNUMBER(SEARCH("MAGENTA",INVENTARIO!C169)),"MAG",
IF(ISNUMBER(SEARCH("BLACK",INVENTARIO!C169)),"BLA",
IF(ISNUMBER(SEARCH("YELLOW",INVENTARIO!C169)),"YEL",
IF(ISNUMBER(SEARCH("2 DIODOS",INVENTARIO!C169)),"2DI",
IF(ISNUMBER(SEARCH("3 DIODOS",INVENTARIO!C169)),"3DI",
IF(OR(ISNUMBER(SEARCH("TRASLUCIDO",INVENTARIO!C169)),ISNUMBER(SEARCH("TRANSLUCIDO",INVENTARIO!C169))),"TRA",
"")))))))))))))</f>
        <v/>
      </c>
      <c r="I169" t="str">
        <f>IF(ISNUMBER(SEARCH("SILED",INVENTARIO!C190)),"SI",
IF(ISNUMBER(SEARCH("SYDEMEX",INVENTARIO!C190)),"SY",
IF(ISNUMBER(SEARCH("ROHS",INVENTARIO!C190)),"RO",
IF(ISNUMBER(SEARCH("RISHANG",INVENTARIO!C190)),"RS",
IF(ISNUMBER(SEARCH("VYG",INVENTARIO!C190)),"VYG",
IF(ISNUMBER(SEARCH("COLED",INVENTARIO!C190)),"CO",""))))))</f>
        <v/>
      </c>
    </row>
    <row r="170" spans="1:9">
      <c r="A170" t="str">
        <f>IF(ISNUMBER(SEARCH("LONA",INVENTARIO!C170)),"LON",
IF(ISNUMBER(SEARCH("VINIL",INVENTARIO!C170)),"VIN",
IF(ISNUMBER(SEARCH("KROMACOTE",INVENTARIO!C170)),"KRO",
IF(ISNUMBER(SEARCH("STARDREAM",INVENTARIO!C170)),"STA",
IF(ISNUMBER(SEARCH("DISPLAY",INVENTARIO!C170)),"DIS",
IF(ISNUMBER(SEARCH("ROLL UP",INVENTARIO!C170)),"ROL-UP",
IF(ISNUMBER(SEARCH("TRANSFER DE PAPEL",INVENTARIO!C170)),"TRA-PAP",
IF(ISNUMBER(SEARCH("TRANSFER",INVENTARIO!C170)),"TRA",IF(ISNUMBER(SEARCH("KOLA LOKA",INVENTARIO!C170)),"KOL-LOK",
IF(ISNUMBER(SEARCH("PETG",INVENTARIO!C170)),"PET",
IF(ISNUMBER(SEARCH("OJILLO",INVENTARIO!C170)),"OJI",
IF(ISNUMBER(SEARCH("COUCHE",INVENTARIO!C170)),"COU",
IF(ISNUMBER(SEARCH("PANEL DE ALUMINIO",INVENTARIO!C170)),"PAN-ALU",
IF(ISNUMBER(SEARCH("PVC",INVENTARIO!C170)),"PVC",
IF(ISNUMBER(SEARCH("PAPEL",INVENTARIO!C170)),"PAP",
IF(ISNUMBER(SEARCH("TELA",INVENTARIO!C170)),"TEL",
IF(ISNUMBER(SEARCH("CARTULINA",INVENTARIO!C170)),"CAR",
IF(OR(ISNUMBER(SEARCH("LAMINA",INVENTARIO!C170)),ISNUMBER(SEARCH("LÁMINA",INVENTARIO!C170)),ISNUMBER(SEARCH("LAMPARAS",INVENTARIO!C170))),"LAM",
IF(ISNUMBER(SEARCH("ESTIRENO",INVENTARIO!C170)),"EST",
IF(ISNUMBER(SEARCH("FOAMBOARD",INVENTARIO!C170)),"FOA",
IF(ISNUMBER(SEARCH("SOLVENTE",INVENTARIO!C170)),"SOL",
IF(ISNUMBER(SEARCH("TINTA",INVENTARIO!C170)),"TIN",
IF(ISNUMBER(SEARCH("ACRILICO",INVENTARIO!C170)),"ACR",
IF(ISNUMBER(SEARCH("MICROLED",INVENTARIO!C170)),"MIC",
IF(ISNUMBER(SEARCH("LED",INVENTARIO!C170)),"LED",
IF(ISNUMBER(SEARCH("FUENTE DE PODER",INVENTARIO!C170)),"FUE-POD",
IF(ISNUMBER(SEARCH("PETG",INVENTARIO!C170)),"PET",
IF(ISNUMBER(SEARCH("ALUMINIO",INVENTARIO!C170)),"ALU",
IF(ISNUMBER(SEARCH("CANAL",INVENTARIO!C170)),"CAN",
IF(ISNUMBER(SEARCH("ESCUADRA",INVENTARIO!C170)),"ESC",
IF(ISNUMBER(SEARCH("SOPORTE",INVENTARIO!C170)),"SOP","OTR")
))))))))))))))))))))))))))))))</f>
        <v>VIN</v>
      </c>
      <c r="B170" t="str">
        <f>IF(ISNUMBER(SEARCH("CORTE",INVENTARIO!C170)),"COR",
IF(ISNUMBER(SEARCH("CITYLIGHT",INVENTARIO!C170)),"CIT",
IF(ISNUMBER(SEARCH("LINO",INVENTARIO!C170)),"LIN",
IF(ISNUMBER(SEARCH("FABRIANO",INVENTARIO!C170)),"FAB",
IF(ISNUMBER(SEARCH("SUNDANCE",INVENTARIO!C170)),"SUN",
IF(ISNUMBER(SEARCH("SINTETICA",INVENTARIO!C170)),"SIN",
IF(ISNUMBER(SEARCH("CONTROL",INVENTARIO!C170)),"CON",
IF(ISNUMBER(SEARCH("TERMICO",INVENTARIO!C170)),"TER",
IF(ISNUMBER(SEARCH("C-15",INVENTARIO!C170)),"C15",
IF(ISNUMBER(SEARCH("C-20",INVENTARIO!C170)),"C20",
IF(ISNUMBER(SEARCH("C-30",INVENTARIO!C170)),"C30",
IF(ISNUMBER(SEARCH("C-40",INVENTARIO!C170)),"C40",
IF(ISNUMBER(SEARCH("C-60",INVENTARIO!C170)),"C60",
IF(ISNUMBER(SEARCH("C-80",INVENTARIO!C170)),"C80",
IF(ISNUMBER(SEARCH("EQUIPO",INVENTARIO!C170)),"EQU",
IF(ISNUMBER(SEARCH("FLOOR",INVENTARIO!C170)),"FLO",
IF(ISNUMBER(SEARCH("CRISTAL",INVENTARIO!C170)),"CRI",
IF(ISNUMBER(SEARCH(" SULFATADA",INVENTARIO!C181)),"SUL",
IF(ISNUMBER(SEARCH("OPALINA",INVENTARIO!C170)),"OPA",
IF(ISNUMBER(SEARCH("ADHERIBLE",INVENTARIO!C170)),"ADH",
IF(ISNUMBER(SEARCH("MICRO",INVENTARIO!C170)),"MIC","")))))))))))))))))))))</f>
        <v>COR</v>
      </c>
      <c r="C170" t="str">
        <f>IF(ISNUMBER(SEARCH("PARED",INVENTARIO!C170)),"PAR",
IF(ISNUMBER(SEARCH("FRONT",INVENTARIO!C170)),"FRO",
IF(ISNUMBER(SEARCH("ALTA RESISTENCIA",INVENTARIO!C170)),
"ALT-RES",IF(ISNUMBER(SEARCH("BACKLITE",INVENTARIO!C170)),"BAC",
IF(ISNUMBER(SEARCH("MATE",INVENTARIO!C170)),"MAT",
IF(ISNUMBER(SEARCH("MESH",INVENTARIO!C170)),"MES",
IF(ISNUMBER(SEARCH("BRILLANTE",INVENTARIO!C170)),"BRI",
IF(ISNUMBER(SEARCH("DELGADA",INVENTARIO!C170)),"DEL",
IF(ISNUMBER(SEARCH("GRUESA",INVENTARIO!C170)),"GRU",
IF(ISNUMBER(SEARCH("ESTATICO",INVENTARIO!C170)),"EST",
IF(ISNUMBER(SEARCH("REFLECTIVO",INVENTARIO!C170)),"REF",
IF(ISNUMBER(SEARCH("LX700",INVENTARIO!C170)),"LX7",
IF(ISNUMBER(SEARCH("GRANDO",INVENTARIO!C170)),"GRA",
IF(ISNUMBER(SEARCH("FB700",INVENTARIO!C170)),"FB7",
IF(ISNUMBER(SEARCH("LX360",INVENTARIO!C170)),"LX3",
IF(ISNUMBER(SEARCH("XEROX",INVENTARIO!C170)),"XER",
IF(ISNUMBER(SEARCH("CEPILLADO",INVENTARIO!C170)),"CEP",
IF(ISNUMBER(SEARCH("ESPEJO",INVENTARIO!C170)),"ESP",
IF(ISNUMBER(SEARCH("10 PTS",INVENTARIO!C170)),"10PT",
IF(ISNUMBER(SEARCH("12 PTS",INVENTARIO!C170)),"12PT",
IF(ISNUMBER(SEARCH("14 PTS",INVENTARIO!C170)),"14PT",
IF(ISNUMBER(SEARCH("CLASICO",INVENTARIO!C170)),"CLA",
""))))))))))))))))))))))</f>
        <v/>
      </c>
      <c r="D170" t="str">
        <f>IF(ISNUMBER(SEARCH("GRAN FORMATO",INVENTARIO!C170)),"GRA-FOR",
IF(ISNUMBER(SEARCH("CAMA PLANA",INVENTARIO!C170)),"CAM-PLA",
IF(ISNUMBER(SEARCH("GRADO INGENIERIA",INVENTARIO!C170)),"GRA-ING",
IF(ISNUMBER(SEARCH("130 GRS",INVENTARIO!C170)),"130GR",
IF(ISNUMBER(SEARCH("150 GRS",INVENTARIO!C170)),"150GR",
IF(ISNUMBER(SEARCH("185 GRS",INVENTARIO!C170)),"185GR",
IF(ISNUMBER(SEARCH("200 GRS",INVENTARIO!C170)),"200GR",
IF(ISNUMBER(SEARCH("250 GRS",INVENTARIO!C170)),"250GR",
IF(ISNUMBER(SEARCH("300 GRS",INVENTARIO!C170)),"300GR",
IF(ISNUMBER(SEARCH("350 GRS",INVENTARIO!C170)),"350GR",
IF(ISNUMBER(SEARCH("18 OZ",INVENTARIO!C170)),"18OZ",
IF(ISNUMBER(SEARCH("15 OZ",INVENTARIO!C170)),"15OZ",
IF(OR(ISNUMBER(SEARCH("13 OZ",INVENTARIO!C170)),ISNUMBER(SEARCH("13 ONZAS",INVENTARIO!C170))),"13OZ",
IF(OR(ISNUMBER(SEARCH("9 OZ",INVENTARIO!C170)),ISNUMBER(SEARCH("9 ONZAS",INVENTARIO!C170))),"09OZ",
IF(ISNUMBER(SEARCH("DOBLE CARA",INVENTARIO!C170)),"DOB-CAR",
"")))))))))))))))</f>
        <v/>
      </c>
      <c r="E170" t="str">
        <f>IF(OR(ISNUMBER(SEARCH("TRANSPARENTE",INVENTARIO!C170)),ISNUMBER(SEARCH("TRANSPARENTES",INVENTARIO!C170))),"TRA",
IF(OR(ISNUMBER(SEARCH("BLANCO",INVENTARIO!C170)),ISNUMBER(SEARCH("BCO",INVENTARIO!C170))),"BLA",
IF(ISNUMBER(SEARCH("FOTOGRAFICO",INVENTARIO!C170)),"FOT",
IF(ISNUMBER(SEARCH("MARFIL",INVENTARIO!C170)),"MAR",
IF(ISNUMBER(SEARCH("VERDE",INVENTARIO!C170)),"VER",
IF(ISNUMBER(SEARCH("MORADO",INVENTARIO!C170)),"MOR",
IF(ISNUMBER(SEARCH("PLATA",INVENTARIO!C170)),"PLA",
IF(ISNUMBER(SEARCH("ORO",INVENTARIO!C170)),"ORO",
IF(ISNUMBER(SEARCH("AMARILLO",INVENTARIO!C170)),"AMA",
IF(ISNUMBER(SEARCH("NARANJA",INVENTARIO!C170)),"NAR",
IF(ISNUMBER(SEARCH("NEGRO",INVENTARIO!C170)),"NEG",
IF(ISNUMBER(SEARCH("ROJO",INVENTARIO!C170)),"ROJ",
IF(ISNUMBER(SEARCH("AZUL",INVENTARIO!C170)),"AZU","")))))))))))))</f>
        <v/>
      </c>
      <c r="F170" t="str">
        <f>IF(ISNUMBER(SEARCH("ARLON",INVENTARIO!C170)),"ARL",
IF(ISNUMBER(SEARCH("SUNTHINKS",INVENTARIO!C170)),"SUN",
IF(ISNUMBER(SEARCH("FRIO",INVENTARIO!C170)),"FRI",
IF(ISNUMBER(SEARCH("CALIDO",INVENTARIO!C170)),"CAL",
IF(ISNUMBER(SEARCH("CEPILLADO",INVENTARIO!C170)),"CEP",
IF(ISNUMBER(SEARCH("ESPEJO",INVENTARIO!C170)),"ESP",
""))))))</f>
        <v/>
      </c>
      <c r="G170" t="str">
        <f>IF(ISNUMBER(SEARCH("LATEX",INVENTARIO!C170)),"LAT",
IF(ISNUMBER(SEARCH("RESP. NEGRO",INVENTARIO!C170)),"RES-NEG",
IF(ISNUMBER(SEARCH("RESPALDO CAFE",INVENTARIO!C170)),"RES-CAF",
IF(ISNUMBER(SEARCH("RESPALDO GRIS",INVENTARIO!C170)),"RES-GRI",
IF(ISNUMBER(SEARCH("OPTICO",INVENTARIO!C170)),"OPT",
IF(ISNUMBER(SEARCH("1,2 MM",INVENTARIO!C170)),"1MM2",
IF(ISNUMBER(SEARCH("2 MM",INVENTARIO!C170)),"2MM",
IF(ISNUMBER(SEARCH("3 MM",INVENTARIO!C170)),"3MM",
IF(ISNUMBER(SEARCH("4 MM",INVENTARIO!C170)),"4MM",
IF(ISNUMBER(SEARCH("5 MM",INVENTARIO!C170)),"5MM",
IF(ISNUMBER(SEARCH("6 MM",INVENTARIO!C170)),"6MM",
IF(ISNUMBER(SEARCH("9 MM",INVENTARIO!C170)),"9MM",
IF(ISNUMBER(SEARCH("10 MM",INVENTARIO!C170)),"10MM","")))))))))))))</f>
        <v/>
      </c>
      <c r="H170" t="str">
        <f>IF(ISNUMBER(SEARCH("GAMA BAJA",INVENTARIO!C170)),"GAM-BAJ",
IF(ISNUMBER(SEARCH("OPTIMIZADOR",INVENTARIO!C170)),"OPT",
IF(ISNUMBER(SEARCH("OVERCOAT",INVENTARIO!C170)),"OVE",
IF(ISNUMBER(SEARCH("WHITE",INVENTARIO!C170)),"WHI",
IF(ISNUMBER(SEARCH("LIGHT CYAN",INVENTARIO!C170)),"LIG-CYA",
IF(ISNUMBER(SEARCH("CYAN",INVENTARIO!C170)),"CYA",
IF(ISNUMBER(SEARCH("LIGHT MAGENTA",INVENTARIO!C170)),"LIG-MAG",
IF(ISNUMBER(SEARCH("MAGENTA",INVENTARIO!C170)),"MAG",
IF(ISNUMBER(SEARCH("BLACK",INVENTARIO!C170)),"BLA",
IF(ISNUMBER(SEARCH("YELLOW",INVENTARIO!C170)),"YEL",
IF(ISNUMBER(SEARCH("2 DIODOS",INVENTARIO!C170)),"2DI",
IF(ISNUMBER(SEARCH("3 DIODOS",INVENTARIO!C170)),"3DI",
IF(OR(ISNUMBER(SEARCH("TRASLUCIDO",INVENTARIO!C170)),ISNUMBER(SEARCH("TRANSLUCIDO",INVENTARIO!C170))),"TRA",
"")))))))))))))</f>
        <v/>
      </c>
      <c r="I170" t="str">
        <f>IF(ISNUMBER(SEARCH("SILED",INVENTARIO!C191)),"SI",
IF(ISNUMBER(SEARCH("SYDEMEX",INVENTARIO!C191)),"SY",
IF(ISNUMBER(SEARCH("ROHS",INVENTARIO!C191)),"RO",
IF(ISNUMBER(SEARCH("RISHANG",INVENTARIO!C191)),"RS",
IF(ISNUMBER(SEARCH("VYG",INVENTARIO!C191)),"VYG",
IF(ISNUMBER(SEARCH("COLED",INVENTARIO!C191)),"CO",""))))))</f>
        <v/>
      </c>
    </row>
    <row r="171" spans="1:9">
      <c r="A171" t="str">
        <f>IF(ISNUMBER(SEARCH("LONA",INVENTARIO!C171)),"LON",
IF(ISNUMBER(SEARCH("VINIL",INVENTARIO!C171)),"VIN",
IF(ISNUMBER(SEARCH("KROMACOTE",INVENTARIO!C171)),"KRO",
IF(ISNUMBER(SEARCH("STARDREAM",INVENTARIO!C171)),"STA",
IF(ISNUMBER(SEARCH("DISPLAY",INVENTARIO!C171)),"DIS",
IF(ISNUMBER(SEARCH("ROLL UP",INVENTARIO!C171)),"ROL-UP",
IF(ISNUMBER(SEARCH("TRANSFER DE PAPEL",INVENTARIO!C171)),"TRA-PAP",
IF(ISNUMBER(SEARCH("TRANSFER",INVENTARIO!C171)),"TRA",IF(ISNUMBER(SEARCH("KOLA LOKA",INVENTARIO!C171)),"KOL-LOK",
IF(ISNUMBER(SEARCH("PETG",INVENTARIO!C171)),"PET",
IF(ISNUMBER(SEARCH("OJILLO",INVENTARIO!C171)),"OJI",
IF(ISNUMBER(SEARCH("COUCHE",INVENTARIO!C171)),"COU",
IF(ISNUMBER(SEARCH("PANEL DE ALUMINIO",INVENTARIO!C171)),"PAN-ALU",
IF(ISNUMBER(SEARCH("PVC",INVENTARIO!C171)),"PVC",
IF(ISNUMBER(SEARCH("PAPEL",INVENTARIO!C171)),"PAP",
IF(ISNUMBER(SEARCH("TELA",INVENTARIO!C171)),"TEL",
IF(ISNUMBER(SEARCH("CARTULINA",INVENTARIO!C171)),"CAR",
IF(OR(ISNUMBER(SEARCH("LAMINA",INVENTARIO!C171)),ISNUMBER(SEARCH("LÁMINA",INVENTARIO!C171)),ISNUMBER(SEARCH("LAMPARAS",INVENTARIO!C171))),"LAM",
IF(ISNUMBER(SEARCH("ESTIRENO",INVENTARIO!C171)),"EST",
IF(ISNUMBER(SEARCH("FOAMBOARD",INVENTARIO!C171)),"FOA",
IF(ISNUMBER(SEARCH("SOLVENTE",INVENTARIO!C171)),"SOL",
IF(ISNUMBER(SEARCH("TINTA",INVENTARIO!C171)),"TIN",
IF(ISNUMBER(SEARCH("ACRILICO",INVENTARIO!C171)),"ACR",
IF(ISNUMBER(SEARCH("MICROLED",INVENTARIO!C171)),"MIC",
IF(ISNUMBER(SEARCH("LED",INVENTARIO!C171)),"LED",
IF(ISNUMBER(SEARCH("FUENTE DE PODER",INVENTARIO!C171)),"FUE-POD",
IF(ISNUMBER(SEARCH("PETG",INVENTARIO!C171)),"PET",
IF(ISNUMBER(SEARCH("ALUMINIO",INVENTARIO!C171)),"ALU",
IF(ISNUMBER(SEARCH("CANAL",INVENTARIO!C171)),"CAN",
IF(ISNUMBER(SEARCH("ESCUADRA",INVENTARIO!C171)),"ESC",
IF(ISNUMBER(SEARCH("SOPORTE",INVENTARIO!C171)),"SOP","OTR")
))))))))))))))))))))))))))))))</f>
        <v>VIN</v>
      </c>
      <c r="B171" t="str">
        <f>IF(ISNUMBER(SEARCH("CORTE",INVENTARIO!C171)),"COR",
IF(ISNUMBER(SEARCH("CITYLIGHT",INVENTARIO!C171)),"CIT",
IF(ISNUMBER(SEARCH("LINO",INVENTARIO!C171)),"LIN",
IF(ISNUMBER(SEARCH("FABRIANO",INVENTARIO!C171)),"FAB",
IF(ISNUMBER(SEARCH("SUNDANCE",INVENTARIO!C171)),"SUN",
IF(ISNUMBER(SEARCH("SINTETICA",INVENTARIO!C171)),"SIN",
IF(ISNUMBER(SEARCH("CONTROL",INVENTARIO!C171)),"CON",
IF(ISNUMBER(SEARCH("TERMICO",INVENTARIO!C171)),"TER",
IF(ISNUMBER(SEARCH("C-15",INVENTARIO!C171)),"C15",
IF(ISNUMBER(SEARCH("C-20",INVENTARIO!C171)),"C20",
IF(ISNUMBER(SEARCH("C-30",INVENTARIO!C171)),"C30",
IF(ISNUMBER(SEARCH("C-40",INVENTARIO!C171)),"C40",
IF(ISNUMBER(SEARCH("C-60",INVENTARIO!C171)),"C60",
IF(ISNUMBER(SEARCH("C-80",INVENTARIO!C171)),"C80",
IF(ISNUMBER(SEARCH("EQUIPO",INVENTARIO!C171)),"EQU",
IF(ISNUMBER(SEARCH("FLOOR",INVENTARIO!C171)),"FLO",
IF(ISNUMBER(SEARCH("CRISTAL",INVENTARIO!C171)),"CRI",
IF(ISNUMBER(SEARCH(" SULFATADA",INVENTARIO!C182)),"SUL",
IF(ISNUMBER(SEARCH("OPALINA",INVENTARIO!C171)),"OPA",
IF(ISNUMBER(SEARCH("ADHERIBLE",INVENTARIO!C171)),"ADH",
IF(ISNUMBER(SEARCH("MICRO",INVENTARIO!C171)),"MIC","")))))))))))))))))))))</f>
        <v>COR</v>
      </c>
      <c r="C171" t="str">
        <f>IF(ISNUMBER(SEARCH("PARED",INVENTARIO!C171)),"PAR",
IF(ISNUMBER(SEARCH("FRONT",INVENTARIO!C171)),"FRO",
IF(ISNUMBER(SEARCH("ALTA RESISTENCIA",INVENTARIO!C171)),
"ALT-RES",IF(ISNUMBER(SEARCH("BACKLITE",INVENTARIO!C171)),"BAC",
IF(ISNUMBER(SEARCH("MATE",INVENTARIO!C171)),"MAT",
IF(ISNUMBER(SEARCH("MESH",INVENTARIO!C171)),"MES",
IF(ISNUMBER(SEARCH("BRILLANTE",INVENTARIO!C171)),"BRI",
IF(ISNUMBER(SEARCH("DELGADA",INVENTARIO!C171)),"DEL",
IF(ISNUMBER(SEARCH("GRUESA",INVENTARIO!C171)),"GRU",
IF(ISNUMBER(SEARCH("ESTATICO",INVENTARIO!C171)),"EST",
IF(ISNUMBER(SEARCH("REFLECTIVO",INVENTARIO!C171)),"REF",
IF(ISNUMBER(SEARCH("LX700",INVENTARIO!C171)),"LX7",
IF(ISNUMBER(SEARCH("GRANDO",INVENTARIO!C171)),"GRA",
IF(ISNUMBER(SEARCH("FB700",INVENTARIO!C171)),"FB7",
IF(ISNUMBER(SEARCH("LX360",INVENTARIO!C171)),"LX3",
IF(ISNUMBER(SEARCH("XEROX",INVENTARIO!C171)),"XER",
IF(ISNUMBER(SEARCH("CEPILLADO",INVENTARIO!C171)),"CEP",
IF(ISNUMBER(SEARCH("ESPEJO",INVENTARIO!C171)),"ESP",
IF(ISNUMBER(SEARCH("10 PTS",INVENTARIO!C171)),"10PT",
IF(ISNUMBER(SEARCH("12 PTS",INVENTARIO!C171)),"12PT",
IF(ISNUMBER(SEARCH("14 PTS",INVENTARIO!C171)),"14PT",
IF(ISNUMBER(SEARCH("CLASICO",INVENTARIO!C171)),"CLA",
""))))))))))))))))))))))</f>
        <v/>
      </c>
      <c r="D171" t="str">
        <f>IF(ISNUMBER(SEARCH("GRAN FORMATO",INVENTARIO!C171)),"GRA-FOR",
IF(ISNUMBER(SEARCH("CAMA PLANA",INVENTARIO!C171)),"CAM-PLA",
IF(ISNUMBER(SEARCH("GRADO INGENIERIA",INVENTARIO!C171)),"GRA-ING",
IF(ISNUMBER(SEARCH("130 GRS",INVENTARIO!C171)),"130GR",
IF(ISNUMBER(SEARCH("150 GRS",INVENTARIO!C171)),"150GR",
IF(ISNUMBER(SEARCH("185 GRS",INVENTARIO!C171)),"185GR",
IF(ISNUMBER(SEARCH("200 GRS",INVENTARIO!C171)),"200GR",
IF(ISNUMBER(SEARCH("250 GRS",INVENTARIO!C171)),"250GR",
IF(ISNUMBER(SEARCH("300 GRS",INVENTARIO!C171)),"300GR",
IF(ISNUMBER(SEARCH("350 GRS",INVENTARIO!C171)),"350GR",
IF(ISNUMBER(SEARCH("18 OZ",INVENTARIO!C171)),"18OZ",
IF(ISNUMBER(SEARCH("15 OZ",INVENTARIO!C171)),"15OZ",
IF(OR(ISNUMBER(SEARCH("13 OZ",INVENTARIO!C171)),ISNUMBER(SEARCH("13 ONZAS",INVENTARIO!C171))),"13OZ",
IF(OR(ISNUMBER(SEARCH("9 OZ",INVENTARIO!C171)),ISNUMBER(SEARCH("9 ONZAS",INVENTARIO!C171))),"09OZ",
IF(ISNUMBER(SEARCH("DOBLE CARA",INVENTARIO!C171)),"DOB-CAR",
"")))))))))))))))</f>
        <v/>
      </c>
      <c r="E171" t="str">
        <f>IF(OR(ISNUMBER(SEARCH("TRANSPARENTE",INVENTARIO!C171)),ISNUMBER(SEARCH("TRANSPARENTES",INVENTARIO!C171))),"TRA",
IF(OR(ISNUMBER(SEARCH("BLANCO",INVENTARIO!C171)),ISNUMBER(SEARCH("BCO",INVENTARIO!C171))),"BLA",
IF(ISNUMBER(SEARCH("FOTOGRAFICO",INVENTARIO!C171)),"FOT",
IF(ISNUMBER(SEARCH("MARFIL",INVENTARIO!C171)),"MAR",
IF(ISNUMBER(SEARCH("VERDE",INVENTARIO!C171)),"VER",
IF(ISNUMBER(SEARCH("MORADO",INVENTARIO!C171)),"MOR",
IF(ISNUMBER(SEARCH("PLATA",INVENTARIO!C171)),"PLA",
IF(ISNUMBER(SEARCH("ORO",INVENTARIO!C171)),"ORO",
IF(ISNUMBER(SEARCH("AMARILLO",INVENTARIO!C171)),"AMA",
IF(ISNUMBER(SEARCH("NARANJA",INVENTARIO!C171)),"NAR",
IF(ISNUMBER(SEARCH("NEGRO",INVENTARIO!C171)),"NEG",
IF(ISNUMBER(SEARCH("ROJO",INVENTARIO!C171)),"ROJ",
IF(ISNUMBER(SEARCH("AZUL",INVENTARIO!C171)),"AZU","")))))))))))))</f>
        <v/>
      </c>
      <c r="F171" t="str">
        <f>IF(ISNUMBER(SEARCH("ARLON",INVENTARIO!C171)),"ARL",
IF(ISNUMBER(SEARCH("SUNTHINKS",INVENTARIO!C171)),"SUN",
IF(ISNUMBER(SEARCH("FRIO",INVENTARIO!C171)),"FRI",
IF(ISNUMBER(SEARCH("CALIDO",INVENTARIO!C171)),"CAL",
IF(ISNUMBER(SEARCH("CEPILLADO",INVENTARIO!C171)),"CEP",
IF(ISNUMBER(SEARCH("ESPEJO",INVENTARIO!C171)),"ESP",
""))))))</f>
        <v/>
      </c>
      <c r="G171" t="str">
        <f>IF(ISNUMBER(SEARCH("LATEX",INVENTARIO!C171)),"LAT",
IF(ISNUMBER(SEARCH("RESP. NEGRO",INVENTARIO!C171)),"RES-NEG",
IF(ISNUMBER(SEARCH("RESPALDO CAFE",INVENTARIO!C171)),"RES-CAF",
IF(ISNUMBER(SEARCH("RESPALDO GRIS",INVENTARIO!C171)),"RES-GRI",
IF(ISNUMBER(SEARCH("OPTICO",INVENTARIO!C171)),"OPT",
IF(ISNUMBER(SEARCH("1,2 MM",INVENTARIO!C171)),"1MM2",
IF(ISNUMBER(SEARCH("2 MM",INVENTARIO!C171)),"2MM",
IF(ISNUMBER(SEARCH("3 MM",INVENTARIO!C171)),"3MM",
IF(ISNUMBER(SEARCH("4 MM",INVENTARIO!C171)),"4MM",
IF(ISNUMBER(SEARCH("5 MM",INVENTARIO!C171)),"5MM",
IF(ISNUMBER(SEARCH("6 MM",INVENTARIO!C171)),"6MM",
IF(ISNUMBER(SEARCH("9 MM",INVENTARIO!C171)),"9MM",
IF(ISNUMBER(SEARCH("10 MM",INVENTARIO!C171)),"10MM","")))))))))))))</f>
        <v/>
      </c>
      <c r="H171" t="str">
        <f>IF(ISNUMBER(SEARCH("GAMA BAJA",INVENTARIO!C171)),"GAM-BAJ",
IF(ISNUMBER(SEARCH("OPTIMIZADOR",INVENTARIO!C171)),"OPT",
IF(ISNUMBER(SEARCH("OVERCOAT",INVENTARIO!C171)),"OVE",
IF(ISNUMBER(SEARCH("WHITE",INVENTARIO!C171)),"WHI",
IF(ISNUMBER(SEARCH("LIGHT CYAN",INVENTARIO!C171)),"LIG-CYA",
IF(ISNUMBER(SEARCH("CYAN",INVENTARIO!C171)),"CYA",
IF(ISNUMBER(SEARCH("LIGHT MAGENTA",INVENTARIO!C171)),"LIG-MAG",
IF(ISNUMBER(SEARCH("MAGENTA",INVENTARIO!C171)),"MAG",
IF(ISNUMBER(SEARCH("BLACK",INVENTARIO!C171)),"BLA",
IF(ISNUMBER(SEARCH("YELLOW",INVENTARIO!C171)),"YEL",
IF(ISNUMBER(SEARCH("2 DIODOS",INVENTARIO!C171)),"2DI",
IF(ISNUMBER(SEARCH("3 DIODOS",INVENTARIO!C171)),"3DI",
IF(OR(ISNUMBER(SEARCH("TRASLUCIDO",INVENTARIO!C171)),ISNUMBER(SEARCH("TRANSLUCIDO",INVENTARIO!C171))),"TRA",
"")))))))))))))</f>
        <v/>
      </c>
      <c r="I171" t="str">
        <f>IF(ISNUMBER(SEARCH("SILED",INVENTARIO!C192)),"SI",
IF(ISNUMBER(SEARCH("SYDEMEX",INVENTARIO!C192)),"SY",
IF(ISNUMBER(SEARCH("ROHS",INVENTARIO!C192)),"RO",
IF(ISNUMBER(SEARCH("RISHANG",INVENTARIO!C192)),"RS",
IF(ISNUMBER(SEARCH("VYG",INVENTARIO!C192)),"VYG",
IF(ISNUMBER(SEARCH("COLED",INVENTARIO!C192)),"CO",""))))))</f>
        <v/>
      </c>
    </row>
    <row r="172" spans="1:9">
      <c r="A172" t="str">
        <f>IF(ISNUMBER(SEARCH("LONA",INVENTARIO!C172)),"LON",
IF(ISNUMBER(SEARCH("VINIL",INVENTARIO!C172)),"VIN",
IF(ISNUMBER(SEARCH("KROMACOTE",INVENTARIO!C172)),"KRO",
IF(ISNUMBER(SEARCH("STARDREAM",INVENTARIO!C172)),"STA",
IF(ISNUMBER(SEARCH("DISPLAY",INVENTARIO!C172)),"DIS",
IF(ISNUMBER(SEARCH("ROLL UP",INVENTARIO!C172)),"ROL-UP",
IF(ISNUMBER(SEARCH("TRANSFER DE PAPEL",INVENTARIO!C172)),"TRA-PAP",
IF(ISNUMBER(SEARCH("TRANSFER",INVENTARIO!C172)),"TRA",IF(ISNUMBER(SEARCH("KOLA LOKA",INVENTARIO!C172)),"KOL-LOK",
IF(ISNUMBER(SEARCH("PETG",INVENTARIO!C172)),"PET",
IF(ISNUMBER(SEARCH("OJILLO",INVENTARIO!C172)),"OJI",
IF(ISNUMBER(SEARCH("COUCHE",INVENTARIO!C172)),"COU",
IF(ISNUMBER(SEARCH("PANEL DE ALUMINIO",INVENTARIO!C172)),"PAN-ALU",
IF(ISNUMBER(SEARCH("PVC",INVENTARIO!C172)),"PVC",
IF(ISNUMBER(SEARCH("PAPEL",INVENTARIO!C172)),"PAP",
IF(ISNUMBER(SEARCH("TELA",INVENTARIO!C172)),"TEL",
IF(ISNUMBER(SEARCH("CARTULINA",INVENTARIO!C172)),"CAR",
IF(OR(ISNUMBER(SEARCH("LAMINA",INVENTARIO!C172)),ISNUMBER(SEARCH("LÁMINA",INVENTARIO!C172)),ISNUMBER(SEARCH("LAMPARAS",INVENTARIO!C172))),"LAM",
IF(ISNUMBER(SEARCH("ESTIRENO",INVENTARIO!C172)),"EST",
IF(ISNUMBER(SEARCH("FOAMBOARD",INVENTARIO!C172)),"FOA",
IF(ISNUMBER(SEARCH("SOLVENTE",INVENTARIO!C172)),"SOL",
IF(ISNUMBER(SEARCH("TINTA",INVENTARIO!C172)),"TIN",
IF(ISNUMBER(SEARCH("ACRILICO",INVENTARIO!C172)),"ACR",
IF(ISNUMBER(SEARCH("MICROLED",INVENTARIO!C172)),"MIC",
IF(ISNUMBER(SEARCH("LED",INVENTARIO!C172)),"LED",
IF(ISNUMBER(SEARCH("FUENTE DE PODER",INVENTARIO!C172)),"FUE-POD",
IF(ISNUMBER(SEARCH("PETG",INVENTARIO!C172)),"PET",
IF(ISNUMBER(SEARCH("ALUMINIO",INVENTARIO!C172)),"ALU",
IF(ISNUMBER(SEARCH("CANAL",INVENTARIO!C172)),"CAN",
IF(ISNUMBER(SEARCH("ESCUADRA",INVENTARIO!C172)),"ESC",
IF(ISNUMBER(SEARCH("SOPORTE",INVENTARIO!C172)),"SOP","OTR")
))))))))))))))))))))))))))))))</f>
        <v>VIN</v>
      </c>
      <c r="B172" t="str">
        <f>IF(ISNUMBER(SEARCH("CORTE",INVENTARIO!C172)),"COR",
IF(ISNUMBER(SEARCH("CITYLIGHT",INVENTARIO!C172)),"CIT",
IF(ISNUMBER(SEARCH("LINO",INVENTARIO!C172)),"LIN",
IF(ISNUMBER(SEARCH("FABRIANO",INVENTARIO!C172)),"FAB",
IF(ISNUMBER(SEARCH("SUNDANCE",INVENTARIO!C172)),"SUN",
IF(ISNUMBER(SEARCH("SINTETICA",INVENTARIO!C172)),"SIN",
IF(ISNUMBER(SEARCH("CONTROL",INVENTARIO!C172)),"CON",
IF(ISNUMBER(SEARCH("TERMICO",INVENTARIO!C172)),"TER",
IF(ISNUMBER(SEARCH("C-15",INVENTARIO!C172)),"C15",
IF(ISNUMBER(SEARCH("C-20",INVENTARIO!C172)),"C20",
IF(ISNUMBER(SEARCH("C-30",INVENTARIO!C172)),"C30",
IF(ISNUMBER(SEARCH("C-40",INVENTARIO!C172)),"C40",
IF(ISNUMBER(SEARCH("C-60",INVENTARIO!C172)),"C60",
IF(ISNUMBER(SEARCH("C-80",INVENTARIO!C172)),"C80",
IF(ISNUMBER(SEARCH("EQUIPO",INVENTARIO!C172)),"EQU",
IF(ISNUMBER(SEARCH("FLOOR",INVENTARIO!C172)),"FLO",
IF(ISNUMBER(SEARCH("CRISTAL",INVENTARIO!C172)),"CRI",
IF(ISNUMBER(SEARCH(" SULFATADA",INVENTARIO!C183)),"SUL",
IF(ISNUMBER(SEARCH("OPALINA",INVENTARIO!C172)),"OPA",
IF(ISNUMBER(SEARCH("ADHERIBLE",INVENTARIO!C172)),"ADH",
IF(ISNUMBER(SEARCH("MICRO",INVENTARIO!C172)),"MIC","")))))))))))))))))))))</f>
        <v>COR</v>
      </c>
      <c r="C172" t="str">
        <f>IF(ISNUMBER(SEARCH("PARED",INVENTARIO!C172)),"PAR",
IF(ISNUMBER(SEARCH("FRONT",INVENTARIO!C172)),"FRO",
IF(ISNUMBER(SEARCH("ALTA RESISTENCIA",INVENTARIO!C172)),
"ALT-RES",IF(ISNUMBER(SEARCH("BACKLITE",INVENTARIO!C172)),"BAC",
IF(ISNUMBER(SEARCH("MATE",INVENTARIO!C172)),"MAT",
IF(ISNUMBER(SEARCH("MESH",INVENTARIO!C172)),"MES",
IF(ISNUMBER(SEARCH("BRILLANTE",INVENTARIO!C172)),"BRI",
IF(ISNUMBER(SEARCH("DELGADA",INVENTARIO!C172)),"DEL",
IF(ISNUMBER(SEARCH("GRUESA",INVENTARIO!C172)),"GRU",
IF(ISNUMBER(SEARCH("ESTATICO",INVENTARIO!C172)),"EST",
IF(ISNUMBER(SEARCH("REFLECTIVO",INVENTARIO!C172)),"REF",
IF(ISNUMBER(SEARCH("LX700",INVENTARIO!C172)),"LX7",
IF(ISNUMBER(SEARCH("GRANDO",INVENTARIO!C172)),"GRA",
IF(ISNUMBER(SEARCH("FB700",INVENTARIO!C172)),"FB7",
IF(ISNUMBER(SEARCH("LX360",INVENTARIO!C172)),"LX3",
IF(ISNUMBER(SEARCH("XEROX",INVENTARIO!C172)),"XER",
IF(ISNUMBER(SEARCH("CEPILLADO",INVENTARIO!C172)),"CEP",
IF(ISNUMBER(SEARCH("ESPEJO",INVENTARIO!C172)),"ESP",
IF(ISNUMBER(SEARCH("10 PTS",INVENTARIO!C172)),"10PT",
IF(ISNUMBER(SEARCH("12 PTS",INVENTARIO!C172)),"12PT",
IF(ISNUMBER(SEARCH("14 PTS",INVENTARIO!C172)),"14PT",
IF(ISNUMBER(SEARCH("CLASICO",INVENTARIO!C172)),"CLA",
""))))))))))))))))))))))</f>
        <v/>
      </c>
      <c r="D172" t="str">
        <f>IF(ISNUMBER(SEARCH("GRAN FORMATO",INVENTARIO!C172)),"GRA-FOR",
IF(ISNUMBER(SEARCH("CAMA PLANA",INVENTARIO!C172)),"CAM-PLA",
IF(ISNUMBER(SEARCH("GRADO INGENIERIA",INVENTARIO!C172)),"GRA-ING",
IF(ISNUMBER(SEARCH("130 GRS",INVENTARIO!C172)),"130GR",
IF(ISNUMBER(SEARCH("150 GRS",INVENTARIO!C172)),"150GR",
IF(ISNUMBER(SEARCH("185 GRS",INVENTARIO!C172)),"185GR",
IF(ISNUMBER(SEARCH("200 GRS",INVENTARIO!C172)),"200GR",
IF(ISNUMBER(SEARCH("250 GRS",INVENTARIO!C172)),"250GR",
IF(ISNUMBER(SEARCH("300 GRS",INVENTARIO!C172)),"300GR",
IF(ISNUMBER(SEARCH("350 GRS",INVENTARIO!C172)),"350GR",
IF(ISNUMBER(SEARCH("18 OZ",INVENTARIO!C172)),"18OZ",
IF(ISNUMBER(SEARCH("15 OZ",INVENTARIO!C172)),"15OZ",
IF(OR(ISNUMBER(SEARCH("13 OZ",INVENTARIO!C172)),ISNUMBER(SEARCH("13 ONZAS",INVENTARIO!C172))),"13OZ",
IF(OR(ISNUMBER(SEARCH("9 OZ",INVENTARIO!C172)),ISNUMBER(SEARCH("9 ONZAS",INVENTARIO!C172))),"09OZ",
IF(ISNUMBER(SEARCH("DOBLE CARA",INVENTARIO!C172)),"DOB-CAR",
"")))))))))))))))</f>
        <v/>
      </c>
      <c r="E172" t="str">
        <f>IF(OR(ISNUMBER(SEARCH("TRANSPARENTE",INVENTARIO!C172)),ISNUMBER(SEARCH("TRANSPARENTES",INVENTARIO!C172))),"TRA",
IF(OR(ISNUMBER(SEARCH("BLANCO",INVENTARIO!C172)),ISNUMBER(SEARCH("BCO",INVENTARIO!C172))),"BLA",
IF(ISNUMBER(SEARCH("FOTOGRAFICO",INVENTARIO!C172)),"FOT",
IF(ISNUMBER(SEARCH("MARFIL",INVENTARIO!C172)),"MAR",
IF(ISNUMBER(SEARCH("VERDE",INVENTARIO!C172)),"VER",
IF(ISNUMBER(SEARCH("MORADO",INVENTARIO!C172)),"MOR",
IF(ISNUMBER(SEARCH("PLATA",INVENTARIO!C172)),"PLA",
IF(ISNUMBER(SEARCH("ORO",INVENTARIO!C172)),"ORO",
IF(ISNUMBER(SEARCH("AMARILLO",INVENTARIO!C172)),"AMA",
IF(ISNUMBER(SEARCH("NARANJA",INVENTARIO!C172)),"NAR",
IF(ISNUMBER(SEARCH("NEGRO",INVENTARIO!C172)),"NEG",
IF(ISNUMBER(SEARCH("ROJO",INVENTARIO!C172)),"ROJ",
IF(ISNUMBER(SEARCH("AZUL",INVENTARIO!C172)),"AZU","")))))))))))))</f>
        <v/>
      </c>
      <c r="F172" t="str">
        <f>IF(ISNUMBER(SEARCH("ARLON",INVENTARIO!C172)),"ARL",
IF(ISNUMBER(SEARCH("SUNTHINKS",INVENTARIO!C172)),"SUN",
IF(ISNUMBER(SEARCH("FRIO",INVENTARIO!C172)),"FRI",
IF(ISNUMBER(SEARCH("CALIDO",INVENTARIO!C172)),"CAL",
IF(ISNUMBER(SEARCH("CEPILLADO",INVENTARIO!C172)),"CEP",
IF(ISNUMBER(SEARCH("ESPEJO",INVENTARIO!C172)),"ESP",
""))))))</f>
        <v/>
      </c>
      <c r="G172" t="str">
        <f>IF(ISNUMBER(SEARCH("LATEX",INVENTARIO!C172)),"LAT",
IF(ISNUMBER(SEARCH("RESP. NEGRO",INVENTARIO!C172)),"RES-NEG",
IF(ISNUMBER(SEARCH("RESPALDO CAFE",INVENTARIO!C172)),"RES-CAF",
IF(ISNUMBER(SEARCH("RESPALDO GRIS",INVENTARIO!C172)),"RES-GRI",
IF(ISNUMBER(SEARCH("OPTICO",INVENTARIO!C172)),"OPT",
IF(ISNUMBER(SEARCH("1,2 MM",INVENTARIO!C172)),"1MM2",
IF(ISNUMBER(SEARCH("2 MM",INVENTARIO!C172)),"2MM",
IF(ISNUMBER(SEARCH("3 MM",INVENTARIO!C172)),"3MM",
IF(ISNUMBER(SEARCH("4 MM",INVENTARIO!C172)),"4MM",
IF(ISNUMBER(SEARCH("5 MM",INVENTARIO!C172)),"5MM",
IF(ISNUMBER(SEARCH("6 MM",INVENTARIO!C172)),"6MM",
IF(ISNUMBER(SEARCH("9 MM",INVENTARIO!C172)),"9MM",
IF(ISNUMBER(SEARCH("10 MM",INVENTARIO!C172)),"10MM","")))))))))))))</f>
        <v/>
      </c>
      <c r="H172" t="str">
        <f>IF(ISNUMBER(SEARCH("GAMA BAJA",INVENTARIO!C172)),"GAM-BAJ",
IF(ISNUMBER(SEARCH("OPTIMIZADOR",INVENTARIO!C172)),"OPT",
IF(ISNUMBER(SEARCH("OVERCOAT",INVENTARIO!C172)),"OVE",
IF(ISNUMBER(SEARCH("WHITE",INVENTARIO!C172)),"WHI",
IF(ISNUMBER(SEARCH("LIGHT CYAN",INVENTARIO!C172)),"LIG-CYA",
IF(ISNUMBER(SEARCH("CYAN",INVENTARIO!C172)),"CYA",
IF(ISNUMBER(SEARCH("LIGHT MAGENTA",INVENTARIO!C172)),"LIG-MAG",
IF(ISNUMBER(SEARCH("MAGENTA",INVENTARIO!C172)),"MAG",
IF(ISNUMBER(SEARCH("BLACK",INVENTARIO!C172)),"BLA",
IF(ISNUMBER(SEARCH("YELLOW",INVENTARIO!C172)),"YEL",
IF(ISNUMBER(SEARCH("2 DIODOS",INVENTARIO!C172)),"2DI",
IF(ISNUMBER(SEARCH("3 DIODOS",INVENTARIO!C172)),"3DI",
IF(OR(ISNUMBER(SEARCH("TRASLUCIDO",INVENTARIO!C172)),ISNUMBER(SEARCH("TRANSLUCIDO",INVENTARIO!C172))),"TRA",
"")))))))))))))</f>
        <v/>
      </c>
      <c r="I172" t="str">
        <f>IF(ISNUMBER(SEARCH("SILED",INVENTARIO!C193)),"SI",
IF(ISNUMBER(SEARCH("SYDEMEX",INVENTARIO!C193)),"SY",
IF(ISNUMBER(SEARCH("ROHS",INVENTARIO!C193)),"RO",
IF(ISNUMBER(SEARCH("RISHANG",INVENTARIO!C193)),"RS",
IF(ISNUMBER(SEARCH("VYG",INVENTARIO!C193)),"VYG",
IF(ISNUMBER(SEARCH("COLED",INVENTARIO!C193)),"CO",""))))))</f>
        <v/>
      </c>
    </row>
    <row r="173" spans="1:9">
      <c r="A173" t="str">
        <f>IF(ISNUMBER(SEARCH("LONA",INVENTARIO!C173)),"LON",
IF(ISNUMBER(SEARCH("VINIL",INVENTARIO!C173)),"VIN",
IF(ISNUMBER(SEARCH("KROMACOTE",INVENTARIO!C173)),"KRO",
IF(ISNUMBER(SEARCH("STARDREAM",INVENTARIO!C173)),"STA",
IF(ISNUMBER(SEARCH("DISPLAY",INVENTARIO!C173)),"DIS",
IF(ISNUMBER(SEARCH("ROLL UP",INVENTARIO!C173)),"ROL-UP",
IF(ISNUMBER(SEARCH("TRANSFER DE PAPEL",INVENTARIO!C173)),"TRA-PAP",
IF(ISNUMBER(SEARCH("TRANSFER",INVENTARIO!C173)),"TRA",IF(ISNUMBER(SEARCH("KOLA LOKA",INVENTARIO!C173)),"KOL-LOK",
IF(ISNUMBER(SEARCH("PETG",INVENTARIO!C173)),"PET",
IF(ISNUMBER(SEARCH("OJILLO",INVENTARIO!C173)),"OJI",
IF(ISNUMBER(SEARCH("COUCHE",INVENTARIO!C173)),"COU",
IF(ISNUMBER(SEARCH("PANEL DE ALUMINIO",INVENTARIO!C173)),"PAN-ALU",
IF(ISNUMBER(SEARCH("PVC",INVENTARIO!C173)),"PVC",
IF(ISNUMBER(SEARCH("PAPEL",INVENTARIO!C173)),"PAP",
IF(ISNUMBER(SEARCH("TELA",INVENTARIO!C173)),"TEL",
IF(ISNUMBER(SEARCH("CARTULINA",INVENTARIO!C173)),"CAR",
IF(OR(ISNUMBER(SEARCH("LAMINA",INVENTARIO!C173)),ISNUMBER(SEARCH("LÁMINA",INVENTARIO!C173)),ISNUMBER(SEARCH("LAMPARAS",INVENTARIO!C173))),"LAM",
IF(ISNUMBER(SEARCH("ESTIRENO",INVENTARIO!C173)),"EST",
IF(ISNUMBER(SEARCH("FOAMBOARD",INVENTARIO!C173)),"FOA",
IF(ISNUMBER(SEARCH("SOLVENTE",INVENTARIO!C173)),"SOL",
IF(ISNUMBER(SEARCH("TINTA",INVENTARIO!C173)),"TIN",
IF(ISNUMBER(SEARCH("ACRILICO",INVENTARIO!C173)),"ACR",
IF(ISNUMBER(SEARCH("MICROLED",INVENTARIO!C173)),"MIC",
IF(ISNUMBER(SEARCH("LED",INVENTARIO!C173)),"LED",
IF(ISNUMBER(SEARCH("FUENTE DE PODER",INVENTARIO!C173)),"FUE-POD",
IF(ISNUMBER(SEARCH("PETG",INVENTARIO!C173)),"PET",
IF(ISNUMBER(SEARCH("ALUMINIO",INVENTARIO!C173)),"ALU",
IF(ISNUMBER(SEARCH("CANAL",INVENTARIO!C173)),"CAN",
IF(ISNUMBER(SEARCH("ESCUADRA",INVENTARIO!C173)),"ESC",
IF(ISNUMBER(SEARCH("SOPORTE",INVENTARIO!C173)),"SOP","OTR")
))))))))))))))))))))))))))))))</f>
        <v>VIN</v>
      </c>
      <c r="B173" t="str">
        <f>IF(ISNUMBER(SEARCH("CORTE",INVENTARIO!C173)),"COR",
IF(ISNUMBER(SEARCH("CITYLIGHT",INVENTARIO!C173)),"CIT",
IF(ISNUMBER(SEARCH("LINO",INVENTARIO!C173)),"LIN",
IF(ISNUMBER(SEARCH("FABRIANO",INVENTARIO!C173)),"FAB",
IF(ISNUMBER(SEARCH("SUNDANCE",INVENTARIO!C173)),"SUN",
IF(ISNUMBER(SEARCH("SINTETICA",INVENTARIO!C173)),"SIN",
IF(ISNUMBER(SEARCH("CONTROL",INVENTARIO!C173)),"CON",
IF(ISNUMBER(SEARCH("TERMICO",INVENTARIO!C173)),"TER",
IF(ISNUMBER(SEARCH("C-15",INVENTARIO!C173)),"C15",
IF(ISNUMBER(SEARCH("C-20",INVENTARIO!C173)),"C20",
IF(ISNUMBER(SEARCH("C-30",INVENTARIO!C173)),"C30",
IF(ISNUMBER(SEARCH("C-40",INVENTARIO!C173)),"C40",
IF(ISNUMBER(SEARCH("C-60",INVENTARIO!C173)),"C60",
IF(ISNUMBER(SEARCH("C-80",INVENTARIO!C173)),"C80",
IF(ISNUMBER(SEARCH("EQUIPO",INVENTARIO!C173)),"EQU",
IF(ISNUMBER(SEARCH("FLOOR",INVENTARIO!C173)),"FLO",
IF(ISNUMBER(SEARCH("CRISTAL",INVENTARIO!C173)),"CRI",
IF(ISNUMBER(SEARCH(" SULFATADA",INVENTARIO!C184)),"SUL",
IF(ISNUMBER(SEARCH("OPALINA",INVENTARIO!C173)),"OPA",
IF(ISNUMBER(SEARCH("ADHERIBLE",INVENTARIO!C173)),"ADH",
IF(ISNUMBER(SEARCH("MICRO",INVENTARIO!C173)),"MIC","")))))))))))))))))))))</f>
        <v>COR</v>
      </c>
      <c r="C173" t="str">
        <f>IF(ISNUMBER(SEARCH("PARED",INVENTARIO!C173)),"PAR",
IF(ISNUMBER(SEARCH("FRONT",INVENTARIO!C173)),"FRO",
IF(ISNUMBER(SEARCH("ALTA RESISTENCIA",INVENTARIO!C173)),
"ALT-RES",IF(ISNUMBER(SEARCH("BACKLITE",INVENTARIO!C173)),"BAC",
IF(ISNUMBER(SEARCH("MATE",INVENTARIO!C173)),"MAT",
IF(ISNUMBER(SEARCH("MESH",INVENTARIO!C173)),"MES",
IF(ISNUMBER(SEARCH("BRILLANTE",INVENTARIO!C173)),"BRI",
IF(ISNUMBER(SEARCH("DELGADA",INVENTARIO!C173)),"DEL",
IF(ISNUMBER(SEARCH("GRUESA",INVENTARIO!C173)),"GRU",
IF(ISNUMBER(SEARCH("ESTATICO",INVENTARIO!C173)),"EST",
IF(ISNUMBER(SEARCH("REFLECTIVO",INVENTARIO!C173)),"REF",
IF(ISNUMBER(SEARCH("LX700",INVENTARIO!C173)),"LX7",
IF(ISNUMBER(SEARCH("GRANDO",INVENTARIO!C173)),"GRA",
IF(ISNUMBER(SEARCH("FB700",INVENTARIO!C173)),"FB7",
IF(ISNUMBER(SEARCH("LX360",INVENTARIO!C173)),"LX3",
IF(ISNUMBER(SEARCH("XEROX",INVENTARIO!C173)),"XER",
IF(ISNUMBER(SEARCH("CEPILLADO",INVENTARIO!C173)),"CEP",
IF(ISNUMBER(SEARCH("ESPEJO",INVENTARIO!C173)),"ESP",
IF(ISNUMBER(SEARCH("10 PTS",INVENTARIO!C173)),"10PT",
IF(ISNUMBER(SEARCH("12 PTS",INVENTARIO!C173)),"12PT",
IF(ISNUMBER(SEARCH("14 PTS",INVENTARIO!C173)),"14PT",
IF(ISNUMBER(SEARCH("CLASICO",INVENTARIO!C173)),"CLA",
""))))))))))))))))))))))</f>
        <v>MAT</v>
      </c>
      <c r="D173" t="str">
        <f>IF(ISNUMBER(SEARCH("GRAN FORMATO",INVENTARIO!C173)),"GRA-FOR",
IF(ISNUMBER(SEARCH("CAMA PLANA",INVENTARIO!C173)),"CAM-PLA",
IF(ISNUMBER(SEARCH("GRADO INGENIERIA",INVENTARIO!C173)),"GRA-ING",
IF(ISNUMBER(SEARCH("130 GRS",INVENTARIO!C173)),"130GR",
IF(ISNUMBER(SEARCH("150 GRS",INVENTARIO!C173)),"150GR",
IF(ISNUMBER(SEARCH("185 GRS",INVENTARIO!C173)),"185GR",
IF(ISNUMBER(SEARCH("200 GRS",INVENTARIO!C173)),"200GR",
IF(ISNUMBER(SEARCH("250 GRS",INVENTARIO!C173)),"250GR",
IF(ISNUMBER(SEARCH("300 GRS",INVENTARIO!C173)),"300GR",
IF(ISNUMBER(SEARCH("350 GRS",INVENTARIO!C173)),"350GR",
IF(ISNUMBER(SEARCH("18 OZ",INVENTARIO!C173)),"18OZ",
IF(ISNUMBER(SEARCH("15 OZ",INVENTARIO!C173)),"15OZ",
IF(OR(ISNUMBER(SEARCH("13 OZ",INVENTARIO!C173)),ISNUMBER(SEARCH("13 ONZAS",INVENTARIO!C173))),"13OZ",
IF(OR(ISNUMBER(SEARCH("9 OZ",INVENTARIO!C173)),ISNUMBER(SEARCH("9 ONZAS",INVENTARIO!C173))),"09OZ",
IF(ISNUMBER(SEARCH("DOBLE CARA",INVENTARIO!C173)),"DOB-CAR",
"")))))))))))))))</f>
        <v/>
      </c>
      <c r="E173" t="str">
        <f>IF(OR(ISNUMBER(SEARCH("TRANSPARENTE",INVENTARIO!C173)),ISNUMBER(SEARCH("TRANSPARENTES",INVENTARIO!C173))),"TRA",
IF(OR(ISNUMBER(SEARCH("BLANCO",INVENTARIO!C173)),ISNUMBER(SEARCH("BCO",INVENTARIO!C173))),"BLA",
IF(ISNUMBER(SEARCH("FOTOGRAFICO",INVENTARIO!C173)),"FOT",
IF(ISNUMBER(SEARCH("MARFIL",INVENTARIO!C173)),"MAR",
IF(ISNUMBER(SEARCH("VERDE",INVENTARIO!C173)),"VER",
IF(ISNUMBER(SEARCH("MORADO",INVENTARIO!C173)),"MOR",
IF(ISNUMBER(SEARCH("PLATA",INVENTARIO!C173)),"PLA",
IF(ISNUMBER(SEARCH("ORO",INVENTARIO!C173)),"ORO",
IF(ISNUMBER(SEARCH("AMARILLO",INVENTARIO!C173)),"AMA",
IF(ISNUMBER(SEARCH("NARANJA",INVENTARIO!C173)),"NAR",
IF(ISNUMBER(SEARCH("NEGRO",INVENTARIO!C173)),"NEG",
IF(ISNUMBER(SEARCH("ROJO",INVENTARIO!C173)),"ROJ",
IF(ISNUMBER(SEARCH("AZUL",INVENTARIO!C173)),"AZU","")))))))))))))</f>
        <v>NAR</v>
      </c>
      <c r="F173" t="str">
        <f>IF(ISNUMBER(SEARCH("ARLON",INVENTARIO!C173)),"ARL",
IF(ISNUMBER(SEARCH("SUNTHINKS",INVENTARIO!C173)),"SUN",
IF(ISNUMBER(SEARCH("FRIO",INVENTARIO!C173)),"FRI",
IF(ISNUMBER(SEARCH("CALIDO",INVENTARIO!C173)),"CAL",
IF(ISNUMBER(SEARCH("CEPILLADO",INVENTARIO!C173)),"CEP",
IF(ISNUMBER(SEARCH("ESPEJO",INVENTARIO!C173)),"ESP",
""))))))</f>
        <v/>
      </c>
      <c r="G173" t="str">
        <f>IF(ISNUMBER(SEARCH("LATEX",INVENTARIO!C173)),"LAT",
IF(ISNUMBER(SEARCH("RESP. NEGRO",INVENTARIO!C173)),"RES-NEG",
IF(ISNUMBER(SEARCH("RESPALDO CAFE",INVENTARIO!C173)),"RES-CAF",
IF(ISNUMBER(SEARCH("RESPALDO GRIS",INVENTARIO!C173)),"RES-GRI",
IF(ISNUMBER(SEARCH("OPTICO",INVENTARIO!C173)),"OPT",
IF(ISNUMBER(SEARCH("1,2 MM",INVENTARIO!C173)),"1MM2",
IF(ISNUMBER(SEARCH("2 MM",INVENTARIO!C173)),"2MM",
IF(ISNUMBER(SEARCH("3 MM",INVENTARIO!C173)),"3MM",
IF(ISNUMBER(SEARCH("4 MM",INVENTARIO!C173)),"4MM",
IF(ISNUMBER(SEARCH("5 MM",INVENTARIO!C173)),"5MM",
IF(ISNUMBER(SEARCH("6 MM",INVENTARIO!C173)),"6MM",
IF(ISNUMBER(SEARCH("9 MM",INVENTARIO!C173)),"9MM",
IF(ISNUMBER(SEARCH("10 MM",INVENTARIO!C173)),"10MM","")))))))))))))</f>
        <v/>
      </c>
      <c r="H173" t="str">
        <f>IF(ISNUMBER(SEARCH("GAMA BAJA",INVENTARIO!C173)),"GAM-BAJ",
IF(ISNUMBER(SEARCH("OPTIMIZADOR",INVENTARIO!C173)),"OPT",
IF(ISNUMBER(SEARCH("OVERCOAT",INVENTARIO!C173)),"OVE",
IF(ISNUMBER(SEARCH("WHITE",INVENTARIO!C173)),"WHI",
IF(ISNUMBER(SEARCH("LIGHT CYAN",INVENTARIO!C173)),"LIG-CYA",
IF(ISNUMBER(SEARCH("CYAN",INVENTARIO!C173)),"CYA",
IF(ISNUMBER(SEARCH("LIGHT MAGENTA",INVENTARIO!C173)),"LIG-MAG",
IF(ISNUMBER(SEARCH("MAGENTA",INVENTARIO!C173)),"MAG",
IF(ISNUMBER(SEARCH("BLACK",INVENTARIO!C173)),"BLA",
IF(ISNUMBER(SEARCH("YELLOW",INVENTARIO!C173)),"YEL",
IF(ISNUMBER(SEARCH("2 DIODOS",INVENTARIO!C173)),"2DI",
IF(ISNUMBER(SEARCH("3 DIODOS",INVENTARIO!C173)),"3DI",
IF(OR(ISNUMBER(SEARCH("TRASLUCIDO",INVENTARIO!C173)),ISNUMBER(SEARCH("TRANSLUCIDO",INVENTARIO!C173))),"TRA",
"")))))))))))))</f>
        <v/>
      </c>
      <c r="I173" t="str">
        <f>IF(ISNUMBER(SEARCH("SILED",INVENTARIO!C194)),"SI",
IF(ISNUMBER(SEARCH("SYDEMEX",INVENTARIO!C194)),"SY",
IF(ISNUMBER(SEARCH("ROHS",INVENTARIO!C194)),"RO",
IF(ISNUMBER(SEARCH("RISHANG",INVENTARIO!C194)),"RS",
IF(ISNUMBER(SEARCH("VYG",INVENTARIO!C194)),"VYG",
IF(ISNUMBER(SEARCH("COLED",INVENTARIO!C194)),"CO",""))))))</f>
        <v/>
      </c>
    </row>
    <row r="174" spans="1:9">
      <c r="A174" t="str">
        <f>IF(ISNUMBER(SEARCH("LONA",INVENTARIO!C174)),"LON",
IF(ISNUMBER(SEARCH("VINIL",INVENTARIO!C174)),"VIN",
IF(ISNUMBER(SEARCH("KROMACOTE",INVENTARIO!C174)),"KRO",
IF(ISNUMBER(SEARCH("STARDREAM",INVENTARIO!C174)),"STA",
IF(ISNUMBER(SEARCH("DISPLAY",INVENTARIO!C174)),"DIS",
IF(ISNUMBER(SEARCH("ROLL UP",INVENTARIO!C174)),"ROL-UP",
IF(ISNUMBER(SEARCH("TRANSFER DE PAPEL",INVENTARIO!C174)),"TRA-PAP",
IF(ISNUMBER(SEARCH("TRANSFER",INVENTARIO!C174)),"TRA",IF(ISNUMBER(SEARCH("KOLA LOKA",INVENTARIO!C174)),"KOL-LOK",
IF(ISNUMBER(SEARCH("PETG",INVENTARIO!C174)),"PET",
IF(ISNUMBER(SEARCH("OJILLO",INVENTARIO!C174)),"OJI",
IF(ISNUMBER(SEARCH("COUCHE",INVENTARIO!C174)),"COU",
IF(ISNUMBER(SEARCH("PANEL DE ALUMINIO",INVENTARIO!C174)),"PAN-ALU",
IF(ISNUMBER(SEARCH("PVC",INVENTARIO!C174)),"PVC",
IF(ISNUMBER(SEARCH("PAPEL",INVENTARIO!C174)),"PAP",
IF(ISNUMBER(SEARCH("TELA",INVENTARIO!C174)),"TEL",
IF(ISNUMBER(SEARCH("CARTULINA",INVENTARIO!C174)),"CAR",
IF(OR(ISNUMBER(SEARCH("LAMINA",INVENTARIO!C174)),ISNUMBER(SEARCH("LÁMINA",INVENTARIO!C174)),ISNUMBER(SEARCH("LAMPARAS",INVENTARIO!C174))),"LAM",
IF(ISNUMBER(SEARCH("ESTIRENO",INVENTARIO!C174)),"EST",
IF(ISNUMBER(SEARCH("FOAMBOARD",INVENTARIO!C174)),"FOA",
IF(ISNUMBER(SEARCH("SOLVENTE",INVENTARIO!C174)),"SOL",
IF(ISNUMBER(SEARCH("TINTA",INVENTARIO!C174)),"TIN",
IF(ISNUMBER(SEARCH("ACRILICO",INVENTARIO!C174)),"ACR",
IF(ISNUMBER(SEARCH("MICROLED",INVENTARIO!C174)),"MIC",
IF(ISNUMBER(SEARCH("LED",INVENTARIO!C174)),"LED",
IF(ISNUMBER(SEARCH("FUENTE DE PODER",INVENTARIO!C174)),"FUE-POD",
IF(ISNUMBER(SEARCH("PETG",INVENTARIO!C174)),"PET",
IF(ISNUMBER(SEARCH("ALUMINIO",INVENTARIO!C174)),"ALU",
IF(ISNUMBER(SEARCH("CANAL",INVENTARIO!C174)),"CAN",
IF(ISNUMBER(SEARCH("ESCUADRA",INVENTARIO!C174)),"ESC",
IF(ISNUMBER(SEARCH("SOPORTE",INVENTARIO!C174)),"SOP","OTR")
))))))))))))))))))))))))))))))</f>
        <v>VIN</v>
      </c>
      <c r="B174" t="str">
        <f>IF(ISNUMBER(SEARCH("CORTE",INVENTARIO!C174)),"COR",
IF(ISNUMBER(SEARCH("CITYLIGHT",INVENTARIO!C174)),"CIT",
IF(ISNUMBER(SEARCH("LINO",INVENTARIO!C174)),"LIN",
IF(ISNUMBER(SEARCH("FABRIANO",INVENTARIO!C174)),"FAB",
IF(ISNUMBER(SEARCH("SUNDANCE",INVENTARIO!C174)),"SUN",
IF(ISNUMBER(SEARCH("SINTETICA",INVENTARIO!C174)),"SIN",
IF(ISNUMBER(SEARCH("CONTROL",INVENTARIO!C174)),"CON",
IF(ISNUMBER(SEARCH("TERMICO",INVENTARIO!C174)),"TER",
IF(ISNUMBER(SEARCH("C-15",INVENTARIO!C174)),"C15",
IF(ISNUMBER(SEARCH("C-20",INVENTARIO!C174)),"C20",
IF(ISNUMBER(SEARCH("C-30",INVENTARIO!C174)),"C30",
IF(ISNUMBER(SEARCH("C-40",INVENTARIO!C174)),"C40",
IF(ISNUMBER(SEARCH("C-60",INVENTARIO!C174)),"C60",
IF(ISNUMBER(SEARCH("C-80",INVENTARIO!C174)),"C80",
IF(ISNUMBER(SEARCH("EQUIPO",INVENTARIO!C174)),"EQU",
IF(ISNUMBER(SEARCH("FLOOR",INVENTARIO!C174)),"FLO",
IF(ISNUMBER(SEARCH("CRISTAL",INVENTARIO!C174)),"CRI",
IF(ISNUMBER(SEARCH(" SULFATADA",INVENTARIO!C185)),"SUL",
IF(ISNUMBER(SEARCH("OPALINA",INVENTARIO!C174)),"OPA",
IF(ISNUMBER(SEARCH("ADHERIBLE",INVENTARIO!C174)),"ADH",
IF(ISNUMBER(SEARCH("MICRO",INVENTARIO!C174)),"MIC","")))))))))))))))))))))</f>
        <v>COR</v>
      </c>
      <c r="C174" t="str">
        <f>IF(ISNUMBER(SEARCH("PARED",INVENTARIO!C174)),"PAR",
IF(ISNUMBER(SEARCH("FRONT",INVENTARIO!C174)),"FRO",
IF(ISNUMBER(SEARCH("ALTA RESISTENCIA",INVENTARIO!C174)),
"ALT-RES",IF(ISNUMBER(SEARCH("BACKLITE",INVENTARIO!C174)),"BAC",
IF(ISNUMBER(SEARCH("MATE",INVENTARIO!C174)),"MAT",
IF(ISNUMBER(SEARCH("MESH",INVENTARIO!C174)),"MES",
IF(ISNUMBER(SEARCH("BRILLANTE",INVENTARIO!C174)),"BRI",
IF(ISNUMBER(SEARCH("DELGADA",INVENTARIO!C174)),"DEL",
IF(ISNUMBER(SEARCH("GRUESA",INVENTARIO!C174)),"GRU",
IF(ISNUMBER(SEARCH("ESTATICO",INVENTARIO!C174)),"EST",
IF(ISNUMBER(SEARCH("REFLECTIVO",INVENTARIO!C174)),"REF",
IF(ISNUMBER(SEARCH("LX700",INVENTARIO!C174)),"LX7",
IF(ISNUMBER(SEARCH("GRANDO",INVENTARIO!C174)),"GRA",
IF(ISNUMBER(SEARCH("FB700",INVENTARIO!C174)),"FB7",
IF(ISNUMBER(SEARCH("LX360",INVENTARIO!C174)),"LX3",
IF(ISNUMBER(SEARCH("XEROX",INVENTARIO!C174)),"XER",
IF(ISNUMBER(SEARCH("CEPILLADO",INVENTARIO!C174)),"CEP",
IF(ISNUMBER(SEARCH("ESPEJO",INVENTARIO!C174)),"ESP",
IF(ISNUMBER(SEARCH("10 PTS",INVENTARIO!C174)),"10PT",
IF(ISNUMBER(SEARCH("12 PTS",INVENTARIO!C174)),"12PT",
IF(ISNUMBER(SEARCH("14 PTS",INVENTARIO!C174)),"14PT",
IF(ISNUMBER(SEARCH("CLASICO",INVENTARIO!C174)),"CLA",
""))))))))))))))))))))))</f>
        <v>BRI</v>
      </c>
      <c r="D174" t="str">
        <f>IF(ISNUMBER(SEARCH("GRAN FORMATO",INVENTARIO!C174)),"GRA-FOR",
IF(ISNUMBER(SEARCH("CAMA PLANA",INVENTARIO!C174)),"CAM-PLA",
IF(ISNUMBER(SEARCH("GRADO INGENIERIA",INVENTARIO!C174)),"GRA-ING",
IF(ISNUMBER(SEARCH("130 GRS",INVENTARIO!C174)),"130GR",
IF(ISNUMBER(SEARCH("150 GRS",INVENTARIO!C174)),"150GR",
IF(ISNUMBER(SEARCH("185 GRS",INVENTARIO!C174)),"185GR",
IF(ISNUMBER(SEARCH("200 GRS",INVENTARIO!C174)),"200GR",
IF(ISNUMBER(SEARCH("250 GRS",INVENTARIO!C174)),"250GR",
IF(ISNUMBER(SEARCH("300 GRS",INVENTARIO!C174)),"300GR",
IF(ISNUMBER(SEARCH("350 GRS",INVENTARIO!C174)),"350GR",
IF(ISNUMBER(SEARCH("18 OZ",INVENTARIO!C174)),"18OZ",
IF(ISNUMBER(SEARCH("15 OZ",INVENTARIO!C174)),"15OZ",
IF(OR(ISNUMBER(SEARCH("13 OZ",INVENTARIO!C174)),ISNUMBER(SEARCH("13 ONZAS",INVENTARIO!C174))),"13OZ",
IF(OR(ISNUMBER(SEARCH("9 OZ",INVENTARIO!C174)),ISNUMBER(SEARCH("9 ONZAS",INVENTARIO!C174))),"09OZ",
IF(ISNUMBER(SEARCH("DOBLE CARA",INVENTARIO!C174)),"DOB-CAR",
"")))))))))))))))</f>
        <v/>
      </c>
      <c r="E174" t="str">
        <f>IF(OR(ISNUMBER(SEARCH("TRANSPARENTE",INVENTARIO!C174)),ISNUMBER(SEARCH("TRANSPARENTES",INVENTARIO!C174))),"TRA",
IF(OR(ISNUMBER(SEARCH("BLANCO",INVENTARIO!C174)),ISNUMBER(SEARCH("BCO",INVENTARIO!C174))),"BLA",
IF(ISNUMBER(SEARCH("FOTOGRAFICO",INVENTARIO!C174)),"FOT",
IF(ISNUMBER(SEARCH("MARFIL",INVENTARIO!C174)),"MAR",
IF(ISNUMBER(SEARCH("VERDE",INVENTARIO!C174)),"VER",
IF(ISNUMBER(SEARCH("MORADO",INVENTARIO!C174)),"MOR",
IF(ISNUMBER(SEARCH("PLATA",INVENTARIO!C174)),"PLA",
IF(ISNUMBER(SEARCH("ORO",INVENTARIO!C174)),"ORO",
IF(ISNUMBER(SEARCH("AMARILLO",INVENTARIO!C174)),"AMA",
IF(ISNUMBER(SEARCH("NARANJA",INVENTARIO!C174)),"NAR",
IF(ISNUMBER(SEARCH("NEGRO",INVENTARIO!C174)),"NEG",
IF(ISNUMBER(SEARCH("ROJO",INVENTARIO!C174)),"ROJ",
IF(ISNUMBER(SEARCH("AZUL",INVENTARIO!C174)),"AZU","")))))))))))))</f>
        <v>NEG</v>
      </c>
      <c r="F174" t="str">
        <f>IF(ISNUMBER(SEARCH("ARLON",INVENTARIO!C174)),"ARL",
IF(ISNUMBER(SEARCH("SUNTHINKS",INVENTARIO!C174)),"SUN",
IF(ISNUMBER(SEARCH("FRIO",INVENTARIO!C174)),"FRI",
IF(ISNUMBER(SEARCH("CALIDO",INVENTARIO!C174)),"CAL",
IF(ISNUMBER(SEARCH("CEPILLADO",INVENTARIO!C174)),"CEP",
IF(ISNUMBER(SEARCH("ESPEJO",INVENTARIO!C174)),"ESP",
""))))))</f>
        <v/>
      </c>
      <c r="G174" t="str">
        <f>IF(ISNUMBER(SEARCH("LATEX",INVENTARIO!C174)),"LAT",
IF(ISNUMBER(SEARCH("RESP. NEGRO",INVENTARIO!C174)),"RES-NEG",
IF(ISNUMBER(SEARCH("RESPALDO CAFE",INVENTARIO!C174)),"RES-CAF",
IF(ISNUMBER(SEARCH("RESPALDO GRIS",INVENTARIO!C174)),"RES-GRI",
IF(ISNUMBER(SEARCH("OPTICO",INVENTARIO!C174)),"OPT",
IF(ISNUMBER(SEARCH("1,2 MM",INVENTARIO!C174)),"1MM2",
IF(ISNUMBER(SEARCH("2 MM",INVENTARIO!C174)),"2MM",
IF(ISNUMBER(SEARCH("3 MM",INVENTARIO!C174)),"3MM",
IF(ISNUMBER(SEARCH("4 MM",INVENTARIO!C174)),"4MM",
IF(ISNUMBER(SEARCH("5 MM",INVENTARIO!C174)),"5MM",
IF(ISNUMBER(SEARCH("6 MM",INVENTARIO!C174)),"6MM",
IF(ISNUMBER(SEARCH("9 MM",INVENTARIO!C174)),"9MM",
IF(ISNUMBER(SEARCH("10 MM",INVENTARIO!C174)),"10MM","")))))))))))))</f>
        <v/>
      </c>
      <c r="H174" t="str">
        <f>IF(ISNUMBER(SEARCH("GAMA BAJA",INVENTARIO!C174)),"GAM-BAJ",
IF(ISNUMBER(SEARCH("OPTIMIZADOR",INVENTARIO!C174)),"OPT",
IF(ISNUMBER(SEARCH("OVERCOAT",INVENTARIO!C174)),"OVE",
IF(ISNUMBER(SEARCH("WHITE",INVENTARIO!C174)),"WHI",
IF(ISNUMBER(SEARCH("LIGHT CYAN",INVENTARIO!C174)),"LIG-CYA",
IF(ISNUMBER(SEARCH("CYAN",INVENTARIO!C174)),"CYA",
IF(ISNUMBER(SEARCH("LIGHT MAGENTA",INVENTARIO!C174)),"LIG-MAG",
IF(ISNUMBER(SEARCH("MAGENTA",INVENTARIO!C174)),"MAG",
IF(ISNUMBER(SEARCH("BLACK",INVENTARIO!C174)),"BLA",
IF(ISNUMBER(SEARCH("YELLOW",INVENTARIO!C174)),"YEL",
IF(ISNUMBER(SEARCH("2 DIODOS",INVENTARIO!C174)),"2DI",
IF(ISNUMBER(SEARCH("3 DIODOS",INVENTARIO!C174)),"3DI",
IF(OR(ISNUMBER(SEARCH("TRASLUCIDO",INVENTARIO!C174)),ISNUMBER(SEARCH("TRANSLUCIDO",INVENTARIO!C174))),"TRA",
"")))))))))))))</f>
        <v/>
      </c>
      <c r="I174" t="str">
        <f>IF(ISNUMBER(SEARCH("SILED",INVENTARIO!C195)),"SI",
IF(ISNUMBER(SEARCH("SYDEMEX",INVENTARIO!C195)),"SY",
IF(ISNUMBER(SEARCH("ROHS",INVENTARIO!C195)),"RO",
IF(ISNUMBER(SEARCH("RISHANG",INVENTARIO!C195)),"RS",
IF(ISNUMBER(SEARCH("VYG",INVENTARIO!C195)),"VYG",
IF(ISNUMBER(SEARCH("COLED",INVENTARIO!C195)),"CO",""))))))</f>
        <v/>
      </c>
    </row>
    <row r="175" spans="1:9">
      <c r="A175" t="str">
        <f>IF(ISNUMBER(SEARCH("LONA",INVENTARIO!C175)),"LON",
IF(ISNUMBER(SEARCH("VINIL",INVENTARIO!C175)),"VIN",
IF(ISNUMBER(SEARCH("KROMACOTE",INVENTARIO!C175)),"KRO",
IF(ISNUMBER(SEARCH("STARDREAM",INVENTARIO!C175)),"STA",
IF(ISNUMBER(SEARCH("DISPLAY",INVENTARIO!C175)),"DIS",
IF(ISNUMBER(SEARCH("ROLL UP",INVENTARIO!C175)),"ROL-UP",
IF(ISNUMBER(SEARCH("TRANSFER DE PAPEL",INVENTARIO!C175)),"TRA-PAP",
IF(ISNUMBER(SEARCH("TRANSFER",INVENTARIO!C175)),"TRA",IF(ISNUMBER(SEARCH("KOLA LOKA",INVENTARIO!C175)),"KOL-LOK",
IF(ISNUMBER(SEARCH("PETG",INVENTARIO!C175)),"PET",
IF(ISNUMBER(SEARCH("OJILLO",INVENTARIO!C175)),"OJI",
IF(ISNUMBER(SEARCH("COUCHE",INVENTARIO!C175)),"COU",
IF(ISNUMBER(SEARCH("PANEL DE ALUMINIO",INVENTARIO!C175)),"PAN-ALU",
IF(ISNUMBER(SEARCH("PVC",INVENTARIO!C175)),"PVC",
IF(ISNUMBER(SEARCH("PAPEL",INVENTARIO!C175)),"PAP",
IF(ISNUMBER(SEARCH("TELA",INVENTARIO!C175)),"TEL",
IF(ISNUMBER(SEARCH("CARTULINA",INVENTARIO!C175)),"CAR",
IF(OR(ISNUMBER(SEARCH("LAMINA",INVENTARIO!C175)),ISNUMBER(SEARCH("LÁMINA",INVENTARIO!C175)),ISNUMBER(SEARCH("LAMPARAS",INVENTARIO!C175))),"LAM",
IF(ISNUMBER(SEARCH("ESTIRENO",INVENTARIO!C175)),"EST",
IF(ISNUMBER(SEARCH("FOAMBOARD",INVENTARIO!C175)),"FOA",
IF(ISNUMBER(SEARCH("SOLVENTE",INVENTARIO!C175)),"SOL",
IF(ISNUMBER(SEARCH("TINTA",INVENTARIO!C175)),"TIN",
IF(ISNUMBER(SEARCH("ACRILICO",INVENTARIO!C175)),"ACR",
IF(ISNUMBER(SEARCH("MICROLED",INVENTARIO!C175)),"MIC",
IF(ISNUMBER(SEARCH("LED",INVENTARIO!C175)),"LED",
IF(ISNUMBER(SEARCH("FUENTE DE PODER",INVENTARIO!C175)),"FUE-POD",
IF(ISNUMBER(SEARCH("PETG",INVENTARIO!C175)),"PET",
IF(ISNUMBER(SEARCH("ALUMINIO",INVENTARIO!C175)),"ALU",
IF(ISNUMBER(SEARCH("CANAL",INVENTARIO!C175)),"CAN",
IF(ISNUMBER(SEARCH("ESCUADRA",INVENTARIO!C175)),"ESC",
IF(ISNUMBER(SEARCH("SOPORTE",INVENTARIO!C175)),"SOP","OTR")
))))))))))))))))))))))))))))))</f>
        <v>VIN</v>
      </c>
      <c r="B175" t="str">
        <f>IF(ISNUMBER(SEARCH("CORTE",INVENTARIO!C175)),"COR",
IF(ISNUMBER(SEARCH("CITYLIGHT",INVENTARIO!C175)),"CIT",
IF(ISNUMBER(SEARCH("LINO",INVENTARIO!C175)),"LIN",
IF(ISNUMBER(SEARCH("FABRIANO",INVENTARIO!C175)),"FAB",
IF(ISNUMBER(SEARCH("SUNDANCE",INVENTARIO!C175)),"SUN",
IF(ISNUMBER(SEARCH("SINTETICA",INVENTARIO!C175)),"SIN",
IF(ISNUMBER(SEARCH("CONTROL",INVENTARIO!C175)),"CON",
IF(ISNUMBER(SEARCH("TERMICO",INVENTARIO!C175)),"TER",
IF(ISNUMBER(SEARCH("C-15",INVENTARIO!C175)),"C15",
IF(ISNUMBER(SEARCH("C-20",INVENTARIO!C175)),"C20",
IF(ISNUMBER(SEARCH("C-30",INVENTARIO!C175)),"C30",
IF(ISNUMBER(SEARCH("C-40",INVENTARIO!C175)),"C40",
IF(ISNUMBER(SEARCH("C-60",INVENTARIO!C175)),"C60",
IF(ISNUMBER(SEARCH("C-80",INVENTARIO!C175)),"C80",
IF(ISNUMBER(SEARCH("EQUIPO",INVENTARIO!C175)),"EQU",
IF(ISNUMBER(SEARCH("FLOOR",INVENTARIO!C175)),"FLO",
IF(ISNUMBER(SEARCH("CRISTAL",INVENTARIO!C175)),"CRI",
IF(ISNUMBER(SEARCH(" SULFATADA",INVENTARIO!C186)),"SUL",
IF(ISNUMBER(SEARCH("OPALINA",INVENTARIO!C175)),"OPA",
IF(ISNUMBER(SEARCH("ADHERIBLE",INVENTARIO!C175)),"ADH",
IF(ISNUMBER(SEARCH("MICRO",INVENTARIO!C175)),"MIC","")))))))))))))))))))))</f>
        <v>COR</v>
      </c>
      <c r="C175" t="str">
        <f>IF(ISNUMBER(SEARCH("PARED",INVENTARIO!C175)),"PAR",
IF(ISNUMBER(SEARCH("FRONT",INVENTARIO!C175)),"FRO",
IF(ISNUMBER(SEARCH("ALTA RESISTENCIA",INVENTARIO!C175)),
"ALT-RES",IF(ISNUMBER(SEARCH("BACKLITE",INVENTARIO!C175)),"BAC",
IF(ISNUMBER(SEARCH("MATE",INVENTARIO!C175)),"MAT",
IF(ISNUMBER(SEARCH("MESH",INVENTARIO!C175)),"MES",
IF(ISNUMBER(SEARCH("BRILLANTE",INVENTARIO!C175)),"BRI",
IF(ISNUMBER(SEARCH("DELGADA",INVENTARIO!C175)),"DEL",
IF(ISNUMBER(SEARCH("GRUESA",INVENTARIO!C175)),"GRU",
IF(ISNUMBER(SEARCH("ESTATICO",INVENTARIO!C175)),"EST",
IF(ISNUMBER(SEARCH("REFLECTIVO",INVENTARIO!C175)),"REF",
IF(ISNUMBER(SEARCH("LX700",INVENTARIO!C175)),"LX7",
IF(ISNUMBER(SEARCH("GRANDO",INVENTARIO!C175)),"GRA",
IF(ISNUMBER(SEARCH("FB700",INVENTARIO!C175)),"FB7",
IF(ISNUMBER(SEARCH("LX360",INVENTARIO!C175)),"LX3",
IF(ISNUMBER(SEARCH("XEROX",INVENTARIO!C175)),"XER",
IF(ISNUMBER(SEARCH("CEPILLADO",INVENTARIO!C175)),"CEP",
IF(ISNUMBER(SEARCH("ESPEJO",INVENTARIO!C175)),"ESP",
IF(ISNUMBER(SEARCH("10 PTS",INVENTARIO!C175)),"10PT",
IF(ISNUMBER(SEARCH("12 PTS",INVENTARIO!C175)),"12PT",
IF(ISNUMBER(SEARCH("14 PTS",INVENTARIO!C175)),"14PT",
IF(ISNUMBER(SEARCH("CLASICO",INVENTARIO!C175)),"CLA",
""))))))))))))))))))))))</f>
        <v>MAT</v>
      </c>
      <c r="D175" t="str">
        <f>IF(ISNUMBER(SEARCH("GRAN FORMATO",INVENTARIO!C175)),"GRA-FOR",
IF(ISNUMBER(SEARCH("CAMA PLANA",INVENTARIO!C175)),"CAM-PLA",
IF(ISNUMBER(SEARCH("GRADO INGENIERIA",INVENTARIO!C175)),"GRA-ING",
IF(ISNUMBER(SEARCH("130 GRS",INVENTARIO!C175)),"130GR",
IF(ISNUMBER(SEARCH("150 GRS",INVENTARIO!C175)),"150GR",
IF(ISNUMBER(SEARCH("185 GRS",INVENTARIO!C175)),"185GR",
IF(ISNUMBER(SEARCH("200 GRS",INVENTARIO!C175)),"200GR",
IF(ISNUMBER(SEARCH("250 GRS",INVENTARIO!C175)),"250GR",
IF(ISNUMBER(SEARCH("300 GRS",INVENTARIO!C175)),"300GR",
IF(ISNUMBER(SEARCH("350 GRS",INVENTARIO!C175)),"350GR",
IF(ISNUMBER(SEARCH("18 OZ",INVENTARIO!C175)),"18OZ",
IF(ISNUMBER(SEARCH("15 OZ",INVENTARIO!C175)),"15OZ",
IF(OR(ISNUMBER(SEARCH("13 OZ",INVENTARIO!C175)),ISNUMBER(SEARCH("13 ONZAS",INVENTARIO!C175))),"13OZ",
IF(OR(ISNUMBER(SEARCH("9 OZ",INVENTARIO!C175)),ISNUMBER(SEARCH("9 ONZAS",INVENTARIO!C175))),"09OZ",
IF(ISNUMBER(SEARCH("DOBLE CARA",INVENTARIO!C175)),"DOB-CAR",
"")))))))))))))))</f>
        <v/>
      </c>
      <c r="E175" t="str">
        <f>IF(OR(ISNUMBER(SEARCH("TRANSPARENTE",INVENTARIO!C175)),ISNUMBER(SEARCH("TRANSPARENTES",INVENTARIO!C175))),"TRA",
IF(OR(ISNUMBER(SEARCH("BLANCO",INVENTARIO!C175)),ISNUMBER(SEARCH("BCO",INVENTARIO!C175))),"BLA",
IF(ISNUMBER(SEARCH("FOTOGRAFICO",INVENTARIO!C175)),"FOT",
IF(ISNUMBER(SEARCH("MARFIL",INVENTARIO!C175)),"MAR",
IF(ISNUMBER(SEARCH("VERDE",INVENTARIO!C175)),"VER",
IF(ISNUMBER(SEARCH("MORADO",INVENTARIO!C175)),"MOR",
IF(ISNUMBER(SEARCH("PLATA",INVENTARIO!C175)),"PLA",
IF(ISNUMBER(SEARCH("ORO",INVENTARIO!C175)),"ORO",
IF(ISNUMBER(SEARCH("AMARILLO",INVENTARIO!C175)),"AMA",
IF(ISNUMBER(SEARCH("NARANJA",INVENTARIO!C175)),"NAR",
IF(ISNUMBER(SEARCH("NEGRO",INVENTARIO!C175)),"NEG",
IF(ISNUMBER(SEARCH("ROJO",INVENTARIO!C175)),"ROJ",
IF(ISNUMBER(SEARCH("AZUL",INVENTARIO!C175)),"AZU","")))))))))))))</f>
        <v>NEG</v>
      </c>
      <c r="F175" t="str">
        <f>IF(ISNUMBER(SEARCH("ARLON",INVENTARIO!C175)),"ARL",
IF(ISNUMBER(SEARCH("SUNTHINKS",INVENTARIO!C175)),"SUN",
IF(ISNUMBER(SEARCH("FRIO",INVENTARIO!C175)),"FRI",
IF(ISNUMBER(SEARCH("CALIDO",INVENTARIO!C175)),"CAL",
IF(ISNUMBER(SEARCH("CEPILLADO",INVENTARIO!C175)),"CEP",
IF(ISNUMBER(SEARCH("ESPEJO",INVENTARIO!C175)),"ESP",
""))))))</f>
        <v/>
      </c>
      <c r="G175" t="str">
        <f>IF(ISNUMBER(SEARCH("LATEX",INVENTARIO!C175)),"LAT",
IF(ISNUMBER(SEARCH("RESP. NEGRO",INVENTARIO!C175)),"RES-NEG",
IF(ISNUMBER(SEARCH("RESPALDO CAFE",INVENTARIO!C175)),"RES-CAF",
IF(ISNUMBER(SEARCH("RESPALDO GRIS",INVENTARIO!C175)),"RES-GRI",
IF(ISNUMBER(SEARCH("OPTICO",INVENTARIO!C175)),"OPT",
IF(ISNUMBER(SEARCH("1,2 MM",INVENTARIO!C175)),"1MM2",
IF(ISNUMBER(SEARCH("2 MM",INVENTARIO!C175)),"2MM",
IF(ISNUMBER(SEARCH("3 MM",INVENTARIO!C175)),"3MM",
IF(ISNUMBER(SEARCH("4 MM",INVENTARIO!C175)),"4MM",
IF(ISNUMBER(SEARCH("5 MM",INVENTARIO!C175)),"5MM",
IF(ISNUMBER(SEARCH("6 MM",INVENTARIO!C175)),"6MM",
IF(ISNUMBER(SEARCH("9 MM",INVENTARIO!C175)),"9MM",
IF(ISNUMBER(SEARCH("10 MM",INVENTARIO!C175)),"10MM","")))))))))))))</f>
        <v/>
      </c>
      <c r="H175" t="str">
        <f>IF(ISNUMBER(SEARCH("GAMA BAJA",INVENTARIO!C175)),"GAM-BAJ",
IF(ISNUMBER(SEARCH("OPTIMIZADOR",INVENTARIO!C175)),"OPT",
IF(ISNUMBER(SEARCH("OVERCOAT",INVENTARIO!C175)),"OVE",
IF(ISNUMBER(SEARCH("WHITE",INVENTARIO!C175)),"WHI",
IF(ISNUMBER(SEARCH("LIGHT CYAN",INVENTARIO!C175)),"LIG-CYA",
IF(ISNUMBER(SEARCH("CYAN",INVENTARIO!C175)),"CYA",
IF(ISNUMBER(SEARCH("LIGHT MAGENTA",INVENTARIO!C175)),"LIG-MAG",
IF(ISNUMBER(SEARCH("MAGENTA",INVENTARIO!C175)),"MAG",
IF(ISNUMBER(SEARCH("BLACK",INVENTARIO!C175)),"BLA",
IF(ISNUMBER(SEARCH("YELLOW",INVENTARIO!C175)),"YEL",
IF(ISNUMBER(SEARCH("2 DIODOS",INVENTARIO!C175)),"2DI",
IF(ISNUMBER(SEARCH("3 DIODOS",INVENTARIO!C175)),"3DI",
IF(OR(ISNUMBER(SEARCH("TRASLUCIDO",INVENTARIO!C175)),ISNUMBER(SEARCH("TRANSLUCIDO",INVENTARIO!C175))),"TRA",
"")))))))))))))</f>
        <v/>
      </c>
      <c r="I175" t="str">
        <f>IF(ISNUMBER(SEARCH("SILED",INVENTARIO!C197)),"SI",
IF(ISNUMBER(SEARCH("SYDEMEX",INVENTARIO!C197)),"SY",
IF(ISNUMBER(SEARCH("ROHS",INVENTARIO!C197)),"RO",
IF(ISNUMBER(SEARCH("RISHANG",INVENTARIO!C197)),"RS",
IF(ISNUMBER(SEARCH("VYG",INVENTARIO!C197)),"VYG",
IF(ISNUMBER(SEARCH("COLED",INVENTARIO!C197)),"CO",""))))))</f>
        <v/>
      </c>
    </row>
    <row r="176" spans="1:9">
      <c r="A176" t="str">
        <f>IF(ISNUMBER(SEARCH("LONA",INVENTARIO!C176)),"LON",
IF(ISNUMBER(SEARCH("VINIL",INVENTARIO!C176)),"VIN",
IF(ISNUMBER(SEARCH("KROMACOTE",INVENTARIO!C176)),"KRO",
IF(ISNUMBER(SEARCH("STARDREAM",INVENTARIO!C176)),"STA",
IF(ISNUMBER(SEARCH("DISPLAY",INVENTARIO!C176)),"DIS",
IF(ISNUMBER(SEARCH("ROLL UP",INVENTARIO!C176)),"ROL-UP",
IF(ISNUMBER(SEARCH("TRANSFER DE PAPEL",INVENTARIO!C176)),"TRA-PAP",
IF(ISNUMBER(SEARCH("TRANSFER",INVENTARIO!C176)),"TRA",IF(ISNUMBER(SEARCH("KOLA LOKA",INVENTARIO!C176)),"KOL-LOK",
IF(ISNUMBER(SEARCH("PETG",INVENTARIO!C176)),"PET",
IF(ISNUMBER(SEARCH("OJILLO",INVENTARIO!C176)),"OJI",
IF(ISNUMBER(SEARCH("COUCHE",INVENTARIO!C176)),"COU",
IF(ISNUMBER(SEARCH("PANEL DE ALUMINIO",INVENTARIO!C176)),"PAN-ALU",
IF(ISNUMBER(SEARCH("PVC",INVENTARIO!C176)),"PVC",
IF(ISNUMBER(SEARCH("PAPEL",INVENTARIO!C176)),"PAP",
IF(ISNUMBER(SEARCH("TELA",INVENTARIO!C176)),"TEL",
IF(ISNUMBER(SEARCH("CARTULINA",INVENTARIO!C176)),"CAR",
IF(OR(ISNUMBER(SEARCH("LAMINA",INVENTARIO!C176)),ISNUMBER(SEARCH("LÁMINA",INVENTARIO!C176)),ISNUMBER(SEARCH("LAMPARAS",INVENTARIO!C176))),"LAM",
IF(ISNUMBER(SEARCH("ESTIRENO",INVENTARIO!C176)),"EST",
IF(ISNUMBER(SEARCH("FOAMBOARD",INVENTARIO!C176)),"FOA",
IF(ISNUMBER(SEARCH("SOLVENTE",INVENTARIO!C176)),"SOL",
IF(ISNUMBER(SEARCH("TINTA",INVENTARIO!C176)),"TIN",
IF(ISNUMBER(SEARCH("ACRILICO",INVENTARIO!C176)),"ACR",
IF(ISNUMBER(SEARCH("MICROLED",INVENTARIO!C176)),"MIC",
IF(ISNUMBER(SEARCH("LED",INVENTARIO!C176)),"LED",
IF(ISNUMBER(SEARCH("FUENTE DE PODER",INVENTARIO!C176)),"FUE-POD",
IF(ISNUMBER(SEARCH("PETG",INVENTARIO!C176)),"PET",
IF(ISNUMBER(SEARCH("ALUMINIO",INVENTARIO!C176)),"ALU",
IF(ISNUMBER(SEARCH("CANAL",INVENTARIO!C176)),"CAN",
IF(ISNUMBER(SEARCH("ESCUADRA",INVENTARIO!C176)),"ESC",
IF(ISNUMBER(SEARCH("SOPORTE",INVENTARIO!C176)),"SOP","OTR")
))))))))))))))))))))))))))))))</f>
        <v>VIN</v>
      </c>
      <c r="B176" t="str">
        <f>IF(ISNUMBER(SEARCH("CORTE",INVENTARIO!C176)),"COR",
IF(ISNUMBER(SEARCH("CITYLIGHT",INVENTARIO!C176)),"CIT",
IF(ISNUMBER(SEARCH("LINO",INVENTARIO!C176)),"LIN",
IF(ISNUMBER(SEARCH("FABRIANO",INVENTARIO!C176)),"FAB",
IF(ISNUMBER(SEARCH("SUNDANCE",INVENTARIO!C176)),"SUN",
IF(ISNUMBER(SEARCH("SINTETICA",INVENTARIO!C176)),"SIN",
IF(ISNUMBER(SEARCH("CONTROL",INVENTARIO!C176)),"CON",
IF(ISNUMBER(SEARCH("TERMICO",INVENTARIO!C176)),"TER",
IF(ISNUMBER(SEARCH("C-15",INVENTARIO!C176)),"C15",
IF(ISNUMBER(SEARCH("C-20",INVENTARIO!C176)),"C20",
IF(ISNUMBER(SEARCH("C-30",INVENTARIO!C176)),"C30",
IF(ISNUMBER(SEARCH("C-40",INVENTARIO!C176)),"C40",
IF(ISNUMBER(SEARCH("C-60",INVENTARIO!C176)),"C60",
IF(ISNUMBER(SEARCH("C-80",INVENTARIO!C176)),"C80",
IF(ISNUMBER(SEARCH("EQUIPO",INVENTARIO!C176)),"EQU",
IF(ISNUMBER(SEARCH("FLOOR",INVENTARIO!C176)),"FLO",
IF(ISNUMBER(SEARCH("CRISTAL",INVENTARIO!C176)),"CRI",
IF(ISNUMBER(SEARCH(" SULFATADA",INVENTARIO!C187)),"SUL",
IF(ISNUMBER(SEARCH("OPALINA",INVENTARIO!C176)),"OPA",
IF(ISNUMBER(SEARCH("ADHERIBLE",INVENTARIO!C176)),"ADH",
IF(ISNUMBER(SEARCH("MICRO",INVENTARIO!C176)),"MIC","")))))))))))))))))))))</f>
        <v>COR</v>
      </c>
      <c r="C176" t="str">
        <f>IF(ISNUMBER(SEARCH("PARED",INVENTARIO!C176)),"PAR",
IF(ISNUMBER(SEARCH("FRONT",INVENTARIO!C176)),"FRO",
IF(ISNUMBER(SEARCH("ALTA RESISTENCIA",INVENTARIO!C176)),
"ALT-RES",IF(ISNUMBER(SEARCH("BACKLITE",INVENTARIO!C176)),"BAC",
IF(ISNUMBER(SEARCH("MATE",INVENTARIO!C176)),"MAT",
IF(ISNUMBER(SEARCH("MESH",INVENTARIO!C176)),"MES",
IF(ISNUMBER(SEARCH("BRILLANTE",INVENTARIO!C176)),"BRI",
IF(ISNUMBER(SEARCH("DELGADA",INVENTARIO!C176)),"DEL",
IF(ISNUMBER(SEARCH("GRUESA",INVENTARIO!C176)),"GRU",
IF(ISNUMBER(SEARCH("ESTATICO",INVENTARIO!C176)),"EST",
IF(ISNUMBER(SEARCH("REFLECTIVO",INVENTARIO!C176)),"REF",
IF(ISNUMBER(SEARCH("LX700",INVENTARIO!C176)),"LX7",
IF(ISNUMBER(SEARCH("GRANDO",INVENTARIO!C176)),"GRA",
IF(ISNUMBER(SEARCH("FB700",INVENTARIO!C176)),"FB7",
IF(ISNUMBER(SEARCH("LX360",INVENTARIO!C176)),"LX3",
IF(ISNUMBER(SEARCH("XEROX",INVENTARIO!C176)),"XER",
IF(ISNUMBER(SEARCH("CEPILLADO",INVENTARIO!C176)),"CEP",
IF(ISNUMBER(SEARCH("ESPEJO",INVENTARIO!C176)),"ESP",
IF(ISNUMBER(SEARCH("10 PTS",INVENTARIO!C176)),"10PT",
IF(ISNUMBER(SEARCH("12 PTS",INVENTARIO!C176)),"12PT",
IF(ISNUMBER(SEARCH("14 PTS",INVENTARIO!C176)),"14PT",
IF(ISNUMBER(SEARCH("CLASICO",INVENTARIO!C176)),"CLA",
""))))))))))))))))))))))</f>
        <v/>
      </c>
      <c r="D176" t="str">
        <f>IF(ISNUMBER(SEARCH("GRAN FORMATO",INVENTARIO!C176)),"GRA-FOR",
IF(ISNUMBER(SEARCH("CAMA PLANA",INVENTARIO!C176)),"CAM-PLA",
IF(ISNUMBER(SEARCH("GRADO INGENIERIA",INVENTARIO!C176)),"GRA-ING",
IF(ISNUMBER(SEARCH("130 GRS",INVENTARIO!C176)),"130GR",
IF(ISNUMBER(SEARCH("150 GRS",INVENTARIO!C176)),"150GR",
IF(ISNUMBER(SEARCH("185 GRS",INVENTARIO!C176)),"185GR",
IF(ISNUMBER(SEARCH("200 GRS",INVENTARIO!C176)),"200GR",
IF(ISNUMBER(SEARCH("250 GRS",INVENTARIO!C176)),"250GR",
IF(ISNUMBER(SEARCH("300 GRS",INVENTARIO!C176)),"300GR",
IF(ISNUMBER(SEARCH("350 GRS",INVENTARIO!C176)),"350GR",
IF(ISNUMBER(SEARCH("18 OZ",INVENTARIO!C176)),"18OZ",
IF(ISNUMBER(SEARCH("15 OZ",INVENTARIO!C176)),"15OZ",
IF(OR(ISNUMBER(SEARCH("13 OZ",INVENTARIO!C176)),ISNUMBER(SEARCH("13 ONZAS",INVENTARIO!C176))),"13OZ",
IF(OR(ISNUMBER(SEARCH("9 OZ",INVENTARIO!C176)),ISNUMBER(SEARCH("9 ONZAS",INVENTARIO!C176))),"09OZ",
IF(ISNUMBER(SEARCH("DOBLE CARA",INVENTARIO!C176)),"DOB-CAR",
"")))))))))))))))</f>
        <v/>
      </c>
      <c r="E176" t="str">
        <f>IF(OR(ISNUMBER(SEARCH("TRANSPARENTE",INVENTARIO!C176)),ISNUMBER(SEARCH("TRANSPARENTES",INVENTARIO!C176))),"TRA",
IF(OR(ISNUMBER(SEARCH("BLANCO",INVENTARIO!C176)),ISNUMBER(SEARCH("BCO",INVENTARIO!C176))),"BLA",
IF(ISNUMBER(SEARCH("FOTOGRAFICO",INVENTARIO!C176)),"FOT",
IF(ISNUMBER(SEARCH("MARFIL",INVENTARIO!C176)),"MAR",
IF(ISNUMBER(SEARCH("VERDE",INVENTARIO!C176)),"VER",
IF(ISNUMBER(SEARCH("MORADO",INVENTARIO!C176)),"MOR",
IF(ISNUMBER(SEARCH("PLATA",INVENTARIO!C176)),"PLA",
IF(ISNUMBER(SEARCH("ORO",INVENTARIO!C176)),"ORO",
IF(ISNUMBER(SEARCH("AMARILLO",INVENTARIO!C176)),"AMA",
IF(ISNUMBER(SEARCH("NARANJA",INVENTARIO!C176)),"NAR",
IF(ISNUMBER(SEARCH("NEGRO",INVENTARIO!C176)),"NEG",
IF(ISNUMBER(SEARCH("ROJO",INVENTARIO!C176)),"ROJ",
IF(ISNUMBER(SEARCH("AZUL",INVENTARIO!C176)),"AZU","")))))))))))))</f>
        <v/>
      </c>
      <c r="F176" t="str">
        <f>IF(ISNUMBER(SEARCH("ARLON",INVENTARIO!C176)),"ARL",
IF(ISNUMBER(SEARCH("SUNTHINKS",INVENTARIO!C176)),"SUN",
IF(ISNUMBER(SEARCH("FRIO",INVENTARIO!C176)),"FRI",
IF(ISNUMBER(SEARCH("CALIDO",INVENTARIO!C176)),"CAL",
IF(ISNUMBER(SEARCH("CEPILLADO",INVENTARIO!C176)),"CEP",
IF(ISNUMBER(SEARCH("ESPEJO",INVENTARIO!C176)),"ESP",
""))))))</f>
        <v/>
      </c>
      <c r="G176" t="str">
        <f>IF(ISNUMBER(SEARCH("LATEX",INVENTARIO!C176)),"LAT",
IF(ISNUMBER(SEARCH("RESP. NEGRO",INVENTARIO!C176)),"RES-NEG",
IF(ISNUMBER(SEARCH("RESPALDO CAFE",INVENTARIO!C176)),"RES-CAF",
IF(ISNUMBER(SEARCH("RESPALDO GRIS",INVENTARIO!C176)),"RES-GRI",
IF(ISNUMBER(SEARCH("OPTICO",INVENTARIO!C176)),"OPT",
IF(ISNUMBER(SEARCH("1,2 MM",INVENTARIO!C176)),"1MM2",
IF(ISNUMBER(SEARCH("2 MM",INVENTARIO!C176)),"2MM",
IF(ISNUMBER(SEARCH("3 MM",INVENTARIO!C176)),"3MM",
IF(ISNUMBER(SEARCH("4 MM",INVENTARIO!C176)),"4MM",
IF(ISNUMBER(SEARCH("5 MM",INVENTARIO!C176)),"5MM",
IF(ISNUMBER(SEARCH("6 MM",INVENTARIO!C176)),"6MM",
IF(ISNUMBER(SEARCH("9 MM",INVENTARIO!C176)),"9MM",
IF(ISNUMBER(SEARCH("10 MM",INVENTARIO!C176)),"10MM","")))))))))))))</f>
        <v/>
      </c>
      <c r="H176" t="str">
        <f>IF(ISNUMBER(SEARCH("GAMA BAJA",INVENTARIO!C176)),"GAM-BAJ",
IF(ISNUMBER(SEARCH("OPTIMIZADOR",INVENTARIO!C176)),"OPT",
IF(ISNUMBER(SEARCH("OVERCOAT",INVENTARIO!C176)),"OVE",
IF(ISNUMBER(SEARCH("WHITE",INVENTARIO!C176)),"WHI",
IF(ISNUMBER(SEARCH("LIGHT CYAN",INVENTARIO!C176)),"LIG-CYA",
IF(ISNUMBER(SEARCH("CYAN",INVENTARIO!C176)),"CYA",
IF(ISNUMBER(SEARCH("LIGHT MAGENTA",INVENTARIO!C176)),"LIG-MAG",
IF(ISNUMBER(SEARCH("MAGENTA",INVENTARIO!C176)),"MAG",
IF(ISNUMBER(SEARCH("BLACK",INVENTARIO!C176)),"BLA",
IF(ISNUMBER(SEARCH("YELLOW",INVENTARIO!C176)),"YEL",
IF(ISNUMBER(SEARCH("2 DIODOS",INVENTARIO!C176)),"2DI",
IF(ISNUMBER(SEARCH("3 DIODOS",INVENTARIO!C176)),"3DI",
IF(OR(ISNUMBER(SEARCH("TRASLUCIDO",INVENTARIO!C176)),ISNUMBER(SEARCH("TRANSLUCIDO",INVENTARIO!C176))),"TRA",
"")))))))))))))</f>
        <v/>
      </c>
      <c r="I176" t="str">
        <f>IF(ISNUMBER(SEARCH("SILED",INVENTARIO!C199)),"SI",
IF(ISNUMBER(SEARCH("SYDEMEX",INVENTARIO!C199)),"SY",
IF(ISNUMBER(SEARCH("ROHS",INVENTARIO!C199)),"RO",
IF(ISNUMBER(SEARCH("RISHANG",INVENTARIO!C199)),"RS",
IF(ISNUMBER(SEARCH("VYG",INVENTARIO!C199)),"VYG",
IF(ISNUMBER(SEARCH("COLED",INVENTARIO!C199)),"CO",""))))))</f>
        <v/>
      </c>
    </row>
    <row r="177" spans="1:9">
      <c r="A177" t="str">
        <f>IF(ISNUMBER(SEARCH("LONA",INVENTARIO!C177)),"LON",
IF(ISNUMBER(SEARCH("VINIL",INVENTARIO!C177)),"VIN",
IF(ISNUMBER(SEARCH("KROMACOTE",INVENTARIO!C177)),"KRO",
IF(ISNUMBER(SEARCH("STARDREAM",INVENTARIO!C177)),"STA",
IF(ISNUMBER(SEARCH("DISPLAY",INVENTARIO!C177)),"DIS",
IF(ISNUMBER(SEARCH("ROLL UP",INVENTARIO!C177)),"ROL-UP",
IF(ISNUMBER(SEARCH("TRANSFER DE PAPEL",INVENTARIO!C177)),"TRA-PAP",
IF(ISNUMBER(SEARCH("TRANSFER",INVENTARIO!C177)),"TRA",IF(ISNUMBER(SEARCH("KOLA LOKA",INVENTARIO!C177)),"KOL-LOK",
IF(ISNUMBER(SEARCH("PETG",INVENTARIO!C177)),"PET",
IF(ISNUMBER(SEARCH("OJILLO",INVENTARIO!C177)),"OJI",
IF(ISNUMBER(SEARCH("COUCHE",INVENTARIO!C177)),"COU",
IF(ISNUMBER(SEARCH("PANEL DE ALUMINIO",INVENTARIO!C177)),"PAN-ALU",
IF(ISNUMBER(SEARCH("PVC",INVENTARIO!C177)),"PVC",
IF(ISNUMBER(SEARCH("PAPEL",INVENTARIO!C177)),"PAP",
IF(ISNUMBER(SEARCH("TELA",INVENTARIO!C177)),"TEL",
IF(ISNUMBER(SEARCH("CARTULINA",INVENTARIO!C177)),"CAR",
IF(OR(ISNUMBER(SEARCH("LAMINA",INVENTARIO!C177)),ISNUMBER(SEARCH("LÁMINA",INVENTARIO!C177)),ISNUMBER(SEARCH("LAMPARAS",INVENTARIO!C177))),"LAM",
IF(ISNUMBER(SEARCH("ESTIRENO",INVENTARIO!C177)),"EST",
IF(ISNUMBER(SEARCH("FOAMBOARD",INVENTARIO!C177)),"FOA",
IF(ISNUMBER(SEARCH("SOLVENTE",INVENTARIO!C177)),"SOL",
IF(ISNUMBER(SEARCH("TINTA",INVENTARIO!C177)),"TIN",
IF(ISNUMBER(SEARCH("ACRILICO",INVENTARIO!C177)),"ACR",
IF(ISNUMBER(SEARCH("MICROLED",INVENTARIO!C177)),"MIC",
IF(ISNUMBER(SEARCH("LED",INVENTARIO!C177)),"LED",
IF(ISNUMBER(SEARCH("FUENTE DE PODER",INVENTARIO!C177)),"FUE-POD",
IF(ISNUMBER(SEARCH("PETG",INVENTARIO!C177)),"PET",
IF(ISNUMBER(SEARCH("ALUMINIO",INVENTARIO!C177)),"ALU",
IF(ISNUMBER(SEARCH("CANAL",INVENTARIO!C177)),"CAN",
IF(ISNUMBER(SEARCH("ESCUADRA",INVENTARIO!C177)),"ESC",
IF(ISNUMBER(SEARCH("SOPORTE",INVENTARIO!C177)),"SOP","OTR")
))))))))))))))))))))))))))))))</f>
        <v>VIN</v>
      </c>
      <c r="B177" t="str">
        <f>IF(ISNUMBER(SEARCH("CORTE",INVENTARIO!C177)),"COR",
IF(ISNUMBER(SEARCH("CITYLIGHT",INVENTARIO!C177)),"CIT",
IF(ISNUMBER(SEARCH("LINO",INVENTARIO!C177)),"LIN",
IF(ISNUMBER(SEARCH("FABRIANO",INVENTARIO!C177)),"FAB",
IF(ISNUMBER(SEARCH("SUNDANCE",INVENTARIO!C177)),"SUN",
IF(ISNUMBER(SEARCH("SINTETICA",INVENTARIO!C177)),"SIN",
IF(ISNUMBER(SEARCH("CONTROL",INVENTARIO!C177)),"CON",
IF(ISNUMBER(SEARCH("TERMICO",INVENTARIO!C177)),"TER",
IF(ISNUMBER(SEARCH("C-15",INVENTARIO!C177)),"C15",
IF(ISNUMBER(SEARCH("C-20",INVENTARIO!C177)),"C20",
IF(ISNUMBER(SEARCH("C-30",INVENTARIO!C177)),"C30",
IF(ISNUMBER(SEARCH("C-40",INVENTARIO!C177)),"C40",
IF(ISNUMBER(SEARCH("C-60",INVENTARIO!C177)),"C60",
IF(ISNUMBER(SEARCH("C-80",INVENTARIO!C177)),"C80",
IF(ISNUMBER(SEARCH("EQUIPO",INVENTARIO!C177)),"EQU",
IF(ISNUMBER(SEARCH("FLOOR",INVENTARIO!C177)),"FLO",
IF(ISNUMBER(SEARCH("CRISTAL",INVENTARIO!C177)),"CRI",
IF(ISNUMBER(SEARCH(" SULFATADA",INVENTARIO!C188)),"SUL",
IF(ISNUMBER(SEARCH("OPALINA",INVENTARIO!C177)),"OPA",
IF(ISNUMBER(SEARCH("ADHERIBLE",INVENTARIO!C177)),"ADH",
IF(ISNUMBER(SEARCH("MICRO",INVENTARIO!C177)),"MIC","")))))))))))))))))))))</f>
        <v>COR</v>
      </c>
      <c r="C177" t="str">
        <f>IF(ISNUMBER(SEARCH("PARED",INVENTARIO!C177)),"PAR",
IF(ISNUMBER(SEARCH("FRONT",INVENTARIO!C177)),"FRO",
IF(ISNUMBER(SEARCH("ALTA RESISTENCIA",INVENTARIO!C177)),
"ALT-RES",IF(ISNUMBER(SEARCH("BACKLITE",INVENTARIO!C177)),"BAC",
IF(ISNUMBER(SEARCH("MATE",INVENTARIO!C177)),"MAT",
IF(ISNUMBER(SEARCH("MESH",INVENTARIO!C177)),"MES",
IF(ISNUMBER(SEARCH("BRILLANTE",INVENTARIO!C177)),"BRI",
IF(ISNUMBER(SEARCH("DELGADA",INVENTARIO!C177)),"DEL",
IF(ISNUMBER(SEARCH("GRUESA",INVENTARIO!C177)),"GRU",
IF(ISNUMBER(SEARCH("ESTATICO",INVENTARIO!C177)),"EST",
IF(ISNUMBER(SEARCH("REFLECTIVO",INVENTARIO!C177)),"REF",
IF(ISNUMBER(SEARCH("LX700",INVENTARIO!C177)),"LX7",
IF(ISNUMBER(SEARCH("GRANDO",INVENTARIO!C177)),"GRA",
IF(ISNUMBER(SEARCH("FB700",INVENTARIO!C177)),"FB7",
IF(ISNUMBER(SEARCH("LX360",INVENTARIO!C177)),"LX3",
IF(ISNUMBER(SEARCH("XEROX",INVENTARIO!C177)),"XER",
IF(ISNUMBER(SEARCH("CEPILLADO",INVENTARIO!C177)),"CEP",
IF(ISNUMBER(SEARCH("ESPEJO",INVENTARIO!C177)),"ESP",
IF(ISNUMBER(SEARCH("10 PTS",INVENTARIO!C177)),"10PT",
IF(ISNUMBER(SEARCH("12 PTS",INVENTARIO!C177)),"12PT",
IF(ISNUMBER(SEARCH("14 PTS",INVENTARIO!C177)),"14PT",
IF(ISNUMBER(SEARCH("CLASICO",INVENTARIO!C177)),"CLA",
""))))))))))))))))))))))</f>
        <v>ESP</v>
      </c>
      <c r="D177" t="str">
        <f>IF(ISNUMBER(SEARCH("GRAN FORMATO",INVENTARIO!C177)),"GRA-FOR",
IF(ISNUMBER(SEARCH("CAMA PLANA",INVENTARIO!C177)),"CAM-PLA",
IF(ISNUMBER(SEARCH("GRADO INGENIERIA",INVENTARIO!C177)),"GRA-ING",
IF(ISNUMBER(SEARCH("130 GRS",INVENTARIO!C177)),"130GR",
IF(ISNUMBER(SEARCH("150 GRS",INVENTARIO!C177)),"150GR",
IF(ISNUMBER(SEARCH("185 GRS",INVENTARIO!C177)),"185GR",
IF(ISNUMBER(SEARCH("200 GRS",INVENTARIO!C177)),"200GR",
IF(ISNUMBER(SEARCH("250 GRS",INVENTARIO!C177)),"250GR",
IF(ISNUMBER(SEARCH("300 GRS",INVENTARIO!C177)),"300GR",
IF(ISNUMBER(SEARCH("350 GRS",INVENTARIO!C177)),"350GR",
IF(ISNUMBER(SEARCH("18 OZ",INVENTARIO!C177)),"18OZ",
IF(ISNUMBER(SEARCH("15 OZ",INVENTARIO!C177)),"15OZ",
IF(OR(ISNUMBER(SEARCH("13 OZ",INVENTARIO!C177)),ISNUMBER(SEARCH("13 ONZAS",INVENTARIO!C177))),"13OZ",
IF(OR(ISNUMBER(SEARCH("9 OZ",INVENTARIO!C177)),ISNUMBER(SEARCH("9 ONZAS",INVENTARIO!C177))),"09OZ",
IF(ISNUMBER(SEARCH("DOBLE CARA",INVENTARIO!C177)),"DOB-CAR",
"")))))))))))))))</f>
        <v/>
      </c>
      <c r="E177" t="str">
        <f>IF(OR(ISNUMBER(SEARCH("TRANSPARENTE",INVENTARIO!C177)),ISNUMBER(SEARCH("TRANSPARENTES",INVENTARIO!C177))),"TRA",
IF(OR(ISNUMBER(SEARCH("BLANCO",INVENTARIO!C177)),ISNUMBER(SEARCH("BCO",INVENTARIO!C177))),"BLA",
IF(ISNUMBER(SEARCH("FOTOGRAFICO",INVENTARIO!C177)),"FOT",
IF(ISNUMBER(SEARCH("MARFIL",INVENTARIO!C177)),"MAR",
IF(ISNUMBER(SEARCH("VERDE",INVENTARIO!C177)),"VER",
IF(ISNUMBER(SEARCH("MORADO",INVENTARIO!C177)),"MOR",
IF(ISNUMBER(SEARCH("PLATA",INVENTARIO!C177)),"PLA",
IF(ISNUMBER(SEARCH("ORO",INVENTARIO!C177)),"ORO",
IF(ISNUMBER(SEARCH("AMARILLO",INVENTARIO!C177)),"AMA",
IF(ISNUMBER(SEARCH("NARANJA",INVENTARIO!C177)),"NAR",
IF(ISNUMBER(SEARCH("NEGRO",INVENTARIO!C177)),"NEG",
IF(ISNUMBER(SEARCH("ROJO",INVENTARIO!C177)),"ROJ",
IF(ISNUMBER(SEARCH("AZUL",INVENTARIO!C177)),"AZU","")))))))))))))</f>
        <v>ORO</v>
      </c>
      <c r="F177" t="str">
        <f>IF(ISNUMBER(SEARCH("ARLON",INVENTARIO!C177)),"ARL",
IF(ISNUMBER(SEARCH("SUNTHINKS",INVENTARIO!C177)),"SUN",
IF(ISNUMBER(SEARCH("FRIO",INVENTARIO!C177)),"FRI",
IF(ISNUMBER(SEARCH("CALIDO",INVENTARIO!C177)),"CAL",
IF(ISNUMBER(SEARCH("CEPILLADO",INVENTARIO!C177)),"CEP",
IF(ISNUMBER(SEARCH("ESPEJO",INVENTARIO!C177)),"ESP",
""))))))</f>
        <v>ESP</v>
      </c>
      <c r="G177" t="str">
        <f>IF(ISNUMBER(SEARCH("LATEX",INVENTARIO!C177)),"LAT",
IF(ISNUMBER(SEARCH("RESP. NEGRO",INVENTARIO!C177)),"RES-NEG",
IF(ISNUMBER(SEARCH("RESPALDO CAFE",INVENTARIO!C177)),"RES-CAF",
IF(ISNUMBER(SEARCH("RESPALDO GRIS",INVENTARIO!C177)),"RES-GRI",
IF(ISNUMBER(SEARCH("OPTICO",INVENTARIO!C177)),"OPT",
IF(ISNUMBER(SEARCH("1,2 MM",INVENTARIO!C177)),"1MM2",
IF(ISNUMBER(SEARCH("2 MM",INVENTARIO!C177)),"2MM",
IF(ISNUMBER(SEARCH("3 MM",INVENTARIO!C177)),"3MM",
IF(ISNUMBER(SEARCH("4 MM",INVENTARIO!C177)),"4MM",
IF(ISNUMBER(SEARCH("5 MM",INVENTARIO!C177)),"5MM",
IF(ISNUMBER(SEARCH("6 MM",INVENTARIO!C177)),"6MM",
IF(ISNUMBER(SEARCH("9 MM",INVENTARIO!C177)),"9MM",
IF(ISNUMBER(SEARCH("10 MM",INVENTARIO!C177)),"10MM","")))))))))))))</f>
        <v/>
      </c>
      <c r="H177" t="str">
        <f>IF(ISNUMBER(SEARCH("GAMA BAJA",INVENTARIO!C177)),"GAM-BAJ",
IF(ISNUMBER(SEARCH("OPTIMIZADOR",INVENTARIO!C177)),"OPT",
IF(ISNUMBER(SEARCH("OVERCOAT",INVENTARIO!C177)),"OVE",
IF(ISNUMBER(SEARCH("WHITE",INVENTARIO!C177)),"WHI",
IF(ISNUMBER(SEARCH("LIGHT CYAN",INVENTARIO!C177)),"LIG-CYA",
IF(ISNUMBER(SEARCH("CYAN",INVENTARIO!C177)),"CYA",
IF(ISNUMBER(SEARCH("LIGHT MAGENTA",INVENTARIO!C177)),"LIG-MAG",
IF(ISNUMBER(SEARCH("MAGENTA",INVENTARIO!C177)),"MAG",
IF(ISNUMBER(SEARCH("BLACK",INVENTARIO!C177)),"BLA",
IF(ISNUMBER(SEARCH("YELLOW",INVENTARIO!C177)),"YEL",
IF(ISNUMBER(SEARCH("2 DIODOS",INVENTARIO!C177)),"2DI",
IF(ISNUMBER(SEARCH("3 DIODOS",INVENTARIO!C177)),"3DI",
IF(OR(ISNUMBER(SEARCH("TRASLUCIDO",INVENTARIO!C177)),ISNUMBER(SEARCH("TRANSLUCIDO",INVENTARIO!C177))),"TRA",
"")))))))))))))</f>
        <v/>
      </c>
      <c r="I177" t="str">
        <f>IF(ISNUMBER(SEARCH("SILED",INVENTARIO!C200)),"SI",
IF(ISNUMBER(SEARCH("SYDEMEX",INVENTARIO!C200)),"SY",
IF(ISNUMBER(SEARCH("ROHS",INVENTARIO!C200)),"RO",
IF(ISNUMBER(SEARCH("RISHANG",INVENTARIO!C200)),"RS",
IF(ISNUMBER(SEARCH("VYG",INVENTARIO!C200)),"VYG",
IF(ISNUMBER(SEARCH("COLED",INVENTARIO!C200)),"CO",""))))))</f>
        <v/>
      </c>
    </row>
    <row r="178" spans="1:9">
      <c r="A178" t="str">
        <f>IF(ISNUMBER(SEARCH("LONA",INVENTARIO!C178)),"LON",
IF(ISNUMBER(SEARCH("VINIL",INVENTARIO!C178)),"VIN",
IF(ISNUMBER(SEARCH("KROMACOTE",INVENTARIO!C178)),"KRO",
IF(ISNUMBER(SEARCH("STARDREAM",INVENTARIO!C178)),"STA",
IF(ISNUMBER(SEARCH("DISPLAY",INVENTARIO!C178)),"DIS",
IF(ISNUMBER(SEARCH("ROLL UP",INVENTARIO!C178)),"ROL-UP",
IF(ISNUMBER(SEARCH("TRANSFER DE PAPEL",INVENTARIO!C178)),"TRA-PAP",
IF(ISNUMBER(SEARCH("TRANSFER",INVENTARIO!C178)),"TRA",IF(ISNUMBER(SEARCH("KOLA LOKA",INVENTARIO!C178)),"KOL-LOK",
IF(ISNUMBER(SEARCH("PETG",INVENTARIO!C178)),"PET",
IF(ISNUMBER(SEARCH("OJILLO",INVENTARIO!C178)),"OJI",
IF(ISNUMBER(SEARCH("COUCHE",INVENTARIO!C178)),"COU",
IF(ISNUMBER(SEARCH("PANEL DE ALUMINIO",INVENTARIO!C178)),"PAN-ALU",
IF(ISNUMBER(SEARCH("PVC",INVENTARIO!C178)),"PVC",
IF(ISNUMBER(SEARCH("PAPEL",INVENTARIO!C178)),"PAP",
IF(ISNUMBER(SEARCH("TELA",INVENTARIO!C178)),"TEL",
IF(ISNUMBER(SEARCH("CARTULINA",INVENTARIO!C178)),"CAR",
IF(OR(ISNUMBER(SEARCH("LAMINA",INVENTARIO!C178)),ISNUMBER(SEARCH("LÁMINA",INVENTARIO!C178)),ISNUMBER(SEARCH("LAMPARAS",INVENTARIO!C178))),"LAM",
IF(ISNUMBER(SEARCH("ESTIRENO",INVENTARIO!C178)),"EST",
IF(ISNUMBER(SEARCH("FOAMBOARD",INVENTARIO!C178)),"FOA",
IF(ISNUMBER(SEARCH("SOLVENTE",INVENTARIO!C178)),"SOL",
IF(ISNUMBER(SEARCH("TINTA",INVENTARIO!C178)),"TIN",
IF(ISNUMBER(SEARCH("ACRILICO",INVENTARIO!C178)),"ACR",
IF(ISNUMBER(SEARCH("MICROLED",INVENTARIO!C178)),"MIC",
IF(ISNUMBER(SEARCH("LED",INVENTARIO!C178)),"LED",
IF(ISNUMBER(SEARCH("FUENTE DE PODER",INVENTARIO!C178)),"FUE-POD",
IF(ISNUMBER(SEARCH("PETG",INVENTARIO!C178)),"PET",
IF(ISNUMBER(SEARCH("ALUMINIO",INVENTARIO!C178)),"ALU",
IF(ISNUMBER(SEARCH("CANAL",INVENTARIO!C178)),"CAN",
IF(ISNUMBER(SEARCH("ESCUADRA",INVENTARIO!C178)),"ESC",
IF(ISNUMBER(SEARCH("SOPORTE",INVENTARIO!C178)),"SOP","OTR")
))))))))))))))))))))))))))))))</f>
        <v>VIN</v>
      </c>
      <c r="B178" t="str">
        <f>IF(ISNUMBER(SEARCH("CORTE",INVENTARIO!C178)),"COR",
IF(ISNUMBER(SEARCH("CITYLIGHT",INVENTARIO!C178)),"CIT",
IF(ISNUMBER(SEARCH("LINO",INVENTARIO!C178)),"LIN",
IF(ISNUMBER(SEARCH("FABRIANO",INVENTARIO!C178)),"FAB",
IF(ISNUMBER(SEARCH("SUNDANCE",INVENTARIO!C178)),"SUN",
IF(ISNUMBER(SEARCH("SINTETICA",INVENTARIO!C178)),"SIN",
IF(ISNUMBER(SEARCH("CONTROL",INVENTARIO!C178)),"CON",
IF(ISNUMBER(SEARCH("TERMICO",INVENTARIO!C178)),"TER",
IF(ISNUMBER(SEARCH("C-15",INVENTARIO!C178)),"C15",
IF(ISNUMBER(SEARCH("C-20",INVENTARIO!C178)),"C20",
IF(ISNUMBER(SEARCH("C-30",INVENTARIO!C178)),"C30",
IF(ISNUMBER(SEARCH("C-40",INVENTARIO!C178)),"C40",
IF(ISNUMBER(SEARCH("C-60",INVENTARIO!C178)),"C60",
IF(ISNUMBER(SEARCH("C-80",INVENTARIO!C178)),"C80",
IF(ISNUMBER(SEARCH("EQUIPO",INVENTARIO!C178)),"EQU",
IF(ISNUMBER(SEARCH("FLOOR",INVENTARIO!C178)),"FLO",
IF(ISNUMBER(SEARCH("CRISTAL",INVENTARIO!C178)),"CRI",
IF(ISNUMBER(SEARCH(" SULFATADA",INVENTARIO!C189)),"SUL",
IF(ISNUMBER(SEARCH("OPALINA",INVENTARIO!C178)),"OPA",
IF(ISNUMBER(SEARCH("ADHERIBLE",INVENTARIO!C178)),"ADH",
IF(ISNUMBER(SEARCH("MICRO",INVENTARIO!C178)),"MIC","")))))))))))))))))))))</f>
        <v>COR</v>
      </c>
      <c r="C178" t="str">
        <f>IF(ISNUMBER(SEARCH("PARED",INVENTARIO!C178)),"PAR",
IF(ISNUMBER(SEARCH("FRONT",INVENTARIO!C178)),"FRO",
IF(ISNUMBER(SEARCH("ALTA RESISTENCIA",INVENTARIO!C178)),
"ALT-RES",IF(ISNUMBER(SEARCH("BACKLITE",INVENTARIO!C178)),"BAC",
IF(ISNUMBER(SEARCH("MATE",INVENTARIO!C178)),"MAT",
IF(ISNUMBER(SEARCH("MESH",INVENTARIO!C178)),"MES",
IF(ISNUMBER(SEARCH("BRILLANTE",INVENTARIO!C178)),"BRI",
IF(ISNUMBER(SEARCH("DELGADA",INVENTARIO!C178)),"DEL",
IF(ISNUMBER(SEARCH("GRUESA",INVENTARIO!C178)),"GRU",
IF(ISNUMBER(SEARCH("ESTATICO",INVENTARIO!C178)),"EST",
IF(ISNUMBER(SEARCH("REFLECTIVO",INVENTARIO!C178)),"REF",
IF(ISNUMBER(SEARCH("LX700",INVENTARIO!C178)),"LX7",
IF(ISNUMBER(SEARCH("GRANDO",INVENTARIO!C178)),"GRA",
IF(ISNUMBER(SEARCH("FB700",INVENTARIO!C178)),"FB7",
IF(ISNUMBER(SEARCH("LX360",INVENTARIO!C178)),"LX3",
IF(ISNUMBER(SEARCH("XEROX",INVENTARIO!C178)),"XER",
IF(ISNUMBER(SEARCH("CEPILLADO",INVENTARIO!C178)),"CEP",
IF(ISNUMBER(SEARCH("ESPEJO",INVENTARIO!C178)),"ESP",
IF(ISNUMBER(SEARCH("10 PTS",INVENTARIO!C178)),"10PT",
IF(ISNUMBER(SEARCH("12 PTS",INVENTARIO!C178)),"12PT",
IF(ISNUMBER(SEARCH("14 PTS",INVENTARIO!C178)),"14PT",
IF(ISNUMBER(SEARCH("CLASICO",INVENTARIO!C178)),"CLA",
""))))))))))))))))))))))</f>
        <v/>
      </c>
      <c r="D178" t="str">
        <f>IF(ISNUMBER(SEARCH("GRAN FORMATO",INVENTARIO!C178)),"GRA-FOR",
IF(ISNUMBER(SEARCH("CAMA PLANA",INVENTARIO!C178)),"CAM-PLA",
IF(ISNUMBER(SEARCH("GRADO INGENIERIA",INVENTARIO!C178)),"GRA-ING",
IF(ISNUMBER(SEARCH("130 GRS",INVENTARIO!C178)),"130GR",
IF(ISNUMBER(SEARCH("150 GRS",INVENTARIO!C178)),"150GR",
IF(ISNUMBER(SEARCH("185 GRS",INVENTARIO!C178)),"185GR",
IF(ISNUMBER(SEARCH("200 GRS",INVENTARIO!C178)),"200GR",
IF(ISNUMBER(SEARCH("250 GRS",INVENTARIO!C178)),"250GR",
IF(ISNUMBER(SEARCH("300 GRS",INVENTARIO!C178)),"300GR",
IF(ISNUMBER(SEARCH("350 GRS",INVENTARIO!C178)),"350GR",
IF(ISNUMBER(SEARCH("18 OZ",INVENTARIO!C178)),"18OZ",
IF(ISNUMBER(SEARCH("15 OZ",INVENTARIO!C178)),"15OZ",
IF(OR(ISNUMBER(SEARCH("13 OZ",INVENTARIO!C178)),ISNUMBER(SEARCH("13 ONZAS",INVENTARIO!C178))),"13OZ",
IF(OR(ISNUMBER(SEARCH("9 OZ",INVENTARIO!C178)),ISNUMBER(SEARCH("9 ONZAS",INVENTARIO!C178))),"09OZ",
IF(ISNUMBER(SEARCH("DOBLE CARA",INVENTARIO!C178)),"DOB-CAR",
"")))))))))))))))</f>
        <v/>
      </c>
      <c r="E178" t="str">
        <f>IF(OR(ISNUMBER(SEARCH("TRANSPARENTE",INVENTARIO!C178)),ISNUMBER(SEARCH("TRANSPARENTES",INVENTARIO!C178))),"TRA",
IF(OR(ISNUMBER(SEARCH("BLANCO",INVENTARIO!C178)),ISNUMBER(SEARCH("BCO",INVENTARIO!C178))),"BLA",
IF(ISNUMBER(SEARCH("FOTOGRAFICO",INVENTARIO!C178)),"FOT",
IF(ISNUMBER(SEARCH("MARFIL",INVENTARIO!C178)),"MAR",
IF(ISNUMBER(SEARCH("VERDE",INVENTARIO!C178)),"VER",
IF(ISNUMBER(SEARCH("MORADO",INVENTARIO!C178)),"MOR",
IF(ISNUMBER(SEARCH("PLATA",INVENTARIO!C178)),"PLA",
IF(ISNUMBER(SEARCH("ORO",INVENTARIO!C178)),"ORO",
IF(ISNUMBER(SEARCH("AMARILLO",INVENTARIO!C178)),"AMA",
IF(ISNUMBER(SEARCH("NARANJA",INVENTARIO!C178)),"NAR",
IF(ISNUMBER(SEARCH("NEGRO",INVENTARIO!C178)),"NEG",
IF(ISNUMBER(SEARCH("ROJO",INVENTARIO!C178)),"ROJ",
IF(ISNUMBER(SEARCH("AZUL",INVENTARIO!C178)),"AZU","")))))))))))))</f>
        <v>ORO</v>
      </c>
      <c r="F178" t="str">
        <f>IF(ISNUMBER(SEARCH("ARLON",INVENTARIO!C178)),"ARL",
IF(ISNUMBER(SEARCH("SUNTHINKS",INVENTARIO!C178)),"SUN",
IF(ISNUMBER(SEARCH("FRIO",INVENTARIO!C178)),"FRI",
IF(ISNUMBER(SEARCH("CALIDO",INVENTARIO!C178)),"CAL",
IF(ISNUMBER(SEARCH("CEPILLADO",INVENTARIO!C178)),"CEP",
IF(ISNUMBER(SEARCH("ESPEJO",INVENTARIO!C178)),"ESP",
""))))))</f>
        <v/>
      </c>
      <c r="G178" t="str">
        <f>IF(ISNUMBER(SEARCH("LATEX",INVENTARIO!C178)),"LAT",
IF(ISNUMBER(SEARCH("RESP. NEGRO",INVENTARIO!C178)),"RES-NEG",
IF(ISNUMBER(SEARCH("RESPALDO CAFE",INVENTARIO!C178)),"RES-CAF",
IF(ISNUMBER(SEARCH("RESPALDO GRIS",INVENTARIO!C178)),"RES-GRI",
IF(ISNUMBER(SEARCH("OPTICO",INVENTARIO!C178)),"OPT",
IF(ISNUMBER(SEARCH("1,2 MM",INVENTARIO!C178)),"1MM2",
IF(ISNUMBER(SEARCH("2 MM",INVENTARIO!C178)),"2MM",
IF(ISNUMBER(SEARCH("3 MM",INVENTARIO!C178)),"3MM",
IF(ISNUMBER(SEARCH("4 MM",INVENTARIO!C178)),"4MM",
IF(ISNUMBER(SEARCH("5 MM",INVENTARIO!C178)),"5MM",
IF(ISNUMBER(SEARCH("6 MM",INVENTARIO!C178)),"6MM",
IF(ISNUMBER(SEARCH("9 MM",INVENTARIO!C178)),"9MM",
IF(ISNUMBER(SEARCH("10 MM",INVENTARIO!C178)),"10MM","")))))))))))))</f>
        <v/>
      </c>
      <c r="H178" t="str">
        <f>IF(ISNUMBER(SEARCH("GAMA BAJA",INVENTARIO!C178)),"GAM-BAJ",
IF(ISNUMBER(SEARCH("OPTIMIZADOR",INVENTARIO!C178)),"OPT",
IF(ISNUMBER(SEARCH("OVERCOAT",INVENTARIO!C178)),"OVE",
IF(ISNUMBER(SEARCH("WHITE",INVENTARIO!C178)),"WHI",
IF(ISNUMBER(SEARCH("LIGHT CYAN",INVENTARIO!C178)),"LIG-CYA",
IF(ISNUMBER(SEARCH("CYAN",INVENTARIO!C178)),"CYA",
IF(ISNUMBER(SEARCH("LIGHT MAGENTA",INVENTARIO!C178)),"LIG-MAG",
IF(ISNUMBER(SEARCH("MAGENTA",INVENTARIO!C178)),"MAG",
IF(ISNUMBER(SEARCH("BLACK",INVENTARIO!C178)),"BLA",
IF(ISNUMBER(SEARCH("YELLOW",INVENTARIO!C178)),"YEL",
IF(ISNUMBER(SEARCH("2 DIODOS",INVENTARIO!C178)),"2DI",
IF(ISNUMBER(SEARCH("3 DIODOS",INVENTARIO!C178)),"3DI",
IF(OR(ISNUMBER(SEARCH("TRASLUCIDO",INVENTARIO!C178)),ISNUMBER(SEARCH("TRANSLUCIDO",INVENTARIO!C178))),"TRA",
"")))))))))))))</f>
        <v/>
      </c>
      <c r="I178" t="str">
        <f>IF(ISNUMBER(SEARCH("SILED",INVENTARIO!C201)),"SI",
IF(ISNUMBER(SEARCH("SYDEMEX",INVENTARIO!C201)),"SY",
IF(ISNUMBER(SEARCH("ROHS",INVENTARIO!C201)),"RO",
IF(ISNUMBER(SEARCH("RISHANG",INVENTARIO!C201)),"RS",
IF(ISNUMBER(SEARCH("VYG",INVENTARIO!C201)),"VYG",
IF(ISNUMBER(SEARCH("COLED",INVENTARIO!C201)),"CO",""))))))</f>
        <v/>
      </c>
    </row>
    <row r="179" spans="1:9">
      <c r="A179" t="str">
        <f>IF(ISNUMBER(SEARCH("LONA",INVENTARIO!C179)),"LON",
IF(ISNUMBER(SEARCH("VINIL",INVENTARIO!C179)),"VIN",
IF(ISNUMBER(SEARCH("KROMACOTE",INVENTARIO!C179)),"KRO",
IF(ISNUMBER(SEARCH("STARDREAM",INVENTARIO!C179)),"STA",
IF(ISNUMBER(SEARCH("DISPLAY",INVENTARIO!C179)),"DIS",
IF(ISNUMBER(SEARCH("ROLL UP",INVENTARIO!C179)),"ROL-UP",
IF(ISNUMBER(SEARCH("TRANSFER DE PAPEL",INVENTARIO!C179)),"TRA-PAP",
IF(ISNUMBER(SEARCH("TRANSFER",INVENTARIO!C179)),"TRA",IF(ISNUMBER(SEARCH("KOLA LOKA",INVENTARIO!C179)),"KOL-LOK",
IF(ISNUMBER(SEARCH("PETG",INVENTARIO!C179)),"PET",
IF(ISNUMBER(SEARCH("OJILLO",INVENTARIO!C179)),"OJI",
IF(ISNUMBER(SEARCH("COUCHE",INVENTARIO!C179)),"COU",
IF(ISNUMBER(SEARCH("PANEL DE ALUMINIO",INVENTARIO!C179)),"PAN-ALU",
IF(ISNUMBER(SEARCH("PVC",INVENTARIO!C179)),"PVC",
IF(ISNUMBER(SEARCH("PAPEL",INVENTARIO!C179)),"PAP",
IF(ISNUMBER(SEARCH("TELA",INVENTARIO!C179)),"TEL",
IF(ISNUMBER(SEARCH("CARTULINA",INVENTARIO!C179)),"CAR",
IF(OR(ISNUMBER(SEARCH("LAMINA",INVENTARIO!C179)),ISNUMBER(SEARCH("LÁMINA",INVENTARIO!C179)),ISNUMBER(SEARCH("LAMPARAS",INVENTARIO!C179))),"LAM",
IF(ISNUMBER(SEARCH("ESTIRENO",INVENTARIO!C179)),"EST",
IF(ISNUMBER(SEARCH("FOAMBOARD",INVENTARIO!C179)),"FOA",
IF(ISNUMBER(SEARCH("SOLVENTE",INVENTARIO!C179)),"SOL",
IF(ISNUMBER(SEARCH("TINTA",INVENTARIO!C179)),"TIN",
IF(ISNUMBER(SEARCH("ACRILICO",INVENTARIO!C179)),"ACR",
IF(ISNUMBER(SEARCH("MICROLED",INVENTARIO!C179)),"MIC",
IF(ISNUMBER(SEARCH("LED",INVENTARIO!C179)),"LED",
IF(ISNUMBER(SEARCH("FUENTE DE PODER",INVENTARIO!C179)),"FUE-POD",
IF(ISNUMBER(SEARCH("PETG",INVENTARIO!C179)),"PET",
IF(ISNUMBER(SEARCH("ALUMINIO",INVENTARIO!C179)),"ALU",
IF(ISNUMBER(SEARCH("CANAL",INVENTARIO!C179)),"CAN",
IF(ISNUMBER(SEARCH("ESCUADRA",INVENTARIO!C179)),"ESC",
IF(ISNUMBER(SEARCH("SOPORTE",INVENTARIO!C179)),"SOP","OTR")
))))))))))))))))))))))))))))))</f>
        <v>VIN</v>
      </c>
      <c r="B179" t="str">
        <f>IF(ISNUMBER(SEARCH("CORTE",INVENTARIO!C179)),"COR",
IF(ISNUMBER(SEARCH("CITYLIGHT",INVENTARIO!C179)),"CIT",
IF(ISNUMBER(SEARCH("LINO",INVENTARIO!C179)),"LIN",
IF(ISNUMBER(SEARCH("FABRIANO",INVENTARIO!C179)),"FAB",
IF(ISNUMBER(SEARCH("SUNDANCE",INVENTARIO!C179)),"SUN",
IF(ISNUMBER(SEARCH("SINTETICA",INVENTARIO!C179)),"SIN",
IF(ISNUMBER(SEARCH("CONTROL",INVENTARIO!C179)),"CON",
IF(ISNUMBER(SEARCH("TERMICO",INVENTARIO!C179)),"TER",
IF(ISNUMBER(SEARCH("C-15",INVENTARIO!C179)),"C15",
IF(ISNUMBER(SEARCH("C-20",INVENTARIO!C179)),"C20",
IF(ISNUMBER(SEARCH("C-30",INVENTARIO!C179)),"C30",
IF(ISNUMBER(SEARCH("C-40",INVENTARIO!C179)),"C40",
IF(ISNUMBER(SEARCH("C-60",INVENTARIO!C179)),"C60",
IF(ISNUMBER(SEARCH("C-80",INVENTARIO!C179)),"C80",
IF(ISNUMBER(SEARCH("EQUIPO",INVENTARIO!C179)),"EQU",
IF(ISNUMBER(SEARCH("FLOOR",INVENTARIO!C179)),"FLO",
IF(ISNUMBER(SEARCH("CRISTAL",INVENTARIO!C179)),"CRI",
IF(ISNUMBER(SEARCH(" SULFATADA",INVENTARIO!C190)),"SUL",
IF(ISNUMBER(SEARCH("OPALINA",INVENTARIO!C179)),"OPA",
IF(ISNUMBER(SEARCH("ADHERIBLE",INVENTARIO!C179)),"ADH",
IF(ISNUMBER(SEARCH("MICRO",INVENTARIO!C179)),"MIC","")))))))))))))))))))))</f>
        <v>COR</v>
      </c>
      <c r="C179" t="str">
        <f>IF(ISNUMBER(SEARCH("PARED",INVENTARIO!C179)),"PAR",
IF(ISNUMBER(SEARCH("FRONT",INVENTARIO!C179)),"FRO",
IF(ISNUMBER(SEARCH("ALTA RESISTENCIA",INVENTARIO!C179)),
"ALT-RES",IF(ISNUMBER(SEARCH("BACKLITE",INVENTARIO!C179)),"BAC",
IF(ISNUMBER(SEARCH("MATE",INVENTARIO!C179)),"MAT",
IF(ISNUMBER(SEARCH("MESH",INVENTARIO!C179)),"MES",
IF(ISNUMBER(SEARCH("BRILLANTE",INVENTARIO!C179)),"BRI",
IF(ISNUMBER(SEARCH("DELGADA",INVENTARIO!C179)),"DEL",
IF(ISNUMBER(SEARCH("GRUESA",INVENTARIO!C179)),"GRU",
IF(ISNUMBER(SEARCH("ESTATICO",INVENTARIO!C179)),"EST",
IF(ISNUMBER(SEARCH("REFLECTIVO",INVENTARIO!C179)),"REF",
IF(ISNUMBER(SEARCH("LX700",INVENTARIO!C179)),"LX7",
IF(ISNUMBER(SEARCH("GRANDO",INVENTARIO!C179)),"GRA",
IF(ISNUMBER(SEARCH("FB700",INVENTARIO!C179)),"FB7",
IF(ISNUMBER(SEARCH("LX360",INVENTARIO!C179)),"LX3",
IF(ISNUMBER(SEARCH("XEROX",INVENTARIO!C179)),"XER",
IF(ISNUMBER(SEARCH("CEPILLADO",INVENTARIO!C179)),"CEP",
IF(ISNUMBER(SEARCH("ESPEJO",INVENTARIO!C179)),"ESP",
IF(ISNUMBER(SEARCH("10 PTS",INVENTARIO!C179)),"10PT",
IF(ISNUMBER(SEARCH("12 PTS",INVENTARIO!C179)),"12PT",
IF(ISNUMBER(SEARCH("14 PTS",INVENTARIO!C179)),"14PT",
IF(ISNUMBER(SEARCH("CLASICO",INVENTARIO!C179)),"CLA",
""))))))))))))))))))))))</f>
        <v>CEP</v>
      </c>
      <c r="D179" t="str">
        <f>IF(ISNUMBER(SEARCH("GRAN FORMATO",INVENTARIO!C179)),"GRA-FOR",
IF(ISNUMBER(SEARCH("CAMA PLANA",INVENTARIO!C179)),"CAM-PLA",
IF(ISNUMBER(SEARCH("GRADO INGENIERIA",INVENTARIO!C179)),"GRA-ING",
IF(ISNUMBER(SEARCH("130 GRS",INVENTARIO!C179)),"130GR",
IF(ISNUMBER(SEARCH("150 GRS",INVENTARIO!C179)),"150GR",
IF(ISNUMBER(SEARCH("185 GRS",INVENTARIO!C179)),"185GR",
IF(ISNUMBER(SEARCH("200 GRS",INVENTARIO!C179)),"200GR",
IF(ISNUMBER(SEARCH("250 GRS",INVENTARIO!C179)),"250GR",
IF(ISNUMBER(SEARCH("300 GRS",INVENTARIO!C179)),"300GR",
IF(ISNUMBER(SEARCH("350 GRS",INVENTARIO!C179)),"350GR",
IF(ISNUMBER(SEARCH("18 OZ",INVENTARIO!C179)),"18OZ",
IF(ISNUMBER(SEARCH("15 OZ",INVENTARIO!C179)),"15OZ",
IF(OR(ISNUMBER(SEARCH("13 OZ",INVENTARIO!C179)),ISNUMBER(SEARCH("13 ONZAS",INVENTARIO!C179))),"13OZ",
IF(OR(ISNUMBER(SEARCH("9 OZ",INVENTARIO!C179)),ISNUMBER(SEARCH("9 ONZAS",INVENTARIO!C179))),"09OZ",
IF(ISNUMBER(SEARCH("DOBLE CARA",INVENTARIO!C179)),"DOB-CAR",
"")))))))))))))))</f>
        <v/>
      </c>
      <c r="E179" t="str">
        <f>IF(OR(ISNUMBER(SEARCH("TRANSPARENTE",INVENTARIO!C179)),ISNUMBER(SEARCH("TRANSPARENTES",INVENTARIO!C179))),"TRA",
IF(OR(ISNUMBER(SEARCH("BLANCO",INVENTARIO!C179)),ISNUMBER(SEARCH("BCO",INVENTARIO!C179))),"BLA",
IF(ISNUMBER(SEARCH("FOTOGRAFICO",INVENTARIO!C179)),"FOT",
IF(ISNUMBER(SEARCH("MARFIL",INVENTARIO!C179)),"MAR",
IF(ISNUMBER(SEARCH("VERDE",INVENTARIO!C179)),"VER",
IF(ISNUMBER(SEARCH("MORADO",INVENTARIO!C179)),"MOR",
IF(ISNUMBER(SEARCH("PLATA",INVENTARIO!C179)),"PLA",
IF(ISNUMBER(SEARCH("ORO",INVENTARIO!C179)),"ORO",
IF(ISNUMBER(SEARCH("AMARILLO",INVENTARIO!C179)),"AMA",
IF(ISNUMBER(SEARCH("NARANJA",INVENTARIO!C179)),"NAR",
IF(ISNUMBER(SEARCH("NEGRO",INVENTARIO!C179)),"NEG",
IF(ISNUMBER(SEARCH("ROJO",INVENTARIO!C179)),"ROJ",
IF(ISNUMBER(SEARCH("AZUL",INVENTARIO!C179)),"AZU","")))))))))))))</f>
        <v>PLA</v>
      </c>
      <c r="F179" t="str">
        <f>IF(ISNUMBER(SEARCH("ARLON",INVENTARIO!C179)),"ARL",
IF(ISNUMBER(SEARCH("SUNTHINKS",INVENTARIO!C179)),"SUN",
IF(ISNUMBER(SEARCH("FRIO",INVENTARIO!C179)),"FRI",
IF(ISNUMBER(SEARCH("CALIDO",INVENTARIO!C179)),"CAL",
IF(ISNUMBER(SEARCH("CEPILLADO",INVENTARIO!C179)),"CEP",
IF(ISNUMBER(SEARCH("ESPEJO",INVENTARIO!C179)),"ESP",
""))))))</f>
        <v>CEP</v>
      </c>
      <c r="G179" t="str">
        <f>IF(ISNUMBER(SEARCH("LATEX",INVENTARIO!C179)),"LAT",
IF(ISNUMBER(SEARCH("RESP. NEGRO",INVENTARIO!C179)),"RES-NEG",
IF(ISNUMBER(SEARCH("RESPALDO CAFE",INVENTARIO!C179)),"RES-CAF",
IF(ISNUMBER(SEARCH("RESPALDO GRIS",INVENTARIO!C179)),"RES-GRI",
IF(ISNUMBER(SEARCH("OPTICO",INVENTARIO!C179)),"OPT",
IF(ISNUMBER(SEARCH("1,2 MM",INVENTARIO!C179)),"1MM2",
IF(ISNUMBER(SEARCH("2 MM",INVENTARIO!C179)),"2MM",
IF(ISNUMBER(SEARCH("3 MM",INVENTARIO!C179)),"3MM",
IF(ISNUMBER(SEARCH("4 MM",INVENTARIO!C179)),"4MM",
IF(ISNUMBER(SEARCH("5 MM",INVENTARIO!C179)),"5MM",
IF(ISNUMBER(SEARCH("6 MM",INVENTARIO!C179)),"6MM",
IF(ISNUMBER(SEARCH("9 MM",INVENTARIO!C179)),"9MM",
IF(ISNUMBER(SEARCH("10 MM",INVENTARIO!C179)),"10MM","")))))))))))))</f>
        <v/>
      </c>
      <c r="H179" t="str">
        <f>IF(ISNUMBER(SEARCH("GAMA BAJA",INVENTARIO!C179)),"GAM-BAJ",
IF(ISNUMBER(SEARCH("OPTIMIZADOR",INVENTARIO!C179)),"OPT",
IF(ISNUMBER(SEARCH("OVERCOAT",INVENTARIO!C179)),"OVE",
IF(ISNUMBER(SEARCH("WHITE",INVENTARIO!C179)),"WHI",
IF(ISNUMBER(SEARCH("LIGHT CYAN",INVENTARIO!C179)),"LIG-CYA",
IF(ISNUMBER(SEARCH("CYAN",INVENTARIO!C179)),"CYA",
IF(ISNUMBER(SEARCH("LIGHT MAGENTA",INVENTARIO!C179)),"LIG-MAG",
IF(ISNUMBER(SEARCH("MAGENTA",INVENTARIO!C179)),"MAG",
IF(ISNUMBER(SEARCH("BLACK",INVENTARIO!C179)),"BLA",
IF(ISNUMBER(SEARCH("YELLOW",INVENTARIO!C179)),"YEL",
IF(ISNUMBER(SEARCH("2 DIODOS",INVENTARIO!C179)),"2DI",
IF(ISNUMBER(SEARCH("3 DIODOS",INVENTARIO!C179)),"3DI",
IF(OR(ISNUMBER(SEARCH("TRASLUCIDO",INVENTARIO!C179)),ISNUMBER(SEARCH("TRANSLUCIDO",INVENTARIO!C179))),"TRA",
"")))))))))))))</f>
        <v/>
      </c>
      <c r="I179" t="str">
        <f>IF(ISNUMBER(SEARCH("SILED",INVENTARIO!C202)),"SI",
IF(ISNUMBER(SEARCH("SYDEMEX",INVENTARIO!C202)),"SY",
IF(ISNUMBER(SEARCH("ROHS",INVENTARIO!C202)),"RO",
IF(ISNUMBER(SEARCH("RISHANG",INVENTARIO!C202)),"RS",
IF(ISNUMBER(SEARCH("VYG",INVENTARIO!C202)),"VYG",
IF(ISNUMBER(SEARCH("COLED",INVENTARIO!C202)),"CO",""))))))</f>
        <v/>
      </c>
    </row>
    <row r="180" spans="1:9">
      <c r="A180" t="str">
        <f>IF(ISNUMBER(SEARCH("LONA",INVENTARIO!C180)),"LON",
IF(ISNUMBER(SEARCH("VINIL",INVENTARIO!C180)),"VIN",
IF(ISNUMBER(SEARCH("KROMACOTE",INVENTARIO!C180)),"KRO",
IF(ISNUMBER(SEARCH("STARDREAM",INVENTARIO!C180)),"STA",
IF(ISNUMBER(SEARCH("DISPLAY",INVENTARIO!C180)),"DIS",
IF(ISNUMBER(SEARCH("ROLL UP",INVENTARIO!C180)),"ROL-UP",
IF(ISNUMBER(SEARCH("TRANSFER DE PAPEL",INVENTARIO!C180)),"TRA-PAP",
IF(ISNUMBER(SEARCH("TRANSFER",INVENTARIO!C180)),"TRA",IF(ISNUMBER(SEARCH("KOLA LOKA",INVENTARIO!C180)),"KOL-LOK",
IF(ISNUMBER(SEARCH("PETG",INVENTARIO!C180)),"PET",
IF(ISNUMBER(SEARCH("OJILLO",INVENTARIO!C180)),"OJI",
IF(ISNUMBER(SEARCH("COUCHE",INVENTARIO!C180)),"COU",
IF(ISNUMBER(SEARCH("PANEL DE ALUMINIO",INVENTARIO!C180)),"PAN-ALU",
IF(ISNUMBER(SEARCH("PVC",INVENTARIO!C180)),"PVC",
IF(ISNUMBER(SEARCH("PAPEL",INVENTARIO!C180)),"PAP",
IF(ISNUMBER(SEARCH("TELA",INVENTARIO!C180)),"TEL",
IF(ISNUMBER(SEARCH("CARTULINA",INVENTARIO!C180)),"CAR",
IF(OR(ISNUMBER(SEARCH("LAMINA",INVENTARIO!C180)),ISNUMBER(SEARCH("LÁMINA",INVENTARIO!C180)),ISNUMBER(SEARCH("LAMPARAS",INVENTARIO!C180))),"LAM",
IF(ISNUMBER(SEARCH("ESTIRENO",INVENTARIO!C180)),"EST",
IF(ISNUMBER(SEARCH("FOAMBOARD",INVENTARIO!C180)),"FOA",
IF(ISNUMBER(SEARCH("SOLVENTE",INVENTARIO!C180)),"SOL",
IF(ISNUMBER(SEARCH("TINTA",INVENTARIO!C180)),"TIN",
IF(ISNUMBER(SEARCH("ACRILICO",INVENTARIO!C180)),"ACR",
IF(ISNUMBER(SEARCH("MICROLED",INVENTARIO!C180)),"MIC",
IF(ISNUMBER(SEARCH("LED",INVENTARIO!C180)),"LED",
IF(ISNUMBER(SEARCH("FUENTE DE PODER",INVENTARIO!C180)),"FUE-POD",
IF(ISNUMBER(SEARCH("PETG",INVENTARIO!C180)),"PET",
IF(ISNUMBER(SEARCH("ALUMINIO",INVENTARIO!C180)),"ALU",
IF(ISNUMBER(SEARCH("CANAL",INVENTARIO!C180)),"CAN",
IF(ISNUMBER(SEARCH("ESCUADRA",INVENTARIO!C180)),"ESC",
IF(ISNUMBER(SEARCH("SOPORTE",INVENTARIO!C180)),"SOP","OTR")
))))))))))))))))))))))))))))))</f>
        <v>VIN</v>
      </c>
      <c r="B180" t="str">
        <f>IF(ISNUMBER(SEARCH("CORTE",INVENTARIO!C180)),"COR",
IF(ISNUMBER(SEARCH("CITYLIGHT",INVENTARIO!C180)),"CIT",
IF(ISNUMBER(SEARCH("LINO",INVENTARIO!C180)),"LIN",
IF(ISNUMBER(SEARCH("FABRIANO",INVENTARIO!C180)),"FAB",
IF(ISNUMBER(SEARCH("SUNDANCE",INVENTARIO!C180)),"SUN",
IF(ISNUMBER(SEARCH("SINTETICA",INVENTARIO!C180)),"SIN",
IF(ISNUMBER(SEARCH("CONTROL",INVENTARIO!C180)),"CON",
IF(ISNUMBER(SEARCH("TERMICO",INVENTARIO!C180)),"TER",
IF(ISNUMBER(SEARCH("C-15",INVENTARIO!C180)),"C15",
IF(ISNUMBER(SEARCH("C-20",INVENTARIO!C180)),"C20",
IF(ISNUMBER(SEARCH("C-30",INVENTARIO!C180)),"C30",
IF(ISNUMBER(SEARCH("C-40",INVENTARIO!C180)),"C40",
IF(ISNUMBER(SEARCH("C-60",INVENTARIO!C180)),"C60",
IF(ISNUMBER(SEARCH("C-80",INVENTARIO!C180)),"C80",
IF(ISNUMBER(SEARCH("EQUIPO",INVENTARIO!C180)),"EQU",
IF(ISNUMBER(SEARCH("FLOOR",INVENTARIO!C180)),"FLO",
IF(ISNUMBER(SEARCH("CRISTAL",INVENTARIO!C180)),"CRI",
IF(ISNUMBER(SEARCH(" SULFATADA",INVENTARIO!C191)),"SUL",
IF(ISNUMBER(SEARCH("OPALINA",INVENTARIO!C180)),"OPA",
IF(ISNUMBER(SEARCH("ADHERIBLE",INVENTARIO!C180)),"ADH",
IF(ISNUMBER(SEARCH("MICRO",INVENTARIO!C180)),"MIC","")))))))))))))))))))))</f>
        <v>COR</v>
      </c>
      <c r="C180" t="str">
        <f>IF(ISNUMBER(SEARCH("PARED",INVENTARIO!C180)),"PAR",
IF(ISNUMBER(SEARCH("FRONT",INVENTARIO!C180)),"FRO",
IF(ISNUMBER(SEARCH("ALTA RESISTENCIA",INVENTARIO!C180)),
"ALT-RES",IF(ISNUMBER(SEARCH("BACKLITE",INVENTARIO!C180)),"BAC",
IF(ISNUMBER(SEARCH("MATE",INVENTARIO!C180)),"MAT",
IF(ISNUMBER(SEARCH("MESH",INVENTARIO!C180)),"MES",
IF(ISNUMBER(SEARCH("BRILLANTE",INVENTARIO!C180)),"BRI",
IF(ISNUMBER(SEARCH("DELGADA",INVENTARIO!C180)),"DEL",
IF(ISNUMBER(SEARCH("GRUESA",INVENTARIO!C180)),"GRU",
IF(ISNUMBER(SEARCH("ESTATICO",INVENTARIO!C180)),"EST",
IF(ISNUMBER(SEARCH("REFLECTIVO",INVENTARIO!C180)),"REF",
IF(ISNUMBER(SEARCH("LX700",INVENTARIO!C180)),"LX7",
IF(ISNUMBER(SEARCH("GRANDO",INVENTARIO!C180)),"GRA",
IF(ISNUMBER(SEARCH("FB700",INVENTARIO!C180)),"FB7",
IF(ISNUMBER(SEARCH("LX360",INVENTARIO!C180)),"LX3",
IF(ISNUMBER(SEARCH("XEROX",INVENTARIO!C180)),"XER",
IF(ISNUMBER(SEARCH("CEPILLADO",INVENTARIO!C180)),"CEP",
IF(ISNUMBER(SEARCH("ESPEJO",INVENTARIO!C180)),"ESP",
IF(ISNUMBER(SEARCH("10 PTS",INVENTARIO!C180)),"10PT",
IF(ISNUMBER(SEARCH("12 PTS",INVENTARIO!C180)),"12PT",
IF(ISNUMBER(SEARCH("14 PTS",INVENTARIO!C180)),"14PT",
IF(ISNUMBER(SEARCH("CLASICO",INVENTARIO!C180)),"CLA",
""))))))))))))))))))))))</f>
        <v>ESP</v>
      </c>
      <c r="D180" t="str">
        <f>IF(ISNUMBER(SEARCH("GRAN FORMATO",INVENTARIO!C180)),"GRA-FOR",
IF(ISNUMBER(SEARCH("CAMA PLANA",INVENTARIO!C180)),"CAM-PLA",
IF(ISNUMBER(SEARCH("GRADO INGENIERIA",INVENTARIO!C180)),"GRA-ING",
IF(ISNUMBER(SEARCH("130 GRS",INVENTARIO!C180)),"130GR",
IF(ISNUMBER(SEARCH("150 GRS",INVENTARIO!C180)),"150GR",
IF(ISNUMBER(SEARCH("185 GRS",INVENTARIO!C180)),"185GR",
IF(ISNUMBER(SEARCH("200 GRS",INVENTARIO!C180)),"200GR",
IF(ISNUMBER(SEARCH("250 GRS",INVENTARIO!C180)),"250GR",
IF(ISNUMBER(SEARCH("300 GRS",INVENTARIO!C180)),"300GR",
IF(ISNUMBER(SEARCH("350 GRS",INVENTARIO!C180)),"350GR",
IF(ISNUMBER(SEARCH("18 OZ",INVENTARIO!C180)),"18OZ",
IF(ISNUMBER(SEARCH("15 OZ",INVENTARIO!C180)),"15OZ",
IF(OR(ISNUMBER(SEARCH("13 OZ",INVENTARIO!C180)),ISNUMBER(SEARCH("13 ONZAS",INVENTARIO!C180))),"13OZ",
IF(OR(ISNUMBER(SEARCH("9 OZ",INVENTARIO!C180)),ISNUMBER(SEARCH("9 ONZAS",INVENTARIO!C180))),"09OZ",
IF(ISNUMBER(SEARCH("DOBLE CARA",INVENTARIO!C180)),"DOB-CAR",
"")))))))))))))))</f>
        <v/>
      </c>
      <c r="E180" t="str">
        <f>IF(OR(ISNUMBER(SEARCH("TRANSPARENTE",INVENTARIO!C180)),ISNUMBER(SEARCH("TRANSPARENTES",INVENTARIO!C180))),"TRA",
IF(OR(ISNUMBER(SEARCH("BLANCO",INVENTARIO!C180)),ISNUMBER(SEARCH("BCO",INVENTARIO!C180))),"BLA",
IF(ISNUMBER(SEARCH("FOTOGRAFICO",INVENTARIO!C180)),"FOT",
IF(ISNUMBER(SEARCH("MARFIL",INVENTARIO!C180)),"MAR",
IF(ISNUMBER(SEARCH("VERDE",INVENTARIO!C180)),"VER",
IF(ISNUMBER(SEARCH("MORADO",INVENTARIO!C180)),"MOR",
IF(ISNUMBER(SEARCH("PLATA",INVENTARIO!C180)),"PLA",
IF(ISNUMBER(SEARCH("ORO",INVENTARIO!C180)),"ORO",
IF(ISNUMBER(SEARCH("AMARILLO",INVENTARIO!C180)),"AMA",
IF(ISNUMBER(SEARCH("NARANJA",INVENTARIO!C180)),"NAR",
IF(ISNUMBER(SEARCH("NEGRO",INVENTARIO!C180)),"NEG",
IF(ISNUMBER(SEARCH("ROJO",INVENTARIO!C180)),"ROJ",
IF(ISNUMBER(SEARCH("AZUL",INVENTARIO!C180)),"AZU","")))))))))))))</f>
        <v>PLA</v>
      </c>
      <c r="F180" t="str">
        <f>IF(ISNUMBER(SEARCH("ARLON",INVENTARIO!C180)),"ARL",
IF(ISNUMBER(SEARCH("SUNTHINKS",INVENTARIO!C180)),"SUN",
IF(ISNUMBER(SEARCH("FRIO",INVENTARIO!C180)),"FRI",
IF(ISNUMBER(SEARCH("CALIDO",INVENTARIO!C180)),"CAL",
IF(ISNUMBER(SEARCH("CEPILLADO",INVENTARIO!C180)),"CEP",
IF(ISNUMBER(SEARCH("ESPEJO",INVENTARIO!C180)),"ESP",
""))))))</f>
        <v>ESP</v>
      </c>
      <c r="G180" t="str">
        <f>IF(ISNUMBER(SEARCH("LATEX",INVENTARIO!C180)),"LAT",
IF(ISNUMBER(SEARCH("RESP. NEGRO",INVENTARIO!C180)),"RES-NEG",
IF(ISNUMBER(SEARCH("RESPALDO CAFE",INVENTARIO!C180)),"RES-CAF",
IF(ISNUMBER(SEARCH("RESPALDO GRIS",INVENTARIO!C180)),"RES-GRI",
IF(ISNUMBER(SEARCH("OPTICO",INVENTARIO!C180)),"OPT",
IF(ISNUMBER(SEARCH("1,2 MM",INVENTARIO!C180)),"1MM2",
IF(ISNUMBER(SEARCH("2 MM",INVENTARIO!C180)),"2MM",
IF(ISNUMBER(SEARCH("3 MM",INVENTARIO!C180)),"3MM",
IF(ISNUMBER(SEARCH("4 MM",INVENTARIO!C180)),"4MM",
IF(ISNUMBER(SEARCH("5 MM",INVENTARIO!C180)),"5MM",
IF(ISNUMBER(SEARCH("6 MM",INVENTARIO!C180)),"6MM",
IF(ISNUMBER(SEARCH("9 MM",INVENTARIO!C180)),"9MM",
IF(ISNUMBER(SEARCH("10 MM",INVENTARIO!C180)),"10MM","")))))))))))))</f>
        <v/>
      </c>
      <c r="H180" t="str">
        <f>IF(ISNUMBER(SEARCH("GAMA BAJA",INVENTARIO!C180)),"GAM-BAJ",
IF(ISNUMBER(SEARCH("OPTIMIZADOR",INVENTARIO!C180)),"OPT",
IF(ISNUMBER(SEARCH("OVERCOAT",INVENTARIO!C180)),"OVE",
IF(ISNUMBER(SEARCH("WHITE",INVENTARIO!C180)),"WHI",
IF(ISNUMBER(SEARCH("LIGHT CYAN",INVENTARIO!C180)),"LIG-CYA",
IF(ISNUMBER(SEARCH("CYAN",INVENTARIO!C180)),"CYA",
IF(ISNUMBER(SEARCH("LIGHT MAGENTA",INVENTARIO!C180)),"LIG-MAG",
IF(ISNUMBER(SEARCH("MAGENTA",INVENTARIO!C180)),"MAG",
IF(ISNUMBER(SEARCH("BLACK",INVENTARIO!C180)),"BLA",
IF(ISNUMBER(SEARCH("YELLOW",INVENTARIO!C180)),"YEL",
IF(ISNUMBER(SEARCH("2 DIODOS",INVENTARIO!C180)),"2DI",
IF(ISNUMBER(SEARCH("3 DIODOS",INVENTARIO!C180)),"3DI",
IF(OR(ISNUMBER(SEARCH("TRASLUCIDO",INVENTARIO!C180)),ISNUMBER(SEARCH("TRANSLUCIDO",INVENTARIO!C180))),"TRA",
"")))))))))))))</f>
        <v/>
      </c>
      <c r="I180" t="str">
        <f>IF(ISNUMBER(SEARCH("SILED",INVENTARIO!C203)),"SI",
IF(ISNUMBER(SEARCH("SYDEMEX",INVENTARIO!C203)),"SY",
IF(ISNUMBER(SEARCH("ROHS",INVENTARIO!C203)),"RO",
IF(ISNUMBER(SEARCH("RISHANG",INVENTARIO!C203)),"RS",
IF(ISNUMBER(SEARCH("VYG",INVENTARIO!C203)),"VYG",
IF(ISNUMBER(SEARCH("COLED",INVENTARIO!C203)),"CO",""))))))</f>
        <v/>
      </c>
    </row>
    <row r="181" spans="1:9">
      <c r="A181" t="str">
        <f>IF(ISNUMBER(SEARCH("LONA",INVENTARIO!C181)),"LON",
IF(ISNUMBER(SEARCH("VINIL",INVENTARIO!C181)),"VIN",
IF(ISNUMBER(SEARCH("KROMACOTE",INVENTARIO!C181)),"KRO",
IF(ISNUMBER(SEARCH("STARDREAM",INVENTARIO!C181)),"STA",
IF(ISNUMBER(SEARCH("DISPLAY",INVENTARIO!C181)),"DIS",
IF(ISNUMBER(SEARCH("ROLL UP",INVENTARIO!C181)),"ROL-UP",
IF(ISNUMBER(SEARCH("TRANSFER DE PAPEL",INVENTARIO!C181)),"TRA-PAP",
IF(ISNUMBER(SEARCH("TRANSFER",INVENTARIO!C181)),"TRA",IF(ISNUMBER(SEARCH("KOLA LOKA",INVENTARIO!C181)),"KOL-LOK",
IF(ISNUMBER(SEARCH("PETG",INVENTARIO!C181)),"PET",
IF(ISNUMBER(SEARCH("OJILLO",INVENTARIO!C181)),"OJI",
IF(ISNUMBER(SEARCH("COUCHE",INVENTARIO!C181)),"COU",
IF(ISNUMBER(SEARCH("PANEL DE ALUMINIO",INVENTARIO!C181)),"PAN-ALU",
IF(ISNUMBER(SEARCH("PVC",INVENTARIO!C181)),"PVC",
IF(ISNUMBER(SEARCH("PAPEL",INVENTARIO!C181)),"PAP",
IF(ISNUMBER(SEARCH("TELA",INVENTARIO!C181)),"TEL",
IF(ISNUMBER(SEARCH("CARTULINA",INVENTARIO!C181)),"CAR",
IF(OR(ISNUMBER(SEARCH("LAMINA",INVENTARIO!C181)),ISNUMBER(SEARCH("LÁMINA",INVENTARIO!C181)),ISNUMBER(SEARCH("LAMPARAS",INVENTARIO!C181))),"LAM",
IF(ISNUMBER(SEARCH("ESTIRENO",INVENTARIO!C181)),"EST",
IF(ISNUMBER(SEARCH("FOAMBOARD",INVENTARIO!C181)),"FOA",
IF(ISNUMBER(SEARCH("SOLVENTE",INVENTARIO!C181)),"SOL",
IF(ISNUMBER(SEARCH("TINTA",INVENTARIO!C181)),"TIN",
IF(ISNUMBER(SEARCH("ACRILICO",INVENTARIO!C181)),"ACR",
IF(ISNUMBER(SEARCH("MICROLED",INVENTARIO!C181)),"MIC",
IF(ISNUMBER(SEARCH("LED",INVENTARIO!C181)),"LED",
IF(ISNUMBER(SEARCH("FUENTE DE PODER",INVENTARIO!C181)),"FUE-POD",
IF(ISNUMBER(SEARCH("PETG",INVENTARIO!C181)),"PET",
IF(ISNUMBER(SEARCH("ALUMINIO",INVENTARIO!C181)),"ALU",
IF(ISNUMBER(SEARCH("CANAL",INVENTARIO!C181)),"CAN",
IF(ISNUMBER(SEARCH("ESCUADRA",INVENTARIO!C181)),"ESC",
IF(ISNUMBER(SEARCH("SOPORTE",INVENTARIO!C181)),"SOP","OTR")
))))))))))))))))))))))))))))))</f>
        <v>VIN</v>
      </c>
      <c r="B181" t="str">
        <f>IF(ISNUMBER(SEARCH("CORTE",INVENTARIO!C181)),"COR",
IF(ISNUMBER(SEARCH("CITYLIGHT",INVENTARIO!C181)),"CIT",
IF(ISNUMBER(SEARCH("LINO",INVENTARIO!C181)),"LIN",
IF(ISNUMBER(SEARCH("FABRIANO",INVENTARIO!C181)),"FAB",
IF(ISNUMBER(SEARCH("SUNDANCE",INVENTARIO!C181)),"SUN",
IF(ISNUMBER(SEARCH("SINTETICA",INVENTARIO!C181)),"SIN",
IF(ISNUMBER(SEARCH("CONTROL",INVENTARIO!C181)),"CON",
IF(ISNUMBER(SEARCH("TERMICO",INVENTARIO!C181)),"TER",
IF(ISNUMBER(SEARCH("C-15",INVENTARIO!C181)),"C15",
IF(ISNUMBER(SEARCH("C-20",INVENTARIO!C181)),"C20",
IF(ISNUMBER(SEARCH("C-30",INVENTARIO!C181)),"C30",
IF(ISNUMBER(SEARCH("C-40",INVENTARIO!C181)),"C40",
IF(ISNUMBER(SEARCH("C-60",INVENTARIO!C181)),"C60",
IF(ISNUMBER(SEARCH("C-80",INVENTARIO!C181)),"C80",
IF(ISNUMBER(SEARCH("EQUIPO",INVENTARIO!C181)),"EQU",
IF(ISNUMBER(SEARCH("FLOOR",INVENTARIO!C181)),"FLO",
IF(ISNUMBER(SEARCH("CRISTAL",INVENTARIO!C181)),"CRI",
IF(ISNUMBER(SEARCH(" SULFATADA",INVENTARIO!C192)),"SUL",
IF(ISNUMBER(SEARCH("OPALINA",INVENTARIO!C181)),"OPA",
IF(ISNUMBER(SEARCH("ADHERIBLE",INVENTARIO!C181)),"ADH",
IF(ISNUMBER(SEARCH("MICRO",INVENTARIO!C181)),"MIC","")))))))))))))))))))))</f>
        <v>COR</v>
      </c>
      <c r="C181" t="str">
        <f>IF(ISNUMBER(SEARCH("PARED",INVENTARIO!C181)),"PAR",
IF(ISNUMBER(SEARCH("FRONT",INVENTARIO!C181)),"FRO",
IF(ISNUMBER(SEARCH("ALTA RESISTENCIA",INVENTARIO!C181)),
"ALT-RES",IF(ISNUMBER(SEARCH("BACKLITE",INVENTARIO!C181)),"BAC",
IF(ISNUMBER(SEARCH("MATE",INVENTARIO!C181)),"MAT",
IF(ISNUMBER(SEARCH("MESH",INVENTARIO!C181)),"MES",
IF(ISNUMBER(SEARCH("BRILLANTE",INVENTARIO!C181)),"BRI",
IF(ISNUMBER(SEARCH("DELGADA",INVENTARIO!C181)),"DEL",
IF(ISNUMBER(SEARCH("GRUESA",INVENTARIO!C181)),"GRU",
IF(ISNUMBER(SEARCH("ESTATICO",INVENTARIO!C181)),"EST",
IF(ISNUMBER(SEARCH("REFLECTIVO",INVENTARIO!C181)),"REF",
IF(ISNUMBER(SEARCH("LX700",INVENTARIO!C181)),"LX7",
IF(ISNUMBER(SEARCH("GRANDO",INVENTARIO!C181)),"GRA",
IF(ISNUMBER(SEARCH("FB700",INVENTARIO!C181)),"FB7",
IF(ISNUMBER(SEARCH("LX360",INVENTARIO!C181)),"LX3",
IF(ISNUMBER(SEARCH("XEROX",INVENTARIO!C181)),"XER",
IF(ISNUMBER(SEARCH("CEPILLADO",INVENTARIO!C181)),"CEP",
IF(ISNUMBER(SEARCH("ESPEJO",INVENTARIO!C181)),"ESP",
IF(ISNUMBER(SEARCH("10 PTS",INVENTARIO!C181)),"10PT",
IF(ISNUMBER(SEARCH("12 PTS",INVENTARIO!C181)),"12PT",
IF(ISNUMBER(SEARCH("14 PTS",INVENTARIO!C181)),"14PT",
IF(ISNUMBER(SEARCH("CLASICO",INVENTARIO!C181)),"CLA",
""))))))))))))))))))))))</f>
        <v/>
      </c>
      <c r="D181" t="str">
        <f>IF(ISNUMBER(SEARCH("GRAN FORMATO",INVENTARIO!C181)),"GRA-FOR",
IF(ISNUMBER(SEARCH("CAMA PLANA",INVENTARIO!C181)),"CAM-PLA",
IF(ISNUMBER(SEARCH("GRADO INGENIERIA",INVENTARIO!C181)),"GRA-ING",
IF(ISNUMBER(SEARCH("130 GRS",INVENTARIO!C181)),"130GR",
IF(ISNUMBER(SEARCH("150 GRS",INVENTARIO!C181)),"150GR",
IF(ISNUMBER(SEARCH("185 GRS",INVENTARIO!C181)),"185GR",
IF(ISNUMBER(SEARCH("200 GRS",INVENTARIO!C181)),"200GR",
IF(ISNUMBER(SEARCH("250 GRS",INVENTARIO!C181)),"250GR",
IF(ISNUMBER(SEARCH("300 GRS",INVENTARIO!C181)),"300GR",
IF(ISNUMBER(SEARCH("350 GRS",INVENTARIO!C181)),"350GR",
IF(ISNUMBER(SEARCH("18 OZ",INVENTARIO!C181)),"18OZ",
IF(ISNUMBER(SEARCH("15 OZ",INVENTARIO!C181)),"15OZ",
IF(OR(ISNUMBER(SEARCH("13 OZ",INVENTARIO!C181)),ISNUMBER(SEARCH("13 ONZAS",INVENTARIO!C181))),"13OZ",
IF(OR(ISNUMBER(SEARCH("9 OZ",INVENTARIO!C181)),ISNUMBER(SEARCH("9 ONZAS",INVENTARIO!C181))),"09OZ",
IF(ISNUMBER(SEARCH("DOBLE CARA",INVENTARIO!C181)),"DOB-CAR",
"")))))))))))))))</f>
        <v/>
      </c>
      <c r="E181" t="str">
        <f>IF(OR(ISNUMBER(SEARCH("TRANSPARENTE",INVENTARIO!C181)),ISNUMBER(SEARCH("TRANSPARENTES",INVENTARIO!C181))),"TRA",
IF(OR(ISNUMBER(SEARCH("BLANCO",INVENTARIO!C181)),ISNUMBER(SEARCH("BCO",INVENTARIO!C181))),"BLA",
IF(ISNUMBER(SEARCH("FOTOGRAFICO",INVENTARIO!C181)),"FOT",
IF(ISNUMBER(SEARCH("MARFIL",INVENTARIO!C181)),"MAR",
IF(ISNUMBER(SEARCH("VERDE",INVENTARIO!C181)),"VER",
IF(ISNUMBER(SEARCH("MORADO",INVENTARIO!C181)),"MOR",
IF(ISNUMBER(SEARCH("PLATA",INVENTARIO!C181)),"PLA",
IF(ISNUMBER(SEARCH("ORO",INVENTARIO!C181)),"ORO",
IF(ISNUMBER(SEARCH("AMARILLO",INVENTARIO!C181)),"AMA",
IF(ISNUMBER(SEARCH("NARANJA",INVENTARIO!C181)),"NAR",
IF(ISNUMBER(SEARCH("NEGRO",INVENTARIO!C181)),"NEG",
IF(ISNUMBER(SEARCH("ROJO",INVENTARIO!C181)),"ROJ",
IF(ISNUMBER(SEARCH("AZUL",INVENTARIO!C181)),"AZU","")))))))))))))</f>
        <v/>
      </c>
      <c r="F181" t="str">
        <f>IF(ISNUMBER(SEARCH("ARLON",INVENTARIO!C181)),"ARL",
IF(ISNUMBER(SEARCH("SUNTHINKS",INVENTARIO!C181)),"SUN",
IF(ISNUMBER(SEARCH("FRIO",INVENTARIO!C181)),"FRI",
IF(ISNUMBER(SEARCH("CALIDO",INVENTARIO!C181)),"CAL",
IF(ISNUMBER(SEARCH("CEPILLADO",INVENTARIO!C181)),"CEP",
IF(ISNUMBER(SEARCH("ESPEJO",INVENTARIO!C181)),"ESP",
""))))))</f>
        <v/>
      </c>
      <c r="G181" t="str">
        <f>IF(ISNUMBER(SEARCH("LATEX",INVENTARIO!C181)),"LAT",
IF(ISNUMBER(SEARCH("RESP. NEGRO",INVENTARIO!C181)),"RES-NEG",
IF(ISNUMBER(SEARCH("RESPALDO CAFE",INVENTARIO!C181)),"RES-CAF",
IF(ISNUMBER(SEARCH("RESPALDO GRIS",INVENTARIO!C181)),"RES-GRI",
IF(ISNUMBER(SEARCH("OPTICO",INVENTARIO!C181)),"OPT",
IF(ISNUMBER(SEARCH("1,2 MM",INVENTARIO!C181)),"1MM2",
IF(ISNUMBER(SEARCH("2 MM",INVENTARIO!C181)),"2MM",
IF(ISNUMBER(SEARCH("3 MM",INVENTARIO!C181)),"3MM",
IF(ISNUMBER(SEARCH("4 MM",INVENTARIO!C181)),"4MM",
IF(ISNUMBER(SEARCH("5 MM",INVENTARIO!C181)),"5MM",
IF(ISNUMBER(SEARCH("6 MM",INVENTARIO!C181)),"6MM",
IF(ISNUMBER(SEARCH("9 MM",INVENTARIO!C181)),"9MM",
IF(ISNUMBER(SEARCH("10 MM",INVENTARIO!C181)),"10MM","")))))))))))))</f>
        <v/>
      </c>
      <c r="H181" t="str">
        <f>IF(ISNUMBER(SEARCH("GAMA BAJA",INVENTARIO!C181)),"GAM-BAJ",
IF(ISNUMBER(SEARCH("OPTIMIZADOR",INVENTARIO!C181)),"OPT",
IF(ISNUMBER(SEARCH("OVERCOAT",INVENTARIO!C181)),"OVE",
IF(ISNUMBER(SEARCH("WHITE",INVENTARIO!C181)),"WHI",
IF(ISNUMBER(SEARCH("LIGHT CYAN",INVENTARIO!C181)),"LIG-CYA",
IF(ISNUMBER(SEARCH("CYAN",INVENTARIO!C181)),"CYA",
IF(ISNUMBER(SEARCH("LIGHT MAGENTA",INVENTARIO!C181)),"LIG-MAG",
IF(ISNUMBER(SEARCH("MAGENTA",INVENTARIO!C181)),"MAG",
IF(ISNUMBER(SEARCH("BLACK",INVENTARIO!C181)),"BLA",
IF(ISNUMBER(SEARCH("YELLOW",INVENTARIO!C181)),"YEL",
IF(ISNUMBER(SEARCH("2 DIODOS",INVENTARIO!C181)),"2DI",
IF(ISNUMBER(SEARCH("3 DIODOS",INVENTARIO!C181)),"3DI",
IF(OR(ISNUMBER(SEARCH("TRASLUCIDO",INVENTARIO!C181)),ISNUMBER(SEARCH("TRANSLUCIDO",INVENTARIO!C181))),"TRA",
"")))))))))))))</f>
        <v/>
      </c>
      <c r="I181" t="str">
        <f>IF(ISNUMBER(SEARCH("SILED",INVENTARIO!C204)),"SI",
IF(ISNUMBER(SEARCH("SYDEMEX",INVENTARIO!C204)),"SY",
IF(ISNUMBER(SEARCH("ROHS",INVENTARIO!C204)),"RO",
IF(ISNUMBER(SEARCH("RISHANG",INVENTARIO!C204)),"RS",
IF(ISNUMBER(SEARCH("VYG",INVENTARIO!C204)),"VYG",
IF(ISNUMBER(SEARCH("COLED",INVENTARIO!C204)),"CO",""))))))</f>
        <v/>
      </c>
    </row>
    <row r="182" spans="1:9">
      <c r="A182" t="str">
        <f>IF(ISNUMBER(SEARCH("LONA",INVENTARIO!C182)),"LON",
IF(ISNUMBER(SEARCH("VINIL",INVENTARIO!C182)),"VIN",
IF(ISNUMBER(SEARCH("KROMACOTE",INVENTARIO!C182)),"KRO",
IF(ISNUMBER(SEARCH("STARDREAM",INVENTARIO!C182)),"STA",
IF(ISNUMBER(SEARCH("DISPLAY",INVENTARIO!C182)),"DIS",
IF(ISNUMBER(SEARCH("ROLL UP",INVENTARIO!C182)),"ROL-UP",
IF(ISNUMBER(SEARCH("TRANSFER DE PAPEL",INVENTARIO!C182)),"TRA-PAP",
IF(ISNUMBER(SEARCH("TRANSFER",INVENTARIO!C182)),"TRA",IF(ISNUMBER(SEARCH("KOLA LOKA",INVENTARIO!C182)),"KOL-LOK",
IF(ISNUMBER(SEARCH("PETG",INVENTARIO!C182)),"PET",
IF(ISNUMBER(SEARCH("OJILLO",INVENTARIO!C182)),"OJI",
IF(ISNUMBER(SEARCH("COUCHE",INVENTARIO!C182)),"COU",
IF(ISNUMBER(SEARCH("PANEL DE ALUMINIO",INVENTARIO!C182)),"PAN-ALU",
IF(ISNUMBER(SEARCH("PVC",INVENTARIO!C182)),"PVC",
IF(ISNUMBER(SEARCH("PAPEL",INVENTARIO!C182)),"PAP",
IF(ISNUMBER(SEARCH("TELA",INVENTARIO!C182)),"TEL",
IF(ISNUMBER(SEARCH("CARTULINA",INVENTARIO!C182)),"CAR",
IF(OR(ISNUMBER(SEARCH("LAMINA",INVENTARIO!C182)),ISNUMBER(SEARCH("LÁMINA",INVENTARIO!C182)),ISNUMBER(SEARCH("LAMPARAS",INVENTARIO!C182))),"LAM",
IF(ISNUMBER(SEARCH("ESTIRENO",INVENTARIO!C182)),"EST",
IF(ISNUMBER(SEARCH("FOAMBOARD",INVENTARIO!C182)),"FOA",
IF(ISNUMBER(SEARCH("SOLVENTE",INVENTARIO!C182)),"SOL",
IF(ISNUMBER(SEARCH("TINTA",INVENTARIO!C182)),"TIN",
IF(ISNUMBER(SEARCH("ACRILICO",INVENTARIO!C182)),"ACR",
IF(ISNUMBER(SEARCH("MICROLED",INVENTARIO!C182)),"MIC",
IF(ISNUMBER(SEARCH("LED",INVENTARIO!C182)),"LED",
IF(ISNUMBER(SEARCH("FUENTE DE PODER",INVENTARIO!C182)),"FUE-POD",
IF(ISNUMBER(SEARCH("PETG",INVENTARIO!C182)),"PET",
IF(ISNUMBER(SEARCH("ALUMINIO",INVENTARIO!C182)),"ALU",
IF(ISNUMBER(SEARCH("CANAL",INVENTARIO!C182)),"CAN",
IF(ISNUMBER(SEARCH("ESCUADRA",INVENTARIO!C182)),"ESC",
IF(ISNUMBER(SEARCH("SOPORTE",INVENTARIO!C182)),"SOP","OTR")
))))))))))))))))))))))))))))))</f>
        <v>VIN</v>
      </c>
      <c r="B182" t="str">
        <f>IF(ISNUMBER(SEARCH("CORTE",INVENTARIO!C182)),"COR",
IF(ISNUMBER(SEARCH("CITYLIGHT",INVENTARIO!C182)),"CIT",
IF(ISNUMBER(SEARCH("LINO",INVENTARIO!C182)),"LIN",
IF(ISNUMBER(SEARCH("FABRIANO",INVENTARIO!C182)),"FAB",
IF(ISNUMBER(SEARCH("SUNDANCE",INVENTARIO!C182)),"SUN",
IF(ISNUMBER(SEARCH("SINTETICA",INVENTARIO!C182)),"SIN",
IF(ISNUMBER(SEARCH("CONTROL",INVENTARIO!C182)),"CON",
IF(ISNUMBER(SEARCH("TERMICO",INVENTARIO!C182)),"TER",
IF(ISNUMBER(SEARCH("C-15",INVENTARIO!C182)),"C15",
IF(ISNUMBER(SEARCH("C-20",INVENTARIO!C182)),"C20",
IF(ISNUMBER(SEARCH("C-30",INVENTARIO!C182)),"C30",
IF(ISNUMBER(SEARCH("C-40",INVENTARIO!C182)),"C40",
IF(ISNUMBER(SEARCH("C-60",INVENTARIO!C182)),"C60",
IF(ISNUMBER(SEARCH("C-80",INVENTARIO!C182)),"C80",
IF(ISNUMBER(SEARCH("EQUIPO",INVENTARIO!C182)),"EQU",
IF(ISNUMBER(SEARCH("FLOOR",INVENTARIO!C182)),"FLO",
IF(ISNUMBER(SEARCH("CRISTAL",INVENTARIO!C182)),"CRI",
IF(ISNUMBER(SEARCH(" SULFATADA",INVENTARIO!C193)),"SUL",
IF(ISNUMBER(SEARCH("OPALINA",INVENTARIO!C182)),"OPA",
IF(ISNUMBER(SEARCH("ADHERIBLE",INVENTARIO!C182)),"ADH",
IF(ISNUMBER(SEARCH("MICRO",INVENTARIO!C182)),"MIC","")))))))))))))))))))))</f>
        <v>COR</v>
      </c>
      <c r="C182" t="str">
        <f>IF(ISNUMBER(SEARCH("PARED",INVENTARIO!C182)),"PAR",
IF(ISNUMBER(SEARCH("FRONT",INVENTARIO!C182)),"FRO",
IF(ISNUMBER(SEARCH("ALTA RESISTENCIA",INVENTARIO!C182)),
"ALT-RES",IF(ISNUMBER(SEARCH("BACKLITE",INVENTARIO!C182)),"BAC",
IF(ISNUMBER(SEARCH("MATE",INVENTARIO!C182)),"MAT",
IF(ISNUMBER(SEARCH("MESH",INVENTARIO!C182)),"MES",
IF(ISNUMBER(SEARCH("BRILLANTE",INVENTARIO!C182)),"BRI",
IF(ISNUMBER(SEARCH("DELGADA",INVENTARIO!C182)),"DEL",
IF(ISNUMBER(SEARCH("GRUESA",INVENTARIO!C182)),"GRU",
IF(ISNUMBER(SEARCH("ESTATICO",INVENTARIO!C182)),"EST",
IF(ISNUMBER(SEARCH("REFLECTIVO",INVENTARIO!C182)),"REF",
IF(ISNUMBER(SEARCH("LX700",INVENTARIO!C182)),"LX7",
IF(ISNUMBER(SEARCH("GRANDO",INVENTARIO!C182)),"GRA",
IF(ISNUMBER(SEARCH("FB700",INVENTARIO!C182)),"FB7",
IF(ISNUMBER(SEARCH("LX360",INVENTARIO!C182)),"LX3",
IF(ISNUMBER(SEARCH("XEROX",INVENTARIO!C182)),"XER",
IF(ISNUMBER(SEARCH("CEPILLADO",INVENTARIO!C182)),"CEP",
IF(ISNUMBER(SEARCH("ESPEJO",INVENTARIO!C182)),"ESP",
IF(ISNUMBER(SEARCH("10 PTS",INVENTARIO!C182)),"10PT",
IF(ISNUMBER(SEARCH("12 PTS",INVENTARIO!C182)),"12PT",
IF(ISNUMBER(SEARCH("14 PTS",INVENTARIO!C182)),"14PT",
IF(ISNUMBER(SEARCH("CLASICO",INVENTARIO!C182)),"CLA",
""))))))))))))))))))))))</f>
        <v/>
      </c>
      <c r="D182" t="str">
        <f>IF(ISNUMBER(SEARCH("GRAN FORMATO",INVENTARIO!C182)),"GRA-FOR",
IF(ISNUMBER(SEARCH("CAMA PLANA",INVENTARIO!C182)),"CAM-PLA",
IF(ISNUMBER(SEARCH("GRADO INGENIERIA",INVENTARIO!C182)),"GRA-ING",
IF(ISNUMBER(SEARCH("130 GRS",INVENTARIO!C182)),"130GR",
IF(ISNUMBER(SEARCH("150 GRS",INVENTARIO!C182)),"150GR",
IF(ISNUMBER(SEARCH("185 GRS",INVENTARIO!C182)),"185GR",
IF(ISNUMBER(SEARCH("200 GRS",INVENTARIO!C182)),"200GR",
IF(ISNUMBER(SEARCH("250 GRS",INVENTARIO!C182)),"250GR",
IF(ISNUMBER(SEARCH("300 GRS",INVENTARIO!C182)),"300GR",
IF(ISNUMBER(SEARCH("350 GRS",INVENTARIO!C182)),"350GR",
IF(ISNUMBER(SEARCH("18 OZ",INVENTARIO!C182)),"18OZ",
IF(ISNUMBER(SEARCH("15 OZ",INVENTARIO!C182)),"15OZ",
IF(OR(ISNUMBER(SEARCH("13 OZ",INVENTARIO!C182)),ISNUMBER(SEARCH("13 ONZAS",INVENTARIO!C182))),"13OZ",
IF(OR(ISNUMBER(SEARCH("9 OZ",INVENTARIO!C182)),ISNUMBER(SEARCH("9 ONZAS",INVENTARIO!C182))),"09OZ",
IF(ISNUMBER(SEARCH("DOBLE CARA",INVENTARIO!C182)),"DOB-CAR",
"")))))))))))))))</f>
        <v/>
      </c>
      <c r="E182" t="str">
        <f>IF(OR(ISNUMBER(SEARCH("TRANSPARENTE",INVENTARIO!C182)),ISNUMBER(SEARCH("TRANSPARENTES",INVENTARIO!C182))),"TRA",
IF(OR(ISNUMBER(SEARCH("BLANCO",INVENTARIO!C182)),ISNUMBER(SEARCH("BCO",INVENTARIO!C182))),"BLA",
IF(ISNUMBER(SEARCH("FOTOGRAFICO",INVENTARIO!C182)),"FOT",
IF(ISNUMBER(SEARCH("MARFIL",INVENTARIO!C182)),"MAR",
IF(ISNUMBER(SEARCH("VERDE",INVENTARIO!C182)),"VER",
IF(ISNUMBER(SEARCH("MORADO",INVENTARIO!C182)),"MOR",
IF(ISNUMBER(SEARCH("PLATA",INVENTARIO!C182)),"PLA",
IF(ISNUMBER(SEARCH("ORO",INVENTARIO!C182)),"ORO",
IF(ISNUMBER(SEARCH("AMARILLO",INVENTARIO!C182)),"AMA",
IF(ISNUMBER(SEARCH("NARANJA",INVENTARIO!C182)),"NAR",
IF(ISNUMBER(SEARCH("NEGRO",INVENTARIO!C182)),"NEG",
IF(ISNUMBER(SEARCH("ROJO",INVENTARIO!C182)),"ROJ",
IF(ISNUMBER(SEARCH("AZUL",INVENTARIO!C182)),"AZU","")))))))))))))</f>
        <v/>
      </c>
      <c r="F182" t="str">
        <f>IF(ISNUMBER(SEARCH("ARLON",INVENTARIO!C182)),"ARL",
IF(ISNUMBER(SEARCH("SUNTHINKS",INVENTARIO!C182)),"SUN",
IF(ISNUMBER(SEARCH("FRIO",INVENTARIO!C182)),"FRI",
IF(ISNUMBER(SEARCH("CALIDO",INVENTARIO!C182)),"CAL",
IF(ISNUMBER(SEARCH("CEPILLADO",INVENTARIO!C182)),"CEP",
IF(ISNUMBER(SEARCH("ESPEJO",INVENTARIO!C182)),"ESP",
""))))))</f>
        <v/>
      </c>
      <c r="G182" t="str">
        <f>IF(ISNUMBER(SEARCH("LATEX",INVENTARIO!C182)),"LAT",
IF(ISNUMBER(SEARCH("RESP. NEGRO",INVENTARIO!C182)),"RES-NEG",
IF(ISNUMBER(SEARCH("RESPALDO CAFE",INVENTARIO!C182)),"RES-CAF",
IF(ISNUMBER(SEARCH("RESPALDO GRIS",INVENTARIO!C182)),"RES-GRI",
IF(ISNUMBER(SEARCH("OPTICO",INVENTARIO!C182)),"OPT",
IF(ISNUMBER(SEARCH("1,2 MM",INVENTARIO!C182)),"1MM2",
IF(ISNUMBER(SEARCH("2 MM",INVENTARIO!C182)),"2MM",
IF(ISNUMBER(SEARCH("3 MM",INVENTARIO!C182)),"3MM",
IF(ISNUMBER(SEARCH("4 MM",INVENTARIO!C182)),"4MM",
IF(ISNUMBER(SEARCH("5 MM",INVENTARIO!C182)),"5MM",
IF(ISNUMBER(SEARCH("6 MM",INVENTARIO!C182)),"6MM",
IF(ISNUMBER(SEARCH("9 MM",INVENTARIO!C182)),"9MM",
IF(ISNUMBER(SEARCH("10 MM",INVENTARIO!C182)),"10MM","")))))))))))))</f>
        <v/>
      </c>
      <c r="H182" t="str">
        <f>IF(ISNUMBER(SEARCH("GAMA BAJA",INVENTARIO!C182)),"GAM-BAJ",
IF(ISNUMBER(SEARCH("OPTIMIZADOR",INVENTARIO!C182)),"OPT",
IF(ISNUMBER(SEARCH("OVERCOAT",INVENTARIO!C182)),"OVE",
IF(ISNUMBER(SEARCH("WHITE",INVENTARIO!C182)),"WHI",
IF(ISNUMBER(SEARCH("LIGHT CYAN",INVENTARIO!C182)),"LIG-CYA",
IF(ISNUMBER(SEARCH("CYAN",INVENTARIO!C182)),"CYA",
IF(ISNUMBER(SEARCH("LIGHT MAGENTA",INVENTARIO!C182)),"LIG-MAG",
IF(ISNUMBER(SEARCH("MAGENTA",INVENTARIO!C182)),"MAG",
IF(ISNUMBER(SEARCH("BLACK",INVENTARIO!C182)),"BLA",
IF(ISNUMBER(SEARCH("YELLOW",INVENTARIO!C182)),"YEL",
IF(ISNUMBER(SEARCH("2 DIODOS",INVENTARIO!C182)),"2DI",
IF(ISNUMBER(SEARCH("3 DIODOS",INVENTARIO!C182)),"3DI",
IF(OR(ISNUMBER(SEARCH("TRASLUCIDO",INVENTARIO!C182)),ISNUMBER(SEARCH("TRANSLUCIDO",INVENTARIO!C182))),"TRA",
"")))))))))))))</f>
        <v/>
      </c>
      <c r="I182" t="str">
        <f>IF(ISNUMBER(SEARCH("SILED",INVENTARIO!C205)),"SI",
IF(ISNUMBER(SEARCH("SYDEMEX",INVENTARIO!C205)),"SY",
IF(ISNUMBER(SEARCH("ROHS",INVENTARIO!C205)),"RO",
IF(ISNUMBER(SEARCH("RISHANG",INVENTARIO!C205)),"RS",
IF(ISNUMBER(SEARCH("VYG",INVENTARIO!C205)),"VYG",
IF(ISNUMBER(SEARCH("COLED",INVENTARIO!C205)),"CO",""))))))</f>
        <v/>
      </c>
    </row>
    <row r="183" spans="1:9">
      <c r="A183" t="str">
        <f>IF(ISNUMBER(SEARCH("LONA",INVENTARIO!C183)),"LON",
IF(ISNUMBER(SEARCH("VINIL",INVENTARIO!C183)),"VIN",
IF(ISNUMBER(SEARCH("KROMACOTE",INVENTARIO!C183)),"KRO",
IF(ISNUMBER(SEARCH("STARDREAM",INVENTARIO!C183)),"STA",
IF(ISNUMBER(SEARCH("DISPLAY",INVENTARIO!C183)),"DIS",
IF(ISNUMBER(SEARCH("ROLL UP",INVENTARIO!C183)),"ROL-UP",
IF(ISNUMBER(SEARCH("TRANSFER DE PAPEL",INVENTARIO!C183)),"TRA-PAP",
IF(ISNUMBER(SEARCH("TRANSFER",INVENTARIO!C183)),"TRA",IF(ISNUMBER(SEARCH("KOLA LOKA",INVENTARIO!C183)),"KOL-LOK",
IF(ISNUMBER(SEARCH("PETG",INVENTARIO!C183)),"PET",
IF(ISNUMBER(SEARCH("OJILLO",INVENTARIO!C183)),"OJI",
IF(ISNUMBER(SEARCH("COUCHE",INVENTARIO!C183)),"COU",
IF(ISNUMBER(SEARCH("PANEL DE ALUMINIO",INVENTARIO!C183)),"PAN-ALU",
IF(ISNUMBER(SEARCH("PVC",INVENTARIO!C183)),"PVC",
IF(ISNUMBER(SEARCH("PAPEL",INVENTARIO!C183)),"PAP",
IF(ISNUMBER(SEARCH("TELA",INVENTARIO!C183)),"TEL",
IF(ISNUMBER(SEARCH("CARTULINA",INVENTARIO!C183)),"CAR",
IF(OR(ISNUMBER(SEARCH("LAMINA",INVENTARIO!C183)),ISNUMBER(SEARCH("LÁMINA",INVENTARIO!C183)),ISNUMBER(SEARCH("LAMPARAS",INVENTARIO!C183))),"LAM",
IF(ISNUMBER(SEARCH("ESTIRENO",INVENTARIO!C183)),"EST",
IF(ISNUMBER(SEARCH("FOAMBOARD",INVENTARIO!C183)),"FOA",
IF(ISNUMBER(SEARCH("SOLVENTE",INVENTARIO!C183)),"SOL",
IF(ISNUMBER(SEARCH("TINTA",INVENTARIO!C183)),"TIN",
IF(ISNUMBER(SEARCH("ACRILICO",INVENTARIO!C183)),"ACR",
IF(ISNUMBER(SEARCH("MICROLED",INVENTARIO!C183)),"MIC",
IF(ISNUMBER(SEARCH("LED",INVENTARIO!C183)),"LED",
IF(ISNUMBER(SEARCH("FUENTE DE PODER",INVENTARIO!C183)),"FUE-POD",
IF(ISNUMBER(SEARCH("PETG",INVENTARIO!C183)),"PET",
IF(ISNUMBER(SEARCH("ALUMINIO",INVENTARIO!C183)),"ALU",
IF(ISNUMBER(SEARCH("CANAL",INVENTARIO!C183)),"CAN",
IF(ISNUMBER(SEARCH("ESCUADRA",INVENTARIO!C183)),"ESC",
IF(ISNUMBER(SEARCH("SOPORTE",INVENTARIO!C183)),"SOP","OTR")
))))))))))))))))))))))))))))))</f>
        <v>VIN</v>
      </c>
      <c r="B183" t="str">
        <f>IF(ISNUMBER(SEARCH("CORTE",INVENTARIO!C183)),"COR",
IF(ISNUMBER(SEARCH("CITYLIGHT",INVENTARIO!C183)),"CIT",
IF(ISNUMBER(SEARCH("LINO",INVENTARIO!C183)),"LIN",
IF(ISNUMBER(SEARCH("FABRIANO",INVENTARIO!C183)),"FAB",
IF(ISNUMBER(SEARCH("SUNDANCE",INVENTARIO!C183)),"SUN",
IF(ISNUMBER(SEARCH("SINTETICA",INVENTARIO!C183)),"SIN",
IF(ISNUMBER(SEARCH("CONTROL",INVENTARIO!C183)),"CON",
IF(ISNUMBER(SEARCH("TERMICO",INVENTARIO!C183)),"TER",
IF(ISNUMBER(SEARCH("C-15",INVENTARIO!C183)),"C15",
IF(ISNUMBER(SEARCH("C-20",INVENTARIO!C183)),"C20",
IF(ISNUMBER(SEARCH("C-30",INVENTARIO!C183)),"C30",
IF(ISNUMBER(SEARCH("C-40",INVENTARIO!C183)),"C40",
IF(ISNUMBER(SEARCH("C-60",INVENTARIO!C183)),"C60",
IF(ISNUMBER(SEARCH("C-80",INVENTARIO!C183)),"C80",
IF(ISNUMBER(SEARCH("EQUIPO",INVENTARIO!C183)),"EQU",
IF(ISNUMBER(SEARCH("FLOOR",INVENTARIO!C183)),"FLO",
IF(ISNUMBER(SEARCH("CRISTAL",INVENTARIO!C183)),"CRI",
IF(ISNUMBER(SEARCH(" SULFATADA",INVENTARIO!C194)),"SUL",
IF(ISNUMBER(SEARCH("OPALINA",INVENTARIO!C183)),"OPA",
IF(ISNUMBER(SEARCH("ADHERIBLE",INVENTARIO!C183)),"ADH",
IF(ISNUMBER(SEARCH("MICRO",INVENTARIO!C183)),"MIC","")))))))))))))))))))))</f>
        <v>COR</v>
      </c>
      <c r="C183" t="str">
        <f>IF(ISNUMBER(SEARCH("PARED",INVENTARIO!C183)),"PAR",
IF(ISNUMBER(SEARCH("FRONT",INVENTARIO!C183)),"FRO",
IF(ISNUMBER(SEARCH("ALTA RESISTENCIA",INVENTARIO!C183)),
"ALT-RES",IF(ISNUMBER(SEARCH("BACKLITE",INVENTARIO!C183)),"BAC",
IF(ISNUMBER(SEARCH("MATE",INVENTARIO!C183)),"MAT",
IF(ISNUMBER(SEARCH("MESH",INVENTARIO!C183)),"MES",
IF(ISNUMBER(SEARCH("BRILLANTE",INVENTARIO!C183)),"BRI",
IF(ISNUMBER(SEARCH("DELGADA",INVENTARIO!C183)),"DEL",
IF(ISNUMBER(SEARCH("GRUESA",INVENTARIO!C183)),"GRU",
IF(ISNUMBER(SEARCH("ESTATICO",INVENTARIO!C183)),"EST",
IF(ISNUMBER(SEARCH("REFLECTIVO",INVENTARIO!C183)),"REF",
IF(ISNUMBER(SEARCH("LX700",INVENTARIO!C183)),"LX7",
IF(ISNUMBER(SEARCH("GRANDO",INVENTARIO!C183)),"GRA",
IF(ISNUMBER(SEARCH("FB700",INVENTARIO!C183)),"FB7",
IF(ISNUMBER(SEARCH("LX360",INVENTARIO!C183)),"LX3",
IF(ISNUMBER(SEARCH("XEROX",INVENTARIO!C183)),"XER",
IF(ISNUMBER(SEARCH("CEPILLADO",INVENTARIO!C183)),"CEP",
IF(ISNUMBER(SEARCH("ESPEJO",INVENTARIO!C183)),"ESP",
IF(ISNUMBER(SEARCH("10 PTS",INVENTARIO!C183)),"10PT",
IF(ISNUMBER(SEARCH("12 PTS",INVENTARIO!C183)),"12PT",
IF(ISNUMBER(SEARCH("14 PTS",INVENTARIO!C183)),"14PT",
IF(ISNUMBER(SEARCH("CLASICO",INVENTARIO!C183)),"CLA",
""))))))))))))))))))))))</f>
        <v/>
      </c>
      <c r="D183" t="str">
        <f>IF(ISNUMBER(SEARCH("GRAN FORMATO",INVENTARIO!C183)),"GRA-FOR",
IF(ISNUMBER(SEARCH("CAMA PLANA",INVENTARIO!C183)),"CAM-PLA",
IF(ISNUMBER(SEARCH("GRADO INGENIERIA",INVENTARIO!C183)),"GRA-ING",
IF(ISNUMBER(SEARCH("130 GRS",INVENTARIO!C183)),"130GR",
IF(ISNUMBER(SEARCH("150 GRS",INVENTARIO!C183)),"150GR",
IF(ISNUMBER(SEARCH("185 GRS",INVENTARIO!C183)),"185GR",
IF(ISNUMBER(SEARCH("200 GRS",INVENTARIO!C183)),"200GR",
IF(ISNUMBER(SEARCH("250 GRS",INVENTARIO!C183)),"250GR",
IF(ISNUMBER(SEARCH("300 GRS",INVENTARIO!C183)),"300GR",
IF(ISNUMBER(SEARCH("350 GRS",INVENTARIO!C183)),"350GR",
IF(ISNUMBER(SEARCH("18 OZ",INVENTARIO!C183)),"18OZ",
IF(ISNUMBER(SEARCH("15 OZ",INVENTARIO!C183)),"15OZ",
IF(OR(ISNUMBER(SEARCH("13 OZ",INVENTARIO!C183)),ISNUMBER(SEARCH("13 ONZAS",INVENTARIO!C183))),"13OZ",
IF(OR(ISNUMBER(SEARCH("9 OZ",INVENTARIO!C183)),ISNUMBER(SEARCH("9 ONZAS",INVENTARIO!C183))),"09OZ",
IF(ISNUMBER(SEARCH("DOBLE CARA",INVENTARIO!C183)),"DOB-CAR",
"")))))))))))))))</f>
        <v/>
      </c>
      <c r="E183" t="str">
        <f>IF(OR(ISNUMBER(SEARCH("TRANSPARENTE",INVENTARIO!C183)),ISNUMBER(SEARCH("TRANSPARENTES",INVENTARIO!C183))),"TRA",
IF(OR(ISNUMBER(SEARCH("BLANCO",INVENTARIO!C183)),ISNUMBER(SEARCH("BCO",INVENTARIO!C183))),"BLA",
IF(ISNUMBER(SEARCH("FOTOGRAFICO",INVENTARIO!C183)),"FOT",
IF(ISNUMBER(SEARCH("MARFIL",INVENTARIO!C183)),"MAR",
IF(ISNUMBER(SEARCH("VERDE",INVENTARIO!C183)),"VER",
IF(ISNUMBER(SEARCH("MORADO",INVENTARIO!C183)),"MOR",
IF(ISNUMBER(SEARCH("PLATA",INVENTARIO!C183)),"PLA",
IF(ISNUMBER(SEARCH("ORO",INVENTARIO!C183)),"ORO",
IF(ISNUMBER(SEARCH("AMARILLO",INVENTARIO!C183)),"AMA",
IF(ISNUMBER(SEARCH("NARANJA",INVENTARIO!C183)),"NAR",
IF(ISNUMBER(SEARCH("NEGRO",INVENTARIO!C183)),"NEG",
IF(ISNUMBER(SEARCH("ROJO",INVENTARIO!C183)),"ROJ",
IF(ISNUMBER(SEARCH("AZUL",INVENTARIO!C183)),"AZU","")))))))))))))</f>
        <v/>
      </c>
      <c r="F183" t="str">
        <f>IF(ISNUMBER(SEARCH("ARLON",INVENTARIO!C183)),"ARL",
IF(ISNUMBER(SEARCH("SUNTHINKS",INVENTARIO!C183)),"SUN",
IF(ISNUMBER(SEARCH("FRIO",INVENTARIO!C183)),"FRI",
IF(ISNUMBER(SEARCH("CALIDO",INVENTARIO!C183)),"CAL",
IF(ISNUMBER(SEARCH("CEPILLADO",INVENTARIO!C183)),"CEP",
IF(ISNUMBER(SEARCH("ESPEJO",INVENTARIO!C183)),"ESP",
""))))))</f>
        <v/>
      </c>
      <c r="G183" t="str">
        <f>IF(ISNUMBER(SEARCH("LATEX",INVENTARIO!C183)),"LAT",
IF(ISNUMBER(SEARCH("RESP. NEGRO",INVENTARIO!C183)),"RES-NEG",
IF(ISNUMBER(SEARCH("RESPALDO CAFE",INVENTARIO!C183)),"RES-CAF",
IF(ISNUMBER(SEARCH("RESPALDO GRIS",INVENTARIO!C183)),"RES-GRI",
IF(ISNUMBER(SEARCH("OPTICO",INVENTARIO!C183)),"OPT",
IF(ISNUMBER(SEARCH("1,2 MM",INVENTARIO!C183)),"1MM2",
IF(ISNUMBER(SEARCH("2 MM",INVENTARIO!C183)),"2MM",
IF(ISNUMBER(SEARCH("3 MM",INVENTARIO!C183)),"3MM",
IF(ISNUMBER(SEARCH("4 MM",INVENTARIO!C183)),"4MM",
IF(ISNUMBER(SEARCH("5 MM",INVENTARIO!C183)),"5MM",
IF(ISNUMBER(SEARCH("6 MM",INVENTARIO!C183)),"6MM",
IF(ISNUMBER(SEARCH("9 MM",INVENTARIO!C183)),"9MM",
IF(ISNUMBER(SEARCH("10 MM",INVENTARIO!C183)),"10MM","")))))))))))))</f>
        <v/>
      </c>
      <c r="H183" t="str">
        <f>IF(ISNUMBER(SEARCH("GAMA BAJA",INVENTARIO!C183)),"GAM-BAJ",
IF(ISNUMBER(SEARCH("OPTIMIZADOR",INVENTARIO!C183)),"OPT",
IF(ISNUMBER(SEARCH("OVERCOAT",INVENTARIO!C183)),"OVE",
IF(ISNUMBER(SEARCH("WHITE",INVENTARIO!C183)),"WHI",
IF(ISNUMBER(SEARCH("LIGHT CYAN",INVENTARIO!C183)),"LIG-CYA",
IF(ISNUMBER(SEARCH("CYAN",INVENTARIO!C183)),"CYA",
IF(ISNUMBER(SEARCH("LIGHT MAGENTA",INVENTARIO!C183)),"LIG-MAG",
IF(ISNUMBER(SEARCH("MAGENTA",INVENTARIO!C183)),"MAG",
IF(ISNUMBER(SEARCH("BLACK",INVENTARIO!C183)),"BLA",
IF(ISNUMBER(SEARCH("YELLOW",INVENTARIO!C183)),"YEL",
IF(ISNUMBER(SEARCH("2 DIODOS",INVENTARIO!C183)),"2DI",
IF(ISNUMBER(SEARCH("3 DIODOS",INVENTARIO!C183)),"3DI",
IF(OR(ISNUMBER(SEARCH("TRASLUCIDO",INVENTARIO!C183)),ISNUMBER(SEARCH("TRANSLUCIDO",INVENTARIO!C183))),"TRA",
"")))))))))))))</f>
        <v/>
      </c>
      <c r="I183" t="str">
        <f>IF(ISNUMBER(SEARCH("SILED",INVENTARIO!C206)),"SI",
IF(ISNUMBER(SEARCH("SYDEMEX",INVENTARIO!C206)),"SY",
IF(ISNUMBER(SEARCH("ROHS",INVENTARIO!C206)),"RO",
IF(ISNUMBER(SEARCH("RISHANG",INVENTARIO!C206)),"RS",
IF(ISNUMBER(SEARCH("VYG",INVENTARIO!C206)),"VYG",
IF(ISNUMBER(SEARCH("COLED",INVENTARIO!C206)),"CO",""))))))</f>
        <v/>
      </c>
    </row>
    <row r="184" spans="1:9">
      <c r="A184" t="str">
        <f>IF(ISNUMBER(SEARCH("LONA",INVENTARIO!C184)),"LON",
IF(ISNUMBER(SEARCH("VINIL",INVENTARIO!C184)),"VIN",
IF(ISNUMBER(SEARCH("KROMACOTE",INVENTARIO!C184)),"KRO",
IF(ISNUMBER(SEARCH("STARDREAM",INVENTARIO!C184)),"STA",
IF(ISNUMBER(SEARCH("DISPLAY",INVENTARIO!C184)),"DIS",
IF(ISNUMBER(SEARCH("ROLL UP",INVENTARIO!C184)),"ROL-UP",
IF(ISNUMBER(SEARCH("TRANSFER DE PAPEL",INVENTARIO!C184)),"TRA-PAP",
IF(ISNUMBER(SEARCH("TRANSFER",INVENTARIO!C184)),"TRA",IF(ISNUMBER(SEARCH("KOLA LOKA",INVENTARIO!C184)),"KOL-LOK",
IF(ISNUMBER(SEARCH("PETG",INVENTARIO!C184)),"PET",
IF(ISNUMBER(SEARCH("OJILLO",INVENTARIO!C184)),"OJI",
IF(ISNUMBER(SEARCH("COUCHE",INVENTARIO!C184)),"COU",
IF(ISNUMBER(SEARCH("PANEL DE ALUMINIO",INVENTARIO!C184)),"PAN-ALU",
IF(ISNUMBER(SEARCH("PVC",INVENTARIO!C184)),"PVC",
IF(ISNUMBER(SEARCH("PAPEL",INVENTARIO!C184)),"PAP",
IF(ISNUMBER(SEARCH("TELA",INVENTARIO!C184)),"TEL",
IF(ISNUMBER(SEARCH("CARTULINA",INVENTARIO!C184)),"CAR",
IF(OR(ISNUMBER(SEARCH("LAMINA",INVENTARIO!C184)),ISNUMBER(SEARCH("LÁMINA",INVENTARIO!C184)),ISNUMBER(SEARCH("LAMPARAS",INVENTARIO!C184))),"LAM",
IF(ISNUMBER(SEARCH("ESTIRENO",INVENTARIO!C184)),"EST",
IF(ISNUMBER(SEARCH("FOAMBOARD",INVENTARIO!C184)),"FOA",
IF(ISNUMBER(SEARCH("SOLVENTE",INVENTARIO!C184)),"SOL",
IF(ISNUMBER(SEARCH("TINTA",INVENTARIO!C184)),"TIN",
IF(ISNUMBER(SEARCH("ACRILICO",INVENTARIO!C184)),"ACR",
IF(ISNUMBER(SEARCH("MICROLED",INVENTARIO!C184)),"MIC",
IF(ISNUMBER(SEARCH("LED",INVENTARIO!C184)),"LED",
IF(ISNUMBER(SEARCH("FUENTE DE PODER",INVENTARIO!C184)),"FUE-POD",
IF(ISNUMBER(SEARCH("PETG",INVENTARIO!C184)),"PET",
IF(ISNUMBER(SEARCH("ALUMINIO",INVENTARIO!C184)),"ALU",
IF(ISNUMBER(SEARCH("CANAL",INVENTARIO!C184)),"CAN",
IF(ISNUMBER(SEARCH("ESCUADRA",INVENTARIO!C184)),"ESC",
IF(ISNUMBER(SEARCH("SOPORTE",INVENTARIO!C184)),"SOP","OTR")
))))))))))))))))))))))))))))))</f>
        <v>VIN</v>
      </c>
      <c r="B184" t="str">
        <f>IF(ISNUMBER(SEARCH("CORTE",INVENTARIO!C184)),"COR",
IF(ISNUMBER(SEARCH("CITYLIGHT",INVENTARIO!C184)),"CIT",
IF(ISNUMBER(SEARCH("LINO",INVENTARIO!C184)),"LIN",
IF(ISNUMBER(SEARCH("FABRIANO",INVENTARIO!C184)),"FAB",
IF(ISNUMBER(SEARCH("SUNDANCE",INVENTARIO!C184)),"SUN",
IF(ISNUMBER(SEARCH("SINTETICA",INVENTARIO!C184)),"SIN",
IF(ISNUMBER(SEARCH("CONTROL",INVENTARIO!C184)),"CON",
IF(ISNUMBER(SEARCH("TERMICO",INVENTARIO!C184)),"TER",
IF(ISNUMBER(SEARCH("C-15",INVENTARIO!C184)),"C15",
IF(ISNUMBER(SEARCH("C-20",INVENTARIO!C184)),"C20",
IF(ISNUMBER(SEARCH("C-30",INVENTARIO!C184)),"C30",
IF(ISNUMBER(SEARCH("C-40",INVENTARIO!C184)),"C40",
IF(ISNUMBER(SEARCH("C-60",INVENTARIO!C184)),"C60",
IF(ISNUMBER(SEARCH("C-80",INVENTARIO!C184)),"C80",
IF(ISNUMBER(SEARCH("EQUIPO",INVENTARIO!C184)),"EQU",
IF(ISNUMBER(SEARCH("FLOOR",INVENTARIO!C184)),"FLO",
IF(ISNUMBER(SEARCH("CRISTAL",INVENTARIO!C184)),"CRI",
IF(ISNUMBER(SEARCH(" SULFATADA",INVENTARIO!C195)),"SUL",
IF(ISNUMBER(SEARCH("OPALINA",INVENTARIO!C184)),"OPA",
IF(ISNUMBER(SEARCH("ADHERIBLE",INVENTARIO!C184)),"ADH",
IF(ISNUMBER(SEARCH("MICRO",INVENTARIO!C184)),"MIC","")))))))))))))))))))))</f>
        <v>COR</v>
      </c>
      <c r="C184" t="str">
        <f>IF(ISNUMBER(SEARCH("PARED",INVENTARIO!C184)),"PAR",
IF(ISNUMBER(SEARCH("FRONT",INVENTARIO!C184)),"FRO",
IF(ISNUMBER(SEARCH("ALTA RESISTENCIA",INVENTARIO!C184)),
"ALT-RES",IF(ISNUMBER(SEARCH("BACKLITE",INVENTARIO!C184)),"BAC",
IF(ISNUMBER(SEARCH("MATE",INVENTARIO!C184)),"MAT",
IF(ISNUMBER(SEARCH("MESH",INVENTARIO!C184)),"MES",
IF(ISNUMBER(SEARCH("BRILLANTE",INVENTARIO!C184)),"BRI",
IF(ISNUMBER(SEARCH("DELGADA",INVENTARIO!C184)),"DEL",
IF(ISNUMBER(SEARCH("GRUESA",INVENTARIO!C184)),"GRU",
IF(ISNUMBER(SEARCH("ESTATICO",INVENTARIO!C184)),"EST",
IF(ISNUMBER(SEARCH("REFLECTIVO",INVENTARIO!C184)),"REF",
IF(ISNUMBER(SEARCH("LX700",INVENTARIO!C184)),"LX7",
IF(ISNUMBER(SEARCH("GRANDO",INVENTARIO!C184)),"GRA",
IF(ISNUMBER(SEARCH("FB700",INVENTARIO!C184)),"FB7",
IF(ISNUMBER(SEARCH("LX360",INVENTARIO!C184)),"LX3",
IF(ISNUMBER(SEARCH("XEROX",INVENTARIO!C184)),"XER",
IF(ISNUMBER(SEARCH("CEPILLADO",INVENTARIO!C184)),"CEP",
IF(ISNUMBER(SEARCH("ESPEJO",INVENTARIO!C184)),"ESP",
IF(ISNUMBER(SEARCH("10 PTS",INVENTARIO!C184)),"10PT",
IF(ISNUMBER(SEARCH("12 PTS",INVENTARIO!C184)),"12PT",
IF(ISNUMBER(SEARCH("14 PTS",INVENTARIO!C184)),"14PT",
IF(ISNUMBER(SEARCH("CLASICO",INVENTARIO!C184)),"CLA",
""))))))))))))))))))))))</f>
        <v/>
      </c>
      <c r="D184" t="str">
        <f>IF(ISNUMBER(SEARCH("GRAN FORMATO",INVENTARIO!C184)),"GRA-FOR",
IF(ISNUMBER(SEARCH("CAMA PLANA",INVENTARIO!C184)),"CAM-PLA",
IF(ISNUMBER(SEARCH("GRADO INGENIERIA",INVENTARIO!C184)),"GRA-ING",
IF(ISNUMBER(SEARCH("130 GRS",INVENTARIO!C184)),"130GR",
IF(ISNUMBER(SEARCH("150 GRS",INVENTARIO!C184)),"150GR",
IF(ISNUMBER(SEARCH("185 GRS",INVENTARIO!C184)),"185GR",
IF(ISNUMBER(SEARCH("200 GRS",INVENTARIO!C184)),"200GR",
IF(ISNUMBER(SEARCH("250 GRS",INVENTARIO!C184)),"250GR",
IF(ISNUMBER(SEARCH("300 GRS",INVENTARIO!C184)),"300GR",
IF(ISNUMBER(SEARCH("350 GRS",INVENTARIO!C184)),"350GR",
IF(ISNUMBER(SEARCH("18 OZ",INVENTARIO!C184)),"18OZ",
IF(ISNUMBER(SEARCH("15 OZ",INVENTARIO!C184)),"15OZ",
IF(OR(ISNUMBER(SEARCH("13 OZ",INVENTARIO!C184)),ISNUMBER(SEARCH("13 ONZAS",INVENTARIO!C184))),"13OZ",
IF(OR(ISNUMBER(SEARCH("9 OZ",INVENTARIO!C184)),ISNUMBER(SEARCH("9 ONZAS",INVENTARIO!C184))),"09OZ",
IF(ISNUMBER(SEARCH("DOBLE CARA",INVENTARIO!C184)),"DOB-CAR",
"")))))))))))))))</f>
        <v/>
      </c>
      <c r="E184" t="str">
        <f>IF(OR(ISNUMBER(SEARCH("TRANSPARENTE",INVENTARIO!C184)),ISNUMBER(SEARCH("TRANSPARENTES",INVENTARIO!C184))),"TRA",
IF(OR(ISNUMBER(SEARCH("BLANCO",INVENTARIO!C184)),ISNUMBER(SEARCH("BCO",INVENTARIO!C184))),"BLA",
IF(ISNUMBER(SEARCH("FOTOGRAFICO",INVENTARIO!C184)),"FOT",
IF(ISNUMBER(SEARCH("MARFIL",INVENTARIO!C184)),"MAR",
IF(ISNUMBER(SEARCH("VERDE",INVENTARIO!C184)),"VER",
IF(ISNUMBER(SEARCH("MORADO",INVENTARIO!C184)),"MOR",
IF(ISNUMBER(SEARCH("PLATA",INVENTARIO!C184)),"PLA",
IF(ISNUMBER(SEARCH("ORO",INVENTARIO!C184)),"ORO",
IF(ISNUMBER(SEARCH("AMARILLO",INVENTARIO!C184)),"AMA",
IF(ISNUMBER(SEARCH("NARANJA",INVENTARIO!C184)),"NAR",
IF(ISNUMBER(SEARCH("NEGRO",INVENTARIO!C184)),"NEG",
IF(ISNUMBER(SEARCH("ROJO",INVENTARIO!C184)),"ROJ",
IF(ISNUMBER(SEARCH("AZUL",INVENTARIO!C184)),"AZU","")))))))))))))</f>
        <v/>
      </c>
      <c r="F184" t="str">
        <f>IF(ISNUMBER(SEARCH("ARLON",INVENTARIO!C184)),"ARL",
IF(ISNUMBER(SEARCH("SUNTHINKS",INVENTARIO!C184)),"SUN",
IF(ISNUMBER(SEARCH("FRIO",INVENTARIO!C184)),"FRI",
IF(ISNUMBER(SEARCH("CALIDO",INVENTARIO!C184)),"CAL",
IF(ISNUMBER(SEARCH("CEPILLADO",INVENTARIO!C184)),"CEP",
IF(ISNUMBER(SEARCH("ESPEJO",INVENTARIO!C184)),"ESP",
""))))))</f>
        <v/>
      </c>
      <c r="G184" t="str">
        <f>IF(ISNUMBER(SEARCH("LATEX",INVENTARIO!C184)),"LAT",
IF(ISNUMBER(SEARCH("RESP. NEGRO",INVENTARIO!C184)),"RES-NEG",
IF(ISNUMBER(SEARCH("RESPALDO CAFE",INVENTARIO!C184)),"RES-CAF",
IF(ISNUMBER(SEARCH("RESPALDO GRIS",INVENTARIO!C184)),"RES-GRI",
IF(ISNUMBER(SEARCH("OPTICO",INVENTARIO!C184)),"OPT",
IF(ISNUMBER(SEARCH("1,2 MM",INVENTARIO!C184)),"1MM2",
IF(ISNUMBER(SEARCH("2 MM",INVENTARIO!C184)),"2MM",
IF(ISNUMBER(SEARCH("3 MM",INVENTARIO!C184)),"3MM",
IF(ISNUMBER(SEARCH("4 MM",INVENTARIO!C184)),"4MM",
IF(ISNUMBER(SEARCH("5 MM",INVENTARIO!C184)),"5MM",
IF(ISNUMBER(SEARCH("6 MM",INVENTARIO!C184)),"6MM",
IF(ISNUMBER(SEARCH("9 MM",INVENTARIO!C184)),"9MM",
IF(ISNUMBER(SEARCH("10 MM",INVENTARIO!C184)),"10MM","")))))))))))))</f>
        <v/>
      </c>
      <c r="H184" t="str">
        <f>IF(ISNUMBER(SEARCH("GAMA BAJA",INVENTARIO!C184)),"GAM-BAJ",
IF(ISNUMBER(SEARCH("OPTIMIZADOR",INVENTARIO!C184)),"OPT",
IF(ISNUMBER(SEARCH("OVERCOAT",INVENTARIO!C184)),"OVE",
IF(ISNUMBER(SEARCH("WHITE",INVENTARIO!C184)),"WHI",
IF(ISNUMBER(SEARCH("LIGHT CYAN",INVENTARIO!C184)),"LIG-CYA",
IF(ISNUMBER(SEARCH("CYAN",INVENTARIO!C184)),"CYA",
IF(ISNUMBER(SEARCH("LIGHT MAGENTA",INVENTARIO!C184)),"LIG-MAG",
IF(ISNUMBER(SEARCH("MAGENTA",INVENTARIO!C184)),"MAG",
IF(ISNUMBER(SEARCH("BLACK",INVENTARIO!C184)),"BLA",
IF(ISNUMBER(SEARCH("YELLOW",INVENTARIO!C184)),"YEL",
IF(ISNUMBER(SEARCH("2 DIODOS",INVENTARIO!C184)),"2DI",
IF(ISNUMBER(SEARCH("3 DIODOS",INVENTARIO!C184)),"3DI",
IF(OR(ISNUMBER(SEARCH("TRASLUCIDO",INVENTARIO!C184)),ISNUMBER(SEARCH("TRANSLUCIDO",INVENTARIO!C184))),"TRA",
"")))))))))))))</f>
        <v/>
      </c>
      <c r="I184" t="str">
        <f>IF(ISNUMBER(SEARCH("SILED",INVENTARIO!C207)),"SI",
IF(ISNUMBER(SEARCH("SYDEMEX",INVENTARIO!C207)),"SY",
IF(ISNUMBER(SEARCH("ROHS",INVENTARIO!C207)),"RO",
IF(ISNUMBER(SEARCH("RISHANG",INVENTARIO!C207)),"RS",
IF(ISNUMBER(SEARCH("VYG",INVENTARIO!C207)),"VYG",
IF(ISNUMBER(SEARCH("COLED",INVENTARIO!C207)),"CO",""))))))</f>
        <v/>
      </c>
    </row>
    <row r="185" spans="1:9">
      <c r="A185" t="str">
        <f>IF(ISNUMBER(SEARCH("LONA",INVENTARIO!C185)),"LON",
IF(ISNUMBER(SEARCH("VINIL",INVENTARIO!C185)),"VIN",
IF(ISNUMBER(SEARCH("KROMACOTE",INVENTARIO!C185)),"KRO",
IF(ISNUMBER(SEARCH("STARDREAM",INVENTARIO!C185)),"STA",
IF(ISNUMBER(SEARCH("DISPLAY",INVENTARIO!C185)),"DIS",
IF(ISNUMBER(SEARCH("ROLL UP",INVENTARIO!C185)),"ROL-UP",
IF(ISNUMBER(SEARCH("TRANSFER DE PAPEL",INVENTARIO!C185)),"TRA-PAP",
IF(ISNUMBER(SEARCH("TRANSFER",INVENTARIO!C185)),"TRA",IF(ISNUMBER(SEARCH("KOLA LOKA",INVENTARIO!C185)),"KOL-LOK",
IF(ISNUMBER(SEARCH("PETG",INVENTARIO!C185)),"PET",
IF(ISNUMBER(SEARCH("OJILLO",INVENTARIO!C185)),"OJI",
IF(ISNUMBER(SEARCH("COUCHE",INVENTARIO!C185)),"COU",
IF(ISNUMBER(SEARCH("PANEL DE ALUMINIO",INVENTARIO!C185)),"PAN-ALU",
IF(ISNUMBER(SEARCH("PVC",INVENTARIO!C185)),"PVC",
IF(ISNUMBER(SEARCH("PAPEL",INVENTARIO!C185)),"PAP",
IF(ISNUMBER(SEARCH("TELA",INVENTARIO!C185)),"TEL",
IF(ISNUMBER(SEARCH("CARTULINA",INVENTARIO!C185)),"CAR",
IF(OR(ISNUMBER(SEARCH("LAMINA",INVENTARIO!C185)),ISNUMBER(SEARCH("LÁMINA",INVENTARIO!C185)),ISNUMBER(SEARCH("LAMPARAS",INVENTARIO!C185))),"LAM",
IF(ISNUMBER(SEARCH("ESTIRENO",INVENTARIO!C185)),"EST",
IF(ISNUMBER(SEARCH("FOAMBOARD",INVENTARIO!C185)),"FOA",
IF(ISNUMBER(SEARCH("SOLVENTE",INVENTARIO!C185)),"SOL",
IF(ISNUMBER(SEARCH("TINTA",INVENTARIO!C185)),"TIN",
IF(ISNUMBER(SEARCH("ACRILICO",INVENTARIO!C185)),"ACR",
IF(ISNUMBER(SEARCH("MICROLED",INVENTARIO!C185)),"MIC",
IF(ISNUMBER(SEARCH("LED",INVENTARIO!C185)),"LED",
IF(ISNUMBER(SEARCH("FUENTE DE PODER",INVENTARIO!C185)),"FUE-POD",
IF(ISNUMBER(SEARCH("PETG",INVENTARIO!C185)),"PET",
IF(ISNUMBER(SEARCH("ALUMINIO",INVENTARIO!C185)),"ALU",
IF(ISNUMBER(SEARCH("CANAL",INVENTARIO!C185)),"CAN",
IF(ISNUMBER(SEARCH("ESCUADRA",INVENTARIO!C185)),"ESC",
IF(ISNUMBER(SEARCH("SOPORTE",INVENTARIO!C185)),"SOP","OTR")
))))))))))))))))))))))))))))))</f>
        <v>ACR</v>
      </c>
      <c r="B185" t="str">
        <f>IF(ISNUMBER(SEARCH("CORTE",INVENTARIO!C185)),"COR",
IF(ISNUMBER(SEARCH("CITYLIGHT",INVENTARIO!C185)),"CIT",
IF(ISNUMBER(SEARCH("LINO",INVENTARIO!C185)),"LIN",
IF(ISNUMBER(SEARCH("FABRIANO",INVENTARIO!C185)),"FAB",
IF(ISNUMBER(SEARCH("SUNDANCE",INVENTARIO!C185)),"SUN",
IF(ISNUMBER(SEARCH("SINTETICA",INVENTARIO!C185)),"SIN",
IF(ISNUMBER(SEARCH("CONTROL",INVENTARIO!C185)),"CON",
IF(ISNUMBER(SEARCH("TERMICO",INVENTARIO!C185)),"TER",
IF(ISNUMBER(SEARCH("C-15",INVENTARIO!C185)),"C15",
IF(ISNUMBER(SEARCH("C-20",INVENTARIO!C185)),"C20",
IF(ISNUMBER(SEARCH("C-30",INVENTARIO!C185)),"C30",
IF(ISNUMBER(SEARCH("C-40",INVENTARIO!C185)),"C40",
IF(ISNUMBER(SEARCH("C-60",INVENTARIO!C185)),"C60",
IF(ISNUMBER(SEARCH("C-80",INVENTARIO!C185)),"C80",
IF(ISNUMBER(SEARCH("EQUIPO",INVENTARIO!C185)),"EQU",
IF(ISNUMBER(SEARCH("FLOOR",INVENTARIO!C185)),"FLO",
IF(ISNUMBER(SEARCH("CRISTAL",INVENTARIO!C185)),"CRI",
IF(ISNUMBER(SEARCH(" SULFATADA",INVENTARIO!C196)),"SUL",
IF(ISNUMBER(SEARCH("OPALINA",INVENTARIO!C185)),"OPA",
IF(ISNUMBER(SEARCH("ADHERIBLE",INVENTARIO!C185)),"ADH",
IF(ISNUMBER(SEARCH("MICRO",INVENTARIO!C185)),"MIC","")))))))))))))))))))))</f>
        <v/>
      </c>
      <c r="C185" t="str">
        <f>IF(ISNUMBER(SEARCH("PARED",INVENTARIO!C185)),"PAR",
IF(ISNUMBER(SEARCH("FRONT",INVENTARIO!C185)),"FRO",
IF(ISNUMBER(SEARCH("ALTA RESISTENCIA",INVENTARIO!C185)),
"ALT-RES",IF(ISNUMBER(SEARCH("BACKLITE",INVENTARIO!C185)),"BAC",
IF(ISNUMBER(SEARCH("MATE",INVENTARIO!C185)),"MAT",
IF(ISNUMBER(SEARCH("MESH",INVENTARIO!C185)),"MES",
IF(ISNUMBER(SEARCH("BRILLANTE",INVENTARIO!C185)),"BRI",
IF(ISNUMBER(SEARCH("DELGADA",INVENTARIO!C185)),"DEL",
IF(ISNUMBER(SEARCH("GRUESA",INVENTARIO!C185)),"GRU",
IF(ISNUMBER(SEARCH("ESTATICO",INVENTARIO!C185)),"EST",
IF(ISNUMBER(SEARCH("REFLECTIVO",INVENTARIO!C185)),"REF",
IF(ISNUMBER(SEARCH("LX700",INVENTARIO!C185)),"LX7",
IF(ISNUMBER(SEARCH("GRANDO",INVENTARIO!C185)),"GRA",
IF(ISNUMBER(SEARCH("FB700",INVENTARIO!C185)),"FB7",
IF(ISNUMBER(SEARCH("LX360",INVENTARIO!C185)),"LX3",
IF(ISNUMBER(SEARCH("XEROX",INVENTARIO!C185)),"XER",
IF(ISNUMBER(SEARCH("CEPILLADO",INVENTARIO!C185)),"CEP",
IF(ISNUMBER(SEARCH("ESPEJO",INVENTARIO!C185)),"ESP",
IF(ISNUMBER(SEARCH("10 PTS",INVENTARIO!C185)),"10PT",
IF(ISNUMBER(SEARCH("12 PTS",INVENTARIO!C185)),"12PT",
IF(ISNUMBER(SEARCH("14 PTS",INVENTARIO!C185)),"14PT",
IF(ISNUMBER(SEARCH("CLASICO",INVENTARIO!C185)),"CLA",
""))))))))))))))))))))))</f>
        <v/>
      </c>
      <c r="D185" t="str">
        <f>IF(ISNUMBER(SEARCH("GRAN FORMATO",INVENTARIO!C185)),"GRA-FOR",
IF(ISNUMBER(SEARCH("CAMA PLANA",INVENTARIO!C185)),"CAM-PLA",
IF(ISNUMBER(SEARCH("GRADO INGENIERIA",INVENTARIO!C185)),"GRA-ING",
IF(ISNUMBER(SEARCH("130 GRS",INVENTARIO!C185)),"130GR",
IF(ISNUMBER(SEARCH("150 GRS",INVENTARIO!C185)),"150GR",
IF(ISNUMBER(SEARCH("185 GRS",INVENTARIO!C185)),"185GR",
IF(ISNUMBER(SEARCH("200 GRS",INVENTARIO!C185)),"200GR",
IF(ISNUMBER(SEARCH("250 GRS",INVENTARIO!C185)),"250GR",
IF(ISNUMBER(SEARCH("300 GRS",INVENTARIO!C185)),"300GR",
IF(ISNUMBER(SEARCH("350 GRS",INVENTARIO!C185)),"350GR",
IF(ISNUMBER(SEARCH("18 OZ",INVENTARIO!C185)),"18OZ",
IF(ISNUMBER(SEARCH("15 OZ",INVENTARIO!C185)),"15OZ",
IF(OR(ISNUMBER(SEARCH("13 OZ",INVENTARIO!C185)),ISNUMBER(SEARCH("13 ONZAS",INVENTARIO!C185))),"13OZ",
IF(OR(ISNUMBER(SEARCH("9 OZ",INVENTARIO!C185)),ISNUMBER(SEARCH("9 ONZAS",INVENTARIO!C185))),"09OZ",
IF(ISNUMBER(SEARCH("DOBLE CARA",INVENTARIO!C185)),"DOB-CAR",
"")))))))))))))))</f>
        <v/>
      </c>
      <c r="E185" t="str">
        <f>IF(OR(ISNUMBER(SEARCH("TRANSPARENTE",INVENTARIO!C185)),ISNUMBER(SEARCH("TRANSPARENTES",INVENTARIO!C185))),"TRA",
IF(OR(ISNUMBER(SEARCH("BLANCO",INVENTARIO!C185)),ISNUMBER(SEARCH("BCO",INVENTARIO!C185))),"BLA",
IF(ISNUMBER(SEARCH("FOTOGRAFICO",INVENTARIO!C185)),"FOT",
IF(ISNUMBER(SEARCH("MARFIL",INVENTARIO!C185)),"MAR",
IF(ISNUMBER(SEARCH("VERDE",INVENTARIO!C185)),"VER",
IF(ISNUMBER(SEARCH("MORADO",INVENTARIO!C185)),"MOR",
IF(ISNUMBER(SEARCH("PLATA",INVENTARIO!C185)),"PLA",
IF(ISNUMBER(SEARCH("ORO",INVENTARIO!C185)),"ORO",
IF(ISNUMBER(SEARCH("AMARILLO",INVENTARIO!C185)),"AMA",
IF(ISNUMBER(SEARCH("NARANJA",INVENTARIO!C185)),"NAR",
IF(ISNUMBER(SEARCH("NEGRO",INVENTARIO!C185)),"NEG",
IF(ISNUMBER(SEARCH("ROJO",INVENTARIO!C185)),"ROJ",
IF(ISNUMBER(SEARCH("AZUL",INVENTARIO!C185)),"AZU","")))))))))))))</f>
        <v>AZU</v>
      </c>
      <c r="F185" t="str">
        <f>IF(ISNUMBER(SEARCH("ARLON",INVENTARIO!C185)),"ARL",
IF(ISNUMBER(SEARCH("SUNTHINKS",INVENTARIO!C185)),"SUN",
IF(ISNUMBER(SEARCH("FRIO",INVENTARIO!C185)),"FRI",
IF(ISNUMBER(SEARCH("CALIDO",INVENTARIO!C185)),"CAL",
IF(ISNUMBER(SEARCH("CEPILLADO",INVENTARIO!C185)),"CEP",
IF(ISNUMBER(SEARCH("ESPEJO",INVENTARIO!C185)),"ESP",
""))))))</f>
        <v/>
      </c>
      <c r="G185" t="str">
        <f>IF(ISNUMBER(SEARCH("LATEX",INVENTARIO!C185)),"LAT",
IF(ISNUMBER(SEARCH("RESP. NEGRO",INVENTARIO!C185)),"RES-NEG",
IF(ISNUMBER(SEARCH("RESPALDO CAFE",INVENTARIO!C185)),"RES-CAF",
IF(ISNUMBER(SEARCH("RESPALDO GRIS",INVENTARIO!C185)),"RES-GRI",
IF(ISNUMBER(SEARCH("OPTICO",INVENTARIO!C185)),"OPT",
IF(ISNUMBER(SEARCH("1,2 MM",INVENTARIO!C185)),"1MM2",
IF(ISNUMBER(SEARCH("2 MM",INVENTARIO!C185)),"2MM",
IF(ISNUMBER(SEARCH("3 MM",INVENTARIO!C185)),"3MM",
IF(ISNUMBER(SEARCH("4 MM",INVENTARIO!C185)),"4MM",
IF(ISNUMBER(SEARCH("5 MM",INVENTARIO!C185)),"5MM",
IF(ISNUMBER(SEARCH("6 MM",INVENTARIO!C185)),"6MM",
IF(ISNUMBER(SEARCH("9 MM",INVENTARIO!C185)),"9MM",
IF(ISNUMBER(SEARCH("10 MM",INVENTARIO!C185)),"10MM","")))))))))))))</f>
        <v>3MM</v>
      </c>
      <c r="H185" t="str">
        <f>IF(ISNUMBER(SEARCH("GAMA BAJA",INVENTARIO!C185)),"GAM-BAJ",
IF(ISNUMBER(SEARCH("OPTIMIZADOR",INVENTARIO!C185)),"OPT",
IF(ISNUMBER(SEARCH("OVERCOAT",INVENTARIO!C185)),"OVE",
IF(ISNUMBER(SEARCH("WHITE",INVENTARIO!C185)),"WHI",
IF(ISNUMBER(SEARCH("LIGHT CYAN",INVENTARIO!C185)),"LIG-CYA",
IF(ISNUMBER(SEARCH("CYAN",INVENTARIO!C185)),"CYA",
IF(ISNUMBER(SEARCH("LIGHT MAGENTA",INVENTARIO!C185)),"LIG-MAG",
IF(ISNUMBER(SEARCH("MAGENTA",INVENTARIO!C185)),"MAG",
IF(ISNUMBER(SEARCH("BLACK",INVENTARIO!C185)),"BLA",
IF(ISNUMBER(SEARCH("YELLOW",INVENTARIO!C185)),"YEL",
IF(ISNUMBER(SEARCH("2 DIODOS",INVENTARIO!C185)),"2DI",
IF(ISNUMBER(SEARCH("3 DIODOS",INVENTARIO!C185)),"3DI",
IF(OR(ISNUMBER(SEARCH("TRASLUCIDO",INVENTARIO!C185)),ISNUMBER(SEARCH("TRANSLUCIDO",INVENTARIO!C185))),"TRA",
"")))))))))))))</f>
        <v/>
      </c>
      <c r="I18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86" spans="1:9">
      <c r="A186" t="str">
        <f>IF(ISNUMBER(SEARCH("LONA",INVENTARIO!C186)),"LON",
IF(ISNUMBER(SEARCH("VINIL",INVENTARIO!C186)),"VIN",
IF(ISNUMBER(SEARCH("KROMACOTE",INVENTARIO!C186)),"KRO",
IF(ISNUMBER(SEARCH("STARDREAM",INVENTARIO!C186)),"STA",
IF(ISNUMBER(SEARCH("DISPLAY",INVENTARIO!C186)),"DIS",
IF(ISNUMBER(SEARCH("ROLL UP",INVENTARIO!C186)),"ROL-UP",
IF(ISNUMBER(SEARCH("TRANSFER DE PAPEL",INVENTARIO!C186)),"TRA-PAP",
IF(ISNUMBER(SEARCH("TRANSFER",INVENTARIO!C186)),"TRA",IF(ISNUMBER(SEARCH("KOLA LOKA",INVENTARIO!C186)),"KOL-LOK",
IF(ISNUMBER(SEARCH("PETG",INVENTARIO!C186)),"PET",
IF(ISNUMBER(SEARCH("OJILLO",INVENTARIO!C186)),"OJI",
IF(ISNUMBER(SEARCH("COUCHE",INVENTARIO!C186)),"COU",
IF(ISNUMBER(SEARCH("PANEL DE ALUMINIO",INVENTARIO!C186)),"PAN-ALU",
IF(ISNUMBER(SEARCH("PVC",INVENTARIO!C186)),"PVC",
IF(ISNUMBER(SEARCH("PAPEL",INVENTARIO!C186)),"PAP",
IF(ISNUMBER(SEARCH("TELA",INVENTARIO!C186)),"TEL",
IF(ISNUMBER(SEARCH("CARTULINA",INVENTARIO!C186)),"CAR",
IF(OR(ISNUMBER(SEARCH("LAMINA",INVENTARIO!C186)),ISNUMBER(SEARCH("LÁMINA",INVENTARIO!C186)),ISNUMBER(SEARCH("LAMPARAS",INVENTARIO!C186))),"LAM",
IF(ISNUMBER(SEARCH("ESTIRENO",INVENTARIO!C186)),"EST",
IF(ISNUMBER(SEARCH("FOAMBOARD",INVENTARIO!C186)),"FOA",
IF(ISNUMBER(SEARCH("SOLVENTE",INVENTARIO!C186)),"SOL",
IF(ISNUMBER(SEARCH("TINTA",INVENTARIO!C186)),"TIN",
IF(ISNUMBER(SEARCH("ACRILICO",INVENTARIO!C186)),"ACR",
IF(ISNUMBER(SEARCH("MICROLED",INVENTARIO!C186)),"MIC",
IF(ISNUMBER(SEARCH("LED",INVENTARIO!C186)),"LED",
IF(ISNUMBER(SEARCH("FUENTE DE PODER",INVENTARIO!C186)),"FUE-POD",
IF(ISNUMBER(SEARCH("PETG",INVENTARIO!C186)),"PET",
IF(ISNUMBER(SEARCH("ALUMINIO",INVENTARIO!C186)),"ALU",
IF(ISNUMBER(SEARCH("CANAL",INVENTARIO!C186)),"CAN",
IF(ISNUMBER(SEARCH("ESCUADRA",INVENTARIO!C186)),"ESC",
IF(ISNUMBER(SEARCH("SOPORTE",INVENTARIO!C186)),"SOP","OTR")
))))))))))))))))))))))))))))))</f>
        <v>ACR</v>
      </c>
      <c r="B186" t="str">
        <f>IF(ISNUMBER(SEARCH("CORTE",INVENTARIO!C186)),"COR",
IF(ISNUMBER(SEARCH("CITYLIGHT",INVENTARIO!C186)),"CIT",
IF(ISNUMBER(SEARCH("LINO",INVENTARIO!C186)),"LIN",
IF(ISNUMBER(SEARCH("FABRIANO",INVENTARIO!C186)),"FAB",
IF(ISNUMBER(SEARCH("SUNDANCE",INVENTARIO!C186)),"SUN",
IF(ISNUMBER(SEARCH("SINTETICA",INVENTARIO!C186)),"SIN",
IF(ISNUMBER(SEARCH("CONTROL",INVENTARIO!C186)),"CON",
IF(ISNUMBER(SEARCH("TERMICO",INVENTARIO!C186)),"TER",
IF(ISNUMBER(SEARCH("C-15",INVENTARIO!C186)),"C15",
IF(ISNUMBER(SEARCH("C-20",INVENTARIO!C186)),"C20",
IF(ISNUMBER(SEARCH("C-30",INVENTARIO!C186)),"C30",
IF(ISNUMBER(SEARCH("C-40",INVENTARIO!C186)),"C40",
IF(ISNUMBER(SEARCH("C-60",INVENTARIO!C186)),"C60",
IF(ISNUMBER(SEARCH("C-80",INVENTARIO!C186)),"C80",
IF(ISNUMBER(SEARCH("EQUIPO",INVENTARIO!C186)),"EQU",
IF(ISNUMBER(SEARCH("FLOOR",INVENTARIO!C186)),"FLO",
IF(ISNUMBER(SEARCH("CRISTAL",INVENTARIO!C186)),"CRI",
IF(ISNUMBER(SEARCH(" SULFATADA",INVENTARIO!C197)),"SUL",
IF(ISNUMBER(SEARCH("OPALINA",INVENTARIO!C186)),"OPA",
IF(ISNUMBER(SEARCH("ADHERIBLE",INVENTARIO!C186)),"ADH",
IF(ISNUMBER(SEARCH("MICRO",INVENTARIO!C186)),"MIC","")))))))))))))))))))))</f>
        <v/>
      </c>
      <c r="C186" t="str">
        <f>IF(ISNUMBER(SEARCH("PARED",INVENTARIO!C186)),"PAR",
IF(ISNUMBER(SEARCH("FRONT",INVENTARIO!C186)),"FRO",
IF(ISNUMBER(SEARCH("ALTA RESISTENCIA",INVENTARIO!C186)),
"ALT-RES",IF(ISNUMBER(SEARCH("BACKLITE",INVENTARIO!C186)),"BAC",
IF(ISNUMBER(SEARCH("MATE",INVENTARIO!C186)),"MAT",
IF(ISNUMBER(SEARCH("MESH",INVENTARIO!C186)),"MES",
IF(ISNUMBER(SEARCH("BRILLANTE",INVENTARIO!C186)),"BRI",
IF(ISNUMBER(SEARCH("DELGADA",INVENTARIO!C186)),"DEL",
IF(ISNUMBER(SEARCH("GRUESA",INVENTARIO!C186)),"GRU",
IF(ISNUMBER(SEARCH("ESTATICO",INVENTARIO!C186)),"EST",
IF(ISNUMBER(SEARCH("REFLECTIVO",INVENTARIO!C186)),"REF",
IF(ISNUMBER(SEARCH("LX700",INVENTARIO!C186)),"LX7",
IF(ISNUMBER(SEARCH("GRANDO",INVENTARIO!C186)),"GRA",
IF(ISNUMBER(SEARCH("FB700",INVENTARIO!C186)),"FB7",
IF(ISNUMBER(SEARCH("LX360",INVENTARIO!C186)),"LX3",
IF(ISNUMBER(SEARCH("XEROX",INVENTARIO!C186)),"XER",
IF(ISNUMBER(SEARCH("CEPILLADO",INVENTARIO!C186)),"CEP",
IF(ISNUMBER(SEARCH("ESPEJO",INVENTARIO!C186)),"ESP",
IF(ISNUMBER(SEARCH("10 PTS",INVENTARIO!C186)),"10PT",
IF(ISNUMBER(SEARCH("12 PTS",INVENTARIO!C186)),"12PT",
IF(ISNUMBER(SEARCH("14 PTS",INVENTARIO!C186)),"14PT",
IF(ISNUMBER(SEARCH("CLASICO",INVENTARIO!C186)),"CLA",
""))))))))))))))))))))))</f>
        <v/>
      </c>
      <c r="D186" t="str">
        <f>IF(ISNUMBER(SEARCH("GRAN FORMATO",INVENTARIO!C186)),"GRA-FOR",
IF(ISNUMBER(SEARCH("CAMA PLANA",INVENTARIO!C186)),"CAM-PLA",
IF(ISNUMBER(SEARCH("GRADO INGENIERIA",INVENTARIO!C186)),"GRA-ING",
IF(ISNUMBER(SEARCH("130 GRS",INVENTARIO!C186)),"130GR",
IF(ISNUMBER(SEARCH("150 GRS",INVENTARIO!C186)),"150GR",
IF(ISNUMBER(SEARCH("185 GRS",INVENTARIO!C186)),"185GR",
IF(ISNUMBER(SEARCH("200 GRS",INVENTARIO!C186)),"200GR",
IF(ISNUMBER(SEARCH("250 GRS",INVENTARIO!C186)),"250GR",
IF(ISNUMBER(SEARCH("300 GRS",INVENTARIO!C186)),"300GR",
IF(ISNUMBER(SEARCH("350 GRS",INVENTARIO!C186)),"350GR",
IF(ISNUMBER(SEARCH("18 OZ",INVENTARIO!C186)),"18OZ",
IF(ISNUMBER(SEARCH("15 OZ",INVENTARIO!C186)),"15OZ",
IF(OR(ISNUMBER(SEARCH("13 OZ",INVENTARIO!C186)),ISNUMBER(SEARCH("13 ONZAS",INVENTARIO!C186))),"13OZ",
IF(OR(ISNUMBER(SEARCH("9 OZ",INVENTARIO!C186)),ISNUMBER(SEARCH("9 ONZAS",INVENTARIO!C186))),"09OZ",
IF(ISNUMBER(SEARCH("DOBLE CARA",INVENTARIO!C186)),"DOB-CAR",
"")))))))))))))))</f>
        <v/>
      </c>
      <c r="E186" t="str">
        <f>IF(OR(ISNUMBER(SEARCH("TRANSPARENTE",INVENTARIO!C186)),ISNUMBER(SEARCH("TRANSPARENTES",INVENTARIO!C186))),"TRA",
IF(OR(ISNUMBER(SEARCH("BLANCO",INVENTARIO!C186)),ISNUMBER(SEARCH("BCO",INVENTARIO!C186))),"BLA",
IF(ISNUMBER(SEARCH("FOTOGRAFICO",INVENTARIO!C186)),"FOT",
IF(ISNUMBER(SEARCH("MARFIL",INVENTARIO!C186)),"MAR",
IF(ISNUMBER(SEARCH("VERDE",INVENTARIO!C186)),"VER",
IF(ISNUMBER(SEARCH("MORADO",INVENTARIO!C186)),"MOR",
IF(ISNUMBER(SEARCH("PLATA",INVENTARIO!C186)),"PLA",
IF(ISNUMBER(SEARCH("ORO",INVENTARIO!C186)),"ORO",
IF(ISNUMBER(SEARCH("AMARILLO",INVENTARIO!C186)),"AMA",
IF(ISNUMBER(SEARCH("NARANJA",INVENTARIO!C186)),"NAR",
IF(ISNUMBER(SEARCH("NEGRO",INVENTARIO!C186)),"NEG",
IF(ISNUMBER(SEARCH("ROJO",INVENTARIO!C186)),"ROJ",
IF(ISNUMBER(SEARCH("AZUL",INVENTARIO!C186)),"AZU","")))))))))))))</f>
        <v>AZU</v>
      </c>
      <c r="F186" t="str">
        <f>IF(ISNUMBER(SEARCH("ARLON",INVENTARIO!C186)),"ARL",
IF(ISNUMBER(SEARCH("SUNTHINKS",INVENTARIO!C186)),"SUN",
IF(ISNUMBER(SEARCH("FRIO",INVENTARIO!C186)),"FRI",
IF(ISNUMBER(SEARCH("CALIDO",INVENTARIO!C186)),"CAL",
IF(ISNUMBER(SEARCH("CEPILLADO",INVENTARIO!C186)),"CEP",
IF(ISNUMBER(SEARCH("ESPEJO",INVENTARIO!C186)),"ESP",
""))))))</f>
        <v/>
      </c>
      <c r="G186" t="str">
        <f>IF(ISNUMBER(SEARCH("LATEX",INVENTARIO!C186)),"LAT",
IF(ISNUMBER(SEARCH("RESP. NEGRO",INVENTARIO!C186)),"RES-NEG",
IF(ISNUMBER(SEARCH("RESPALDO CAFE",INVENTARIO!C186)),"RES-CAF",
IF(ISNUMBER(SEARCH("RESPALDO GRIS",INVENTARIO!C186)),"RES-GRI",
IF(ISNUMBER(SEARCH("OPTICO",INVENTARIO!C186)),"OPT",
IF(ISNUMBER(SEARCH("1,2 MM",INVENTARIO!C186)),"1MM2",
IF(ISNUMBER(SEARCH("2 MM",INVENTARIO!C186)),"2MM",
IF(ISNUMBER(SEARCH("3 MM",INVENTARIO!C186)),"3MM",
IF(ISNUMBER(SEARCH("4 MM",INVENTARIO!C186)),"4MM",
IF(ISNUMBER(SEARCH("5 MM",INVENTARIO!C186)),"5MM",
IF(ISNUMBER(SEARCH("6 MM",INVENTARIO!C186)),"6MM",
IF(ISNUMBER(SEARCH("9 MM",INVENTARIO!C186)),"9MM",
IF(ISNUMBER(SEARCH("10 MM",INVENTARIO!C186)),"10MM","")))))))))))))</f>
        <v>3MM</v>
      </c>
      <c r="H186" t="str">
        <f>IF(ISNUMBER(SEARCH("GAMA BAJA",INVENTARIO!C186)),"GAM-BAJ",
IF(ISNUMBER(SEARCH("OPTIMIZADOR",INVENTARIO!C186)),"OPT",
IF(ISNUMBER(SEARCH("OVERCOAT",INVENTARIO!C186)),"OVE",
IF(ISNUMBER(SEARCH("WHITE",INVENTARIO!C186)),"WHI",
IF(ISNUMBER(SEARCH("LIGHT CYAN",INVENTARIO!C186)),"LIG-CYA",
IF(ISNUMBER(SEARCH("CYAN",INVENTARIO!C186)),"CYA",
IF(ISNUMBER(SEARCH("LIGHT MAGENTA",INVENTARIO!C186)),"LIG-MAG",
IF(ISNUMBER(SEARCH("MAGENTA",INVENTARIO!C186)),"MAG",
IF(ISNUMBER(SEARCH("BLACK",INVENTARIO!C186)),"BLA",
IF(ISNUMBER(SEARCH("YELLOW",INVENTARIO!C186)),"YEL",
IF(ISNUMBER(SEARCH("2 DIODOS",INVENTARIO!C186)),"2DI",
IF(ISNUMBER(SEARCH("3 DIODOS",INVENTARIO!C186)),"3DI",
IF(OR(ISNUMBER(SEARCH("TRASLUCIDO",INVENTARIO!C186)),ISNUMBER(SEARCH("TRANSLUCIDO",INVENTARIO!C186))),"TRA",
"")))))))))))))</f>
        <v/>
      </c>
      <c r="I18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87" spans="1:9">
      <c r="A187" t="str">
        <f>IF(ISNUMBER(SEARCH("LONA",INVENTARIO!C187)),"LON",
IF(ISNUMBER(SEARCH("VINIL",INVENTARIO!C187)),"VIN",
IF(ISNUMBER(SEARCH("KROMACOTE",INVENTARIO!C187)),"KRO",
IF(ISNUMBER(SEARCH("STARDREAM",INVENTARIO!C187)),"STA",
IF(ISNUMBER(SEARCH("DISPLAY",INVENTARIO!C187)),"DIS",
IF(ISNUMBER(SEARCH("ROLL UP",INVENTARIO!C187)),"ROL-UP",
IF(ISNUMBER(SEARCH("TRANSFER DE PAPEL",INVENTARIO!C187)),"TRA-PAP",
IF(ISNUMBER(SEARCH("TRANSFER",INVENTARIO!C187)),"TRA",IF(ISNUMBER(SEARCH("KOLA LOKA",INVENTARIO!C187)),"KOL-LOK",
IF(ISNUMBER(SEARCH("PETG",INVENTARIO!C187)),"PET",
IF(ISNUMBER(SEARCH("OJILLO",INVENTARIO!C187)),"OJI",
IF(ISNUMBER(SEARCH("COUCHE",INVENTARIO!C187)),"COU",
IF(ISNUMBER(SEARCH("PANEL DE ALUMINIO",INVENTARIO!C187)),"PAN-ALU",
IF(ISNUMBER(SEARCH("PVC",INVENTARIO!C187)),"PVC",
IF(ISNUMBER(SEARCH("PAPEL",INVENTARIO!C187)),"PAP",
IF(ISNUMBER(SEARCH("TELA",INVENTARIO!C187)),"TEL",
IF(ISNUMBER(SEARCH("CARTULINA",INVENTARIO!C187)),"CAR",
IF(OR(ISNUMBER(SEARCH("LAMINA",INVENTARIO!C187)),ISNUMBER(SEARCH("LÁMINA",INVENTARIO!C187)),ISNUMBER(SEARCH("LAMPARAS",INVENTARIO!C187))),"LAM",
IF(ISNUMBER(SEARCH("ESTIRENO",INVENTARIO!C187)),"EST",
IF(ISNUMBER(SEARCH("FOAMBOARD",INVENTARIO!C187)),"FOA",
IF(ISNUMBER(SEARCH("SOLVENTE",INVENTARIO!C187)),"SOL",
IF(ISNUMBER(SEARCH("TINTA",INVENTARIO!C187)),"TIN",
IF(ISNUMBER(SEARCH("ACRILICO",INVENTARIO!C187)),"ACR",
IF(ISNUMBER(SEARCH("MICROLED",INVENTARIO!C187)),"MIC",
IF(ISNUMBER(SEARCH("LED",INVENTARIO!C187)),"LED",
IF(ISNUMBER(SEARCH("FUENTE DE PODER",INVENTARIO!C187)),"FUE-POD",
IF(ISNUMBER(SEARCH("PETG",INVENTARIO!C187)),"PET",
IF(ISNUMBER(SEARCH("ALUMINIO",INVENTARIO!C187)),"ALU",
IF(ISNUMBER(SEARCH("CANAL",INVENTARIO!C187)),"CAN",
IF(ISNUMBER(SEARCH("ESCUADRA",INVENTARIO!C187)),"ESC",
IF(ISNUMBER(SEARCH("SOPORTE",INVENTARIO!C187)),"SOP","OTR")
))))))))))))))))))))))))))))))</f>
        <v>ACR</v>
      </c>
      <c r="B187" t="str">
        <f>IF(ISNUMBER(SEARCH("CORTE",INVENTARIO!C187)),"COR",
IF(ISNUMBER(SEARCH("CITYLIGHT",INVENTARIO!C187)),"CIT",
IF(ISNUMBER(SEARCH("LINO",INVENTARIO!C187)),"LIN",
IF(ISNUMBER(SEARCH("FABRIANO",INVENTARIO!C187)),"FAB",
IF(ISNUMBER(SEARCH("SUNDANCE",INVENTARIO!C187)),"SUN",
IF(ISNUMBER(SEARCH("SINTETICA",INVENTARIO!C187)),"SIN",
IF(ISNUMBER(SEARCH("CONTROL",INVENTARIO!C187)),"CON",
IF(ISNUMBER(SEARCH("TERMICO",INVENTARIO!C187)),"TER",
IF(ISNUMBER(SEARCH("C-15",INVENTARIO!C187)),"C15",
IF(ISNUMBER(SEARCH("C-20",INVENTARIO!C187)),"C20",
IF(ISNUMBER(SEARCH("C-30",INVENTARIO!C187)),"C30",
IF(ISNUMBER(SEARCH("C-40",INVENTARIO!C187)),"C40",
IF(ISNUMBER(SEARCH("C-60",INVENTARIO!C187)),"C60",
IF(ISNUMBER(SEARCH("C-80",INVENTARIO!C187)),"C80",
IF(ISNUMBER(SEARCH("EQUIPO",INVENTARIO!C187)),"EQU",
IF(ISNUMBER(SEARCH("FLOOR",INVENTARIO!C187)),"FLO",
IF(ISNUMBER(SEARCH("CRISTAL",INVENTARIO!C187)),"CRI",
IF(ISNUMBER(SEARCH(" SULFATADA",INVENTARIO!C198)),"SUL",
IF(ISNUMBER(SEARCH("OPALINA",INVENTARIO!C187)),"OPA",
IF(ISNUMBER(SEARCH("ADHERIBLE",INVENTARIO!C187)),"ADH",
IF(ISNUMBER(SEARCH("MICRO",INVENTARIO!C187)),"MIC","")))))))))))))))))))))</f>
        <v/>
      </c>
      <c r="C187" t="str">
        <f>IF(ISNUMBER(SEARCH("PARED",INVENTARIO!C187)),"PAR",
IF(ISNUMBER(SEARCH("FRONT",INVENTARIO!C187)),"FRO",
IF(ISNUMBER(SEARCH("ALTA RESISTENCIA",INVENTARIO!C187)),
"ALT-RES",IF(ISNUMBER(SEARCH("BACKLITE",INVENTARIO!C187)),"BAC",
IF(ISNUMBER(SEARCH("MATE",INVENTARIO!C187)),"MAT",
IF(ISNUMBER(SEARCH("MESH",INVENTARIO!C187)),"MES",
IF(ISNUMBER(SEARCH("BRILLANTE",INVENTARIO!C187)),"BRI",
IF(ISNUMBER(SEARCH("DELGADA",INVENTARIO!C187)),"DEL",
IF(ISNUMBER(SEARCH("GRUESA",INVENTARIO!C187)),"GRU",
IF(ISNUMBER(SEARCH("ESTATICO",INVENTARIO!C187)),"EST",
IF(ISNUMBER(SEARCH("REFLECTIVO",INVENTARIO!C187)),"REF",
IF(ISNUMBER(SEARCH("LX700",INVENTARIO!C187)),"LX7",
IF(ISNUMBER(SEARCH("GRANDO",INVENTARIO!C187)),"GRA",
IF(ISNUMBER(SEARCH("FB700",INVENTARIO!C187)),"FB7",
IF(ISNUMBER(SEARCH("LX360",INVENTARIO!C187)),"LX3",
IF(ISNUMBER(SEARCH("XEROX",INVENTARIO!C187)),"XER",
IF(ISNUMBER(SEARCH("CEPILLADO",INVENTARIO!C187)),"CEP",
IF(ISNUMBER(SEARCH("ESPEJO",INVENTARIO!C187)),"ESP",
IF(ISNUMBER(SEARCH("10 PTS",INVENTARIO!C187)),"10PT",
IF(ISNUMBER(SEARCH("12 PTS",INVENTARIO!C187)),"12PT",
IF(ISNUMBER(SEARCH("14 PTS",INVENTARIO!C187)),"14PT",
IF(ISNUMBER(SEARCH("CLASICO",INVENTARIO!C187)),"CLA",
""))))))))))))))))))))))</f>
        <v/>
      </c>
      <c r="D187" t="str">
        <f>IF(ISNUMBER(SEARCH("GRAN FORMATO",INVENTARIO!C187)),"GRA-FOR",
IF(ISNUMBER(SEARCH("CAMA PLANA",INVENTARIO!C187)),"CAM-PLA",
IF(ISNUMBER(SEARCH("GRADO INGENIERIA",INVENTARIO!C187)),"GRA-ING",
IF(ISNUMBER(SEARCH("130 GRS",INVENTARIO!C187)),"130GR",
IF(ISNUMBER(SEARCH("150 GRS",INVENTARIO!C187)),"150GR",
IF(ISNUMBER(SEARCH("185 GRS",INVENTARIO!C187)),"185GR",
IF(ISNUMBER(SEARCH("200 GRS",INVENTARIO!C187)),"200GR",
IF(ISNUMBER(SEARCH("250 GRS",INVENTARIO!C187)),"250GR",
IF(ISNUMBER(SEARCH("300 GRS",INVENTARIO!C187)),"300GR",
IF(ISNUMBER(SEARCH("350 GRS",INVENTARIO!C187)),"350GR",
IF(ISNUMBER(SEARCH("18 OZ",INVENTARIO!C187)),"18OZ",
IF(ISNUMBER(SEARCH("15 OZ",INVENTARIO!C187)),"15OZ",
IF(OR(ISNUMBER(SEARCH("13 OZ",INVENTARIO!C187)),ISNUMBER(SEARCH("13 ONZAS",INVENTARIO!C187))),"13OZ",
IF(OR(ISNUMBER(SEARCH("9 OZ",INVENTARIO!C187)),ISNUMBER(SEARCH("9 ONZAS",INVENTARIO!C187))),"09OZ",
IF(ISNUMBER(SEARCH("DOBLE CARA",INVENTARIO!C187)),"DOB-CAR",
"")))))))))))))))</f>
        <v/>
      </c>
      <c r="E187" t="str">
        <f>IF(OR(ISNUMBER(SEARCH("TRANSPARENTE",INVENTARIO!C187)),ISNUMBER(SEARCH("TRANSPARENTES",INVENTARIO!C187))),"TRA",
IF(OR(ISNUMBER(SEARCH("BLANCO",INVENTARIO!C187)),ISNUMBER(SEARCH("BCO",INVENTARIO!C187))),"BLA",
IF(ISNUMBER(SEARCH("FOTOGRAFICO",INVENTARIO!C187)),"FOT",
IF(ISNUMBER(SEARCH("MARFIL",INVENTARIO!C187)),"MAR",
IF(ISNUMBER(SEARCH("VERDE",INVENTARIO!C187)),"VER",
IF(ISNUMBER(SEARCH("MORADO",INVENTARIO!C187)),"MOR",
IF(ISNUMBER(SEARCH("PLATA",INVENTARIO!C187)),"PLA",
IF(ISNUMBER(SEARCH("ORO",INVENTARIO!C187)),"ORO",
IF(ISNUMBER(SEARCH("AMARILLO",INVENTARIO!C187)),"AMA",
IF(ISNUMBER(SEARCH("NARANJA",INVENTARIO!C187)),"NAR",
IF(ISNUMBER(SEARCH("NEGRO",INVENTARIO!C187)),"NEG",
IF(ISNUMBER(SEARCH("ROJO",INVENTARIO!C187)),"ROJ",
IF(ISNUMBER(SEARCH("AZUL",INVENTARIO!C187)),"AZU","")))))))))))))</f>
        <v>AZU</v>
      </c>
      <c r="F187" t="str">
        <f>IF(ISNUMBER(SEARCH("ARLON",INVENTARIO!C187)),"ARL",
IF(ISNUMBER(SEARCH("SUNTHINKS",INVENTARIO!C187)),"SUN",
IF(ISNUMBER(SEARCH("FRIO",INVENTARIO!C187)),"FRI",
IF(ISNUMBER(SEARCH("CALIDO",INVENTARIO!C187)),"CAL",
IF(ISNUMBER(SEARCH("CEPILLADO",INVENTARIO!C187)),"CEP",
IF(ISNUMBER(SEARCH("ESPEJO",INVENTARIO!C187)),"ESP",
""))))))</f>
        <v/>
      </c>
      <c r="G187" t="str">
        <f>IF(ISNUMBER(SEARCH("LATEX",INVENTARIO!C187)),"LAT",
IF(ISNUMBER(SEARCH("RESP. NEGRO",INVENTARIO!C187)),"RES-NEG",
IF(ISNUMBER(SEARCH("RESPALDO CAFE",INVENTARIO!C187)),"RES-CAF",
IF(ISNUMBER(SEARCH("RESPALDO GRIS",INVENTARIO!C187)),"RES-GRI",
IF(ISNUMBER(SEARCH("OPTICO",INVENTARIO!C187)),"OPT",
IF(ISNUMBER(SEARCH("1,2 MM",INVENTARIO!C187)),"1MM2",
IF(ISNUMBER(SEARCH("2 MM",INVENTARIO!C187)),"2MM",
IF(ISNUMBER(SEARCH("3 MM",INVENTARIO!C187)),"3MM",
IF(ISNUMBER(SEARCH("4 MM",INVENTARIO!C187)),"4MM",
IF(ISNUMBER(SEARCH("5 MM",INVENTARIO!C187)),"5MM",
IF(ISNUMBER(SEARCH("6 MM",INVENTARIO!C187)),"6MM",
IF(ISNUMBER(SEARCH("9 MM",INVENTARIO!C187)),"9MM",
IF(ISNUMBER(SEARCH("10 MM",INVENTARIO!C187)),"10MM","")))))))))))))</f>
        <v>3MM</v>
      </c>
      <c r="H187" t="str">
        <f>IF(ISNUMBER(SEARCH("GAMA BAJA",INVENTARIO!C187)),"GAM-BAJ",
IF(ISNUMBER(SEARCH("OPTIMIZADOR",INVENTARIO!C187)),"OPT",
IF(ISNUMBER(SEARCH("OVERCOAT",INVENTARIO!C187)),"OVE",
IF(ISNUMBER(SEARCH("WHITE",INVENTARIO!C187)),"WHI",
IF(ISNUMBER(SEARCH("LIGHT CYAN",INVENTARIO!C187)),"LIG-CYA",
IF(ISNUMBER(SEARCH("CYAN",INVENTARIO!C187)),"CYA",
IF(ISNUMBER(SEARCH("LIGHT MAGENTA",INVENTARIO!C187)),"LIG-MAG",
IF(ISNUMBER(SEARCH("MAGENTA",INVENTARIO!C187)),"MAG",
IF(ISNUMBER(SEARCH("BLACK",INVENTARIO!C187)),"BLA",
IF(ISNUMBER(SEARCH("YELLOW",INVENTARIO!C187)),"YEL",
IF(ISNUMBER(SEARCH("2 DIODOS",INVENTARIO!C187)),"2DI",
IF(ISNUMBER(SEARCH("3 DIODOS",INVENTARIO!C187)),"3DI",
IF(OR(ISNUMBER(SEARCH("TRASLUCIDO",INVENTARIO!C187)),ISNUMBER(SEARCH("TRANSLUCIDO",INVENTARIO!C187))),"TRA",
"")))))))))))))</f>
        <v/>
      </c>
      <c r="I18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88" spans="1:9">
      <c r="A188" t="str">
        <f>IF(ISNUMBER(SEARCH("LONA",INVENTARIO!C188)),"LON",
IF(ISNUMBER(SEARCH("VINIL",INVENTARIO!C188)),"VIN",
IF(ISNUMBER(SEARCH("KROMACOTE",INVENTARIO!C188)),"KRO",
IF(ISNUMBER(SEARCH("STARDREAM",INVENTARIO!C188)),"STA",
IF(ISNUMBER(SEARCH("DISPLAY",INVENTARIO!C188)),"DIS",
IF(ISNUMBER(SEARCH("ROLL UP",INVENTARIO!C188)),"ROL-UP",
IF(ISNUMBER(SEARCH("TRANSFER DE PAPEL",INVENTARIO!C188)),"TRA-PAP",
IF(ISNUMBER(SEARCH("TRANSFER",INVENTARIO!C188)),"TRA",IF(ISNUMBER(SEARCH("KOLA LOKA",INVENTARIO!C188)),"KOL-LOK",
IF(ISNUMBER(SEARCH("PETG",INVENTARIO!C188)),"PET",
IF(ISNUMBER(SEARCH("OJILLO",INVENTARIO!C188)),"OJI",
IF(ISNUMBER(SEARCH("COUCHE",INVENTARIO!C188)),"COU",
IF(ISNUMBER(SEARCH("PANEL DE ALUMINIO",INVENTARIO!C188)),"PAN-ALU",
IF(ISNUMBER(SEARCH("PVC",INVENTARIO!C188)),"PVC",
IF(ISNUMBER(SEARCH("PAPEL",INVENTARIO!C188)),"PAP",
IF(ISNUMBER(SEARCH("TELA",INVENTARIO!C188)),"TEL",
IF(ISNUMBER(SEARCH("CARTULINA",INVENTARIO!C188)),"CAR",
IF(OR(ISNUMBER(SEARCH("LAMINA",INVENTARIO!C188)),ISNUMBER(SEARCH("LÁMINA",INVENTARIO!C188)),ISNUMBER(SEARCH("LAMPARAS",INVENTARIO!C188))),"LAM",
IF(ISNUMBER(SEARCH("ESTIRENO",INVENTARIO!C188)),"EST",
IF(ISNUMBER(SEARCH("FOAMBOARD",INVENTARIO!C188)),"FOA",
IF(ISNUMBER(SEARCH("SOLVENTE",INVENTARIO!C188)),"SOL",
IF(ISNUMBER(SEARCH("TINTA",INVENTARIO!C188)),"TIN",
IF(ISNUMBER(SEARCH("ACRILICO",INVENTARIO!C188)),"ACR",
IF(ISNUMBER(SEARCH("MICROLED",INVENTARIO!C188)),"MIC",
IF(ISNUMBER(SEARCH("LED",INVENTARIO!C188)),"LED",
IF(ISNUMBER(SEARCH("FUENTE DE PODER",INVENTARIO!C188)),"FUE-POD",
IF(ISNUMBER(SEARCH("PETG",INVENTARIO!C188)),"PET",
IF(ISNUMBER(SEARCH("ALUMINIO",INVENTARIO!C188)),"ALU",
IF(ISNUMBER(SEARCH("CANAL",INVENTARIO!C188)),"CAN",
IF(ISNUMBER(SEARCH("ESCUADRA",INVENTARIO!C188)),"ESC",
IF(ISNUMBER(SEARCH("SOPORTE",INVENTARIO!C188)),"SOP","OTR")
))))))))))))))))))))))))))))))</f>
        <v>ACR</v>
      </c>
      <c r="B188" t="str">
        <f>IF(ISNUMBER(SEARCH("CORTE",INVENTARIO!C188)),"COR",
IF(ISNUMBER(SEARCH("CITYLIGHT",INVENTARIO!C188)),"CIT",
IF(ISNUMBER(SEARCH("LINO",INVENTARIO!C188)),"LIN",
IF(ISNUMBER(SEARCH("FABRIANO",INVENTARIO!C188)),"FAB",
IF(ISNUMBER(SEARCH("SUNDANCE",INVENTARIO!C188)),"SUN",
IF(ISNUMBER(SEARCH("SINTETICA",INVENTARIO!C188)),"SIN",
IF(ISNUMBER(SEARCH("CONTROL",INVENTARIO!C188)),"CON",
IF(ISNUMBER(SEARCH("TERMICO",INVENTARIO!C188)),"TER",
IF(ISNUMBER(SEARCH("C-15",INVENTARIO!C188)),"C15",
IF(ISNUMBER(SEARCH("C-20",INVENTARIO!C188)),"C20",
IF(ISNUMBER(SEARCH("C-30",INVENTARIO!C188)),"C30",
IF(ISNUMBER(SEARCH("C-40",INVENTARIO!C188)),"C40",
IF(ISNUMBER(SEARCH("C-60",INVENTARIO!C188)),"C60",
IF(ISNUMBER(SEARCH("C-80",INVENTARIO!C188)),"C80",
IF(ISNUMBER(SEARCH("EQUIPO",INVENTARIO!C188)),"EQU",
IF(ISNUMBER(SEARCH("FLOOR",INVENTARIO!C188)),"FLO",
IF(ISNUMBER(SEARCH("CRISTAL",INVENTARIO!C188)),"CRI",
IF(ISNUMBER(SEARCH(" SULFATADA",INVENTARIO!C199)),"SUL",
IF(ISNUMBER(SEARCH("OPALINA",INVENTARIO!C188)),"OPA",
IF(ISNUMBER(SEARCH("ADHERIBLE",INVENTARIO!C188)),"ADH",
IF(ISNUMBER(SEARCH("MICRO",INVENTARIO!C188)),"MIC","")))))))))))))))))))))</f>
        <v/>
      </c>
      <c r="C188" t="str">
        <f>IF(ISNUMBER(SEARCH("PARED",INVENTARIO!C188)),"PAR",
IF(ISNUMBER(SEARCH("FRONT",INVENTARIO!C188)),"FRO",
IF(ISNUMBER(SEARCH("ALTA RESISTENCIA",INVENTARIO!C188)),
"ALT-RES",IF(ISNUMBER(SEARCH("BACKLITE",INVENTARIO!C188)),"BAC",
IF(ISNUMBER(SEARCH("MATE",INVENTARIO!C188)),"MAT",
IF(ISNUMBER(SEARCH("MESH",INVENTARIO!C188)),"MES",
IF(ISNUMBER(SEARCH("BRILLANTE",INVENTARIO!C188)),"BRI",
IF(ISNUMBER(SEARCH("DELGADA",INVENTARIO!C188)),"DEL",
IF(ISNUMBER(SEARCH("GRUESA",INVENTARIO!C188)),"GRU",
IF(ISNUMBER(SEARCH("ESTATICO",INVENTARIO!C188)),"EST",
IF(ISNUMBER(SEARCH("REFLECTIVO",INVENTARIO!C188)),"REF",
IF(ISNUMBER(SEARCH("LX700",INVENTARIO!C188)),"LX7",
IF(ISNUMBER(SEARCH("GRANDO",INVENTARIO!C188)),"GRA",
IF(ISNUMBER(SEARCH("FB700",INVENTARIO!C188)),"FB7",
IF(ISNUMBER(SEARCH("LX360",INVENTARIO!C188)),"LX3",
IF(ISNUMBER(SEARCH("XEROX",INVENTARIO!C188)),"XER",
IF(ISNUMBER(SEARCH("CEPILLADO",INVENTARIO!C188)),"CEP",
IF(ISNUMBER(SEARCH("ESPEJO",INVENTARIO!C188)),"ESP",
IF(ISNUMBER(SEARCH("10 PTS",INVENTARIO!C188)),"10PT",
IF(ISNUMBER(SEARCH("12 PTS",INVENTARIO!C188)),"12PT",
IF(ISNUMBER(SEARCH("14 PTS",INVENTARIO!C188)),"14PT",
IF(ISNUMBER(SEARCH("CLASICO",INVENTARIO!C188)),"CLA",
""))))))))))))))))))))))</f>
        <v/>
      </c>
      <c r="D188" t="str">
        <f>IF(ISNUMBER(SEARCH("GRAN FORMATO",INVENTARIO!C188)),"GRA-FOR",
IF(ISNUMBER(SEARCH("CAMA PLANA",INVENTARIO!C188)),"CAM-PLA",
IF(ISNUMBER(SEARCH("GRADO INGENIERIA",INVENTARIO!C188)),"GRA-ING",
IF(ISNUMBER(SEARCH("130 GRS",INVENTARIO!C188)),"130GR",
IF(ISNUMBER(SEARCH("150 GRS",INVENTARIO!C188)),"150GR",
IF(ISNUMBER(SEARCH("185 GRS",INVENTARIO!C188)),"185GR",
IF(ISNUMBER(SEARCH("200 GRS",INVENTARIO!C188)),"200GR",
IF(ISNUMBER(SEARCH("250 GRS",INVENTARIO!C188)),"250GR",
IF(ISNUMBER(SEARCH("300 GRS",INVENTARIO!C188)),"300GR",
IF(ISNUMBER(SEARCH("350 GRS",INVENTARIO!C188)),"350GR",
IF(ISNUMBER(SEARCH("18 OZ",INVENTARIO!C188)),"18OZ",
IF(ISNUMBER(SEARCH("15 OZ",INVENTARIO!C188)),"15OZ",
IF(OR(ISNUMBER(SEARCH("13 OZ",INVENTARIO!C188)),ISNUMBER(SEARCH("13 ONZAS",INVENTARIO!C188))),"13OZ",
IF(OR(ISNUMBER(SEARCH("9 OZ",INVENTARIO!C188)),ISNUMBER(SEARCH("9 ONZAS",INVENTARIO!C188))),"09OZ",
IF(ISNUMBER(SEARCH("DOBLE CARA",INVENTARIO!C188)),"DOB-CAR",
"")))))))))))))))</f>
        <v/>
      </c>
      <c r="E188" t="str">
        <f>IF(OR(ISNUMBER(SEARCH("TRANSPARENTE",INVENTARIO!C188)),ISNUMBER(SEARCH("TRANSPARENTES",INVENTARIO!C188))),"TRA",
IF(OR(ISNUMBER(SEARCH("BLANCO",INVENTARIO!C188)),ISNUMBER(SEARCH("BCO",INVENTARIO!C188))),"BLA",
IF(ISNUMBER(SEARCH("FOTOGRAFICO",INVENTARIO!C188)),"FOT",
IF(ISNUMBER(SEARCH("MARFIL",INVENTARIO!C188)),"MAR",
IF(ISNUMBER(SEARCH("VERDE",INVENTARIO!C188)),"VER",
IF(ISNUMBER(SEARCH("MORADO",INVENTARIO!C188)),"MOR",
IF(ISNUMBER(SEARCH("PLATA",INVENTARIO!C188)),"PLA",
IF(ISNUMBER(SEARCH("ORO",INVENTARIO!C188)),"ORO",
IF(ISNUMBER(SEARCH("AMARILLO",INVENTARIO!C188)),"AMA",
IF(ISNUMBER(SEARCH("NARANJA",INVENTARIO!C188)),"NAR",
IF(ISNUMBER(SEARCH("NEGRO",INVENTARIO!C188)),"NEG",
IF(ISNUMBER(SEARCH("ROJO",INVENTARIO!C188)),"ROJ",
IF(ISNUMBER(SEARCH("AZUL",INVENTARIO!C188)),"AZU","")))))))))))))</f>
        <v>BLA</v>
      </c>
      <c r="F188" t="str">
        <f>IF(ISNUMBER(SEARCH("ARLON",INVENTARIO!C188)),"ARL",
IF(ISNUMBER(SEARCH("SUNTHINKS",INVENTARIO!C188)),"SUN",
IF(ISNUMBER(SEARCH("FRIO",INVENTARIO!C188)),"FRI",
IF(ISNUMBER(SEARCH("CALIDO",INVENTARIO!C188)),"CAL",
IF(ISNUMBER(SEARCH("CEPILLADO",INVENTARIO!C188)),"CEP",
IF(ISNUMBER(SEARCH("ESPEJO",INVENTARIO!C188)),"ESP",
""))))))</f>
        <v/>
      </c>
      <c r="G188" t="str">
        <f>IF(ISNUMBER(SEARCH("LATEX",INVENTARIO!C188)),"LAT",
IF(ISNUMBER(SEARCH("RESP. NEGRO",INVENTARIO!C188)),"RES-NEG",
IF(ISNUMBER(SEARCH("RESPALDO CAFE",INVENTARIO!C188)),"RES-CAF",
IF(ISNUMBER(SEARCH("RESPALDO GRIS",INVENTARIO!C188)),"RES-GRI",
IF(ISNUMBER(SEARCH("OPTICO",INVENTARIO!C188)),"OPT",
IF(ISNUMBER(SEARCH("1,2 MM",INVENTARIO!C188)),"1MM2",
IF(ISNUMBER(SEARCH("2 MM",INVENTARIO!C188)),"2MM",
IF(ISNUMBER(SEARCH("3 MM",INVENTARIO!C188)),"3MM",
IF(ISNUMBER(SEARCH("4 MM",INVENTARIO!C188)),"4MM",
IF(ISNUMBER(SEARCH("5 MM",INVENTARIO!C188)),"5MM",
IF(ISNUMBER(SEARCH("6 MM",INVENTARIO!C188)),"6MM",
IF(ISNUMBER(SEARCH("9 MM",INVENTARIO!C188)),"9MM",
IF(ISNUMBER(SEARCH("10 MM",INVENTARIO!C188)),"10MM","")))))))))))))</f>
        <v>3MM</v>
      </c>
      <c r="H188" t="str">
        <f>IF(ISNUMBER(SEARCH("GAMA BAJA",INVENTARIO!C188)),"GAM-BAJ",
IF(ISNUMBER(SEARCH("OPTIMIZADOR",INVENTARIO!C188)),"OPT",
IF(ISNUMBER(SEARCH("OVERCOAT",INVENTARIO!C188)),"OVE",
IF(ISNUMBER(SEARCH("WHITE",INVENTARIO!C188)),"WHI",
IF(ISNUMBER(SEARCH("LIGHT CYAN",INVENTARIO!C188)),"LIG-CYA",
IF(ISNUMBER(SEARCH("CYAN",INVENTARIO!C188)),"CYA",
IF(ISNUMBER(SEARCH("LIGHT MAGENTA",INVENTARIO!C188)),"LIG-MAG",
IF(ISNUMBER(SEARCH("MAGENTA",INVENTARIO!C188)),"MAG",
IF(ISNUMBER(SEARCH("BLACK",INVENTARIO!C188)),"BLA",
IF(ISNUMBER(SEARCH("YELLOW",INVENTARIO!C188)),"YEL",
IF(ISNUMBER(SEARCH("2 DIODOS",INVENTARIO!C188)),"2DI",
IF(ISNUMBER(SEARCH("3 DIODOS",INVENTARIO!C188)),"3DI",
IF(OR(ISNUMBER(SEARCH("TRASLUCIDO",INVENTARIO!C188)),ISNUMBER(SEARCH("TRANSLUCIDO",INVENTARIO!C188))),"TRA",
"")))))))))))))</f>
        <v/>
      </c>
      <c r="I18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89" spans="1:9">
      <c r="A189" t="str">
        <f>IF(ISNUMBER(SEARCH("LONA",INVENTARIO!C189)),"LON",
IF(ISNUMBER(SEARCH("VINIL",INVENTARIO!C189)),"VIN",
IF(ISNUMBER(SEARCH("KROMACOTE",INVENTARIO!C189)),"KRO",
IF(ISNUMBER(SEARCH("STARDREAM",INVENTARIO!C189)),"STA",
IF(ISNUMBER(SEARCH("DISPLAY",INVENTARIO!C189)),"DIS",
IF(ISNUMBER(SEARCH("ROLL UP",INVENTARIO!C189)),"ROL-UP",
IF(ISNUMBER(SEARCH("TRANSFER DE PAPEL",INVENTARIO!C189)),"TRA-PAP",
IF(ISNUMBER(SEARCH("TRANSFER",INVENTARIO!C189)),"TRA",IF(ISNUMBER(SEARCH("KOLA LOKA",INVENTARIO!C189)),"KOL-LOK",
IF(ISNUMBER(SEARCH("PETG",INVENTARIO!C189)),"PET",
IF(ISNUMBER(SEARCH("OJILLO",INVENTARIO!C189)),"OJI",
IF(ISNUMBER(SEARCH("COUCHE",INVENTARIO!C189)),"COU",
IF(ISNUMBER(SEARCH("PANEL DE ALUMINIO",INVENTARIO!C189)),"PAN-ALU",
IF(ISNUMBER(SEARCH("PVC",INVENTARIO!C189)),"PVC",
IF(ISNUMBER(SEARCH("PAPEL",INVENTARIO!C189)),"PAP",
IF(ISNUMBER(SEARCH("TELA",INVENTARIO!C189)),"TEL",
IF(ISNUMBER(SEARCH("CARTULINA",INVENTARIO!C189)),"CAR",
IF(OR(ISNUMBER(SEARCH("LAMINA",INVENTARIO!C189)),ISNUMBER(SEARCH("LÁMINA",INVENTARIO!C189)),ISNUMBER(SEARCH("LAMPARAS",INVENTARIO!C189))),"LAM",
IF(ISNUMBER(SEARCH("ESTIRENO",INVENTARIO!C189)),"EST",
IF(ISNUMBER(SEARCH("FOAMBOARD",INVENTARIO!C189)),"FOA",
IF(ISNUMBER(SEARCH("SOLVENTE",INVENTARIO!C189)),"SOL",
IF(ISNUMBER(SEARCH("TINTA",INVENTARIO!C189)),"TIN",
IF(ISNUMBER(SEARCH("ACRILICO",INVENTARIO!C189)),"ACR",
IF(ISNUMBER(SEARCH("MICROLED",INVENTARIO!C189)),"MIC",
IF(ISNUMBER(SEARCH("LED",INVENTARIO!C189)),"LED",
IF(ISNUMBER(SEARCH("FUENTE DE PODER",INVENTARIO!C189)),"FUE-POD",
IF(ISNUMBER(SEARCH("PETG",INVENTARIO!C189)),"PET",
IF(ISNUMBER(SEARCH("ALUMINIO",INVENTARIO!C189)),"ALU",
IF(ISNUMBER(SEARCH("CANAL",INVENTARIO!C189)),"CAN",
IF(ISNUMBER(SEARCH("ESCUADRA",INVENTARIO!C189)),"ESC",
IF(ISNUMBER(SEARCH("SOPORTE",INVENTARIO!C189)),"SOP","OTR")
))))))))))))))))))))))))))))))</f>
        <v>ACR</v>
      </c>
      <c r="B189" t="str">
        <f>IF(ISNUMBER(SEARCH("CORTE",INVENTARIO!C189)),"COR",
IF(ISNUMBER(SEARCH("CITYLIGHT",INVENTARIO!C189)),"CIT",
IF(ISNUMBER(SEARCH("LINO",INVENTARIO!C189)),"LIN",
IF(ISNUMBER(SEARCH("FABRIANO",INVENTARIO!C189)),"FAB",
IF(ISNUMBER(SEARCH("SUNDANCE",INVENTARIO!C189)),"SUN",
IF(ISNUMBER(SEARCH("SINTETICA",INVENTARIO!C189)),"SIN",
IF(ISNUMBER(SEARCH("CONTROL",INVENTARIO!C189)),"CON",
IF(ISNUMBER(SEARCH("TERMICO",INVENTARIO!C189)),"TER",
IF(ISNUMBER(SEARCH("C-15",INVENTARIO!C189)),"C15",
IF(ISNUMBER(SEARCH("C-20",INVENTARIO!C189)),"C20",
IF(ISNUMBER(SEARCH("C-30",INVENTARIO!C189)),"C30",
IF(ISNUMBER(SEARCH("C-40",INVENTARIO!C189)),"C40",
IF(ISNUMBER(SEARCH("C-60",INVENTARIO!C189)),"C60",
IF(ISNUMBER(SEARCH("C-80",INVENTARIO!C189)),"C80",
IF(ISNUMBER(SEARCH("EQUIPO",INVENTARIO!C189)),"EQU",
IF(ISNUMBER(SEARCH("FLOOR",INVENTARIO!C189)),"FLO",
IF(ISNUMBER(SEARCH("CRISTAL",INVENTARIO!C189)),"CRI",
IF(ISNUMBER(SEARCH(" SULFATADA",INVENTARIO!C200)),"SUL",
IF(ISNUMBER(SEARCH("OPALINA",INVENTARIO!C189)),"OPA",
IF(ISNUMBER(SEARCH("ADHERIBLE",INVENTARIO!C189)),"ADH",
IF(ISNUMBER(SEARCH("MICRO",INVENTARIO!C189)),"MIC","")))))))))))))))))))))</f>
        <v/>
      </c>
      <c r="C189" t="str">
        <f>IF(ISNUMBER(SEARCH("PARED",INVENTARIO!C189)),"PAR",
IF(ISNUMBER(SEARCH("FRONT",INVENTARIO!C189)),"FRO",
IF(ISNUMBER(SEARCH("ALTA RESISTENCIA",INVENTARIO!C189)),
"ALT-RES",IF(ISNUMBER(SEARCH("BACKLITE",INVENTARIO!C189)),"BAC",
IF(ISNUMBER(SEARCH("MATE",INVENTARIO!C189)),"MAT",
IF(ISNUMBER(SEARCH("MESH",INVENTARIO!C189)),"MES",
IF(ISNUMBER(SEARCH("BRILLANTE",INVENTARIO!C189)),"BRI",
IF(ISNUMBER(SEARCH("DELGADA",INVENTARIO!C189)),"DEL",
IF(ISNUMBER(SEARCH("GRUESA",INVENTARIO!C189)),"GRU",
IF(ISNUMBER(SEARCH("ESTATICO",INVENTARIO!C189)),"EST",
IF(ISNUMBER(SEARCH("REFLECTIVO",INVENTARIO!C189)),"REF",
IF(ISNUMBER(SEARCH("LX700",INVENTARIO!C189)),"LX7",
IF(ISNUMBER(SEARCH("GRANDO",INVENTARIO!C189)),"GRA",
IF(ISNUMBER(SEARCH("FB700",INVENTARIO!C189)),"FB7",
IF(ISNUMBER(SEARCH("LX360",INVENTARIO!C189)),"LX3",
IF(ISNUMBER(SEARCH("XEROX",INVENTARIO!C189)),"XER",
IF(ISNUMBER(SEARCH("CEPILLADO",INVENTARIO!C189)),"CEP",
IF(ISNUMBER(SEARCH("ESPEJO",INVENTARIO!C189)),"ESP",
IF(ISNUMBER(SEARCH("10 PTS",INVENTARIO!C189)),"10PT",
IF(ISNUMBER(SEARCH("12 PTS",INVENTARIO!C189)),"12PT",
IF(ISNUMBER(SEARCH("14 PTS",INVENTARIO!C189)),"14PT",
IF(ISNUMBER(SEARCH("CLASICO",INVENTARIO!C189)),"CLA",
""))))))))))))))))))))))</f>
        <v/>
      </c>
      <c r="D189" t="str">
        <f>IF(ISNUMBER(SEARCH("GRAN FORMATO",INVENTARIO!C189)),"GRA-FOR",
IF(ISNUMBER(SEARCH("CAMA PLANA",INVENTARIO!C189)),"CAM-PLA",
IF(ISNUMBER(SEARCH("GRADO INGENIERIA",INVENTARIO!C189)),"GRA-ING",
IF(ISNUMBER(SEARCH("130 GRS",INVENTARIO!C189)),"130GR",
IF(ISNUMBER(SEARCH("150 GRS",INVENTARIO!C189)),"150GR",
IF(ISNUMBER(SEARCH("185 GRS",INVENTARIO!C189)),"185GR",
IF(ISNUMBER(SEARCH("200 GRS",INVENTARIO!C189)),"200GR",
IF(ISNUMBER(SEARCH("250 GRS",INVENTARIO!C189)),"250GR",
IF(ISNUMBER(SEARCH("300 GRS",INVENTARIO!C189)),"300GR",
IF(ISNUMBER(SEARCH("350 GRS",INVENTARIO!C189)),"350GR",
IF(ISNUMBER(SEARCH("18 OZ",INVENTARIO!C189)),"18OZ",
IF(ISNUMBER(SEARCH("15 OZ",INVENTARIO!C189)),"15OZ",
IF(OR(ISNUMBER(SEARCH("13 OZ",INVENTARIO!C189)),ISNUMBER(SEARCH("13 ONZAS",INVENTARIO!C189))),"13OZ",
IF(OR(ISNUMBER(SEARCH("9 OZ",INVENTARIO!C189)),ISNUMBER(SEARCH("9 ONZAS",INVENTARIO!C189))),"09OZ",
IF(ISNUMBER(SEARCH("DOBLE CARA",INVENTARIO!C189)),"DOB-CAR",
"")))))))))))))))</f>
        <v/>
      </c>
      <c r="E189" t="str">
        <f>IF(OR(ISNUMBER(SEARCH("TRANSPARENTE",INVENTARIO!C189)),ISNUMBER(SEARCH("TRANSPARENTES",INVENTARIO!C189))),"TRA",
IF(OR(ISNUMBER(SEARCH("BLANCO",INVENTARIO!C189)),ISNUMBER(SEARCH("BCO",INVENTARIO!C189))),"BLA",
IF(ISNUMBER(SEARCH("FOTOGRAFICO",INVENTARIO!C189)),"FOT",
IF(ISNUMBER(SEARCH("MARFIL",INVENTARIO!C189)),"MAR",
IF(ISNUMBER(SEARCH("VERDE",INVENTARIO!C189)),"VER",
IF(ISNUMBER(SEARCH("MORADO",INVENTARIO!C189)),"MOR",
IF(ISNUMBER(SEARCH("PLATA",INVENTARIO!C189)),"PLA",
IF(ISNUMBER(SEARCH("ORO",INVENTARIO!C189)),"ORO",
IF(ISNUMBER(SEARCH("AMARILLO",INVENTARIO!C189)),"AMA",
IF(ISNUMBER(SEARCH("NARANJA",INVENTARIO!C189)),"NAR",
IF(ISNUMBER(SEARCH("NEGRO",INVENTARIO!C189)),"NEG",
IF(ISNUMBER(SEARCH("ROJO",INVENTARIO!C189)),"ROJ",
IF(ISNUMBER(SEARCH("AZUL",INVENTARIO!C189)),"AZU","")))))))))))))</f>
        <v>BLA</v>
      </c>
      <c r="F189" t="str">
        <f>IF(ISNUMBER(SEARCH("ARLON",INVENTARIO!C189)),"ARL",
IF(ISNUMBER(SEARCH("SUNTHINKS",INVENTARIO!C189)),"SUN",
IF(ISNUMBER(SEARCH("FRIO",INVENTARIO!C189)),"FRI",
IF(ISNUMBER(SEARCH("CALIDO",INVENTARIO!C189)),"CAL",
IF(ISNUMBER(SEARCH("CEPILLADO",INVENTARIO!C189)),"CEP",
IF(ISNUMBER(SEARCH("ESPEJO",INVENTARIO!C189)),"ESP",
""))))))</f>
        <v/>
      </c>
      <c r="G189" t="str">
        <f>IF(ISNUMBER(SEARCH("LATEX",INVENTARIO!C189)),"LAT",
IF(ISNUMBER(SEARCH("RESP. NEGRO",INVENTARIO!C189)),"RES-NEG",
IF(ISNUMBER(SEARCH("RESPALDO CAFE",INVENTARIO!C189)),"RES-CAF",
IF(ISNUMBER(SEARCH("RESPALDO GRIS",INVENTARIO!C189)),"RES-GRI",
IF(ISNUMBER(SEARCH("OPTICO",INVENTARIO!C189)),"OPT",
IF(ISNUMBER(SEARCH("1,2 MM",INVENTARIO!C189)),"1MM2",
IF(ISNUMBER(SEARCH("2 MM",INVENTARIO!C189)),"2MM",
IF(ISNUMBER(SEARCH("3 MM",INVENTARIO!C189)),"3MM",
IF(ISNUMBER(SEARCH("4 MM",INVENTARIO!C189)),"4MM",
IF(ISNUMBER(SEARCH("5 MM",INVENTARIO!C189)),"5MM",
IF(ISNUMBER(SEARCH("6 MM",INVENTARIO!C189)),"6MM",
IF(ISNUMBER(SEARCH("9 MM",INVENTARIO!C189)),"9MM",
IF(ISNUMBER(SEARCH("10 MM",INVENTARIO!C189)),"10MM","")))))))))))))</f>
        <v>3MM</v>
      </c>
      <c r="H189" t="str">
        <f>IF(ISNUMBER(SEARCH("GAMA BAJA",INVENTARIO!C189)),"GAM-BAJ",
IF(ISNUMBER(SEARCH("OPTIMIZADOR",INVENTARIO!C189)),"OPT",
IF(ISNUMBER(SEARCH("OVERCOAT",INVENTARIO!C189)),"OVE",
IF(ISNUMBER(SEARCH("WHITE",INVENTARIO!C189)),"WHI",
IF(ISNUMBER(SEARCH("LIGHT CYAN",INVENTARIO!C189)),"LIG-CYA",
IF(ISNUMBER(SEARCH("CYAN",INVENTARIO!C189)),"CYA",
IF(ISNUMBER(SEARCH("LIGHT MAGENTA",INVENTARIO!C189)),"LIG-MAG",
IF(ISNUMBER(SEARCH("MAGENTA",INVENTARIO!C189)),"MAG",
IF(ISNUMBER(SEARCH("BLACK",INVENTARIO!C189)),"BLA",
IF(ISNUMBER(SEARCH("YELLOW",INVENTARIO!C189)),"YEL",
IF(ISNUMBER(SEARCH("2 DIODOS",INVENTARIO!C189)),"2DI",
IF(ISNUMBER(SEARCH("3 DIODOS",INVENTARIO!C189)),"3DI",
IF(OR(ISNUMBER(SEARCH("TRASLUCIDO",INVENTARIO!C189)),ISNUMBER(SEARCH("TRANSLUCIDO",INVENTARIO!C189))),"TRA",
"")))))))))))))</f>
        <v/>
      </c>
      <c r="I18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0" spans="1:9">
      <c r="A190" t="str">
        <f>IF(ISNUMBER(SEARCH("LONA",INVENTARIO!C190)),"LON",
IF(ISNUMBER(SEARCH("VINIL",INVENTARIO!C190)),"VIN",
IF(ISNUMBER(SEARCH("KROMACOTE",INVENTARIO!C190)),"KRO",
IF(ISNUMBER(SEARCH("STARDREAM",INVENTARIO!C190)),"STA",
IF(ISNUMBER(SEARCH("DISPLAY",INVENTARIO!C190)),"DIS",
IF(ISNUMBER(SEARCH("ROLL UP",INVENTARIO!C190)),"ROL-UP",
IF(ISNUMBER(SEARCH("TRANSFER DE PAPEL",INVENTARIO!C190)),"TRA-PAP",
IF(ISNUMBER(SEARCH("TRANSFER",INVENTARIO!C190)),"TRA",IF(ISNUMBER(SEARCH("KOLA LOKA",INVENTARIO!C190)),"KOL-LOK",
IF(ISNUMBER(SEARCH("PETG",INVENTARIO!C190)),"PET",
IF(ISNUMBER(SEARCH("OJILLO",INVENTARIO!C190)),"OJI",
IF(ISNUMBER(SEARCH("COUCHE",INVENTARIO!C190)),"COU",
IF(ISNUMBER(SEARCH("PANEL DE ALUMINIO",INVENTARIO!C190)),"PAN-ALU",
IF(ISNUMBER(SEARCH("PVC",INVENTARIO!C190)),"PVC",
IF(ISNUMBER(SEARCH("PAPEL",INVENTARIO!C190)),"PAP",
IF(ISNUMBER(SEARCH("TELA",INVENTARIO!C190)),"TEL",
IF(ISNUMBER(SEARCH("CARTULINA",INVENTARIO!C190)),"CAR",
IF(OR(ISNUMBER(SEARCH("LAMINA",INVENTARIO!C190)),ISNUMBER(SEARCH("LÁMINA",INVENTARIO!C190)),ISNUMBER(SEARCH("LAMPARAS",INVENTARIO!C190))),"LAM",
IF(ISNUMBER(SEARCH("ESTIRENO",INVENTARIO!C190)),"EST",
IF(ISNUMBER(SEARCH("FOAMBOARD",INVENTARIO!C190)),"FOA",
IF(ISNUMBER(SEARCH("SOLVENTE",INVENTARIO!C190)),"SOL",
IF(ISNUMBER(SEARCH("TINTA",INVENTARIO!C190)),"TIN",
IF(ISNUMBER(SEARCH("ACRILICO",INVENTARIO!C190)),"ACR",
IF(ISNUMBER(SEARCH("MICROLED",INVENTARIO!C190)),"MIC",
IF(ISNUMBER(SEARCH("LED",INVENTARIO!C190)),"LED",
IF(ISNUMBER(SEARCH("FUENTE DE PODER",INVENTARIO!C190)),"FUE-POD",
IF(ISNUMBER(SEARCH("PETG",INVENTARIO!C190)),"PET",
IF(ISNUMBER(SEARCH("ALUMINIO",INVENTARIO!C190)),"ALU",
IF(ISNUMBER(SEARCH("CANAL",INVENTARIO!C190)),"CAN",
IF(ISNUMBER(SEARCH("ESCUADRA",INVENTARIO!C190)),"ESC",
IF(ISNUMBER(SEARCH("SOPORTE",INVENTARIO!C190)),"SOP","OTR")
))))))))))))))))))))))))))))))</f>
        <v>ACR</v>
      </c>
      <c r="B190" t="str">
        <f>IF(ISNUMBER(SEARCH("CORTE",INVENTARIO!C190)),"COR",
IF(ISNUMBER(SEARCH("CITYLIGHT",INVENTARIO!C190)),"CIT",
IF(ISNUMBER(SEARCH("LINO",INVENTARIO!C190)),"LIN",
IF(ISNUMBER(SEARCH("FABRIANO",INVENTARIO!C190)),"FAB",
IF(ISNUMBER(SEARCH("SUNDANCE",INVENTARIO!C190)),"SUN",
IF(ISNUMBER(SEARCH("SINTETICA",INVENTARIO!C190)),"SIN",
IF(ISNUMBER(SEARCH("CONTROL",INVENTARIO!C190)),"CON",
IF(ISNUMBER(SEARCH("TERMICO",INVENTARIO!C190)),"TER",
IF(ISNUMBER(SEARCH("C-15",INVENTARIO!C190)),"C15",
IF(ISNUMBER(SEARCH("C-20",INVENTARIO!C190)),"C20",
IF(ISNUMBER(SEARCH("C-30",INVENTARIO!C190)),"C30",
IF(ISNUMBER(SEARCH("C-40",INVENTARIO!C190)),"C40",
IF(ISNUMBER(SEARCH("C-60",INVENTARIO!C190)),"C60",
IF(ISNUMBER(SEARCH("C-80",INVENTARIO!C190)),"C80",
IF(ISNUMBER(SEARCH("EQUIPO",INVENTARIO!C190)),"EQU",
IF(ISNUMBER(SEARCH("FLOOR",INVENTARIO!C190)),"FLO",
IF(ISNUMBER(SEARCH("CRISTAL",INVENTARIO!C190)),"CRI",
IF(ISNUMBER(SEARCH(" SULFATADA",INVENTARIO!C201)),"SUL",
IF(ISNUMBER(SEARCH("OPALINA",INVENTARIO!C190)),"OPA",
IF(ISNUMBER(SEARCH("ADHERIBLE",INVENTARIO!C190)),"ADH",
IF(ISNUMBER(SEARCH("MICRO",INVENTARIO!C190)),"MIC","")))))))))))))))))))))</f>
        <v/>
      </c>
      <c r="C190" t="str">
        <f>IF(ISNUMBER(SEARCH("PARED",INVENTARIO!C190)),"PAR",
IF(ISNUMBER(SEARCH("FRONT",INVENTARIO!C190)),"FRO",
IF(ISNUMBER(SEARCH("ALTA RESISTENCIA",INVENTARIO!C190)),
"ALT-RES",IF(ISNUMBER(SEARCH("BACKLITE",INVENTARIO!C190)),"BAC",
IF(ISNUMBER(SEARCH("MATE",INVENTARIO!C190)),"MAT",
IF(ISNUMBER(SEARCH("MESH",INVENTARIO!C190)),"MES",
IF(ISNUMBER(SEARCH("BRILLANTE",INVENTARIO!C190)),"BRI",
IF(ISNUMBER(SEARCH("DELGADA",INVENTARIO!C190)),"DEL",
IF(ISNUMBER(SEARCH("GRUESA",INVENTARIO!C190)),"GRU",
IF(ISNUMBER(SEARCH("ESTATICO",INVENTARIO!C190)),"EST",
IF(ISNUMBER(SEARCH("REFLECTIVO",INVENTARIO!C190)),"REF",
IF(ISNUMBER(SEARCH("LX700",INVENTARIO!C190)),"LX7",
IF(ISNUMBER(SEARCH("GRANDO",INVENTARIO!C190)),"GRA",
IF(ISNUMBER(SEARCH("FB700",INVENTARIO!C190)),"FB7",
IF(ISNUMBER(SEARCH("LX360",INVENTARIO!C190)),"LX3",
IF(ISNUMBER(SEARCH("XEROX",INVENTARIO!C190)),"XER",
IF(ISNUMBER(SEARCH("CEPILLADO",INVENTARIO!C190)),"CEP",
IF(ISNUMBER(SEARCH("ESPEJO",INVENTARIO!C190)),"ESP",
IF(ISNUMBER(SEARCH("10 PTS",INVENTARIO!C190)),"10PT",
IF(ISNUMBER(SEARCH("12 PTS",INVENTARIO!C190)),"12PT",
IF(ISNUMBER(SEARCH("14 PTS",INVENTARIO!C190)),"14PT",
IF(ISNUMBER(SEARCH("CLASICO",INVENTARIO!C190)),"CLA",
""))))))))))))))))))))))</f>
        <v/>
      </c>
      <c r="D190" t="str">
        <f>IF(ISNUMBER(SEARCH("GRAN FORMATO",INVENTARIO!C190)),"GRA-FOR",
IF(ISNUMBER(SEARCH("CAMA PLANA",INVENTARIO!C190)),"CAM-PLA",
IF(ISNUMBER(SEARCH("GRADO INGENIERIA",INVENTARIO!C190)),"GRA-ING",
IF(ISNUMBER(SEARCH("130 GRS",INVENTARIO!C190)),"130GR",
IF(ISNUMBER(SEARCH("150 GRS",INVENTARIO!C190)),"150GR",
IF(ISNUMBER(SEARCH("185 GRS",INVENTARIO!C190)),"185GR",
IF(ISNUMBER(SEARCH("200 GRS",INVENTARIO!C190)),"200GR",
IF(ISNUMBER(SEARCH("250 GRS",INVENTARIO!C190)),"250GR",
IF(ISNUMBER(SEARCH("300 GRS",INVENTARIO!C190)),"300GR",
IF(ISNUMBER(SEARCH("350 GRS",INVENTARIO!C190)),"350GR",
IF(ISNUMBER(SEARCH("18 OZ",INVENTARIO!C190)),"18OZ",
IF(ISNUMBER(SEARCH("15 OZ",INVENTARIO!C190)),"15OZ",
IF(OR(ISNUMBER(SEARCH("13 OZ",INVENTARIO!C190)),ISNUMBER(SEARCH("13 ONZAS",INVENTARIO!C190))),"13OZ",
IF(OR(ISNUMBER(SEARCH("9 OZ",INVENTARIO!C190)),ISNUMBER(SEARCH("9 ONZAS",INVENTARIO!C190))),"09OZ",
IF(ISNUMBER(SEARCH("DOBLE CARA",INVENTARIO!C190)),"DOB-CAR",
"")))))))))))))))</f>
        <v/>
      </c>
      <c r="E190" t="str">
        <f>IF(OR(ISNUMBER(SEARCH("TRANSPARENTE",INVENTARIO!C190)),ISNUMBER(SEARCH("TRANSPARENTES",INVENTARIO!C190))),"TRA",
IF(OR(ISNUMBER(SEARCH("BLANCO",INVENTARIO!C190)),ISNUMBER(SEARCH("BCO",INVENTARIO!C190))),"BLA",
IF(ISNUMBER(SEARCH("FOTOGRAFICO",INVENTARIO!C190)),"FOT",
IF(ISNUMBER(SEARCH("MARFIL",INVENTARIO!C190)),"MAR",
IF(ISNUMBER(SEARCH("VERDE",INVENTARIO!C190)),"VER",
IF(ISNUMBER(SEARCH("MORADO",INVENTARIO!C190)),"MOR",
IF(ISNUMBER(SEARCH("PLATA",INVENTARIO!C190)),"PLA",
IF(ISNUMBER(SEARCH("ORO",INVENTARIO!C190)),"ORO",
IF(ISNUMBER(SEARCH("AMARILLO",INVENTARIO!C190)),"AMA",
IF(ISNUMBER(SEARCH("NARANJA",INVENTARIO!C190)),"NAR",
IF(ISNUMBER(SEARCH("NEGRO",INVENTARIO!C190)),"NEG",
IF(ISNUMBER(SEARCH("ROJO",INVENTARIO!C190)),"ROJ",
IF(ISNUMBER(SEARCH("AZUL",INVENTARIO!C190)),"AZU","")))))))))))))</f>
        <v>BLA</v>
      </c>
      <c r="F190" t="str">
        <f>IF(ISNUMBER(SEARCH("ARLON",INVENTARIO!C190)),"ARL",
IF(ISNUMBER(SEARCH("SUNTHINKS",INVENTARIO!C190)),"SUN",
IF(ISNUMBER(SEARCH("FRIO",INVENTARIO!C190)),"FRI",
IF(ISNUMBER(SEARCH("CALIDO",INVENTARIO!C190)),"CAL",
IF(ISNUMBER(SEARCH("CEPILLADO",INVENTARIO!C190)),"CEP",
IF(ISNUMBER(SEARCH("ESPEJO",INVENTARIO!C190)),"ESP",
""))))))</f>
        <v/>
      </c>
      <c r="G190" t="str">
        <f>IF(ISNUMBER(SEARCH("LATEX",INVENTARIO!C190)),"LAT",
IF(ISNUMBER(SEARCH("RESP. NEGRO",INVENTARIO!C190)),"RES-NEG",
IF(ISNUMBER(SEARCH("RESPALDO CAFE",INVENTARIO!C190)),"RES-CAF",
IF(ISNUMBER(SEARCH("RESPALDO GRIS",INVENTARIO!C190)),"RES-GRI",
IF(ISNUMBER(SEARCH("OPTICO",INVENTARIO!C190)),"OPT",
IF(ISNUMBER(SEARCH("1,2 MM",INVENTARIO!C190)),"1MM2",
IF(ISNUMBER(SEARCH("2 MM",INVENTARIO!C190)),"2MM",
IF(ISNUMBER(SEARCH("3 MM",INVENTARIO!C190)),"3MM",
IF(ISNUMBER(SEARCH("4 MM",INVENTARIO!C190)),"4MM",
IF(ISNUMBER(SEARCH("5 MM",INVENTARIO!C190)),"5MM",
IF(ISNUMBER(SEARCH("6 MM",INVENTARIO!C190)),"6MM",
IF(ISNUMBER(SEARCH("9 MM",INVENTARIO!C190)),"9MM",
IF(ISNUMBER(SEARCH("10 MM",INVENTARIO!C190)),"10MM","")))))))))))))</f>
        <v>5MM</v>
      </c>
      <c r="H190" t="str">
        <f>IF(ISNUMBER(SEARCH("GAMA BAJA",INVENTARIO!C190)),"GAM-BAJ",
IF(ISNUMBER(SEARCH("OPTIMIZADOR",INVENTARIO!C190)),"OPT",
IF(ISNUMBER(SEARCH("OVERCOAT",INVENTARIO!C190)),"OVE",
IF(ISNUMBER(SEARCH("WHITE",INVENTARIO!C190)),"WHI",
IF(ISNUMBER(SEARCH("LIGHT CYAN",INVENTARIO!C190)),"LIG-CYA",
IF(ISNUMBER(SEARCH("CYAN",INVENTARIO!C190)),"CYA",
IF(ISNUMBER(SEARCH("LIGHT MAGENTA",INVENTARIO!C190)),"LIG-MAG",
IF(ISNUMBER(SEARCH("MAGENTA",INVENTARIO!C190)),"MAG",
IF(ISNUMBER(SEARCH("BLACK",INVENTARIO!C190)),"BLA",
IF(ISNUMBER(SEARCH("YELLOW",INVENTARIO!C190)),"YEL",
IF(ISNUMBER(SEARCH("2 DIODOS",INVENTARIO!C190)),"2DI",
IF(ISNUMBER(SEARCH("3 DIODOS",INVENTARIO!C190)),"3DI",
IF(OR(ISNUMBER(SEARCH("TRASLUCIDO",INVENTARIO!C190)),ISNUMBER(SEARCH("TRANSLUCIDO",INVENTARIO!C190))),"TRA",
"")))))))))))))</f>
        <v/>
      </c>
      <c r="I19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1" spans="1:9">
      <c r="A191" t="str">
        <f>IF(ISNUMBER(SEARCH("LONA",INVENTARIO!C191)),"LON",
IF(ISNUMBER(SEARCH("VINIL",INVENTARIO!C191)),"VIN",
IF(ISNUMBER(SEARCH("KROMACOTE",INVENTARIO!C191)),"KRO",
IF(ISNUMBER(SEARCH("STARDREAM",INVENTARIO!C191)),"STA",
IF(ISNUMBER(SEARCH("DISPLAY",INVENTARIO!C191)),"DIS",
IF(ISNUMBER(SEARCH("ROLL UP",INVENTARIO!C191)),"ROL-UP",
IF(ISNUMBER(SEARCH("TRANSFER DE PAPEL",INVENTARIO!C191)),"TRA-PAP",
IF(ISNUMBER(SEARCH("TRANSFER",INVENTARIO!C191)),"TRA",IF(ISNUMBER(SEARCH("KOLA LOKA",INVENTARIO!C191)),"KOL-LOK",
IF(ISNUMBER(SEARCH("PETG",INVENTARIO!C191)),"PET",
IF(ISNUMBER(SEARCH("OJILLO",INVENTARIO!C191)),"OJI",
IF(ISNUMBER(SEARCH("COUCHE",INVENTARIO!C191)),"COU",
IF(ISNUMBER(SEARCH("PANEL DE ALUMINIO",INVENTARIO!C191)),"PAN-ALU",
IF(ISNUMBER(SEARCH("PVC",INVENTARIO!C191)),"PVC",
IF(ISNUMBER(SEARCH("PAPEL",INVENTARIO!C191)),"PAP",
IF(ISNUMBER(SEARCH("TELA",INVENTARIO!C191)),"TEL",
IF(ISNUMBER(SEARCH("CARTULINA",INVENTARIO!C191)),"CAR",
IF(OR(ISNUMBER(SEARCH("LAMINA",INVENTARIO!C191)),ISNUMBER(SEARCH("LÁMINA",INVENTARIO!C191)),ISNUMBER(SEARCH("LAMPARAS",INVENTARIO!C191))),"LAM",
IF(ISNUMBER(SEARCH("ESTIRENO",INVENTARIO!C191)),"EST",
IF(ISNUMBER(SEARCH("FOAMBOARD",INVENTARIO!C191)),"FOA",
IF(ISNUMBER(SEARCH("SOLVENTE",INVENTARIO!C191)),"SOL",
IF(ISNUMBER(SEARCH("TINTA",INVENTARIO!C191)),"TIN",
IF(ISNUMBER(SEARCH("ACRILICO",INVENTARIO!C191)),"ACR",
IF(ISNUMBER(SEARCH("MICROLED",INVENTARIO!C191)),"MIC",
IF(ISNUMBER(SEARCH("LED",INVENTARIO!C191)),"LED",
IF(ISNUMBER(SEARCH("FUENTE DE PODER",INVENTARIO!C191)),"FUE-POD",
IF(ISNUMBER(SEARCH("PETG",INVENTARIO!C191)),"PET",
IF(ISNUMBER(SEARCH("ALUMINIO",INVENTARIO!C191)),"ALU",
IF(ISNUMBER(SEARCH("CANAL",INVENTARIO!C191)),"CAN",
IF(ISNUMBER(SEARCH("ESCUADRA",INVENTARIO!C191)),"ESC",
IF(ISNUMBER(SEARCH("SOPORTE",INVENTARIO!C191)),"SOP","OTR")
))))))))))))))))))))))))))))))</f>
        <v>ACR</v>
      </c>
      <c r="B191" t="str">
        <f>IF(ISNUMBER(SEARCH("CORTE",INVENTARIO!C191)),"COR",
IF(ISNUMBER(SEARCH("CITYLIGHT",INVENTARIO!C191)),"CIT",
IF(ISNUMBER(SEARCH("LINO",INVENTARIO!C191)),"LIN",
IF(ISNUMBER(SEARCH("FABRIANO",INVENTARIO!C191)),"FAB",
IF(ISNUMBER(SEARCH("SUNDANCE",INVENTARIO!C191)),"SUN",
IF(ISNUMBER(SEARCH("SINTETICA",INVENTARIO!C191)),"SIN",
IF(ISNUMBER(SEARCH("CONTROL",INVENTARIO!C191)),"CON",
IF(ISNUMBER(SEARCH("TERMICO",INVENTARIO!C191)),"TER",
IF(ISNUMBER(SEARCH("C-15",INVENTARIO!C191)),"C15",
IF(ISNUMBER(SEARCH("C-20",INVENTARIO!C191)),"C20",
IF(ISNUMBER(SEARCH("C-30",INVENTARIO!C191)),"C30",
IF(ISNUMBER(SEARCH("C-40",INVENTARIO!C191)),"C40",
IF(ISNUMBER(SEARCH("C-60",INVENTARIO!C191)),"C60",
IF(ISNUMBER(SEARCH("C-80",INVENTARIO!C191)),"C80",
IF(ISNUMBER(SEARCH("EQUIPO",INVENTARIO!C191)),"EQU",
IF(ISNUMBER(SEARCH("FLOOR",INVENTARIO!C191)),"FLO",
IF(ISNUMBER(SEARCH("CRISTAL",INVENTARIO!C191)),"CRI",
IF(ISNUMBER(SEARCH(" SULFATADA",INVENTARIO!C202)),"SUL",
IF(ISNUMBER(SEARCH("OPALINA",INVENTARIO!C191)),"OPA",
IF(ISNUMBER(SEARCH("ADHERIBLE",INVENTARIO!C191)),"ADH",
IF(ISNUMBER(SEARCH("MICRO",INVENTARIO!C191)),"MIC","")))))))))))))))))))))</f>
        <v>CRI</v>
      </c>
      <c r="C191" t="str">
        <f>IF(ISNUMBER(SEARCH("PARED",INVENTARIO!C191)),"PAR",
IF(ISNUMBER(SEARCH("FRONT",INVENTARIO!C191)),"FRO",
IF(ISNUMBER(SEARCH("ALTA RESISTENCIA",INVENTARIO!C191)),
"ALT-RES",IF(ISNUMBER(SEARCH("BACKLITE",INVENTARIO!C191)),"BAC",
IF(ISNUMBER(SEARCH("MATE",INVENTARIO!C191)),"MAT",
IF(ISNUMBER(SEARCH("MESH",INVENTARIO!C191)),"MES",
IF(ISNUMBER(SEARCH("BRILLANTE",INVENTARIO!C191)),"BRI",
IF(ISNUMBER(SEARCH("DELGADA",INVENTARIO!C191)),"DEL",
IF(ISNUMBER(SEARCH("GRUESA",INVENTARIO!C191)),"GRU",
IF(ISNUMBER(SEARCH("ESTATICO",INVENTARIO!C191)),"EST",
IF(ISNUMBER(SEARCH("REFLECTIVO",INVENTARIO!C191)),"REF",
IF(ISNUMBER(SEARCH("LX700",INVENTARIO!C191)),"LX7",
IF(ISNUMBER(SEARCH("GRANDO",INVENTARIO!C191)),"GRA",
IF(ISNUMBER(SEARCH("FB700",INVENTARIO!C191)),"FB7",
IF(ISNUMBER(SEARCH("LX360",INVENTARIO!C191)),"LX3",
IF(ISNUMBER(SEARCH("XEROX",INVENTARIO!C191)),"XER",
IF(ISNUMBER(SEARCH("CEPILLADO",INVENTARIO!C191)),"CEP",
IF(ISNUMBER(SEARCH("ESPEJO",INVENTARIO!C191)),"ESP",
IF(ISNUMBER(SEARCH("10 PTS",INVENTARIO!C191)),"10PT",
IF(ISNUMBER(SEARCH("12 PTS",INVENTARIO!C191)),"12PT",
IF(ISNUMBER(SEARCH("14 PTS",INVENTARIO!C191)),"14PT",
IF(ISNUMBER(SEARCH("CLASICO",INVENTARIO!C191)),"CLA",
""))))))))))))))))))))))</f>
        <v/>
      </c>
      <c r="D191" t="str">
        <f>IF(ISNUMBER(SEARCH("GRAN FORMATO",INVENTARIO!C191)),"GRA-FOR",
IF(ISNUMBER(SEARCH("CAMA PLANA",INVENTARIO!C191)),"CAM-PLA",
IF(ISNUMBER(SEARCH("GRADO INGENIERIA",INVENTARIO!C191)),"GRA-ING",
IF(ISNUMBER(SEARCH("130 GRS",INVENTARIO!C191)),"130GR",
IF(ISNUMBER(SEARCH("150 GRS",INVENTARIO!C191)),"150GR",
IF(ISNUMBER(SEARCH("185 GRS",INVENTARIO!C191)),"185GR",
IF(ISNUMBER(SEARCH("200 GRS",INVENTARIO!C191)),"200GR",
IF(ISNUMBER(SEARCH("250 GRS",INVENTARIO!C191)),"250GR",
IF(ISNUMBER(SEARCH("300 GRS",INVENTARIO!C191)),"300GR",
IF(ISNUMBER(SEARCH("350 GRS",INVENTARIO!C191)),"350GR",
IF(ISNUMBER(SEARCH("18 OZ",INVENTARIO!C191)),"18OZ",
IF(ISNUMBER(SEARCH("15 OZ",INVENTARIO!C191)),"15OZ",
IF(OR(ISNUMBER(SEARCH("13 OZ",INVENTARIO!C191)),ISNUMBER(SEARCH("13 ONZAS",INVENTARIO!C191))),"13OZ",
IF(OR(ISNUMBER(SEARCH("9 OZ",INVENTARIO!C191)),ISNUMBER(SEARCH("9 ONZAS",INVENTARIO!C191))),"09OZ",
IF(ISNUMBER(SEARCH("DOBLE CARA",INVENTARIO!C191)),"DOB-CAR",
"")))))))))))))))</f>
        <v/>
      </c>
      <c r="E191" t="str">
        <f>IF(OR(ISNUMBER(SEARCH("TRANSPARENTE",INVENTARIO!C191)),ISNUMBER(SEARCH("TRANSPARENTES",INVENTARIO!C191))),"TRA",
IF(OR(ISNUMBER(SEARCH("BLANCO",INVENTARIO!C191)),ISNUMBER(SEARCH("BCO",INVENTARIO!C191))),"BLA",
IF(ISNUMBER(SEARCH("FOTOGRAFICO",INVENTARIO!C191)),"FOT",
IF(ISNUMBER(SEARCH("MARFIL",INVENTARIO!C191)),"MAR",
IF(ISNUMBER(SEARCH("VERDE",INVENTARIO!C191)),"VER",
IF(ISNUMBER(SEARCH("MORADO",INVENTARIO!C191)),"MOR",
IF(ISNUMBER(SEARCH("PLATA",INVENTARIO!C191)),"PLA",
IF(ISNUMBER(SEARCH("ORO",INVENTARIO!C191)),"ORO",
IF(ISNUMBER(SEARCH("AMARILLO",INVENTARIO!C191)),"AMA",
IF(ISNUMBER(SEARCH("NARANJA",INVENTARIO!C191)),"NAR",
IF(ISNUMBER(SEARCH("NEGRO",INVENTARIO!C191)),"NEG",
IF(ISNUMBER(SEARCH("ROJO",INVENTARIO!C191)),"ROJ",
IF(ISNUMBER(SEARCH("AZUL",INVENTARIO!C191)),"AZU","")))))))))))))</f>
        <v/>
      </c>
      <c r="F191" t="str">
        <f>IF(ISNUMBER(SEARCH("ARLON",INVENTARIO!C191)),"ARL",
IF(ISNUMBER(SEARCH("SUNTHINKS",INVENTARIO!C191)),"SUN",
IF(ISNUMBER(SEARCH("FRIO",INVENTARIO!C191)),"FRI",
IF(ISNUMBER(SEARCH("CALIDO",INVENTARIO!C191)),"CAL",
IF(ISNUMBER(SEARCH("CEPILLADO",INVENTARIO!C191)),"CEP",
IF(ISNUMBER(SEARCH("ESPEJO",INVENTARIO!C191)),"ESP",
""))))))</f>
        <v/>
      </c>
      <c r="G191" t="str">
        <f>IF(ISNUMBER(SEARCH("LATEX",INVENTARIO!C191)),"LAT",
IF(ISNUMBER(SEARCH("RESP. NEGRO",INVENTARIO!C191)),"RES-NEG",
IF(ISNUMBER(SEARCH("RESPALDO CAFE",INVENTARIO!C191)),"RES-CAF",
IF(ISNUMBER(SEARCH("RESPALDO GRIS",INVENTARIO!C191)),"RES-GRI",
IF(ISNUMBER(SEARCH("OPTICO",INVENTARIO!C191)),"OPT",
IF(ISNUMBER(SEARCH("1,2 MM",INVENTARIO!C191)),"1MM2",
IF(ISNUMBER(SEARCH("2 MM",INVENTARIO!C191)),"2MM",
IF(ISNUMBER(SEARCH("3 MM",INVENTARIO!C191)),"3MM",
IF(ISNUMBER(SEARCH("4 MM",INVENTARIO!C191)),"4MM",
IF(ISNUMBER(SEARCH("5 MM",INVENTARIO!C191)),"5MM",
IF(ISNUMBER(SEARCH("6 MM",INVENTARIO!C191)),"6MM",
IF(ISNUMBER(SEARCH("9 MM",INVENTARIO!C191)),"9MM",
IF(ISNUMBER(SEARCH("10 MM",INVENTARIO!C191)),"10MM","")))))))))))))</f>
        <v>6MM</v>
      </c>
      <c r="H191" t="str">
        <f>IF(ISNUMBER(SEARCH("GAMA BAJA",INVENTARIO!C191)),"GAM-BAJ",
IF(ISNUMBER(SEARCH("OPTIMIZADOR",INVENTARIO!C191)),"OPT",
IF(ISNUMBER(SEARCH("OVERCOAT",INVENTARIO!C191)),"OVE",
IF(ISNUMBER(SEARCH("WHITE",INVENTARIO!C191)),"WHI",
IF(ISNUMBER(SEARCH("LIGHT CYAN",INVENTARIO!C191)),"LIG-CYA",
IF(ISNUMBER(SEARCH("CYAN",INVENTARIO!C191)),"CYA",
IF(ISNUMBER(SEARCH("LIGHT MAGENTA",INVENTARIO!C191)),"LIG-MAG",
IF(ISNUMBER(SEARCH("MAGENTA",INVENTARIO!C191)),"MAG",
IF(ISNUMBER(SEARCH("BLACK",INVENTARIO!C191)),"BLA",
IF(ISNUMBER(SEARCH("YELLOW",INVENTARIO!C191)),"YEL",
IF(ISNUMBER(SEARCH("2 DIODOS",INVENTARIO!C191)),"2DI",
IF(ISNUMBER(SEARCH("3 DIODOS",INVENTARIO!C191)),"3DI",
IF(OR(ISNUMBER(SEARCH("TRASLUCIDO",INVENTARIO!C191)),ISNUMBER(SEARCH("TRANSLUCIDO",INVENTARIO!C191))),"TRA",
"")))))))))))))</f>
        <v/>
      </c>
      <c r="I19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2" spans="1:9">
      <c r="A192" t="str">
        <f>IF(ISNUMBER(SEARCH("LONA",INVENTARIO!C192)),"LON",
IF(ISNUMBER(SEARCH("VINIL",INVENTARIO!C192)),"VIN",
IF(ISNUMBER(SEARCH("KROMACOTE",INVENTARIO!C192)),"KRO",
IF(ISNUMBER(SEARCH("STARDREAM",INVENTARIO!C192)),"STA",
IF(ISNUMBER(SEARCH("DISPLAY",INVENTARIO!C192)),"DIS",
IF(ISNUMBER(SEARCH("ROLL UP",INVENTARIO!C192)),"ROL-UP",
IF(ISNUMBER(SEARCH("TRANSFER DE PAPEL",INVENTARIO!C192)),"TRA-PAP",
IF(ISNUMBER(SEARCH("TRANSFER",INVENTARIO!C192)),"TRA",IF(ISNUMBER(SEARCH("KOLA LOKA",INVENTARIO!C192)),"KOL-LOK",
IF(ISNUMBER(SEARCH("PETG",INVENTARIO!C192)),"PET",
IF(ISNUMBER(SEARCH("OJILLO",INVENTARIO!C192)),"OJI",
IF(ISNUMBER(SEARCH("COUCHE",INVENTARIO!C192)),"COU",
IF(ISNUMBER(SEARCH("PANEL DE ALUMINIO",INVENTARIO!C192)),"PAN-ALU",
IF(ISNUMBER(SEARCH("PVC",INVENTARIO!C192)),"PVC",
IF(ISNUMBER(SEARCH("PAPEL",INVENTARIO!C192)),"PAP",
IF(ISNUMBER(SEARCH("TELA",INVENTARIO!C192)),"TEL",
IF(ISNUMBER(SEARCH("CARTULINA",INVENTARIO!C192)),"CAR",
IF(OR(ISNUMBER(SEARCH("LAMINA",INVENTARIO!C192)),ISNUMBER(SEARCH("LÁMINA",INVENTARIO!C192)),ISNUMBER(SEARCH("LAMPARAS",INVENTARIO!C192))),"LAM",
IF(ISNUMBER(SEARCH("ESTIRENO",INVENTARIO!C192)),"EST",
IF(ISNUMBER(SEARCH("FOAMBOARD",INVENTARIO!C192)),"FOA",
IF(ISNUMBER(SEARCH("SOLVENTE",INVENTARIO!C192)),"SOL",
IF(ISNUMBER(SEARCH("TINTA",INVENTARIO!C192)),"TIN",
IF(ISNUMBER(SEARCH("ACRILICO",INVENTARIO!C192)),"ACR",
IF(ISNUMBER(SEARCH("MICROLED",INVENTARIO!C192)),"MIC",
IF(ISNUMBER(SEARCH("LED",INVENTARIO!C192)),"LED",
IF(ISNUMBER(SEARCH("FUENTE DE PODER",INVENTARIO!C192)),"FUE-POD",
IF(ISNUMBER(SEARCH("PETG",INVENTARIO!C192)),"PET",
IF(ISNUMBER(SEARCH("ALUMINIO",INVENTARIO!C192)),"ALU",
IF(ISNUMBER(SEARCH("CANAL",INVENTARIO!C192)),"CAN",
IF(ISNUMBER(SEARCH("ESCUADRA",INVENTARIO!C192)),"ESC",
IF(ISNUMBER(SEARCH("SOPORTE",INVENTARIO!C192)),"SOP","OTR")
))))))))))))))))))))))))))))))</f>
        <v>ACR</v>
      </c>
      <c r="B192" t="str">
        <f>IF(ISNUMBER(SEARCH("CORTE",INVENTARIO!C192)),"COR",
IF(ISNUMBER(SEARCH("CITYLIGHT",INVENTARIO!C192)),"CIT",
IF(ISNUMBER(SEARCH("LINO",INVENTARIO!C192)),"LIN",
IF(ISNUMBER(SEARCH("FABRIANO",INVENTARIO!C192)),"FAB",
IF(ISNUMBER(SEARCH("SUNDANCE",INVENTARIO!C192)),"SUN",
IF(ISNUMBER(SEARCH("SINTETICA",INVENTARIO!C192)),"SIN",
IF(ISNUMBER(SEARCH("CONTROL",INVENTARIO!C192)),"CON",
IF(ISNUMBER(SEARCH("TERMICO",INVENTARIO!C192)),"TER",
IF(ISNUMBER(SEARCH("C-15",INVENTARIO!C192)),"C15",
IF(ISNUMBER(SEARCH("C-20",INVENTARIO!C192)),"C20",
IF(ISNUMBER(SEARCH("C-30",INVENTARIO!C192)),"C30",
IF(ISNUMBER(SEARCH("C-40",INVENTARIO!C192)),"C40",
IF(ISNUMBER(SEARCH("C-60",INVENTARIO!C192)),"C60",
IF(ISNUMBER(SEARCH("C-80",INVENTARIO!C192)),"C80",
IF(ISNUMBER(SEARCH("EQUIPO",INVENTARIO!C192)),"EQU",
IF(ISNUMBER(SEARCH("FLOOR",INVENTARIO!C192)),"FLO",
IF(ISNUMBER(SEARCH("CRISTAL",INVENTARIO!C192)),"CRI",
IF(ISNUMBER(SEARCH(" SULFATADA",INVENTARIO!C203)),"SUL",
IF(ISNUMBER(SEARCH("OPALINA",INVENTARIO!C192)),"OPA",
IF(ISNUMBER(SEARCH("ADHERIBLE",INVENTARIO!C192)),"ADH",
IF(ISNUMBER(SEARCH("MICRO",INVENTARIO!C192)),"MIC","")))))))))))))))))))))</f>
        <v>CRI</v>
      </c>
      <c r="C192" t="str">
        <f>IF(ISNUMBER(SEARCH("PARED",INVENTARIO!C192)),"PAR",
IF(ISNUMBER(SEARCH("FRONT",INVENTARIO!C192)),"FRO",
IF(ISNUMBER(SEARCH("ALTA RESISTENCIA",INVENTARIO!C192)),
"ALT-RES",IF(ISNUMBER(SEARCH("BACKLITE",INVENTARIO!C192)),"BAC",
IF(ISNUMBER(SEARCH("MATE",INVENTARIO!C192)),"MAT",
IF(ISNUMBER(SEARCH("MESH",INVENTARIO!C192)),"MES",
IF(ISNUMBER(SEARCH("BRILLANTE",INVENTARIO!C192)),"BRI",
IF(ISNUMBER(SEARCH("DELGADA",INVENTARIO!C192)),"DEL",
IF(ISNUMBER(SEARCH("GRUESA",INVENTARIO!C192)),"GRU",
IF(ISNUMBER(SEARCH("ESTATICO",INVENTARIO!C192)),"EST",
IF(ISNUMBER(SEARCH("REFLECTIVO",INVENTARIO!C192)),"REF",
IF(ISNUMBER(SEARCH("LX700",INVENTARIO!C192)),"LX7",
IF(ISNUMBER(SEARCH("GRANDO",INVENTARIO!C192)),"GRA",
IF(ISNUMBER(SEARCH("FB700",INVENTARIO!C192)),"FB7",
IF(ISNUMBER(SEARCH("LX360",INVENTARIO!C192)),"LX3",
IF(ISNUMBER(SEARCH("XEROX",INVENTARIO!C192)),"XER",
IF(ISNUMBER(SEARCH("CEPILLADO",INVENTARIO!C192)),"CEP",
IF(ISNUMBER(SEARCH("ESPEJO",INVENTARIO!C192)),"ESP",
IF(ISNUMBER(SEARCH("10 PTS",INVENTARIO!C192)),"10PT",
IF(ISNUMBER(SEARCH("12 PTS",INVENTARIO!C192)),"12PT",
IF(ISNUMBER(SEARCH("14 PTS",INVENTARIO!C192)),"14PT",
IF(ISNUMBER(SEARCH("CLASICO",INVENTARIO!C192)),"CLA",
""))))))))))))))))))))))</f>
        <v/>
      </c>
      <c r="D192" t="str">
        <f>IF(ISNUMBER(SEARCH("GRAN FORMATO",INVENTARIO!C192)),"GRA-FOR",
IF(ISNUMBER(SEARCH("CAMA PLANA",INVENTARIO!C192)),"CAM-PLA",
IF(ISNUMBER(SEARCH("GRADO INGENIERIA",INVENTARIO!C192)),"GRA-ING",
IF(ISNUMBER(SEARCH("130 GRS",INVENTARIO!C192)),"130GR",
IF(ISNUMBER(SEARCH("150 GRS",INVENTARIO!C192)),"150GR",
IF(ISNUMBER(SEARCH("185 GRS",INVENTARIO!C192)),"185GR",
IF(ISNUMBER(SEARCH("200 GRS",INVENTARIO!C192)),"200GR",
IF(ISNUMBER(SEARCH("250 GRS",INVENTARIO!C192)),"250GR",
IF(ISNUMBER(SEARCH("300 GRS",INVENTARIO!C192)),"300GR",
IF(ISNUMBER(SEARCH("350 GRS",INVENTARIO!C192)),"350GR",
IF(ISNUMBER(SEARCH("18 OZ",INVENTARIO!C192)),"18OZ",
IF(ISNUMBER(SEARCH("15 OZ",INVENTARIO!C192)),"15OZ",
IF(OR(ISNUMBER(SEARCH("13 OZ",INVENTARIO!C192)),ISNUMBER(SEARCH("13 ONZAS",INVENTARIO!C192))),"13OZ",
IF(OR(ISNUMBER(SEARCH("9 OZ",INVENTARIO!C192)),ISNUMBER(SEARCH("9 ONZAS",INVENTARIO!C192))),"09OZ",
IF(ISNUMBER(SEARCH("DOBLE CARA",INVENTARIO!C192)),"DOB-CAR",
"")))))))))))))))</f>
        <v/>
      </c>
      <c r="E192" t="str">
        <f>IF(OR(ISNUMBER(SEARCH("TRANSPARENTE",INVENTARIO!C192)),ISNUMBER(SEARCH("TRANSPARENTES",INVENTARIO!C192))),"TRA",
IF(OR(ISNUMBER(SEARCH("BLANCO",INVENTARIO!C192)),ISNUMBER(SEARCH("BCO",INVENTARIO!C192))),"BLA",
IF(ISNUMBER(SEARCH("FOTOGRAFICO",INVENTARIO!C192)),"FOT",
IF(ISNUMBER(SEARCH("MARFIL",INVENTARIO!C192)),"MAR",
IF(ISNUMBER(SEARCH("VERDE",INVENTARIO!C192)),"VER",
IF(ISNUMBER(SEARCH("MORADO",INVENTARIO!C192)),"MOR",
IF(ISNUMBER(SEARCH("PLATA",INVENTARIO!C192)),"PLA",
IF(ISNUMBER(SEARCH("ORO",INVENTARIO!C192)),"ORO",
IF(ISNUMBER(SEARCH("AMARILLO",INVENTARIO!C192)),"AMA",
IF(ISNUMBER(SEARCH("NARANJA",INVENTARIO!C192)),"NAR",
IF(ISNUMBER(SEARCH("NEGRO",INVENTARIO!C192)),"NEG",
IF(ISNUMBER(SEARCH("ROJO",INVENTARIO!C192)),"ROJ",
IF(ISNUMBER(SEARCH("AZUL",INVENTARIO!C192)),"AZU","")))))))))))))</f>
        <v/>
      </c>
      <c r="F192" t="str">
        <f>IF(ISNUMBER(SEARCH("ARLON",INVENTARIO!C192)),"ARL",
IF(ISNUMBER(SEARCH("SUNTHINKS",INVENTARIO!C192)),"SUN",
IF(ISNUMBER(SEARCH("FRIO",INVENTARIO!C192)),"FRI",
IF(ISNUMBER(SEARCH("CALIDO",INVENTARIO!C192)),"CAL",
IF(ISNUMBER(SEARCH("CEPILLADO",INVENTARIO!C192)),"CEP",
IF(ISNUMBER(SEARCH("ESPEJO",INVENTARIO!C192)),"ESP",
""))))))</f>
        <v/>
      </c>
      <c r="G192" t="str">
        <f>IF(ISNUMBER(SEARCH("LATEX",INVENTARIO!C192)),"LAT",
IF(ISNUMBER(SEARCH("RESP. NEGRO",INVENTARIO!C192)),"RES-NEG",
IF(ISNUMBER(SEARCH("RESPALDO CAFE",INVENTARIO!C192)),"RES-CAF",
IF(ISNUMBER(SEARCH("RESPALDO GRIS",INVENTARIO!C192)),"RES-GRI",
IF(ISNUMBER(SEARCH("OPTICO",INVENTARIO!C192)),"OPT",
IF(ISNUMBER(SEARCH("1,2 MM",INVENTARIO!C192)),"1MM2",
IF(ISNUMBER(SEARCH("2 MM",INVENTARIO!C192)),"2MM",
IF(ISNUMBER(SEARCH("3 MM",INVENTARIO!C192)),"3MM",
IF(ISNUMBER(SEARCH("4 MM",INVENTARIO!C192)),"4MM",
IF(ISNUMBER(SEARCH("5 MM",INVENTARIO!C192)),"5MM",
IF(ISNUMBER(SEARCH("6 MM",INVENTARIO!C192)),"6MM",
IF(ISNUMBER(SEARCH("9 MM",INVENTARIO!C192)),"9MM",
IF(ISNUMBER(SEARCH("10 MM",INVENTARIO!C192)),"10MM","")))))))))))))</f>
        <v>3MM</v>
      </c>
      <c r="H192" t="str">
        <f>IF(ISNUMBER(SEARCH("GAMA BAJA",INVENTARIO!C192)),"GAM-BAJ",
IF(ISNUMBER(SEARCH("OPTIMIZADOR",INVENTARIO!C192)),"OPT",
IF(ISNUMBER(SEARCH("OVERCOAT",INVENTARIO!C192)),"OVE",
IF(ISNUMBER(SEARCH("WHITE",INVENTARIO!C192)),"WHI",
IF(ISNUMBER(SEARCH("LIGHT CYAN",INVENTARIO!C192)),"LIG-CYA",
IF(ISNUMBER(SEARCH("CYAN",INVENTARIO!C192)),"CYA",
IF(ISNUMBER(SEARCH("LIGHT MAGENTA",INVENTARIO!C192)),"LIG-MAG",
IF(ISNUMBER(SEARCH("MAGENTA",INVENTARIO!C192)),"MAG",
IF(ISNUMBER(SEARCH("BLACK",INVENTARIO!C192)),"BLA",
IF(ISNUMBER(SEARCH("YELLOW",INVENTARIO!C192)),"YEL",
IF(ISNUMBER(SEARCH("2 DIODOS",INVENTARIO!C192)),"2DI",
IF(ISNUMBER(SEARCH("3 DIODOS",INVENTARIO!C192)),"3DI",
IF(OR(ISNUMBER(SEARCH("TRASLUCIDO",INVENTARIO!C192)),ISNUMBER(SEARCH("TRANSLUCIDO",INVENTARIO!C192))),"TRA",
"")))))))))))))</f>
        <v/>
      </c>
      <c r="I19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3" spans="1:9">
      <c r="A193" t="str">
        <f>IF(ISNUMBER(SEARCH("LONA",INVENTARIO!C193)),"LON",
IF(ISNUMBER(SEARCH("VINIL",INVENTARIO!C193)),"VIN",
IF(ISNUMBER(SEARCH("KROMACOTE",INVENTARIO!C193)),"KRO",
IF(ISNUMBER(SEARCH("STARDREAM",INVENTARIO!C193)),"STA",
IF(ISNUMBER(SEARCH("DISPLAY",INVENTARIO!C193)),"DIS",
IF(ISNUMBER(SEARCH("ROLL UP",INVENTARIO!C193)),"ROL-UP",
IF(ISNUMBER(SEARCH("TRANSFER DE PAPEL",INVENTARIO!C193)),"TRA-PAP",
IF(ISNUMBER(SEARCH("TRANSFER",INVENTARIO!C193)),"TRA",IF(ISNUMBER(SEARCH("KOLA LOKA",INVENTARIO!C193)),"KOL-LOK",
IF(ISNUMBER(SEARCH("PETG",INVENTARIO!C193)),"PET",
IF(ISNUMBER(SEARCH("OJILLO",INVENTARIO!C193)),"OJI",
IF(ISNUMBER(SEARCH("COUCHE",INVENTARIO!C193)),"COU",
IF(ISNUMBER(SEARCH("PANEL DE ALUMINIO",INVENTARIO!C193)),"PAN-ALU",
IF(ISNUMBER(SEARCH("PVC",INVENTARIO!C193)),"PVC",
IF(ISNUMBER(SEARCH("PAPEL",INVENTARIO!C193)),"PAP",
IF(ISNUMBER(SEARCH("TELA",INVENTARIO!C193)),"TEL",
IF(ISNUMBER(SEARCH("CARTULINA",INVENTARIO!C193)),"CAR",
IF(OR(ISNUMBER(SEARCH("LAMINA",INVENTARIO!C193)),ISNUMBER(SEARCH("LÁMINA",INVENTARIO!C193)),ISNUMBER(SEARCH("LAMPARAS",INVENTARIO!C193))),"LAM",
IF(ISNUMBER(SEARCH("ESTIRENO",INVENTARIO!C193)),"EST",
IF(ISNUMBER(SEARCH("FOAMBOARD",INVENTARIO!C193)),"FOA",
IF(ISNUMBER(SEARCH("SOLVENTE",INVENTARIO!C193)),"SOL",
IF(ISNUMBER(SEARCH("TINTA",INVENTARIO!C193)),"TIN",
IF(ISNUMBER(SEARCH("ACRILICO",INVENTARIO!C193)),"ACR",
IF(ISNUMBER(SEARCH("MICROLED",INVENTARIO!C193)),"MIC",
IF(ISNUMBER(SEARCH("LED",INVENTARIO!C193)),"LED",
IF(ISNUMBER(SEARCH("FUENTE DE PODER",INVENTARIO!C193)),"FUE-POD",
IF(ISNUMBER(SEARCH("PETG",INVENTARIO!C193)),"PET",
IF(ISNUMBER(SEARCH("ALUMINIO",INVENTARIO!C193)),"ALU",
IF(ISNUMBER(SEARCH("CANAL",INVENTARIO!C193)),"CAN",
IF(ISNUMBER(SEARCH("ESCUADRA",INVENTARIO!C193)),"ESC",
IF(ISNUMBER(SEARCH("SOPORTE",INVENTARIO!C193)),"SOP","OTR")
))))))))))))))))))))))))))))))</f>
        <v>ACR</v>
      </c>
      <c r="B193" t="str">
        <f>IF(ISNUMBER(SEARCH("CORTE",INVENTARIO!C193)),"COR",
IF(ISNUMBER(SEARCH("CITYLIGHT",INVENTARIO!C193)),"CIT",
IF(ISNUMBER(SEARCH("LINO",INVENTARIO!C193)),"LIN",
IF(ISNUMBER(SEARCH("FABRIANO",INVENTARIO!C193)),"FAB",
IF(ISNUMBER(SEARCH("SUNDANCE",INVENTARIO!C193)),"SUN",
IF(ISNUMBER(SEARCH("SINTETICA",INVENTARIO!C193)),"SIN",
IF(ISNUMBER(SEARCH("CONTROL",INVENTARIO!C193)),"CON",
IF(ISNUMBER(SEARCH("TERMICO",INVENTARIO!C193)),"TER",
IF(ISNUMBER(SEARCH("C-15",INVENTARIO!C193)),"C15",
IF(ISNUMBER(SEARCH("C-20",INVENTARIO!C193)),"C20",
IF(ISNUMBER(SEARCH("C-30",INVENTARIO!C193)),"C30",
IF(ISNUMBER(SEARCH("C-40",INVENTARIO!C193)),"C40",
IF(ISNUMBER(SEARCH("C-60",INVENTARIO!C193)),"C60",
IF(ISNUMBER(SEARCH("C-80",INVENTARIO!C193)),"C80",
IF(ISNUMBER(SEARCH("EQUIPO",INVENTARIO!C193)),"EQU",
IF(ISNUMBER(SEARCH("FLOOR",INVENTARIO!C193)),"FLO",
IF(ISNUMBER(SEARCH("CRISTAL",INVENTARIO!C193)),"CRI",
IF(ISNUMBER(SEARCH(" SULFATADA",INVENTARIO!C204)),"SUL",
IF(ISNUMBER(SEARCH("OPALINA",INVENTARIO!C193)),"OPA",
IF(ISNUMBER(SEARCH("ADHERIBLE",INVENTARIO!C193)),"ADH",
IF(ISNUMBER(SEARCH("MICRO",INVENTARIO!C193)),"MIC","")))))))))))))))))))))</f>
        <v>CRI</v>
      </c>
      <c r="C193" t="str">
        <f>IF(ISNUMBER(SEARCH("PARED",INVENTARIO!C193)),"PAR",
IF(ISNUMBER(SEARCH("FRONT",INVENTARIO!C193)),"FRO",
IF(ISNUMBER(SEARCH("ALTA RESISTENCIA",INVENTARIO!C193)),
"ALT-RES",IF(ISNUMBER(SEARCH("BACKLITE",INVENTARIO!C193)),"BAC",
IF(ISNUMBER(SEARCH("MATE",INVENTARIO!C193)),"MAT",
IF(ISNUMBER(SEARCH("MESH",INVENTARIO!C193)),"MES",
IF(ISNUMBER(SEARCH("BRILLANTE",INVENTARIO!C193)),"BRI",
IF(ISNUMBER(SEARCH("DELGADA",INVENTARIO!C193)),"DEL",
IF(ISNUMBER(SEARCH("GRUESA",INVENTARIO!C193)),"GRU",
IF(ISNUMBER(SEARCH("ESTATICO",INVENTARIO!C193)),"EST",
IF(ISNUMBER(SEARCH("REFLECTIVO",INVENTARIO!C193)),"REF",
IF(ISNUMBER(SEARCH("LX700",INVENTARIO!C193)),"LX7",
IF(ISNUMBER(SEARCH("GRANDO",INVENTARIO!C193)),"GRA",
IF(ISNUMBER(SEARCH("FB700",INVENTARIO!C193)),"FB7",
IF(ISNUMBER(SEARCH("LX360",INVENTARIO!C193)),"LX3",
IF(ISNUMBER(SEARCH("XEROX",INVENTARIO!C193)),"XER",
IF(ISNUMBER(SEARCH("CEPILLADO",INVENTARIO!C193)),"CEP",
IF(ISNUMBER(SEARCH("ESPEJO",INVENTARIO!C193)),"ESP",
IF(ISNUMBER(SEARCH("10 PTS",INVENTARIO!C193)),"10PT",
IF(ISNUMBER(SEARCH("12 PTS",INVENTARIO!C193)),"12PT",
IF(ISNUMBER(SEARCH("14 PTS",INVENTARIO!C193)),"14PT",
IF(ISNUMBER(SEARCH("CLASICO",INVENTARIO!C193)),"CLA",
""))))))))))))))))))))))</f>
        <v/>
      </c>
      <c r="D193" t="str">
        <f>IF(ISNUMBER(SEARCH("GRAN FORMATO",INVENTARIO!C193)),"GRA-FOR",
IF(ISNUMBER(SEARCH("CAMA PLANA",INVENTARIO!C193)),"CAM-PLA",
IF(ISNUMBER(SEARCH("GRADO INGENIERIA",INVENTARIO!C193)),"GRA-ING",
IF(ISNUMBER(SEARCH("130 GRS",INVENTARIO!C193)),"130GR",
IF(ISNUMBER(SEARCH("150 GRS",INVENTARIO!C193)),"150GR",
IF(ISNUMBER(SEARCH("185 GRS",INVENTARIO!C193)),"185GR",
IF(ISNUMBER(SEARCH("200 GRS",INVENTARIO!C193)),"200GR",
IF(ISNUMBER(SEARCH("250 GRS",INVENTARIO!C193)),"250GR",
IF(ISNUMBER(SEARCH("300 GRS",INVENTARIO!C193)),"300GR",
IF(ISNUMBER(SEARCH("350 GRS",INVENTARIO!C193)),"350GR",
IF(ISNUMBER(SEARCH("18 OZ",INVENTARIO!C193)),"18OZ",
IF(ISNUMBER(SEARCH("15 OZ",INVENTARIO!C193)),"15OZ",
IF(OR(ISNUMBER(SEARCH("13 OZ",INVENTARIO!C193)),ISNUMBER(SEARCH("13 ONZAS",INVENTARIO!C193))),"13OZ",
IF(OR(ISNUMBER(SEARCH("9 OZ",INVENTARIO!C193)),ISNUMBER(SEARCH("9 ONZAS",INVENTARIO!C193))),"09OZ",
IF(ISNUMBER(SEARCH("DOBLE CARA",INVENTARIO!C193)),"DOB-CAR",
"")))))))))))))))</f>
        <v/>
      </c>
      <c r="E193" t="str">
        <f>IF(OR(ISNUMBER(SEARCH("TRANSPARENTE",INVENTARIO!C193)),ISNUMBER(SEARCH("TRANSPARENTES",INVENTARIO!C193))),"TRA",
IF(OR(ISNUMBER(SEARCH("BLANCO",INVENTARIO!C193)),ISNUMBER(SEARCH("BCO",INVENTARIO!C193))),"BLA",
IF(ISNUMBER(SEARCH("FOTOGRAFICO",INVENTARIO!C193)),"FOT",
IF(ISNUMBER(SEARCH("MARFIL",INVENTARIO!C193)),"MAR",
IF(ISNUMBER(SEARCH("VERDE",INVENTARIO!C193)),"VER",
IF(ISNUMBER(SEARCH("MORADO",INVENTARIO!C193)),"MOR",
IF(ISNUMBER(SEARCH("PLATA",INVENTARIO!C193)),"PLA",
IF(ISNUMBER(SEARCH("ORO",INVENTARIO!C193)),"ORO",
IF(ISNUMBER(SEARCH("AMARILLO",INVENTARIO!C193)),"AMA",
IF(ISNUMBER(SEARCH("NARANJA",INVENTARIO!C193)),"NAR",
IF(ISNUMBER(SEARCH("NEGRO",INVENTARIO!C193)),"NEG",
IF(ISNUMBER(SEARCH("ROJO",INVENTARIO!C193)),"ROJ",
IF(ISNUMBER(SEARCH("AZUL",INVENTARIO!C193)),"AZU","")))))))))))))</f>
        <v/>
      </c>
      <c r="F193" t="str">
        <f>IF(ISNUMBER(SEARCH("ARLON",INVENTARIO!C193)),"ARL",
IF(ISNUMBER(SEARCH("SUNTHINKS",INVENTARIO!C193)),"SUN",
IF(ISNUMBER(SEARCH("FRIO",INVENTARIO!C193)),"FRI",
IF(ISNUMBER(SEARCH("CALIDO",INVENTARIO!C193)),"CAL",
IF(ISNUMBER(SEARCH("CEPILLADO",INVENTARIO!C193)),"CEP",
IF(ISNUMBER(SEARCH("ESPEJO",INVENTARIO!C193)),"ESP",
""))))))</f>
        <v/>
      </c>
      <c r="G193" t="str">
        <f>IF(ISNUMBER(SEARCH("LATEX",INVENTARIO!C193)),"LAT",
IF(ISNUMBER(SEARCH("RESP. NEGRO",INVENTARIO!C193)),"RES-NEG",
IF(ISNUMBER(SEARCH("RESPALDO CAFE",INVENTARIO!C193)),"RES-CAF",
IF(ISNUMBER(SEARCH("RESPALDO GRIS",INVENTARIO!C193)),"RES-GRI",
IF(ISNUMBER(SEARCH("OPTICO",INVENTARIO!C193)),"OPT",
IF(ISNUMBER(SEARCH("1,2 MM",INVENTARIO!C193)),"1MM2",
IF(ISNUMBER(SEARCH("2 MM",INVENTARIO!C193)),"2MM",
IF(ISNUMBER(SEARCH("3 MM",INVENTARIO!C193)),"3MM",
IF(ISNUMBER(SEARCH("4 MM",INVENTARIO!C193)),"4MM",
IF(ISNUMBER(SEARCH("5 MM",INVENTARIO!C193)),"5MM",
IF(ISNUMBER(SEARCH("6 MM",INVENTARIO!C193)),"6MM",
IF(ISNUMBER(SEARCH("9 MM",INVENTARIO!C193)),"9MM",
IF(ISNUMBER(SEARCH("10 MM",INVENTARIO!C193)),"10MM","")))))))))))))</f>
        <v>4MM</v>
      </c>
      <c r="H193" t="str">
        <f>IF(ISNUMBER(SEARCH("GAMA BAJA",INVENTARIO!C193)),"GAM-BAJ",
IF(ISNUMBER(SEARCH("OPTIMIZADOR",INVENTARIO!C193)),"OPT",
IF(ISNUMBER(SEARCH("OVERCOAT",INVENTARIO!C193)),"OVE",
IF(ISNUMBER(SEARCH("WHITE",INVENTARIO!C193)),"WHI",
IF(ISNUMBER(SEARCH("LIGHT CYAN",INVENTARIO!C193)),"LIG-CYA",
IF(ISNUMBER(SEARCH("CYAN",INVENTARIO!C193)),"CYA",
IF(ISNUMBER(SEARCH("LIGHT MAGENTA",INVENTARIO!C193)),"LIG-MAG",
IF(ISNUMBER(SEARCH("MAGENTA",INVENTARIO!C193)),"MAG",
IF(ISNUMBER(SEARCH("BLACK",INVENTARIO!C193)),"BLA",
IF(ISNUMBER(SEARCH("YELLOW",INVENTARIO!C193)),"YEL",
IF(ISNUMBER(SEARCH("2 DIODOS",INVENTARIO!C193)),"2DI",
IF(ISNUMBER(SEARCH("3 DIODOS",INVENTARIO!C193)),"3DI",
IF(OR(ISNUMBER(SEARCH("TRASLUCIDO",INVENTARIO!C193)),ISNUMBER(SEARCH("TRANSLUCIDO",INVENTARIO!C193))),"TRA",
"")))))))))))))</f>
        <v/>
      </c>
      <c r="I19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4" spans="1:9">
      <c r="A194" t="str">
        <f>IF(ISNUMBER(SEARCH("LONA",INVENTARIO!C194)),"LON",
IF(ISNUMBER(SEARCH("VINIL",INVENTARIO!C194)),"VIN",
IF(ISNUMBER(SEARCH("KROMACOTE",INVENTARIO!C194)),"KRO",
IF(ISNUMBER(SEARCH("STARDREAM",INVENTARIO!C194)),"STA",
IF(ISNUMBER(SEARCH("DISPLAY",INVENTARIO!C194)),"DIS",
IF(ISNUMBER(SEARCH("ROLL UP",INVENTARIO!C194)),"ROL-UP",
IF(ISNUMBER(SEARCH("TRANSFER DE PAPEL",INVENTARIO!C194)),"TRA-PAP",
IF(ISNUMBER(SEARCH("TRANSFER",INVENTARIO!C194)),"TRA",IF(ISNUMBER(SEARCH("KOLA LOKA",INVENTARIO!C194)),"KOL-LOK",
IF(ISNUMBER(SEARCH("PETG",INVENTARIO!C194)),"PET",
IF(ISNUMBER(SEARCH("OJILLO",INVENTARIO!C194)),"OJI",
IF(ISNUMBER(SEARCH("COUCHE",INVENTARIO!C194)),"COU",
IF(ISNUMBER(SEARCH("PANEL DE ALUMINIO",INVENTARIO!C194)),"PAN-ALU",
IF(ISNUMBER(SEARCH("PVC",INVENTARIO!C194)),"PVC",
IF(ISNUMBER(SEARCH("PAPEL",INVENTARIO!C194)),"PAP",
IF(ISNUMBER(SEARCH("TELA",INVENTARIO!C194)),"TEL",
IF(ISNUMBER(SEARCH("CARTULINA",INVENTARIO!C194)),"CAR",
IF(OR(ISNUMBER(SEARCH("LAMINA",INVENTARIO!C194)),ISNUMBER(SEARCH("LÁMINA",INVENTARIO!C194)),ISNUMBER(SEARCH("LAMPARAS",INVENTARIO!C194))),"LAM",
IF(ISNUMBER(SEARCH("ESTIRENO",INVENTARIO!C194)),"EST",
IF(ISNUMBER(SEARCH("FOAMBOARD",INVENTARIO!C194)),"FOA",
IF(ISNUMBER(SEARCH("SOLVENTE",INVENTARIO!C194)),"SOL",
IF(ISNUMBER(SEARCH("TINTA",INVENTARIO!C194)),"TIN",
IF(ISNUMBER(SEARCH("ACRILICO",INVENTARIO!C194)),"ACR",
IF(ISNUMBER(SEARCH("MICROLED",INVENTARIO!C194)),"MIC",
IF(ISNUMBER(SEARCH("LED",INVENTARIO!C194)),"LED",
IF(ISNUMBER(SEARCH("FUENTE DE PODER",INVENTARIO!C194)),"FUE-POD",
IF(ISNUMBER(SEARCH("PETG",INVENTARIO!C194)),"PET",
IF(ISNUMBER(SEARCH("ALUMINIO",INVENTARIO!C194)),"ALU",
IF(ISNUMBER(SEARCH("CANAL",INVENTARIO!C194)),"CAN",
IF(ISNUMBER(SEARCH("ESCUADRA",INVENTARIO!C194)),"ESC",
IF(ISNUMBER(SEARCH("SOPORTE",INVENTARIO!C194)),"SOP","OTR")
))))))))))))))))))))))))))))))</f>
        <v>ACR</v>
      </c>
      <c r="B194" t="str">
        <f>IF(ISNUMBER(SEARCH("CORTE",INVENTARIO!C194)),"COR",
IF(ISNUMBER(SEARCH("CITYLIGHT",INVENTARIO!C194)),"CIT",
IF(ISNUMBER(SEARCH("LINO",INVENTARIO!C194)),"LIN",
IF(ISNUMBER(SEARCH("FABRIANO",INVENTARIO!C194)),"FAB",
IF(ISNUMBER(SEARCH("SUNDANCE",INVENTARIO!C194)),"SUN",
IF(ISNUMBER(SEARCH("SINTETICA",INVENTARIO!C194)),"SIN",
IF(ISNUMBER(SEARCH("CONTROL",INVENTARIO!C194)),"CON",
IF(ISNUMBER(SEARCH("TERMICO",INVENTARIO!C194)),"TER",
IF(ISNUMBER(SEARCH("C-15",INVENTARIO!C194)),"C15",
IF(ISNUMBER(SEARCH("C-20",INVENTARIO!C194)),"C20",
IF(ISNUMBER(SEARCH("C-30",INVENTARIO!C194)),"C30",
IF(ISNUMBER(SEARCH("C-40",INVENTARIO!C194)),"C40",
IF(ISNUMBER(SEARCH("C-60",INVENTARIO!C194)),"C60",
IF(ISNUMBER(SEARCH("C-80",INVENTARIO!C194)),"C80",
IF(ISNUMBER(SEARCH("EQUIPO",INVENTARIO!C194)),"EQU",
IF(ISNUMBER(SEARCH("FLOOR",INVENTARIO!C194)),"FLO",
IF(ISNUMBER(SEARCH("CRISTAL",INVENTARIO!C194)),"CRI",
IF(ISNUMBER(SEARCH(" SULFATADA",INVENTARIO!C205)),"SUL",
IF(ISNUMBER(SEARCH("OPALINA",INVENTARIO!C194)),"OPA",
IF(ISNUMBER(SEARCH("ADHERIBLE",INVENTARIO!C194)),"ADH",
IF(ISNUMBER(SEARCH("MICRO",INVENTARIO!C194)),"MIC","")))))))))))))))))))))</f>
        <v>CRI</v>
      </c>
      <c r="C194" t="str">
        <f>IF(ISNUMBER(SEARCH("PARED",INVENTARIO!C194)),"PAR",
IF(ISNUMBER(SEARCH("FRONT",INVENTARIO!C194)),"FRO",
IF(ISNUMBER(SEARCH("ALTA RESISTENCIA",INVENTARIO!C194)),
"ALT-RES",IF(ISNUMBER(SEARCH("BACKLITE",INVENTARIO!C194)),"BAC",
IF(ISNUMBER(SEARCH("MATE",INVENTARIO!C194)),"MAT",
IF(ISNUMBER(SEARCH("MESH",INVENTARIO!C194)),"MES",
IF(ISNUMBER(SEARCH("BRILLANTE",INVENTARIO!C194)),"BRI",
IF(ISNUMBER(SEARCH("DELGADA",INVENTARIO!C194)),"DEL",
IF(ISNUMBER(SEARCH("GRUESA",INVENTARIO!C194)),"GRU",
IF(ISNUMBER(SEARCH("ESTATICO",INVENTARIO!C194)),"EST",
IF(ISNUMBER(SEARCH("REFLECTIVO",INVENTARIO!C194)),"REF",
IF(ISNUMBER(SEARCH("LX700",INVENTARIO!C194)),"LX7",
IF(ISNUMBER(SEARCH("GRANDO",INVENTARIO!C194)),"GRA",
IF(ISNUMBER(SEARCH("FB700",INVENTARIO!C194)),"FB7",
IF(ISNUMBER(SEARCH("LX360",INVENTARIO!C194)),"LX3",
IF(ISNUMBER(SEARCH("XEROX",INVENTARIO!C194)),"XER",
IF(ISNUMBER(SEARCH("CEPILLADO",INVENTARIO!C194)),"CEP",
IF(ISNUMBER(SEARCH("ESPEJO",INVENTARIO!C194)),"ESP",
IF(ISNUMBER(SEARCH("10 PTS",INVENTARIO!C194)),"10PT",
IF(ISNUMBER(SEARCH("12 PTS",INVENTARIO!C194)),"12PT",
IF(ISNUMBER(SEARCH("14 PTS",INVENTARIO!C194)),"14PT",
IF(ISNUMBER(SEARCH("CLASICO",INVENTARIO!C194)),"CLA",
""))))))))))))))))))))))</f>
        <v/>
      </c>
      <c r="D194" t="str">
        <f>IF(ISNUMBER(SEARCH("GRAN FORMATO",INVENTARIO!C194)),"GRA-FOR",
IF(ISNUMBER(SEARCH("CAMA PLANA",INVENTARIO!C194)),"CAM-PLA",
IF(ISNUMBER(SEARCH("GRADO INGENIERIA",INVENTARIO!C194)),"GRA-ING",
IF(ISNUMBER(SEARCH("130 GRS",INVENTARIO!C194)),"130GR",
IF(ISNUMBER(SEARCH("150 GRS",INVENTARIO!C194)),"150GR",
IF(ISNUMBER(SEARCH("185 GRS",INVENTARIO!C194)),"185GR",
IF(ISNUMBER(SEARCH("200 GRS",INVENTARIO!C194)),"200GR",
IF(ISNUMBER(SEARCH("250 GRS",INVENTARIO!C194)),"250GR",
IF(ISNUMBER(SEARCH("300 GRS",INVENTARIO!C194)),"300GR",
IF(ISNUMBER(SEARCH("350 GRS",INVENTARIO!C194)),"350GR",
IF(ISNUMBER(SEARCH("18 OZ",INVENTARIO!C194)),"18OZ",
IF(ISNUMBER(SEARCH("15 OZ",INVENTARIO!C194)),"15OZ",
IF(OR(ISNUMBER(SEARCH("13 OZ",INVENTARIO!C194)),ISNUMBER(SEARCH("13 ONZAS",INVENTARIO!C194))),"13OZ",
IF(OR(ISNUMBER(SEARCH("9 OZ",INVENTARIO!C194)),ISNUMBER(SEARCH("9 ONZAS",INVENTARIO!C194))),"09OZ",
IF(ISNUMBER(SEARCH("DOBLE CARA",INVENTARIO!C194)),"DOB-CAR",
"")))))))))))))))</f>
        <v/>
      </c>
      <c r="E194" t="str">
        <f>IF(OR(ISNUMBER(SEARCH("TRANSPARENTE",INVENTARIO!C194)),ISNUMBER(SEARCH("TRANSPARENTES",INVENTARIO!C194))),"TRA",
IF(OR(ISNUMBER(SEARCH("BLANCO",INVENTARIO!C194)),ISNUMBER(SEARCH("BCO",INVENTARIO!C194))),"BLA",
IF(ISNUMBER(SEARCH("FOTOGRAFICO",INVENTARIO!C194)),"FOT",
IF(ISNUMBER(SEARCH("MARFIL",INVENTARIO!C194)),"MAR",
IF(ISNUMBER(SEARCH("VERDE",INVENTARIO!C194)),"VER",
IF(ISNUMBER(SEARCH("MORADO",INVENTARIO!C194)),"MOR",
IF(ISNUMBER(SEARCH("PLATA",INVENTARIO!C194)),"PLA",
IF(ISNUMBER(SEARCH("ORO",INVENTARIO!C194)),"ORO",
IF(ISNUMBER(SEARCH("AMARILLO",INVENTARIO!C194)),"AMA",
IF(ISNUMBER(SEARCH("NARANJA",INVENTARIO!C194)),"NAR",
IF(ISNUMBER(SEARCH("NEGRO",INVENTARIO!C194)),"NEG",
IF(ISNUMBER(SEARCH("ROJO",INVENTARIO!C194)),"ROJ",
IF(ISNUMBER(SEARCH("AZUL",INVENTARIO!C194)),"AZU","")))))))))))))</f>
        <v/>
      </c>
      <c r="F194" t="str">
        <f>IF(ISNUMBER(SEARCH("ARLON",INVENTARIO!C194)),"ARL",
IF(ISNUMBER(SEARCH("SUNTHINKS",INVENTARIO!C194)),"SUN",
IF(ISNUMBER(SEARCH("FRIO",INVENTARIO!C194)),"FRI",
IF(ISNUMBER(SEARCH("CALIDO",INVENTARIO!C194)),"CAL",
IF(ISNUMBER(SEARCH("CEPILLADO",INVENTARIO!C194)),"CEP",
IF(ISNUMBER(SEARCH("ESPEJO",INVENTARIO!C194)),"ESP",
""))))))</f>
        <v/>
      </c>
      <c r="G194" t="str">
        <f>IF(ISNUMBER(SEARCH("LATEX",INVENTARIO!C194)),"LAT",
IF(ISNUMBER(SEARCH("RESP. NEGRO",INVENTARIO!C194)),"RES-NEG",
IF(ISNUMBER(SEARCH("RESPALDO CAFE",INVENTARIO!C194)),"RES-CAF",
IF(ISNUMBER(SEARCH("RESPALDO GRIS",INVENTARIO!C194)),"RES-GRI",
IF(ISNUMBER(SEARCH("OPTICO",INVENTARIO!C194)),"OPT",
IF(ISNUMBER(SEARCH("1,2 MM",INVENTARIO!C194)),"1MM2",
IF(ISNUMBER(SEARCH("2 MM",INVENTARIO!C194)),"2MM",
IF(ISNUMBER(SEARCH("3 MM",INVENTARIO!C194)),"3MM",
IF(ISNUMBER(SEARCH("4 MM",INVENTARIO!C194)),"4MM",
IF(ISNUMBER(SEARCH("5 MM",INVENTARIO!C194)),"5MM",
IF(ISNUMBER(SEARCH("6 MM",INVENTARIO!C194)),"6MM",
IF(ISNUMBER(SEARCH("9 MM",INVENTARIO!C194)),"9MM",
IF(ISNUMBER(SEARCH("10 MM",INVENTARIO!C194)),"10MM","")))))))))))))</f>
        <v>5MM</v>
      </c>
      <c r="H194" t="str">
        <f>IF(ISNUMBER(SEARCH("GAMA BAJA",INVENTARIO!C194)),"GAM-BAJ",
IF(ISNUMBER(SEARCH("OPTIMIZADOR",INVENTARIO!C194)),"OPT",
IF(ISNUMBER(SEARCH("OVERCOAT",INVENTARIO!C194)),"OVE",
IF(ISNUMBER(SEARCH("WHITE",INVENTARIO!C194)),"WHI",
IF(ISNUMBER(SEARCH("LIGHT CYAN",INVENTARIO!C194)),"LIG-CYA",
IF(ISNUMBER(SEARCH("CYAN",INVENTARIO!C194)),"CYA",
IF(ISNUMBER(SEARCH("LIGHT MAGENTA",INVENTARIO!C194)),"LIG-MAG",
IF(ISNUMBER(SEARCH("MAGENTA",INVENTARIO!C194)),"MAG",
IF(ISNUMBER(SEARCH("BLACK",INVENTARIO!C194)),"BLA",
IF(ISNUMBER(SEARCH("YELLOW",INVENTARIO!C194)),"YEL",
IF(ISNUMBER(SEARCH("2 DIODOS",INVENTARIO!C194)),"2DI",
IF(ISNUMBER(SEARCH("3 DIODOS",INVENTARIO!C194)),"3DI",
IF(OR(ISNUMBER(SEARCH("TRASLUCIDO",INVENTARIO!C194)),ISNUMBER(SEARCH("TRANSLUCIDO",INVENTARIO!C194))),"TRA",
"")))))))))))))</f>
        <v/>
      </c>
      <c r="I19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5" spans="1:9">
      <c r="A195" t="str">
        <f>IF(ISNUMBER(SEARCH("LONA",INVENTARIO!C195)),"LON",
IF(ISNUMBER(SEARCH("VINIL",INVENTARIO!C195)),"VIN",
IF(ISNUMBER(SEARCH("KROMACOTE",INVENTARIO!C195)),"KRO",
IF(ISNUMBER(SEARCH("STARDREAM",INVENTARIO!C195)),"STA",
IF(ISNUMBER(SEARCH("DISPLAY",INVENTARIO!C195)),"DIS",
IF(ISNUMBER(SEARCH("ROLL UP",INVENTARIO!C195)),"ROL-UP",
IF(ISNUMBER(SEARCH("TRANSFER DE PAPEL",INVENTARIO!C195)),"TRA-PAP",
IF(ISNUMBER(SEARCH("TRANSFER",INVENTARIO!C195)),"TRA",IF(ISNUMBER(SEARCH("KOLA LOKA",INVENTARIO!C195)),"KOL-LOK",
IF(ISNUMBER(SEARCH("PETG",INVENTARIO!C195)),"PET",
IF(ISNUMBER(SEARCH("OJILLO",INVENTARIO!C195)),"OJI",
IF(ISNUMBER(SEARCH("COUCHE",INVENTARIO!C195)),"COU",
IF(ISNUMBER(SEARCH("PANEL DE ALUMINIO",INVENTARIO!C195)),"PAN-ALU",
IF(ISNUMBER(SEARCH("PVC",INVENTARIO!C195)),"PVC",
IF(ISNUMBER(SEARCH("PAPEL",INVENTARIO!C195)),"PAP",
IF(ISNUMBER(SEARCH("TELA",INVENTARIO!C195)),"TEL",
IF(ISNUMBER(SEARCH("CARTULINA",INVENTARIO!C195)),"CAR",
IF(OR(ISNUMBER(SEARCH("LAMINA",INVENTARIO!C195)),ISNUMBER(SEARCH("LÁMINA",INVENTARIO!C195)),ISNUMBER(SEARCH("LAMPARAS",INVENTARIO!C195))),"LAM",
IF(ISNUMBER(SEARCH("ESTIRENO",INVENTARIO!C195)),"EST",
IF(ISNUMBER(SEARCH("FOAMBOARD",INVENTARIO!C195)),"FOA",
IF(ISNUMBER(SEARCH("SOLVENTE",INVENTARIO!C195)),"SOL",
IF(ISNUMBER(SEARCH("TINTA",INVENTARIO!C195)),"TIN",
IF(ISNUMBER(SEARCH("ACRILICO",INVENTARIO!C195)),"ACR",
IF(ISNUMBER(SEARCH("MICROLED",INVENTARIO!C195)),"MIC",
IF(ISNUMBER(SEARCH("LED",INVENTARIO!C195)),"LED",
IF(ISNUMBER(SEARCH("FUENTE DE PODER",INVENTARIO!C195)),"FUE-POD",
IF(ISNUMBER(SEARCH("PETG",INVENTARIO!C195)),"PET",
IF(ISNUMBER(SEARCH("ALUMINIO",INVENTARIO!C195)),"ALU",
IF(ISNUMBER(SEARCH("CANAL",INVENTARIO!C195)),"CAN",
IF(ISNUMBER(SEARCH("ESCUADRA",INVENTARIO!C195)),"ESC",
IF(ISNUMBER(SEARCH("SOPORTE",INVENTARIO!C195)),"SOP","OTR")
))))))))))))))))))))))))))))))</f>
        <v>ACR</v>
      </c>
      <c r="B195" t="str">
        <f>IF(ISNUMBER(SEARCH("CORTE",INVENTARIO!C195)),"COR",
IF(ISNUMBER(SEARCH("CITYLIGHT",INVENTARIO!C195)),"CIT",
IF(ISNUMBER(SEARCH("LINO",INVENTARIO!C195)),"LIN",
IF(ISNUMBER(SEARCH("FABRIANO",INVENTARIO!C195)),"FAB",
IF(ISNUMBER(SEARCH("SUNDANCE",INVENTARIO!C195)),"SUN",
IF(ISNUMBER(SEARCH("SINTETICA",INVENTARIO!C195)),"SIN",
IF(ISNUMBER(SEARCH("CONTROL",INVENTARIO!C195)),"CON",
IF(ISNUMBER(SEARCH("TERMICO",INVENTARIO!C195)),"TER",
IF(ISNUMBER(SEARCH("C-15",INVENTARIO!C195)),"C15",
IF(ISNUMBER(SEARCH("C-20",INVENTARIO!C195)),"C20",
IF(ISNUMBER(SEARCH("C-30",INVENTARIO!C195)),"C30",
IF(ISNUMBER(SEARCH("C-40",INVENTARIO!C195)),"C40",
IF(ISNUMBER(SEARCH("C-60",INVENTARIO!C195)),"C60",
IF(ISNUMBER(SEARCH("C-80",INVENTARIO!C195)),"C80",
IF(ISNUMBER(SEARCH("EQUIPO",INVENTARIO!C195)),"EQU",
IF(ISNUMBER(SEARCH("FLOOR",INVENTARIO!C195)),"FLO",
IF(ISNUMBER(SEARCH("CRISTAL",INVENTARIO!C195)),"CRI",
IF(ISNUMBER(SEARCH(" SULFATADA",INVENTARIO!C206)),"SUL",
IF(ISNUMBER(SEARCH("OPALINA",INVENTARIO!C195)),"OPA",
IF(ISNUMBER(SEARCH("ADHERIBLE",INVENTARIO!C195)),"ADH",
IF(ISNUMBER(SEARCH("MICRO",INVENTARIO!C195)),"MIC","")))))))))))))))))))))</f>
        <v>CRI</v>
      </c>
      <c r="C195" t="str">
        <f>IF(ISNUMBER(SEARCH("PARED",INVENTARIO!C195)),"PAR",
IF(ISNUMBER(SEARCH("FRONT",INVENTARIO!C195)),"FRO",
IF(ISNUMBER(SEARCH("ALTA RESISTENCIA",INVENTARIO!C195)),
"ALT-RES",IF(ISNUMBER(SEARCH("BACKLITE",INVENTARIO!C195)),"BAC",
IF(ISNUMBER(SEARCH("MATE",INVENTARIO!C195)),"MAT",
IF(ISNUMBER(SEARCH("MESH",INVENTARIO!C195)),"MES",
IF(ISNUMBER(SEARCH("BRILLANTE",INVENTARIO!C195)),"BRI",
IF(ISNUMBER(SEARCH("DELGADA",INVENTARIO!C195)),"DEL",
IF(ISNUMBER(SEARCH("GRUESA",INVENTARIO!C195)),"GRU",
IF(ISNUMBER(SEARCH("ESTATICO",INVENTARIO!C195)),"EST",
IF(ISNUMBER(SEARCH("REFLECTIVO",INVENTARIO!C195)),"REF",
IF(ISNUMBER(SEARCH("LX700",INVENTARIO!C195)),"LX7",
IF(ISNUMBER(SEARCH("GRANDO",INVENTARIO!C195)),"GRA",
IF(ISNUMBER(SEARCH("FB700",INVENTARIO!C195)),"FB7",
IF(ISNUMBER(SEARCH("LX360",INVENTARIO!C195)),"LX3",
IF(ISNUMBER(SEARCH("XEROX",INVENTARIO!C195)),"XER",
IF(ISNUMBER(SEARCH("CEPILLADO",INVENTARIO!C195)),"CEP",
IF(ISNUMBER(SEARCH("ESPEJO",INVENTARIO!C195)),"ESP",
IF(ISNUMBER(SEARCH("10 PTS",INVENTARIO!C195)),"10PT",
IF(ISNUMBER(SEARCH("12 PTS",INVENTARIO!C195)),"12PT",
IF(ISNUMBER(SEARCH("14 PTS",INVENTARIO!C195)),"14PT",
IF(ISNUMBER(SEARCH("CLASICO",INVENTARIO!C195)),"CLA",
""))))))))))))))))))))))</f>
        <v/>
      </c>
      <c r="D195" t="str">
        <f>IF(ISNUMBER(SEARCH("GRAN FORMATO",INVENTARIO!C195)),"GRA-FOR",
IF(ISNUMBER(SEARCH("CAMA PLANA",INVENTARIO!C195)),"CAM-PLA",
IF(ISNUMBER(SEARCH("GRADO INGENIERIA",INVENTARIO!C195)),"GRA-ING",
IF(ISNUMBER(SEARCH("130 GRS",INVENTARIO!C195)),"130GR",
IF(ISNUMBER(SEARCH("150 GRS",INVENTARIO!C195)),"150GR",
IF(ISNUMBER(SEARCH("185 GRS",INVENTARIO!C195)),"185GR",
IF(ISNUMBER(SEARCH("200 GRS",INVENTARIO!C195)),"200GR",
IF(ISNUMBER(SEARCH("250 GRS",INVENTARIO!C195)),"250GR",
IF(ISNUMBER(SEARCH("300 GRS",INVENTARIO!C195)),"300GR",
IF(ISNUMBER(SEARCH("350 GRS",INVENTARIO!C195)),"350GR",
IF(ISNUMBER(SEARCH("18 OZ",INVENTARIO!C195)),"18OZ",
IF(ISNUMBER(SEARCH("15 OZ",INVENTARIO!C195)),"15OZ",
IF(OR(ISNUMBER(SEARCH("13 OZ",INVENTARIO!C195)),ISNUMBER(SEARCH("13 ONZAS",INVENTARIO!C195))),"13OZ",
IF(OR(ISNUMBER(SEARCH("9 OZ",INVENTARIO!C195)),ISNUMBER(SEARCH("9 ONZAS",INVENTARIO!C195))),"09OZ",
IF(ISNUMBER(SEARCH("DOBLE CARA",INVENTARIO!C195)),"DOB-CAR",
"")))))))))))))))</f>
        <v/>
      </c>
      <c r="E195" t="str">
        <f>IF(OR(ISNUMBER(SEARCH("TRANSPARENTE",INVENTARIO!C195)),ISNUMBER(SEARCH("TRANSPARENTES",INVENTARIO!C195))),"TRA",
IF(OR(ISNUMBER(SEARCH("BLANCO",INVENTARIO!C195)),ISNUMBER(SEARCH("BCO",INVENTARIO!C195))),"BLA",
IF(ISNUMBER(SEARCH("FOTOGRAFICO",INVENTARIO!C195)),"FOT",
IF(ISNUMBER(SEARCH("MARFIL",INVENTARIO!C195)),"MAR",
IF(ISNUMBER(SEARCH("VERDE",INVENTARIO!C195)),"VER",
IF(ISNUMBER(SEARCH("MORADO",INVENTARIO!C195)),"MOR",
IF(ISNUMBER(SEARCH("PLATA",INVENTARIO!C195)),"PLA",
IF(ISNUMBER(SEARCH("ORO",INVENTARIO!C195)),"ORO",
IF(ISNUMBER(SEARCH("AMARILLO",INVENTARIO!C195)),"AMA",
IF(ISNUMBER(SEARCH("NARANJA",INVENTARIO!C195)),"NAR",
IF(ISNUMBER(SEARCH("NEGRO",INVENTARIO!C195)),"NEG",
IF(ISNUMBER(SEARCH("ROJO",INVENTARIO!C195)),"ROJ",
IF(ISNUMBER(SEARCH("AZUL",INVENTARIO!C195)),"AZU","")))))))))))))</f>
        <v/>
      </c>
      <c r="F195" t="str">
        <f>IF(ISNUMBER(SEARCH("ARLON",INVENTARIO!C195)),"ARL",
IF(ISNUMBER(SEARCH("SUNTHINKS",INVENTARIO!C195)),"SUN",
IF(ISNUMBER(SEARCH("FRIO",INVENTARIO!C195)),"FRI",
IF(ISNUMBER(SEARCH("CALIDO",INVENTARIO!C195)),"CAL",
IF(ISNUMBER(SEARCH("CEPILLADO",INVENTARIO!C195)),"CEP",
IF(ISNUMBER(SEARCH("ESPEJO",INVENTARIO!C195)),"ESP",
""))))))</f>
        <v/>
      </c>
      <c r="G195" t="str">
        <f>IF(ISNUMBER(SEARCH("LATEX",INVENTARIO!C195)),"LAT",
IF(ISNUMBER(SEARCH("RESP. NEGRO",INVENTARIO!C195)),"RES-NEG",
IF(ISNUMBER(SEARCH("RESPALDO CAFE",INVENTARIO!C195)),"RES-CAF",
IF(ISNUMBER(SEARCH("RESPALDO GRIS",INVENTARIO!C195)),"RES-GRI",
IF(ISNUMBER(SEARCH("OPTICO",INVENTARIO!C195)),"OPT",
IF(ISNUMBER(SEARCH("1,2 MM",INVENTARIO!C195)),"1MM2",
IF(ISNUMBER(SEARCH("2 MM",INVENTARIO!C195)),"2MM",
IF(ISNUMBER(SEARCH("3 MM",INVENTARIO!C195)),"3MM",
IF(ISNUMBER(SEARCH("4 MM",INVENTARIO!C195)),"4MM",
IF(ISNUMBER(SEARCH("5 MM",INVENTARIO!C195)),"5MM",
IF(ISNUMBER(SEARCH("6 MM",INVENTARIO!C195)),"6MM",
IF(ISNUMBER(SEARCH("9 MM",INVENTARIO!C195)),"9MM",
IF(ISNUMBER(SEARCH("10 MM",INVENTARIO!C195)),"10MM","")))))))))))))</f>
        <v>2MM</v>
      </c>
      <c r="H195" t="str">
        <f>IF(ISNUMBER(SEARCH("GAMA BAJA",INVENTARIO!C195)),"GAM-BAJ",
IF(ISNUMBER(SEARCH("OPTIMIZADOR",INVENTARIO!C195)),"OPT",
IF(ISNUMBER(SEARCH("OVERCOAT",INVENTARIO!C195)),"OVE",
IF(ISNUMBER(SEARCH("WHITE",INVENTARIO!C195)),"WHI",
IF(ISNUMBER(SEARCH("LIGHT CYAN",INVENTARIO!C195)),"LIG-CYA",
IF(ISNUMBER(SEARCH("CYAN",INVENTARIO!C195)),"CYA",
IF(ISNUMBER(SEARCH("LIGHT MAGENTA",INVENTARIO!C195)),"LIG-MAG",
IF(ISNUMBER(SEARCH("MAGENTA",INVENTARIO!C195)),"MAG",
IF(ISNUMBER(SEARCH("BLACK",INVENTARIO!C195)),"BLA",
IF(ISNUMBER(SEARCH("YELLOW",INVENTARIO!C195)),"YEL",
IF(ISNUMBER(SEARCH("2 DIODOS",INVENTARIO!C195)),"2DI",
IF(ISNUMBER(SEARCH("3 DIODOS",INVENTARIO!C195)),"3DI",
IF(OR(ISNUMBER(SEARCH("TRASLUCIDO",INVENTARIO!C195)),ISNUMBER(SEARCH("TRANSLUCIDO",INVENTARIO!C195))),"TRA",
"")))))))))))))</f>
        <v/>
      </c>
      <c r="I19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6" spans="1:9">
      <c r="A196" t="str">
        <f>IF(ISNUMBER(SEARCH("LONA",INVENTARIO!C196)),"LON",
IF(ISNUMBER(SEARCH("VINIL",INVENTARIO!C196)),"VIN",
IF(ISNUMBER(SEARCH("KROMACOTE",INVENTARIO!C196)),"KRO",
IF(ISNUMBER(SEARCH("STARDREAM",INVENTARIO!C196)),"STA",
IF(ISNUMBER(SEARCH("DISPLAY",INVENTARIO!C196)),"DIS",
IF(ISNUMBER(SEARCH("ROLL UP",INVENTARIO!C196)),"ROL-UP",
IF(ISNUMBER(SEARCH("TRANSFER DE PAPEL",INVENTARIO!C196)),"TRA-PAP",
IF(ISNUMBER(SEARCH("TRANSFER",INVENTARIO!C196)),"TRA",IF(ISNUMBER(SEARCH("KOLA LOKA",INVENTARIO!C196)),"KOL-LOK",
IF(ISNUMBER(SEARCH("PETG",INVENTARIO!C196)),"PET",
IF(ISNUMBER(SEARCH("OJILLO",INVENTARIO!C196)),"OJI",
IF(ISNUMBER(SEARCH("COUCHE",INVENTARIO!C196)),"COU",
IF(ISNUMBER(SEARCH("PANEL DE ALUMINIO",INVENTARIO!C196)),"PAN-ALU",
IF(ISNUMBER(SEARCH("PVC",INVENTARIO!C196)),"PVC",
IF(ISNUMBER(SEARCH("PAPEL",INVENTARIO!C196)),"PAP",
IF(ISNUMBER(SEARCH("TELA",INVENTARIO!C196)),"TEL",
IF(ISNUMBER(SEARCH("CARTULINA",INVENTARIO!C196)),"CAR",
IF(OR(ISNUMBER(SEARCH("LAMINA",INVENTARIO!C196)),ISNUMBER(SEARCH("LÁMINA",INVENTARIO!C196)),ISNUMBER(SEARCH("LAMPARAS",INVENTARIO!C196))),"LAM",
IF(ISNUMBER(SEARCH("ESTIRENO",INVENTARIO!C196)),"EST",
IF(ISNUMBER(SEARCH("FOAMBOARD",INVENTARIO!C196)),"FOA",
IF(ISNUMBER(SEARCH("SOLVENTE",INVENTARIO!C196)),"SOL",
IF(ISNUMBER(SEARCH("TINTA",INVENTARIO!C196)),"TIN",
IF(ISNUMBER(SEARCH("ACRILICO",INVENTARIO!C196)),"ACR",
IF(ISNUMBER(SEARCH("MICROLED",INVENTARIO!C196)),"MIC",
IF(ISNUMBER(SEARCH("LED",INVENTARIO!C196)),"LED",
IF(ISNUMBER(SEARCH("FUENTE DE PODER",INVENTARIO!C196)),"FUE-POD",
IF(ISNUMBER(SEARCH("PETG",INVENTARIO!C196)),"PET",
IF(ISNUMBER(SEARCH("ALUMINIO",INVENTARIO!C196)),"ALU",
IF(ISNUMBER(SEARCH("CANAL",INVENTARIO!C196)),"CAN",
IF(ISNUMBER(SEARCH("ESCUADRA",INVENTARIO!C196)),"ESC",
IF(ISNUMBER(SEARCH("SOPORTE",INVENTARIO!C196)),"SOP","OTR")
))))))))))))))))))))))))))))))</f>
        <v>ACR</v>
      </c>
      <c r="B196" t="str">
        <f>IF(ISNUMBER(SEARCH("CORTE",INVENTARIO!C196)),"COR",
IF(ISNUMBER(SEARCH("CITYLIGHT",INVENTARIO!C196)),"CIT",
IF(ISNUMBER(SEARCH("LINO",INVENTARIO!C196)),"LIN",
IF(ISNUMBER(SEARCH("FABRIANO",INVENTARIO!C196)),"FAB",
IF(ISNUMBER(SEARCH("SUNDANCE",INVENTARIO!C196)),"SUN",
IF(ISNUMBER(SEARCH("SINTETICA",INVENTARIO!C196)),"SIN",
IF(ISNUMBER(SEARCH("CONTROL",INVENTARIO!C196)),"CON",
IF(ISNUMBER(SEARCH("TERMICO",INVENTARIO!C196)),"TER",
IF(ISNUMBER(SEARCH("C-15",INVENTARIO!C196)),"C15",
IF(ISNUMBER(SEARCH("C-20",INVENTARIO!C196)),"C20",
IF(ISNUMBER(SEARCH("C-30",INVENTARIO!C196)),"C30",
IF(ISNUMBER(SEARCH("C-40",INVENTARIO!C196)),"C40",
IF(ISNUMBER(SEARCH("C-60",INVENTARIO!C196)),"C60",
IF(ISNUMBER(SEARCH("C-80",INVENTARIO!C196)),"C80",
IF(ISNUMBER(SEARCH("EQUIPO",INVENTARIO!C196)),"EQU",
IF(ISNUMBER(SEARCH("FLOOR",INVENTARIO!C196)),"FLO",
IF(ISNUMBER(SEARCH("CRISTAL",INVENTARIO!C196)),"CRI",
IF(ISNUMBER(SEARCH(" SULFATADA",INVENTARIO!C207)),"SUL",
IF(ISNUMBER(SEARCH("OPALINA",INVENTARIO!C196)),"OPA",
IF(ISNUMBER(SEARCH("ADHERIBLE",INVENTARIO!C196)),"ADH",
IF(ISNUMBER(SEARCH("MICRO",INVENTARIO!C196)),"MIC","")))))))))))))))))))))</f>
        <v>CRI</v>
      </c>
      <c r="C196" t="str">
        <f>IF(ISNUMBER(SEARCH("PARED",INVENTARIO!C196)),"PAR",
IF(ISNUMBER(SEARCH("FRONT",INVENTARIO!C196)),"FRO",
IF(ISNUMBER(SEARCH("ALTA RESISTENCIA",INVENTARIO!C196)),
"ALT-RES",IF(ISNUMBER(SEARCH("BACKLITE",INVENTARIO!C196)),"BAC",
IF(ISNUMBER(SEARCH("MATE",INVENTARIO!C196)),"MAT",
IF(ISNUMBER(SEARCH("MESH",INVENTARIO!C196)),"MES",
IF(ISNUMBER(SEARCH("BRILLANTE",INVENTARIO!C196)),"BRI",
IF(ISNUMBER(SEARCH("DELGADA",INVENTARIO!C196)),"DEL",
IF(ISNUMBER(SEARCH("GRUESA",INVENTARIO!C196)),"GRU",
IF(ISNUMBER(SEARCH("ESTATICO",INVENTARIO!C196)),"EST",
IF(ISNUMBER(SEARCH("REFLECTIVO",INVENTARIO!C196)),"REF",
IF(ISNUMBER(SEARCH("LX700",INVENTARIO!C196)),"LX7",
IF(ISNUMBER(SEARCH("GRANDO",INVENTARIO!C196)),"GRA",
IF(ISNUMBER(SEARCH("FB700",INVENTARIO!C196)),"FB7",
IF(ISNUMBER(SEARCH("LX360",INVENTARIO!C196)),"LX3",
IF(ISNUMBER(SEARCH("XEROX",INVENTARIO!C196)),"XER",
IF(ISNUMBER(SEARCH("CEPILLADO",INVENTARIO!C196)),"CEP",
IF(ISNUMBER(SEARCH("ESPEJO",INVENTARIO!C196)),"ESP",
IF(ISNUMBER(SEARCH("10 PTS",INVENTARIO!C196)),"10PT",
IF(ISNUMBER(SEARCH("12 PTS",INVENTARIO!C196)),"12PT",
IF(ISNUMBER(SEARCH("14 PTS",INVENTARIO!C196)),"14PT",
IF(ISNUMBER(SEARCH("CLASICO",INVENTARIO!C196)),"CLA",
""))))))))))))))))))))))</f>
        <v/>
      </c>
      <c r="D196" t="str">
        <f>IF(ISNUMBER(SEARCH("GRAN FORMATO",INVENTARIO!C196)),"GRA-FOR",
IF(ISNUMBER(SEARCH("CAMA PLANA",INVENTARIO!C196)),"CAM-PLA",
IF(ISNUMBER(SEARCH("GRADO INGENIERIA",INVENTARIO!C196)),"GRA-ING",
IF(ISNUMBER(SEARCH("130 GRS",INVENTARIO!C196)),"130GR",
IF(ISNUMBER(SEARCH("150 GRS",INVENTARIO!C196)),"150GR",
IF(ISNUMBER(SEARCH("185 GRS",INVENTARIO!C196)),"185GR",
IF(ISNUMBER(SEARCH("200 GRS",INVENTARIO!C196)),"200GR",
IF(ISNUMBER(SEARCH("250 GRS",INVENTARIO!C196)),"250GR",
IF(ISNUMBER(SEARCH("300 GRS",INVENTARIO!C196)),"300GR",
IF(ISNUMBER(SEARCH("350 GRS",INVENTARIO!C196)),"350GR",
IF(ISNUMBER(SEARCH("18 OZ",INVENTARIO!C196)),"18OZ",
IF(ISNUMBER(SEARCH("15 OZ",INVENTARIO!C196)),"15OZ",
IF(OR(ISNUMBER(SEARCH("13 OZ",INVENTARIO!C196)),ISNUMBER(SEARCH("13 ONZAS",INVENTARIO!C196))),"13OZ",
IF(OR(ISNUMBER(SEARCH("9 OZ",INVENTARIO!C196)),ISNUMBER(SEARCH("9 ONZAS",INVENTARIO!C196))),"09OZ",
IF(ISNUMBER(SEARCH("DOBLE CARA",INVENTARIO!C196)),"DOB-CAR",
"")))))))))))))))</f>
        <v/>
      </c>
      <c r="E196" t="str">
        <f>IF(OR(ISNUMBER(SEARCH("TRANSPARENTE",INVENTARIO!C196)),ISNUMBER(SEARCH("TRANSPARENTES",INVENTARIO!C196))),"TRA",
IF(OR(ISNUMBER(SEARCH("BLANCO",INVENTARIO!C196)),ISNUMBER(SEARCH("BCO",INVENTARIO!C196))),"BLA",
IF(ISNUMBER(SEARCH("FOTOGRAFICO",INVENTARIO!C196)),"FOT",
IF(ISNUMBER(SEARCH("MARFIL",INVENTARIO!C196)),"MAR",
IF(ISNUMBER(SEARCH("VERDE",INVENTARIO!C196)),"VER",
IF(ISNUMBER(SEARCH("MORADO",INVENTARIO!C196)),"MOR",
IF(ISNUMBER(SEARCH("PLATA",INVENTARIO!C196)),"PLA",
IF(ISNUMBER(SEARCH("ORO",INVENTARIO!C196)),"ORO",
IF(ISNUMBER(SEARCH("AMARILLO",INVENTARIO!C196)),"AMA",
IF(ISNUMBER(SEARCH("NARANJA",INVENTARIO!C196)),"NAR",
IF(ISNUMBER(SEARCH("NEGRO",INVENTARIO!C196)),"NEG",
IF(ISNUMBER(SEARCH("ROJO",INVENTARIO!C196)),"ROJ",
IF(ISNUMBER(SEARCH("AZUL",INVENTARIO!C196)),"AZU","")))))))))))))</f>
        <v/>
      </c>
      <c r="F196" t="str">
        <f>IF(ISNUMBER(SEARCH("ARLON",INVENTARIO!C196)),"ARL",
IF(ISNUMBER(SEARCH("SUNTHINKS",INVENTARIO!C196)),"SUN",
IF(ISNUMBER(SEARCH("FRIO",INVENTARIO!C196)),"FRI",
IF(ISNUMBER(SEARCH("CALIDO",INVENTARIO!C196)),"CAL",
IF(ISNUMBER(SEARCH("CEPILLADO",INVENTARIO!C196)),"CEP",
IF(ISNUMBER(SEARCH("ESPEJO",INVENTARIO!C196)),"ESP",
""))))))</f>
        <v/>
      </c>
      <c r="G196" t="str">
        <f>IF(ISNUMBER(SEARCH("LATEX",INVENTARIO!C196)),"LAT",
IF(ISNUMBER(SEARCH("RESP. NEGRO",INVENTARIO!C196)),"RES-NEG",
IF(ISNUMBER(SEARCH("RESPALDO CAFE",INVENTARIO!C196)),"RES-CAF",
IF(ISNUMBER(SEARCH("RESPALDO GRIS",INVENTARIO!C196)),"RES-GRI",
IF(ISNUMBER(SEARCH("OPTICO",INVENTARIO!C196)),"OPT",
IF(ISNUMBER(SEARCH("1,2 MM",INVENTARIO!C196)),"1MM2",
IF(ISNUMBER(SEARCH("2 MM",INVENTARIO!C196)),"2MM",
IF(ISNUMBER(SEARCH("3 MM",INVENTARIO!C196)),"3MM",
IF(ISNUMBER(SEARCH("4 MM",INVENTARIO!C196)),"4MM",
IF(ISNUMBER(SEARCH("5 MM",INVENTARIO!C196)),"5MM",
IF(ISNUMBER(SEARCH("6 MM",INVENTARIO!C196)),"6MM",
IF(ISNUMBER(SEARCH("9 MM",INVENTARIO!C196)),"9MM",
IF(ISNUMBER(SEARCH("10 MM",INVENTARIO!C196)),"10MM","")))))))))))))</f>
        <v>9MM</v>
      </c>
      <c r="H196" t="str">
        <f>IF(ISNUMBER(SEARCH("GAMA BAJA",INVENTARIO!C196)),"GAM-BAJ",
IF(ISNUMBER(SEARCH("OPTIMIZADOR",INVENTARIO!C196)),"OPT",
IF(ISNUMBER(SEARCH("OVERCOAT",INVENTARIO!C196)),"OVE",
IF(ISNUMBER(SEARCH("WHITE",INVENTARIO!C196)),"WHI",
IF(ISNUMBER(SEARCH("LIGHT CYAN",INVENTARIO!C196)),"LIG-CYA",
IF(ISNUMBER(SEARCH("CYAN",INVENTARIO!C196)),"CYA",
IF(ISNUMBER(SEARCH("LIGHT MAGENTA",INVENTARIO!C196)),"LIG-MAG",
IF(ISNUMBER(SEARCH("MAGENTA",INVENTARIO!C196)),"MAG",
IF(ISNUMBER(SEARCH("BLACK",INVENTARIO!C196)),"BLA",
IF(ISNUMBER(SEARCH("YELLOW",INVENTARIO!C196)),"YEL",
IF(ISNUMBER(SEARCH("2 DIODOS",INVENTARIO!C196)),"2DI",
IF(ISNUMBER(SEARCH("3 DIODOS",INVENTARIO!C196)),"3DI",
IF(OR(ISNUMBER(SEARCH("TRASLUCIDO",INVENTARIO!C196)),ISNUMBER(SEARCH("TRANSLUCIDO",INVENTARIO!C196))),"TRA",
"")))))))))))))</f>
        <v/>
      </c>
      <c r="I19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7" spans="1:9">
      <c r="A197" t="str">
        <f>IF(ISNUMBER(SEARCH("LONA",INVENTARIO!C197)),"LON",
IF(ISNUMBER(SEARCH("VINIL",INVENTARIO!C197)),"VIN",
IF(ISNUMBER(SEARCH("KROMACOTE",INVENTARIO!C197)),"KRO",
IF(ISNUMBER(SEARCH("STARDREAM",INVENTARIO!C197)),"STA",
IF(ISNUMBER(SEARCH("DISPLAY",INVENTARIO!C197)),"DIS",
IF(ISNUMBER(SEARCH("ROLL UP",INVENTARIO!C197)),"ROL-UP",
IF(ISNUMBER(SEARCH("TRANSFER DE PAPEL",INVENTARIO!C197)),"TRA-PAP",
IF(ISNUMBER(SEARCH("TRANSFER",INVENTARIO!C197)),"TRA",IF(ISNUMBER(SEARCH("KOLA LOKA",INVENTARIO!C197)),"KOL-LOK",
IF(ISNUMBER(SEARCH("PETG",INVENTARIO!C197)),"PET",
IF(ISNUMBER(SEARCH("OJILLO",INVENTARIO!C197)),"OJI",
IF(ISNUMBER(SEARCH("COUCHE",INVENTARIO!C197)),"COU",
IF(ISNUMBER(SEARCH("PANEL DE ALUMINIO",INVENTARIO!C197)),"PAN-ALU",
IF(ISNUMBER(SEARCH("PVC",INVENTARIO!C197)),"PVC",
IF(ISNUMBER(SEARCH("PAPEL",INVENTARIO!C197)),"PAP",
IF(ISNUMBER(SEARCH("TELA",INVENTARIO!C197)),"TEL",
IF(ISNUMBER(SEARCH("CARTULINA",INVENTARIO!C197)),"CAR",
IF(OR(ISNUMBER(SEARCH("LAMINA",INVENTARIO!C197)),ISNUMBER(SEARCH("LÁMINA",INVENTARIO!C197)),ISNUMBER(SEARCH("LAMPARAS",INVENTARIO!C197))),"LAM",
IF(ISNUMBER(SEARCH("ESTIRENO",INVENTARIO!C197)),"EST",
IF(ISNUMBER(SEARCH("FOAMBOARD",INVENTARIO!C197)),"FOA",
IF(ISNUMBER(SEARCH("SOLVENTE",INVENTARIO!C197)),"SOL",
IF(ISNUMBER(SEARCH("TINTA",INVENTARIO!C197)),"TIN",
IF(ISNUMBER(SEARCH("ACRILICO",INVENTARIO!C197)),"ACR",
IF(ISNUMBER(SEARCH("MICROLED",INVENTARIO!C197)),"MIC",
IF(ISNUMBER(SEARCH("LED",INVENTARIO!C197)),"LED",
IF(ISNUMBER(SEARCH("FUENTE DE PODER",INVENTARIO!C197)),"FUE-POD",
IF(ISNUMBER(SEARCH("PETG",INVENTARIO!C197)),"PET",
IF(ISNUMBER(SEARCH("ALUMINIO",INVENTARIO!C197)),"ALU",
IF(ISNUMBER(SEARCH("CANAL",INVENTARIO!C197)),"CAN",
IF(ISNUMBER(SEARCH("ESCUADRA",INVENTARIO!C197)),"ESC",
IF(ISNUMBER(SEARCH("SOPORTE",INVENTARIO!C197)),"SOP","OTR")
))))))))))))))))))))))))))))))</f>
        <v>ACR</v>
      </c>
      <c r="B197" t="str">
        <f>IF(ISNUMBER(SEARCH("CORTE",INVENTARIO!C197)),"COR",
IF(ISNUMBER(SEARCH("CITYLIGHT",INVENTARIO!C197)),"CIT",
IF(ISNUMBER(SEARCH("LINO",INVENTARIO!C197)),"LIN",
IF(ISNUMBER(SEARCH("FABRIANO",INVENTARIO!C197)),"FAB",
IF(ISNUMBER(SEARCH("SUNDANCE",INVENTARIO!C197)),"SUN",
IF(ISNUMBER(SEARCH("SINTETICA",INVENTARIO!C197)),"SIN",
IF(ISNUMBER(SEARCH("CONTROL",INVENTARIO!C197)),"CON",
IF(ISNUMBER(SEARCH("TERMICO",INVENTARIO!C197)),"TER",
IF(ISNUMBER(SEARCH("C-15",INVENTARIO!C197)),"C15",
IF(ISNUMBER(SEARCH("C-20",INVENTARIO!C197)),"C20",
IF(ISNUMBER(SEARCH("C-30",INVENTARIO!C197)),"C30",
IF(ISNUMBER(SEARCH("C-40",INVENTARIO!C197)),"C40",
IF(ISNUMBER(SEARCH("C-60",INVENTARIO!C197)),"C60",
IF(ISNUMBER(SEARCH("C-80",INVENTARIO!C197)),"C80",
IF(ISNUMBER(SEARCH("EQUIPO",INVENTARIO!C197)),"EQU",
IF(ISNUMBER(SEARCH("FLOOR",INVENTARIO!C197)),"FLO",
IF(ISNUMBER(SEARCH("CRISTAL",INVENTARIO!C197)),"CRI",
IF(ISNUMBER(SEARCH(" SULFATADA",INVENTARIO!C208)),"SUL",
IF(ISNUMBER(SEARCH("OPALINA",INVENTARIO!C197)),"OPA",
IF(ISNUMBER(SEARCH("ADHERIBLE",INVENTARIO!C197)),"ADH",
IF(ISNUMBER(SEARCH("MICRO",INVENTARIO!C197)),"MIC","")))))))))))))))))))))</f>
        <v/>
      </c>
      <c r="C197" t="str">
        <f>IF(ISNUMBER(SEARCH("PARED",INVENTARIO!C197)),"PAR",
IF(ISNUMBER(SEARCH("FRONT",INVENTARIO!C197)),"FRO",
IF(ISNUMBER(SEARCH("ALTA RESISTENCIA",INVENTARIO!C197)),
"ALT-RES",IF(ISNUMBER(SEARCH("BACKLITE",INVENTARIO!C197)),"BAC",
IF(ISNUMBER(SEARCH("MATE",INVENTARIO!C197)),"MAT",
IF(ISNUMBER(SEARCH("MESH",INVENTARIO!C197)),"MES",
IF(ISNUMBER(SEARCH("BRILLANTE",INVENTARIO!C197)),"BRI",
IF(ISNUMBER(SEARCH("DELGADA",INVENTARIO!C197)),"DEL",
IF(ISNUMBER(SEARCH("GRUESA",INVENTARIO!C197)),"GRU",
IF(ISNUMBER(SEARCH("ESTATICO",INVENTARIO!C197)),"EST",
IF(ISNUMBER(SEARCH("REFLECTIVO",INVENTARIO!C197)),"REF",
IF(ISNUMBER(SEARCH("LX700",INVENTARIO!C197)),"LX7",
IF(ISNUMBER(SEARCH("GRANDO",INVENTARIO!C197)),"GRA",
IF(ISNUMBER(SEARCH("FB700",INVENTARIO!C197)),"FB7",
IF(ISNUMBER(SEARCH("LX360",INVENTARIO!C197)),"LX3",
IF(ISNUMBER(SEARCH("XEROX",INVENTARIO!C197)),"XER",
IF(ISNUMBER(SEARCH("CEPILLADO",INVENTARIO!C197)),"CEP",
IF(ISNUMBER(SEARCH("ESPEJO",INVENTARIO!C197)),"ESP",
IF(ISNUMBER(SEARCH("10 PTS",INVENTARIO!C197)),"10PT",
IF(ISNUMBER(SEARCH("12 PTS",INVENTARIO!C197)),"12PT",
IF(ISNUMBER(SEARCH("14 PTS",INVENTARIO!C197)),"14PT",
IF(ISNUMBER(SEARCH("CLASICO",INVENTARIO!C197)),"CLA",
""))))))))))))))))))))))</f>
        <v/>
      </c>
      <c r="D197" t="str">
        <f>IF(ISNUMBER(SEARCH("GRAN FORMATO",INVENTARIO!C197)),"GRA-FOR",
IF(ISNUMBER(SEARCH("CAMA PLANA",INVENTARIO!C197)),"CAM-PLA",
IF(ISNUMBER(SEARCH("GRADO INGENIERIA",INVENTARIO!C197)),"GRA-ING",
IF(ISNUMBER(SEARCH("130 GRS",INVENTARIO!C197)),"130GR",
IF(ISNUMBER(SEARCH("150 GRS",INVENTARIO!C197)),"150GR",
IF(ISNUMBER(SEARCH("185 GRS",INVENTARIO!C197)),"185GR",
IF(ISNUMBER(SEARCH("200 GRS",INVENTARIO!C197)),"200GR",
IF(ISNUMBER(SEARCH("250 GRS",INVENTARIO!C197)),"250GR",
IF(ISNUMBER(SEARCH("300 GRS",INVENTARIO!C197)),"300GR",
IF(ISNUMBER(SEARCH("350 GRS",INVENTARIO!C197)),"350GR",
IF(ISNUMBER(SEARCH("18 OZ",INVENTARIO!C197)),"18OZ",
IF(ISNUMBER(SEARCH("15 OZ",INVENTARIO!C197)),"15OZ",
IF(OR(ISNUMBER(SEARCH("13 OZ",INVENTARIO!C197)),ISNUMBER(SEARCH("13 ONZAS",INVENTARIO!C197))),"13OZ",
IF(OR(ISNUMBER(SEARCH("9 OZ",INVENTARIO!C197)),ISNUMBER(SEARCH("9 ONZAS",INVENTARIO!C197))),"09OZ",
IF(ISNUMBER(SEARCH("DOBLE CARA",INVENTARIO!C197)),"DOB-CAR",
"")))))))))))))))</f>
        <v/>
      </c>
      <c r="E197" t="str">
        <f>IF(OR(ISNUMBER(SEARCH("TRANSPARENTE",INVENTARIO!C197)),ISNUMBER(SEARCH("TRANSPARENTES",INVENTARIO!C197))),"TRA",
IF(OR(ISNUMBER(SEARCH("BLANCO",INVENTARIO!C197)),ISNUMBER(SEARCH("BCO",INVENTARIO!C197))),"BLA",
IF(ISNUMBER(SEARCH("FOTOGRAFICO",INVENTARIO!C197)),"FOT",
IF(ISNUMBER(SEARCH("MARFIL",INVENTARIO!C197)),"MAR",
IF(ISNUMBER(SEARCH("VERDE",INVENTARIO!C197)),"VER",
IF(ISNUMBER(SEARCH("MORADO",INVENTARIO!C197)),"MOR",
IF(ISNUMBER(SEARCH("PLATA",INVENTARIO!C197)),"PLA",
IF(ISNUMBER(SEARCH("ORO",INVENTARIO!C197)),"ORO",
IF(ISNUMBER(SEARCH("AMARILLO",INVENTARIO!C197)),"AMA",
IF(ISNUMBER(SEARCH("NARANJA",INVENTARIO!C197)),"NAR",
IF(ISNUMBER(SEARCH("NEGRO",INVENTARIO!C197)),"NEG",
IF(ISNUMBER(SEARCH("ROJO",INVENTARIO!C197)),"ROJ",
IF(ISNUMBER(SEARCH("AZUL",INVENTARIO!C197)),"AZU","")))))))))))))</f>
        <v>ROJ</v>
      </c>
      <c r="F197" t="str">
        <f>IF(ISNUMBER(SEARCH("ARLON",INVENTARIO!C197)),"ARL",
IF(ISNUMBER(SEARCH("SUNTHINKS",INVENTARIO!C197)),"SUN",
IF(ISNUMBER(SEARCH("FRIO",INVENTARIO!C197)),"FRI",
IF(ISNUMBER(SEARCH("CALIDO",INVENTARIO!C197)),"CAL",
IF(ISNUMBER(SEARCH("CEPILLADO",INVENTARIO!C197)),"CEP",
IF(ISNUMBER(SEARCH("ESPEJO",INVENTARIO!C197)),"ESP",
""))))))</f>
        <v/>
      </c>
      <c r="G197" t="str">
        <f>IF(ISNUMBER(SEARCH("LATEX",INVENTARIO!C197)),"LAT",
IF(ISNUMBER(SEARCH("RESP. NEGRO",INVENTARIO!C197)),"RES-NEG",
IF(ISNUMBER(SEARCH("RESPALDO CAFE",INVENTARIO!C197)),"RES-CAF",
IF(ISNUMBER(SEARCH("RESPALDO GRIS",INVENTARIO!C197)),"RES-GRI",
IF(ISNUMBER(SEARCH("OPTICO",INVENTARIO!C197)),"OPT",
IF(ISNUMBER(SEARCH("1,2 MM",INVENTARIO!C197)),"1MM2",
IF(ISNUMBER(SEARCH("2 MM",INVENTARIO!C197)),"2MM",
IF(ISNUMBER(SEARCH("3 MM",INVENTARIO!C197)),"3MM",
IF(ISNUMBER(SEARCH("4 MM",INVENTARIO!C197)),"4MM",
IF(ISNUMBER(SEARCH("5 MM",INVENTARIO!C197)),"5MM",
IF(ISNUMBER(SEARCH("6 MM",INVENTARIO!C197)),"6MM",
IF(ISNUMBER(SEARCH("9 MM",INVENTARIO!C197)),"9MM",
IF(ISNUMBER(SEARCH("10 MM",INVENTARIO!C197)),"10MM","")))))))))))))</f>
        <v>3MM</v>
      </c>
      <c r="H197" t="str">
        <f>IF(ISNUMBER(SEARCH("GAMA BAJA",INVENTARIO!C197)),"GAM-BAJ",
IF(ISNUMBER(SEARCH("OPTIMIZADOR",INVENTARIO!C197)),"OPT",
IF(ISNUMBER(SEARCH("OVERCOAT",INVENTARIO!C197)),"OVE",
IF(ISNUMBER(SEARCH("WHITE",INVENTARIO!C197)),"WHI",
IF(ISNUMBER(SEARCH("LIGHT CYAN",INVENTARIO!C197)),"LIG-CYA",
IF(ISNUMBER(SEARCH("CYAN",INVENTARIO!C197)),"CYA",
IF(ISNUMBER(SEARCH("LIGHT MAGENTA",INVENTARIO!C197)),"LIG-MAG",
IF(ISNUMBER(SEARCH("MAGENTA",INVENTARIO!C197)),"MAG",
IF(ISNUMBER(SEARCH("BLACK",INVENTARIO!C197)),"BLA",
IF(ISNUMBER(SEARCH("YELLOW",INVENTARIO!C197)),"YEL",
IF(ISNUMBER(SEARCH("2 DIODOS",INVENTARIO!C197)),"2DI",
IF(ISNUMBER(SEARCH("3 DIODOS",INVENTARIO!C197)),"3DI",
IF(OR(ISNUMBER(SEARCH("TRASLUCIDO",INVENTARIO!C197)),ISNUMBER(SEARCH("TRANSLUCIDO",INVENTARIO!C197))),"TRA",
"")))))))))))))</f>
        <v/>
      </c>
      <c r="I19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8" spans="1:9">
      <c r="A198" t="str">
        <f>IF(ISNUMBER(SEARCH("LONA",INVENTARIO!C198)),"LON",
IF(ISNUMBER(SEARCH("VINIL",INVENTARIO!C198)),"VIN",
IF(ISNUMBER(SEARCH("KROMACOTE",INVENTARIO!C198)),"KRO",
IF(ISNUMBER(SEARCH("STARDREAM",INVENTARIO!C198)),"STA",
IF(ISNUMBER(SEARCH("DISPLAY",INVENTARIO!C198)),"DIS",
IF(ISNUMBER(SEARCH("ROLL UP",INVENTARIO!C198)),"ROL-UP",
IF(ISNUMBER(SEARCH("TRANSFER DE PAPEL",INVENTARIO!C198)),"TRA-PAP",
IF(ISNUMBER(SEARCH("TRANSFER",INVENTARIO!C198)),"TRA",IF(ISNUMBER(SEARCH("KOLA LOKA",INVENTARIO!C198)),"KOL-LOK",
IF(ISNUMBER(SEARCH("PETG",INVENTARIO!C198)),"PET",
IF(ISNUMBER(SEARCH("OJILLO",INVENTARIO!C198)),"OJI",
IF(ISNUMBER(SEARCH("COUCHE",INVENTARIO!C198)),"COU",
IF(ISNUMBER(SEARCH("PANEL DE ALUMINIO",INVENTARIO!C198)),"PAN-ALU",
IF(ISNUMBER(SEARCH("PVC",INVENTARIO!C198)),"PVC",
IF(ISNUMBER(SEARCH("PAPEL",INVENTARIO!C198)),"PAP",
IF(ISNUMBER(SEARCH("TELA",INVENTARIO!C198)),"TEL",
IF(ISNUMBER(SEARCH("CARTULINA",INVENTARIO!C198)),"CAR",
IF(OR(ISNUMBER(SEARCH("LAMINA",INVENTARIO!C198)),ISNUMBER(SEARCH("LÁMINA",INVENTARIO!C198)),ISNUMBER(SEARCH("LAMPARAS",INVENTARIO!C198))),"LAM",
IF(ISNUMBER(SEARCH("ESTIRENO",INVENTARIO!C198)),"EST",
IF(ISNUMBER(SEARCH("FOAMBOARD",INVENTARIO!C198)),"FOA",
IF(ISNUMBER(SEARCH("SOLVENTE",INVENTARIO!C198)),"SOL",
IF(ISNUMBER(SEARCH("TINTA",INVENTARIO!C198)),"TIN",
IF(ISNUMBER(SEARCH("ACRILICO",INVENTARIO!C198)),"ACR",
IF(ISNUMBER(SEARCH("MICROLED",INVENTARIO!C198)),"MIC",
IF(ISNUMBER(SEARCH("LED",INVENTARIO!C198)),"LED",
IF(ISNUMBER(SEARCH("FUENTE DE PODER",INVENTARIO!C198)),"FUE-POD",
IF(ISNUMBER(SEARCH("PETG",INVENTARIO!C198)),"PET",
IF(ISNUMBER(SEARCH("ALUMINIO",INVENTARIO!C198)),"ALU",
IF(ISNUMBER(SEARCH("CANAL",INVENTARIO!C198)),"CAN",
IF(ISNUMBER(SEARCH("ESCUADRA",INVENTARIO!C198)),"ESC",
IF(ISNUMBER(SEARCH("SOPORTE",INVENTARIO!C198)),"SOP","OTR")
))))))))))))))))))))))))))))))</f>
        <v>ACR</v>
      </c>
      <c r="B198" t="str">
        <f>IF(ISNUMBER(SEARCH("CORTE",INVENTARIO!C198)),"COR",
IF(ISNUMBER(SEARCH("CITYLIGHT",INVENTARIO!C198)),"CIT",
IF(ISNUMBER(SEARCH("LINO",INVENTARIO!C198)),"LIN",
IF(ISNUMBER(SEARCH("FABRIANO",INVENTARIO!C198)),"FAB",
IF(ISNUMBER(SEARCH("SUNDANCE",INVENTARIO!C198)),"SUN",
IF(ISNUMBER(SEARCH("SINTETICA",INVENTARIO!C198)),"SIN",
IF(ISNUMBER(SEARCH("CONTROL",INVENTARIO!C198)),"CON",
IF(ISNUMBER(SEARCH("TERMICO",INVENTARIO!C198)),"TER",
IF(ISNUMBER(SEARCH("C-15",INVENTARIO!C198)),"C15",
IF(ISNUMBER(SEARCH("C-20",INVENTARIO!C198)),"C20",
IF(ISNUMBER(SEARCH("C-30",INVENTARIO!C198)),"C30",
IF(ISNUMBER(SEARCH("C-40",INVENTARIO!C198)),"C40",
IF(ISNUMBER(SEARCH("C-60",INVENTARIO!C198)),"C60",
IF(ISNUMBER(SEARCH("C-80",INVENTARIO!C198)),"C80",
IF(ISNUMBER(SEARCH("EQUIPO",INVENTARIO!C198)),"EQU",
IF(ISNUMBER(SEARCH("FLOOR",INVENTARIO!C198)),"FLO",
IF(ISNUMBER(SEARCH("CRISTAL",INVENTARIO!C198)),"CRI",
IF(ISNUMBER(SEARCH(" SULFATADA",INVENTARIO!C209)),"SUL",
IF(ISNUMBER(SEARCH("OPALINA",INVENTARIO!C198)),"OPA",
IF(ISNUMBER(SEARCH("ADHERIBLE",INVENTARIO!C198)),"ADH",
IF(ISNUMBER(SEARCH("MICRO",INVENTARIO!C198)),"MIC","")))))))))))))))))))))</f>
        <v/>
      </c>
      <c r="C198" t="str">
        <f>IF(ISNUMBER(SEARCH("PARED",INVENTARIO!C198)),"PAR",
IF(ISNUMBER(SEARCH("FRONT",INVENTARIO!C198)),"FRO",
IF(ISNUMBER(SEARCH("ALTA RESISTENCIA",INVENTARIO!C198)),
"ALT-RES",IF(ISNUMBER(SEARCH("BACKLITE",INVENTARIO!C198)),"BAC",
IF(ISNUMBER(SEARCH("MATE",INVENTARIO!C198)),"MAT",
IF(ISNUMBER(SEARCH("MESH",INVENTARIO!C198)),"MES",
IF(ISNUMBER(SEARCH("BRILLANTE",INVENTARIO!C198)),"BRI",
IF(ISNUMBER(SEARCH("DELGADA",INVENTARIO!C198)),"DEL",
IF(ISNUMBER(SEARCH("GRUESA",INVENTARIO!C198)),"GRU",
IF(ISNUMBER(SEARCH("ESTATICO",INVENTARIO!C198)),"EST",
IF(ISNUMBER(SEARCH("REFLECTIVO",INVENTARIO!C198)),"REF",
IF(ISNUMBER(SEARCH("LX700",INVENTARIO!C198)),"LX7",
IF(ISNUMBER(SEARCH("GRANDO",INVENTARIO!C198)),"GRA",
IF(ISNUMBER(SEARCH("FB700",INVENTARIO!C198)),"FB7",
IF(ISNUMBER(SEARCH("LX360",INVENTARIO!C198)),"LX3",
IF(ISNUMBER(SEARCH("XEROX",INVENTARIO!C198)),"XER",
IF(ISNUMBER(SEARCH("CEPILLADO",INVENTARIO!C198)),"CEP",
IF(ISNUMBER(SEARCH("ESPEJO",INVENTARIO!C198)),"ESP",
IF(ISNUMBER(SEARCH("10 PTS",INVENTARIO!C198)),"10PT",
IF(ISNUMBER(SEARCH("12 PTS",INVENTARIO!C198)),"12PT",
IF(ISNUMBER(SEARCH("14 PTS",INVENTARIO!C198)),"14PT",
IF(ISNUMBER(SEARCH("CLASICO",INVENTARIO!C198)),"CLA",
""))))))))))))))))))))))</f>
        <v/>
      </c>
      <c r="D198" t="str">
        <f>IF(ISNUMBER(SEARCH("GRAN FORMATO",INVENTARIO!C198)),"GRA-FOR",
IF(ISNUMBER(SEARCH("CAMA PLANA",INVENTARIO!C198)),"CAM-PLA",
IF(ISNUMBER(SEARCH("GRADO INGENIERIA",INVENTARIO!C198)),"GRA-ING",
IF(ISNUMBER(SEARCH("130 GRS",INVENTARIO!C198)),"130GR",
IF(ISNUMBER(SEARCH("150 GRS",INVENTARIO!C198)),"150GR",
IF(ISNUMBER(SEARCH("185 GRS",INVENTARIO!C198)),"185GR",
IF(ISNUMBER(SEARCH("200 GRS",INVENTARIO!C198)),"200GR",
IF(ISNUMBER(SEARCH("250 GRS",INVENTARIO!C198)),"250GR",
IF(ISNUMBER(SEARCH("300 GRS",INVENTARIO!C198)),"300GR",
IF(ISNUMBER(SEARCH("350 GRS",INVENTARIO!C198)),"350GR",
IF(ISNUMBER(SEARCH("18 OZ",INVENTARIO!C198)),"18OZ",
IF(ISNUMBER(SEARCH("15 OZ",INVENTARIO!C198)),"15OZ",
IF(OR(ISNUMBER(SEARCH("13 OZ",INVENTARIO!C198)),ISNUMBER(SEARCH("13 ONZAS",INVENTARIO!C198))),"13OZ",
IF(OR(ISNUMBER(SEARCH("9 OZ",INVENTARIO!C198)),ISNUMBER(SEARCH("9 ONZAS",INVENTARIO!C198))),"09OZ",
IF(ISNUMBER(SEARCH("DOBLE CARA",INVENTARIO!C198)),"DOB-CAR",
"")))))))))))))))</f>
        <v/>
      </c>
      <c r="E198" t="str">
        <f>IF(OR(ISNUMBER(SEARCH("TRANSPARENTE",INVENTARIO!C198)),ISNUMBER(SEARCH("TRANSPARENTES",INVENTARIO!C198))),"TRA",
IF(OR(ISNUMBER(SEARCH("BLANCO",INVENTARIO!C198)),ISNUMBER(SEARCH("BCO",INVENTARIO!C198))),"BLA",
IF(ISNUMBER(SEARCH("FOTOGRAFICO",INVENTARIO!C198)),"FOT",
IF(ISNUMBER(SEARCH("MARFIL",INVENTARIO!C198)),"MAR",
IF(ISNUMBER(SEARCH("VERDE",INVENTARIO!C198)),"VER",
IF(ISNUMBER(SEARCH("MORADO",INVENTARIO!C198)),"MOR",
IF(ISNUMBER(SEARCH("PLATA",INVENTARIO!C198)),"PLA",
IF(ISNUMBER(SEARCH("ORO",INVENTARIO!C198)),"ORO",
IF(ISNUMBER(SEARCH("AMARILLO",INVENTARIO!C198)),"AMA",
IF(ISNUMBER(SEARCH("NARANJA",INVENTARIO!C198)),"NAR",
IF(ISNUMBER(SEARCH("NEGRO",INVENTARIO!C198)),"NEG",
IF(ISNUMBER(SEARCH("ROJO",INVENTARIO!C198)),"ROJ",
IF(ISNUMBER(SEARCH("AZUL",INVENTARIO!C198)),"AZU","")))))))))))))</f>
        <v>ROJ</v>
      </c>
      <c r="F198" t="str">
        <f>IF(ISNUMBER(SEARCH("ARLON",INVENTARIO!C198)),"ARL",
IF(ISNUMBER(SEARCH("SUNTHINKS",INVENTARIO!C198)),"SUN",
IF(ISNUMBER(SEARCH("FRIO",INVENTARIO!C198)),"FRI",
IF(ISNUMBER(SEARCH("CALIDO",INVENTARIO!C198)),"CAL",
IF(ISNUMBER(SEARCH("CEPILLADO",INVENTARIO!C198)),"CEP",
IF(ISNUMBER(SEARCH("ESPEJO",INVENTARIO!C198)),"ESP",
""))))))</f>
        <v/>
      </c>
      <c r="G198" t="str">
        <f>IF(ISNUMBER(SEARCH("LATEX",INVENTARIO!C198)),"LAT",
IF(ISNUMBER(SEARCH("RESP. NEGRO",INVENTARIO!C198)),"RES-NEG",
IF(ISNUMBER(SEARCH("RESPALDO CAFE",INVENTARIO!C198)),"RES-CAF",
IF(ISNUMBER(SEARCH("RESPALDO GRIS",INVENTARIO!C198)),"RES-GRI",
IF(ISNUMBER(SEARCH("OPTICO",INVENTARIO!C198)),"OPT",
IF(ISNUMBER(SEARCH("1,2 MM",INVENTARIO!C198)),"1MM2",
IF(ISNUMBER(SEARCH("2 MM",INVENTARIO!C198)),"2MM",
IF(ISNUMBER(SEARCH("3 MM",INVENTARIO!C198)),"3MM",
IF(ISNUMBER(SEARCH("4 MM",INVENTARIO!C198)),"4MM",
IF(ISNUMBER(SEARCH("5 MM",INVENTARIO!C198)),"5MM",
IF(ISNUMBER(SEARCH("6 MM",INVENTARIO!C198)),"6MM",
IF(ISNUMBER(SEARCH("9 MM",INVENTARIO!C198)),"9MM",
IF(ISNUMBER(SEARCH("10 MM",INVENTARIO!C198)),"10MM","")))))))))))))</f>
        <v>3MM</v>
      </c>
      <c r="H198" t="str">
        <f>IF(ISNUMBER(SEARCH("GAMA BAJA",INVENTARIO!C198)),"GAM-BAJ",
IF(ISNUMBER(SEARCH("OPTIMIZADOR",INVENTARIO!C198)),"OPT",
IF(ISNUMBER(SEARCH("OVERCOAT",INVENTARIO!C198)),"OVE",
IF(ISNUMBER(SEARCH("WHITE",INVENTARIO!C198)),"WHI",
IF(ISNUMBER(SEARCH("LIGHT CYAN",INVENTARIO!C198)),"LIG-CYA",
IF(ISNUMBER(SEARCH("CYAN",INVENTARIO!C198)),"CYA",
IF(ISNUMBER(SEARCH("LIGHT MAGENTA",INVENTARIO!C198)),"LIG-MAG",
IF(ISNUMBER(SEARCH("MAGENTA",INVENTARIO!C198)),"MAG",
IF(ISNUMBER(SEARCH("BLACK",INVENTARIO!C198)),"BLA",
IF(ISNUMBER(SEARCH("YELLOW",INVENTARIO!C198)),"YEL",
IF(ISNUMBER(SEARCH("2 DIODOS",INVENTARIO!C198)),"2DI",
IF(ISNUMBER(SEARCH("3 DIODOS",INVENTARIO!C198)),"3DI",
IF(OR(ISNUMBER(SEARCH("TRASLUCIDO",INVENTARIO!C198)),ISNUMBER(SEARCH("TRANSLUCIDO",INVENTARIO!C198))),"TRA",
"")))))))))))))</f>
        <v/>
      </c>
      <c r="I19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199" spans="1:9">
      <c r="A199" t="str">
        <f>IF(ISNUMBER(SEARCH("LONA",INVENTARIO!C199)),"LON",
IF(ISNUMBER(SEARCH("VINIL",INVENTARIO!C199)),"VIN",
IF(ISNUMBER(SEARCH("KROMACOTE",INVENTARIO!C199)),"KRO",
IF(ISNUMBER(SEARCH("STARDREAM",INVENTARIO!C199)),"STA",
IF(ISNUMBER(SEARCH("DISPLAY",INVENTARIO!C199)),"DIS",
IF(ISNUMBER(SEARCH("ROLL UP",INVENTARIO!C199)),"ROL-UP",
IF(ISNUMBER(SEARCH("TRANSFER DE PAPEL",INVENTARIO!C199)),"TRA-PAP",
IF(ISNUMBER(SEARCH("TRANSFER",INVENTARIO!C199)),"TRA",IF(ISNUMBER(SEARCH("KOLA LOKA",INVENTARIO!C199)),"KOL-LOK",
IF(ISNUMBER(SEARCH("PETG",INVENTARIO!C199)),"PET",
IF(ISNUMBER(SEARCH("OJILLO",INVENTARIO!C199)),"OJI",
IF(ISNUMBER(SEARCH("COUCHE",INVENTARIO!C199)),"COU",
IF(ISNUMBER(SEARCH("PANEL DE ALUMINIO",INVENTARIO!C199)),"PAN-ALU",
IF(ISNUMBER(SEARCH("PVC",INVENTARIO!C199)),"PVC",
IF(ISNUMBER(SEARCH("PAPEL",INVENTARIO!C199)),"PAP",
IF(ISNUMBER(SEARCH("TELA",INVENTARIO!C199)),"TEL",
IF(ISNUMBER(SEARCH("CARTULINA",INVENTARIO!C199)),"CAR",
IF(OR(ISNUMBER(SEARCH("LAMINA",INVENTARIO!C199)),ISNUMBER(SEARCH("LÁMINA",INVENTARIO!C199)),ISNUMBER(SEARCH("LAMPARAS",INVENTARIO!C199))),"LAM",
IF(ISNUMBER(SEARCH("ESTIRENO",INVENTARIO!C199)),"EST",
IF(ISNUMBER(SEARCH("FOAMBOARD",INVENTARIO!C199)),"FOA",
IF(ISNUMBER(SEARCH("SOLVENTE",INVENTARIO!C199)),"SOL",
IF(ISNUMBER(SEARCH("TINTA",INVENTARIO!C199)),"TIN",
IF(ISNUMBER(SEARCH("ACRILICO",INVENTARIO!C199)),"ACR",
IF(ISNUMBER(SEARCH("MICROLED",INVENTARIO!C199)),"MIC",
IF(ISNUMBER(SEARCH("LED",INVENTARIO!C199)),"LED",
IF(ISNUMBER(SEARCH("FUENTE DE PODER",INVENTARIO!C199)),"FUE-POD",
IF(ISNUMBER(SEARCH("PETG",INVENTARIO!C199)),"PET",
IF(ISNUMBER(SEARCH("ALUMINIO",INVENTARIO!C199)),"ALU",
IF(ISNUMBER(SEARCH("CANAL",INVENTARIO!C199)),"CAN",
IF(ISNUMBER(SEARCH("ESCUADRA",INVENTARIO!C199)),"ESC",
IF(ISNUMBER(SEARCH("SOPORTE",INVENTARIO!C199)),"SOP","OTR")
))))))))))))))))))))))))))))))</f>
        <v>ACR</v>
      </c>
      <c r="B199" t="str">
        <f>IF(ISNUMBER(SEARCH("CORTE",INVENTARIO!C199)),"COR",
IF(ISNUMBER(SEARCH("CITYLIGHT",INVENTARIO!C199)),"CIT",
IF(ISNUMBER(SEARCH("LINO",INVENTARIO!C199)),"LIN",
IF(ISNUMBER(SEARCH("FABRIANO",INVENTARIO!C199)),"FAB",
IF(ISNUMBER(SEARCH("SUNDANCE",INVENTARIO!C199)),"SUN",
IF(ISNUMBER(SEARCH("SINTETICA",INVENTARIO!C199)),"SIN",
IF(ISNUMBER(SEARCH("CONTROL",INVENTARIO!C199)),"CON",
IF(ISNUMBER(SEARCH("TERMICO",INVENTARIO!C199)),"TER",
IF(ISNUMBER(SEARCH("C-15",INVENTARIO!C199)),"C15",
IF(ISNUMBER(SEARCH("C-20",INVENTARIO!C199)),"C20",
IF(ISNUMBER(SEARCH("C-30",INVENTARIO!C199)),"C30",
IF(ISNUMBER(SEARCH("C-40",INVENTARIO!C199)),"C40",
IF(ISNUMBER(SEARCH("C-60",INVENTARIO!C199)),"C60",
IF(ISNUMBER(SEARCH("C-80",INVENTARIO!C199)),"C80",
IF(ISNUMBER(SEARCH("EQUIPO",INVENTARIO!C199)),"EQU",
IF(ISNUMBER(SEARCH("FLOOR",INVENTARIO!C199)),"FLO",
IF(ISNUMBER(SEARCH("CRISTAL",INVENTARIO!C199)),"CRI",
IF(ISNUMBER(SEARCH(" SULFATADA",INVENTARIO!C210)),"SUL",
IF(ISNUMBER(SEARCH("OPALINA",INVENTARIO!C199)),"OPA",
IF(ISNUMBER(SEARCH("ADHERIBLE",INVENTARIO!C199)),"ADH",
IF(ISNUMBER(SEARCH("MICRO",INVENTARIO!C199)),"MIC","")))))))))))))))))))))</f>
        <v/>
      </c>
      <c r="C199" t="str">
        <f>IF(ISNUMBER(SEARCH("PARED",INVENTARIO!C199)),"PAR",
IF(ISNUMBER(SEARCH("FRONT",INVENTARIO!C199)),"FRO",
IF(ISNUMBER(SEARCH("ALTA RESISTENCIA",INVENTARIO!C199)),
"ALT-RES",IF(ISNUMBER(SEARCH("BACKLITE",INVENTARIO!C199)),"BAC",
IF(ISNUMBER(SEARCH("MATE",INVENTARIO!C199)),"MAT",
IF(ISNUMBER(SEARCH("MESH",INVENTARIO!C199)),"MES",
IF(ISNUMBER(SEARCH("BRILLANTE",INVENTARIO!C199)),"BRI",
IF(ISNUMBER(SEARCH("DELGADA",INVENTARIO!C199)),"DEL",
IF(ISNUMBER(SEARCH("GRUESA",INVENTARIO!C199)),"GRU",
IF(ISNUMBER(SEARCH("ESTATICO",INVENTARIO!C199)),"EST",
IF(ISNUMBER(SEARCH("REFLECTIVO",INVENTARIO!C199)),"REF",
IF(ISNUMBER(SEARCH("LX700",INVENTARIO!C199)),"LX7",
IF(ISNUMBER(SEARCH("GRANDO",INVENTARIO!C199)),"GRA",
IF(ISNUMBER(SEARCH("FB700",INVENTARIO!C199)),"FB7",
IF(ISNUMBER(SEARCH("LX360",INVENTARIO!C199)),"LX3",
IF(ISNUMBER(SEARCH("XEROX",INVENTARIO!C199)),"XER",
IF(ISNUMBER(SEARCH("CEPILLADO",INVENTARIO!C199)),"CEP",
IF(ISNUMBER(SEARCH("ESPEJO",INVENTARIO!C199)),"ESP",
IF(ISNUMBER(SEARCH("10 PTS",INVENTARIO!C199)),"10PT",
IF(ISNUMBER(SEARCH("12 PTS",INVENTARIO!C199)),"12PT",
IF(ISNUMBER(SEARCH("14 PTS",INVENTARIO!C199)),"14PT",
IF(ISNUMBER(SEARCH("CLASICO",INVENTARIO!C199)),"CLA",
""))))))))))))))))))))))</f>
        <v/>
      </c>
      <c r="D199" t="str">
        <f>IF(ISNUMBER(SEARCH("GRAN FORMATO",INVENTARIO!C199)),"GRA-FOR",
IF(ISNUMBER(SEARCH("CAMA PLANA",INVENTARIO!C199)),"CAM-PLA",
IF(ISNUMBER(SEARCH("GRADO INGENIERIA",INVENTARIO!C199)),"GRA-ING",
IF(ISNUMBER(SEARCH("130 GRS",INVENTARIO!C199)),"130GR",
IF(ISNUMBER(SEARCH("150 GRS",INVENTARIO!C199)),"150GR",
IF(ISNUMBER(SEARCH("185 GRS",INVENTARIO!C199)),"185GR",
IF(ISNUMBER(SEARCH("200 GRS",INVENTARIO!C199)),"200GR",
IF(ISNUMBER(SEARCH("250 GRS",INVENTARIO!C199)),"250GR",
IF(ISNUMBER(SEARCH("300 GRS",INVENTARIO!C199)),"300GR",
IF(ISNUMBER(SEARCH("350 GRS",INVENTARIO!C199)),"350GR",
IF(ISNUMBER(SEARCH("18 OZ",INVENTARIO!C199)),"18OZ",
IF(ISNUMBER(SEARCH("15 OZ",INVENTARIO!C199)),"15OZ",
IF(OR(ISNUMBER(SEARCH("13 OZ",INVENTARIO!C199)),ISNUMBER(SEARCH("13 ONZAS",INVENTARIO!C199))),"13OZ",
IF(OR(ISNUMBER(SEARCH("9 OZ",INVENTARIO!C199)),ISNUMBER(SEARCH("9 ONZAS",INVENTARIO!C199))),"09OZ",
IF(ISNUMBER(SEARCH("DOBLE CARA",INVENTARIO!C199)),"DOB-CAR",
"")))))))))))))))</f>
        <v/>
      </c>
      <c r="E199" t="str">
        <f>IF(OR(ISNUMBER(SEARCH("TRANSPARENTE",INVENTARIO!C199)),ISNUMBER(SEARCH("TRANSPARENTES",INVENTARIO!C199))),"TRA",
IF(OR(ISNUMBER(SEARCH("BLANCO",INVENTARIO!C199)),ISNUMBER(SEARCH("BCO",INVENTARIO!C199))),"BLA",
IF(ISNUMBER(SEARCH("FOTOGRAFICO",INVENTARIO!C199)),"FOT",
IF(ISNUMBER(SEARCH("MARFIL",INVENTARIO!C199)),"MAR",
IF(ISNUMBER(SEARCH("VERDE",INVENTARIO!C199)),"VER",
IF(ISNUMBER(SEARCH("MORADO",INVENTARIO!C199)),"MOR",
IF(ISNUMBER(SEARCH("PLATA",INVENTARIO!C199)),"PLA",
IF(ISNUMBER(SEARCH("ORO",INVENTARIO!C199)),"ORO",
IF(ISNUMBER(SEARCH("AMARILLO",INVENTARIO!C199)),"AMA",
IF(ISNUMBER(SEARCH("NARANJA",INVENTARIO!C199)),"NAR",
IF(ISNUMBER(SEARCH("NEGRO",INVENTARIO!C199)),"NEG",
IF(ISNUMBER(SEARCH("ROJO",INVENTARIO!C199)),"ROJ",
IF(ISNUMBER(SEARCH("AZUL",INVENTARIO!C199)),"AZU","")))))))))))))</f>
        <v>NAR</v>
      </c>
      <c r="F199" t="str">
        <f>IF(ISNUMBER(SEARCH("ARLON",INVENTARIO!C199)),"ARL",
IF(ISNUMBER(SEARCH("SUNTHINKS",INVENTARIO!C199)),"SUN",
IF(ISNUMBER(SEARCH("FRIO",INVENTARIO!C199)),"FRI",
IF(ISNUMBER(SEARCH("CALIDO",INVENTARIO!C199)),"CAL",
IF(ISNUMBER(SEARCH("CEPILLADO",INVENTARIO!C199)),"CEP",
IF(ISNUMBER(SEARCH("ESPEJO",INVENTARIO!C199)),"ESP",
""))))))</f>
        <v/>
      </c>
      <c r="G199" t="str">
        <f>IF(ISNUMBER(SEARCH("LATEX",INVENTARIO!C199)),"LAT",
IF(ISNUMBER(SEARCH("RESP. NEGRO",INVENTARIO!C199)),"RES-NEG",
IF(ISNUMBER(SEARCH("RESPALDO CAFE",INVENTARIO!C199)),"RES-CAF",
IF(ISNUMBER(SEARCH("RESPALDO GRIS",INVENTARIO!C199)),"RES-GRI",
IF(ISNUMBER(SEARCH("OPTICO",INVENTARIO!C199)),"OPT",
IF(ISNUMBER(SEARCH("1,2 MM",INVENTARIO!C199)),"1MM2",
IF(ISNUMBER(SEARCH("2 MM",INVENTARIO!C199)),"2MM",
IF(ISNUMBER(SEARCH("3 MM",INVENTARIO!C199)),"3MM",
IF(ISNUMBER(SEARCH("4 MM",INVENTARIO!C199)),"4MM",
IF(ISNUMBER(SEARCH("5 MM",INVENTARIO!C199)),"5MM",
IF(ISNUMBER(SEARCH("6 MM",INVENTARIO!C199)),"6MM",
IF(ISNUMBER(SEARCH("9 MM",INVENTARIO!C199)),"9MM",
IF(ISNUMBER(SEARCH("10 MM",INVENTARIO!C199)),"10MM","")))))))))))))</f>
        <v>3MM</v>
      </c>
      <c r="H199" t="str">
        <f>IF(ISNUMBER(SEARCH("GAMA BAJA",INVENTARIO!C199)),"GAM-BAJ",
IF(ISNUMBER(SEARCH("OPTIMIZADOR",INVENTARIO!C199)),"OPT",
IF(ISNUMBER(SEARCH("OVERCOAT",INVENTARIO!C199)),"OVE",
IF(ISNUMBER(SEARCH("WHITE",INVENTARIO!C199)),"WHI",
IF(ISNUMBER(SEARCH("LIGHT CYAN",INVENTARIO!C199)),"LIG-CYA",
IF(ISNUMBER(SEARCH("CYAN",INVENTARIO!C199)),"CYA",
IF(ISNUMBER(SEARCH("LIGHT MAGENTA",INVENTARIO!C199)),"LIG-MAG",
IF(ISNUMBER(SEARCH("MAGENTA",INVENTARIO!C199)),"MAG",
IF(ISNUMBER(SEARCH("BLACK",INVENTARIO!C199)),"BLA",
IF(ISNUMBER(SEARCH("YELLOW",INVENTARIO!C199)),"YEL",
IF(ISNUMBER(SEARCH("2 DIODOS",INVENTARIO!C199)),"2DI",
IF(ISNUMBER(SEARCH("3 DIODOS",INVENTARIO!C199)),"3DI",
IF(OR(ISNUMBER(SEARCH("TRASLUCIDO",INVENTARIO!C199)),ISNUMBER(SEARCH("TRANSLUCIDO",INVENTARIO!C199))),"TRA",
"")))))))))))))</f>
        <v/>
      </c>
      <c r="I19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0" spans="1:9">
      <c r="A200" t="str">
        <f>IF(ISNUMBER(SEARCH("LONA",INVENTARIO!C200)),"LON",
IF(ISNUMBER(SEARCH("VINIL",INVENTARIO!C200)),"VIN",
IF(ISNUMBER(SEARCH("KROMACOTE",INVENTARIO!C200)),"KRO",
IF(ISNUMBER(SEARCH("STARDREAM",INVENTARIO!C200)),"STA",
IF(ISNUMBER(SEARCH("DISPLAY",INVENTARIO!C200)),"DIS",
IF(ISNUMBER(SEARCH("ROLL UP",INVENTARIO!C200)),"ROL-UP",
IF(ISNUMBER(SEARCH("TRANSFER DE PAPEL",INVENTARIO!C200)),"TRA-PAP",
IF(ISNUMBER(SEARCH("TRANSFER",INVENTARIO!C200)),"TRA",IF(ISNUMBER(SEARCH("KOLA LOKA",INVENTARIO!C200)),"KOL-LOK",
IF(ISNUMBER(SEARCH("PETG",INVENTARIO!C200)),"PET",
IF(ISNUMBER(SEARCH("OJILLO",INVENTARIO!C200)),"OJI",
IF(ISNUMBER(SEARCH("COUCHE",INVENTARIO!C200)),"COU",
IF(ISNUMBER(SEARCH("PANEL DE ALUMINIO",INVENTARIO!C200)),"PAN-ALU",
IF(ISNUMBER(SEARCH("PVC",INVENTARIO!C200)),"PVC",
IF(ISNUMBER(SEARCH("PAPEL",INVENTARIO!C200)),"PAP",
IF(ISNUMBER(SEARCH("TELA",INVENTARIO!C200)),"TEL",
IF(ISNUMBER(SEARCH("CARTULINA",INVENTARIO!C200)),"CAR",
IF(OR(ISNUMBER(SEARCH("LAMINA",INVENTARIO!C200)),ISNUMBER(SEARCH("LÁMINA",INVENTARIO!C200)),ISNUMBER(SEARCH("LAMPARAS",INVENTARIO!C200))),"LAM",
IF(ISNUMBER(SEARCH("ESTIRENO",INVENTARIO!C200)),"EST",
IF(ISNUMBER(SEARCH("FOAMBOARD",INVENTARIO!C200)),"FOA",
IF(ISNUMBER(SEARCH("SOLVENTE",INVENTARIO!C200)),"SOL",
IF(ISNUMBER(SEARCH("TINTA",INVENTARIO!C200)),"TIN",
IF(ISNUMBER(SEARCH("ACRILICO",INVENTARIO!C200)),"ACR",
IF(ISNUMBER(SEARCH("MICROLED",INVENTARIO!C200)),"MIC",
IF(ISNUMBER(SEARCH("LED",INVENTARIO!C200)),"LED",
IF(ISNUMBER(SEARCH("FUENTE DE PODER",INVENTARIO!C200)),"FUE-POD",
IF(ISNUMBER(SEARCH("PETG",INVENTARIO!C200)),"PET",
IF(ISNUMBER(SEARCH("ALUMINIO",INVENTARIO!C200)),"ALU",
IF(ISNUMBER(SEARCH("CANAL",INVENTARIO!C200)),"CAN",
IF(ISNUMBER(SEARCH("ESCUADRA",INVENTARIO!C200)),"ESC",
IF(ISNUMBER(SEARCH("SOPORTE",INVENTARIO!C200)),"SOP","OTR")
))))))))))))))))))))))))))))))</f>
        <v>ACR</v>
      </c>
      <c r="B200" t="str">
        <f>IF(ISNUMBER(SEARCH("CORTE",INVENTARIO!C200)),"COR",
IF(ISNUMBER(SEARCH("CITYLIGHT",INVENTARIO!C200)),"CIT",
IF(ISNUMBER(SEARCH("LINO",INVENTARIO!C200)),"LIN",
IF(ISNUMBER(SEARCH("FABRIANO",INVENTARIO!C200)),"FAB",
IF(ISNUMBER(SEARCH("SUNDANCE",INVENTARIO!C200)),"SUN",
IF(ISNUMBER(SEARCH("SINTETICA",INVENTARIO!C200)),"SIN",
IF(ISNUMBER(SEARCH("CONTROL",INVENTARIO!C200)),"CON",
IF(ISNUMBER(SEARCH("TERMICO",INVENTARIO!C200)),"TER",
IF(ISNUMBER(SEARCH("C-15",INVENTARIO!C200)),"C15",
IF(ISNUMBER(SEARCH("C-20",INVENTARIO!C200)),"C20",
IF(ISNUMBER(SEARCH("C-30",INVENTARIO!C200)),"C30",
IF(ISNUMBER(SEARCH("C-40",INVENTARIO!C200)),"C40",
IF(ISNUMBER(SEARCH("C-60",INVENTARIO!C200)),"C60",
IF(ISNUMBER(SEARCH("C-80",INVENTARIO!C200)),"C80",
IF(ISNUMBER(SEARCH("EQUIPO",INVENTARIO!C200)),"EQU",
IF(ISNUMBER(SEARCH("FLOOR",INVENTARIO!C200)),"FLO",
IF(ISNUMBER(SEARCH("CRISTAL",INVENTARIO!C200)),"CRI",
IF(ISNUMBER(SEARCH(" SULFATADA",INVENTARIO!C211)),"SUL",
IF(ISNUMBER(SEARCH("OPALINA",INVENTARIO!C200)),"OPA",
IF(ISNUMBER(SEARCH("ADHERIBLE",INVENTARIO!C200)),"ADH",
IF(ISNUMBER(SEARCH("MICRO",INVENTARIO!C200)),"MIC","")))))))))))))))))))))</f>
        <v/>
      </c>
      <c r="C200" t="str">
        <f>IF(ISNUMBER(SEARCH("PARED",INVENTARIO!C200)),"PAR",
IF(ISNUMBER(SEARCH("FRONT",INVENTARIO!C200)),"FRO",
IF(ISNUMBER(SEARCH("ALTA RESISTENCIA",INVENTARIO!C200)),
"ALT-RES",IF(ISNUMBER(SEARCH("BACKLITE",INVENTARIO!C200)),"BAC",
IF(ISNUMBER(SEARCH("MATE",INVENTARIO!C200)),"MAT",
IF(ISNUMBER(SEARCH("MESH",INVENTARIO!C200)),"MES",
IF(ISNUMBER(SEARCH("BRILLANTE",INVENTARIO!C200)),"BRI",
IF(ISNUMBER(SEARCH("DELGADA",INVENTARIO!C200)),"DEL",
IF(ISNUMBER(SEARCH("GRUESA",INVENTARIO!C200)),"GRU",
IF(ISNUMBER(SEARCH("ESTATICO",INVENTARIO!C200)),"EST",
IF(ISNUMBER(SEARCH("REFLECTIVO",INVENTARIO!C200)),"REF",
IF(ISNUMBER(SEARCH("LX700",INVENTARIO!C200)),"LX7",
IF(ISNUMBER(SEARCH("GRANDO",INVENTARIO!C200)),"GRA",
IF(ISNUMBER(SEARCH("FB700",INVENTARIO!C200)),"FB7",
IF(ISNUMBER(SEARCH("LX360",INVENTARIO!C200)),"LX3",
IF(ISNUMBER(SEARCH("XEROX",INVENTARIO!C200)),"XER",
IF(ISNUMBER(SEARCH("CEPILLADO",INVENTARIO!C200)),"CEP",
IF(ISNUMBER(SEARCH("ESPEJO",INVENTARIO!C200)),"ESP",
IF(ISNUMBER(SEARCH("10 PTS",INVENTARIO!C200)),"10PT",
IF(ISNUMBER(SEARCH("12 PTS",INVENTARIO!C200)),"12PT",
IF(ISNUMBER(SEARCH("14 PTS",INVENTARIO!C200)),"14PT",
IF(ISNUMBER(SEARCH("CLASICO",INVENTARIO!C200)),"CLA",
""))))))))))))))))))))))</f>
        <v/>
      </c>
      <c r="D200" t="str">
        <f>IF(ISNUMBER(SEARCH("GRAN FORMATO",INVENTARIO!C200)),"GRA-FOR",
IF(ISNUMBER(SEARCH("CAMA PLANA",INVENTARIO!C200)),"CAM-PLA",
IF(ISNUMBER(SEARCH("GRADO INGENIERIA",INVENTARIO!C200)),"GRA-ING",
IF(ISNUMBER(SEARCH("130 GRS",INVENTARIO!C200)),"130GR",
IF(ISNUMBER(SEARCH("150 GRS",INVENTARIO!C200)),"150GR",
IF(ISNUMBER(SEARCH("185 GRS",INVENTARIO!C200)),"185GR",
IF(ISNUMBER(SEARCH("200 GRS",INVENTARIO!C200)),"200GR",
IF(ISNUMBER(SEARCH("250 GRS",INVENTARIO!C200)),"250GR",
IF(ISNUMBER(SEARCH("300 GRS",INVENTARIO!C200)),"300GR",
IF(ISNUMBER(SEARCH("350 GRS",INVENTARIO!C200)),"350GR",
IF(ISNUMBER(SEARCH("18 OZ",INVENTARIO!C200)),"18OZ",
IF(ISNUMBER(SEARCH("15 OZ",INVENTARIO!C200)),"15OZ",
IF(OR(ISNUMBER(SEARCH("13 OZ",INVENTARIO!C200)),ISNUMBER(SEARCH("13 ONZAS",INVENTARIO!C200))),"13OZ",
IF(OR(ISNUMBER(SEARCH("9 OZ",INVENTARIO!C200)),ISNUMBER(SEARCH("9 ONZAS",INVENTARIO!C200))),"09OZ",
IF(ISNUMBER(SEARCH("DOBLE CARA",INVENTARIO!C200)),"DOB-CAR",
"")))))))))))))))</f>
        <v/>
      </c>
      <c r="E200" t="str">
        <f>IF(OR(ISNUMBER(SEARCH("TRANSPARENTE",INVENTARIO!C200)),ISNUMBER(SEARCH("TRANSPARENTES",INVENTARIO!C200))),"TRA",
IF(OR(ISNUMBER(SEARCH("BLANCO",INVENTARIO!C200)),ISNUMBER(SEARCH("BCO",INVENTARIO!C200))),"BLA",
IF(ISNUMBER(SEARCH("FOTOGRAFICO",INVENTARIO!C200)),"FOT",
IF(ISNUMBER(SEARCH("MARFIL",INVENTARIO!C200)),"MAR",
IF(ISNUMBER(SEARCH("VERDE",INVENTARIO!C200)),"VER",
IF(ISNUMBER(SEARCH("MORADO",INVENTARIO!C200)),"MOR",
IF(ISNUMBER(SEARCH("PLATA",INVENTARIO!C200)),"PLA",
IF(ISNUMBER(SEARCH("ORO",INVENTARIO!C200)),"ORO",
IF(ISNUMBER(SEARCH("AMARILLO",INVENTARIO!C200)),"AMA",
IF(ISNUMBER(SEARCH("NARANJA",INVENTARIO!C200)),"NAR",
IF(ISNUMBER(SEARCH("NEGRO",INVENTARIO!C200)),"NEG",
IF(ISNUMBER(SEARCH("ROJO",INVENTARIO!C200)),"ROJ",
IF(ISNUMBER(SEARCH("AZUL",INVENTARIO!C200)),"AZU","")))))))))))))</f>
        <v>ROJ</v>
      </c>
      <c r="F200" t="str">
        <f>IF(ISNUMBER(SEARCH("ARLON",INVENTARIO!C200)),"ARL",
IF(ISNUMBER(SEARCH("SUNTHINKS",INVENTARIO!C200)),"SUN",
IF(ISNUMBER(SEARCH("FRIO",INVENTARIO!C200)),"FRI",
IF(ISNUMBER(SEARCH("CALIDO",INVENTARIO!C200)),"CAL",
IF(ISNUMBER(SEARCH("CEPILLADO",INVENTARIO!C200)),"CEP",
IF(ISNUMBER(SEARCH("ESPEJO",INVENTARIO!C200)),"ESP",
""))))))</f>
        <v/>
      </c>
      <c r="G200" t="str">
        <f>IF(ISNUMBER(SEARCH("LATEX",INVENTARIO!C200)),"LAT",
IF(ISNUMBER(SEARCH("RESP. NEGRO",INVENTARIO!C200)),"RES-NEG",
IF(ISNUMBER(SEARCH("RESPALDO CAFE",INVENTARIO!C200)),"RES-CAF",
IF(ISNUMBER(SEARCH("RESPALDO GRIS",INVENTARIO!C200)),"RES-GRI",
IF(ISNUMBER(SEARCH("OPTICO",INVENTARIO!C200)),"OPT",
IF(ISNUMBER(SEARCH("1,2 MM",INVENTARIO!C200)),"1MM2",
IF(ISNUMBER(SEARCH("2 MM",INVENTARIO!C200)),"2MM",
IF(ISNUMBER(SEARCH("3 MM",INVENTARIO!C200)),"3MM",
IF(ISNUMBER(SEARCH("4 MM",INVENTARIO!C200)),"4MM",
IF(ISNUMBER(SEARCH("5 MM",INVENTARIO!C200)),"5MM",
IF(ISNUMBER(SEARCH("6 MM",INVENTARIO!C200)),"6MM",
IF(ISNUMBER(SEARCH("9 MM",INVENTARIO!C200)),"9MM",
IF(ISNUMBER(SEARCH("10 MM",INVENTARIO!C200)),"10MM","")))))))))))))</f>
        <v>5MM</v>
      </c>
      <c r="H200" t="str">
        <f>IF(ISNUMBER(SEARCH("GAMA BAJA",INVENTARIO!C200)),"GAM-BAJ",
IF(ISNUMBER(SEARCH("OPTIMIZADOR",INVENTARIO!C200)),"OPT",
IF(ISNUMBER(SEARCH("OVERCOAT",INVENTARIO!C200)),"OVE",
IF(ISNUMBER(SEARCH("WHITE",INVENTARIO!C200)),"WHI",
IF(ISNUMBER(SEARCH("LIGHT CYAN",INVENTARIO!C200)),"LIG-CYA",
IF(ISNUMBER(SEARCH("CYAN",INVENTARIO!C200)),"CYA",
IF(ISNUMBER(SEARCH("LIGHT MAGENTA",INVENTARIO!C200)),"LIG-MAG",
IF(ISNUMBER(SEARCH("MAGENTA",INVENTARIO!C200)),"MAG",
IF(ISNUMBER(SEARCH("BLACK",INVENTARIO!C200)),"BLA",
IF(ISNUMBER(SEARCH("YELLOW",INVENTARIO!C200)),"YEL",
IF(ISNUMBER(SEARCH("2 DIODOS",INVENTARIO!C200)),"2DI",
IF(ISNUMBER(SEARCH("3 DIODOS",INVENTARIO!C200)),"3DI",
IF(OR(ISNUMBER(SEARCH("TRASLUCIDO",INVENTARIO!C200)),ISNUMBER(SEARCH("TRANSLUCIDO",INVENTARIO!C200))),"TRA",
"")))))))))))))</f>
        <v/>
      </c>
      <c r="I20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1" spans="1:9">
      <c r="A201" t="str">
        <f>IF(ISNUMBER(SEARCH("LONA",INVENTARIO!C201)),"LON",
IF(ISNUMBER(SEARCH("VINIL",INVENTARIO!C201)),"VIN",
IF(ISNUMBER(SEARCH("KROMACOTE",INVENTARIO!C201)),"KRO",
IF(ISNUMBER(SEARCH("STARDREAM",INVENTARIO!C201)),"STA",
IF(ISNUMBER(SEARCH("DISPLAY",INVENTARIO!C201)),"DIS",
IF(ISNUMBER(SEARCH("ROLL UP",INVENTARIO!C201)),"ROL-UP",
IF(ISNUMBER(SEARCH("TRANSFER DE PAPEL",INVENTARIO!C201)),"TRA-PAP",
IF(ISNUMBER(SEARCH("TRANSFER",INVENTARIO!C201)),"TRA",IF(ISNUMBER(SEARCH("KOLA LOKA",INVENTARIO!C201)),"KOL-LOK",
IF(ISNUMBER(SEARCH("PETG",INVENTARIO!C201)),"PET",
IF(ISNUMBER(SEARCH("OJILLO",INVENTARIO!C201)),"OJI",
IF(ISNUMBER(SEARCH("COUCHE",INVENTARIO!C201)),"COU",
IF(ISNUMBER(SEARCH("PANEL DE ALUMINIO",INVENTARIO!C201)),"PAN-ALU",
IF(ISNUMBER(SEARCH("PVC",INVENTARIO!C201)),"PVC",
IF(ISNUMBER(SEARCH("PAPEL",INVENTARIO!C201)),"PAP",
IF(ISNUMBER(SEARCH("TELA",INVENTARIO!C201)),"TEL",
IF(ISNUMBER(SEARCH("CARTULINA",INVENTARIO!C201)),"CAR",
IF(OR(ISNUMBER(SEARCH("LAMINA",INVENTARIO!C201)),ISNUMBER(SEARCH("LÁMINA",INVENTARIO!C201)),ISNUMBER(SEARCH("LAMPARAS",INVENTARIO!C201))),"LAM",
IF(ISNUMBER(SEARCH("ESTIRENO",INVENTARIO!C201)),"EST",
IF(ISNUMBER(SEARCH("FOAMBOARD",INVENTARIO!C201)),"FOA",
IF(ISNUMBER(SEARCH("SOLVENTE",INVENTARIO!C201)),"SOL",
IF(ISNUMBER(SEARCH("TINTA",INVENTARIO!C201)),"TIN",
IF(ISNUMBER(SEARCH("ACRILICO",INVENTARIO!C201)),"ACR",
IF(ISNUMBER(SEARCH("MICROLED",INVENTARIO!C201)),"MIC",
IF(ISNUMBER(SEARCH("LED",INVENTARIO!C201)),"LED",
IF(ISNUMBER(SEARCH("FUENTE DE PODER",INVENTARIO!C201)),"FUE-POD",
IF(ISNUMBER(SEARCH("PETG",INVENTARIO!C201)),"PET",
IF(ISNUMBER(SEARCH("ALUMINIO",INVENTARIO!C201)),"ALU",
IF(ISNUMBER(SEARCH("CANAL",INVENTARIO!C201)),"CAN",
IF(ISNUMBER(SEARCH("ESCUADRA",INVENTARIO!C201)),"ESC",
IF(ISNUMBER(SEARCH("SOPORTE",INVENTARIO!C201)),"SOP","OTR")
))))))))))))))))))))))))))))))</f>
        <v>ACR</v>
      </c>
      <c r="B201" t="str">
        <f>IF(ISNUMBER(SEARCH("CORTE",INVENTARIO!C201)),"COR",
IF(ISNUMBER(SEARCH("CITYLIGHT",INVENTARIO!C201)),"CIT",
IF(ISNUMBER(SEARCH("LINO",INVENTARIO!C201)),"LIN",
IF(ISNUMBER(SEARCH("FABRIANO",INVENTARIO!C201)),"FAB",
IF(ISNUMBER(SEARCH("SUNDANCE",INVENTARIO!C201)),"SUN",
IF(ISNUMBER(SEARCH("SINTETICA",INVENTARIO!C201)),"SIN",
IF(ISNUMBER(SEARCH("CONTROL",INVENTARIO!C201)),"CON",
IF(ISNUMBER(SEARCH("TERMICO",INVENTARIO!C201)),"TER",
IF(ISNUMBER(SEARCH("C-15",INVENTARIO!C201)),"C15",
IF(ISNUMBER(SEARCH("C-20",INVENTARIO!C201)),"C20",
IF(ISNUMBER(SEARCH("C-30",INVENTARIO!C201)),"C30",
IF(ISNUMBER(SEARCH("C-40",INVENTARIO!C201)),"C40",
IF(ISNUMBER(SEARCH("C-60",INVENTARIO!C201)),"C60",
IF(ISNUMBER(SEARCH("C-80",INVENTARIO!C201)),"C80",
IF(ISNUMBER(SEARCH("EQUIPO",INVENTARIO!C201)),"EQU",
IF(ISNUMBER(SEARCH("FLOOR",INVENTARIO!C201)),"FLO",
IF(ISNUMBER(SEARCH("CRISTAL",INVENTARIO!C201)),"CRI",
IF(ISNUMBER(SEARCH(" SULFATADA",INVENTARIO!C212)),"SUL",
IF(ISNUMBER(SEARCH("OPALINA",INVENTARIO!C201)),"OPA",
IF(ISNUMBER(SEARCH("ADHERIBLE",INVENTARIO!C201)),"ADH",
IF(ISNUMBER(SEARCH("MICRO",INVENTARIO!C201)),"MIC","")))))))))))))))))))))</f>
        <v/>
      </c>
      <c r="C201" t="str">
        <f>IF(ISNUMBER(SEARCH("PARED",INVENTARIO!C201)),"PAR",
IF(ISNUMBER(SEARCH("FRONT",INVENTARIO!C201)),"FRO",
IF(ISNUMBER(SEARCH("ALTA RESISTENCIA",INVENTARIO!C201)),
"ALT-RES",IF(ISNUMBER(SEARCH("BACKLITE",INVENTARIO!C201)),"BAC",
IF(ISNUMBER(SEARCH("MATE",INVENTARIO!C201)),"MAT",
IF(ISNUMBER(SEARCH("MESH",INVENTARIO!C201)),"MES",
IF(ISNUMBER(SEARCH("BRILLANTE",INVENTARIO!C201)),"BRI",
IF(ISNUMBER(SEARCH("DELGADA",INVENTARIO!C201)),"DEL",
IF(ISNUMBER(SEARCH("GRUESA",INVENTARIO!C201)),"GRU",
IF(ISNUMBER(SEARCH("ESTATICO",INVENTARIO!C201)),"EST",
IF(ISNUMBER(SEARCH("REFLECTIVO",INVENTARIO!C201)),"REF",
IF(ISNUMBER(SEARCH("LX700",INVENTARIO!C201)),"LX7",
IF(ISNUMBER(SEARCH("GRANDO",INVENTARIO!C201)),"GRA",
IF(ISNUMBER(SEARCH("FB700",INVENTARIO!C201)),"FB7",
IF(ISNUMBER(SEARCH("LX360",INVENTARIO!C201)),"LX3",
IF(ISNUMBER(SEARCH("XEROX",INVENTARIO!C201)),"XER",
IF(ISNUMBER(SEARCH("CEPILLADO",INVENTARIO!C201)),"CEP",
IF(ISNUMBER(SEARCH("ESPEJO",INVENTARIO!C201)),"ESP",
IF(ISNUMBER(SEARCH("10 PTS",INVENTARIO!C201)),"10PT",
IF(ISNUMBER(SEARCH("12 PTS",INVENTARIO!C201)),"12PT",
IF(ISNUMBER(SEARCH("14 PTS",INVENTARIO!C201)),"14PT",
IF(ISNUMBER(SEARCH("CLASICO",INVENTARIO!C201)),"CLA",
""))))))))))))))))))))))</f>
        <v/>
      </c>
      <c r="D201" t="str">
        <f>IF(ISNUMBER(SEARCH("GRAN FORMATO",INVENTARIO!C201)),"GRA-FOR",
IF(ISNUMBER(SEARCH("CAMA PLANA",INVENTARIO!C201)),"CAM-PLA",
IF(ISNUMBER(SEARCH("GRADO INGENIERIA",INVENTARIO!C201)),"GRA-ING",
IF(ISNUMBER(SEARCH("130 GRS",INVENTARIO!C201)),"130GR",
IF(ISNUMBER(SEARCH("150 GRS",INVENTARIO!C201)),"150GR",
IF(ISNUMBER(SEARCH("185 GRS",INVENTARIO!C201)),"185GR",
IF(ISNUMBER(SEARCH("200 GRS",INVENTARIO!C201)),"200GR",
IF(ISNUMBER(SEARCH("250 GRS",INVENTARIO!C201)),"250GR",
IF(ISNUMBER(SEARCH("300 GRS",INVENTARIO!C201)),"300GR",
IF(ISNUMBER(SEARCH("350 GRS",INVENTARIO!C201)),"350GR",
IF(ISNUMBER(SEARCH("18 OZ",INVENTARIO!C201)),"18OZ",
IF(ISNUMBER(SEARCH("15 OZ",INVENTARIO!C201)),"15OZ",
IF(OR(ISNUMBER(SEARCH("13 OZ",INVENTARIO!C201)),ISNUMBER(SEARCH("13 ONZAS",INVENTARIO!C201))),"13OZ",
IF(OR(ISNUMBER(SEARCH("9 OZ",INVENTARIO!C201)),ISNUMBER(SEARCH("9 ONZAS",INVENTARIO!C201))),"09OZ",
IF(ISNUMBER(SEARCH("DOBLE CARA",INVENTARIO!C201)),"DOB-CAR",
"")))))))))))))))</f>
        <v/>
      </c>
      <c r="E201" t="str">
        <f>IF(OR(ISNUMBER(SEARCH("TRANSPARENTE",INVENTARIO!C201)),ISNUMBER(SEARCH("TRANSPARENTES",INVENTARIO!C201))),"TRA",
IF(OR(ISNUMBER(SEARCH("BLANCO",INVENTARIO!C201)),ISNUMBER(SEARCH("BCO",INVENTARIO!C201))),"BLA",
IF(ISNUMBER(SEARCH("FOTOGRAFICO",INVENTARIO!C201)),"FOT",
IF(ISNUMBER(SEARCH("MARFIL",INVENTARIO!C201)),"MAR",
IF(ISNUMBER(SEARCH("VERDE",INVENTARIO!C201)),"VER",
IF(ISNUMBER(SEARCH("MORADO",INVENTARIO!C201)),"MOR",
IF(ISNUMBER(SEARCH("PLATA",INVENTARIO!C201)),"PLA",
IF(ISNUMBER(SEARCH("ORO",INVENTARIO!C201)),"ORO",
IF(ISNUMBER(SEARCH("AMARILLO",INVENTARIO!C201)),"AMA",
IF(ISNUMBER(SEARCH("NARANJA",INVENTARIO!C201)),"NAR",
IF(ISNUMBER(SEARCH("NEGRO",INVENTARIO!C201)),"NEG",
IF(ISNUMBER(SEARCH("ROJO",INVENTARIO!C201)),"ROJ",
IF(ISNUMBER(SEARCH("AZUL",INVENTARIO!C201)),"AZU","")))))))))))))</f>
        <v>NEG</v>
      </c>
      <c r="F201" t="str">
        <f>IF(ISNUMBER(SEARCH("ARLON",INVENTARIO!C201)),"ARL",
IF(ISNUMBER(SEARCH("SUNTHINKS",INVENTARIO!C201)),"SUN",
IF(ISNUMBER(SEARCH("FRIO",INVENTARIO!C201)),"FRI",
IF(ISNUMBER(SEARCH("CALIDO",INVENTARIO!C201)),"CAL",
IF(ISNUMBER(SEARCH("CEPILLADO",INVENTARIO!C201)),"CEP",
IF(ISNUMBER(SEARCH("ESPEJO",INVENTARIO!C201)),"ESP",
""))))))</f>
        <v/>
      </c>
      <c r="G201" t="str">
        <f>IF(ISNUMBER(SEARCH("LATEX",INVENTARIO!C201)),"LAT",
IF(ISNUMBER(SEARCH("RESP. NEGRO",INVENTARIO!C201)),"RES-NEG",
IF(ISNUMBER(SEARCH("RESPALDO CAFE",INVENTARIO!C201)),"RES-CAF",
IF(ISNUMBER(SEARCH("RESPALDO GRIS",INVENTARIO!C201)),"RES-GRI",
IF(ISNUMBER(SEARCH("OPTICO",INVENTARIO!C201)),"OPT",
IF(ISNUMBER(SEARCH("1,2 MM",INVENTARIO!C201)),"1MM2",
IF(ISNUMBER(SEARCH("2 MM",INVENTARIO!C201)),"2MM",
IF(ISNUMBER(SEARCH("3 MM",INVENTARIO!C201)),"3MM",
IF(ISNUMBER(SEARCH("4 MM",INVENTARIO!C201)),"4MM",
IF(ISNUMBER(SEARCH("5 MM",INVENTARIO!C201)),"5MM",
IF(ISNUMBER(SEARCH("6 MM",INVENTARIO!C201)),"6MM",
IF(ISNUMBER(SEARCH("9 MM",INVENTARIO!C201)),"9MM",
IF(ISNUMBER(SEARCH("10 MM",INVENTARIO!C201)),"10MM","")))))))))))))</f>
        <v>3MM</v>
      </c>
      <c r="H201" t="str">
        <f>IF(ISNUMBER(SEARCH("GAMA BAJA",INVENTARIO!C201)),"GAM-BAJ",
IF(ISNUMBER(SEARCH("OPTIMIZADOR",INVENTARIO!C201)),"OPT",
IF(ISNUMBER(SEARCH("OVERCOAT",INVENTARIO!C201)),"OVE",
IF(ISNUMBER(SEARCH("WHITE",INVENTARIO!C201)),"WHI",
IF(ISNUMBER(SEARCH("LIGHT CYAN",INVENTARIO!C201)),"LIG-CYA",
IF(ISNUMBER(SEARCH("CYAN",INVENTARIO!C201)),"CYA",
IF(ISNUMBER(SEARCH("LIGHT MAGENTA",INVENTARIO!C201)),"LIG-MAG",
IF(ISNUMBER(SEARCH("MAGENTA",INVENTARIO!C201)),"MAG",
IF(ISNUMBER(SEARCH("BLACK",INVENTARIO!C201)),"BLA",
IF(ISNUMBER(SEARCH("YELLOW",INVENTARIO!C201)),"YEL",
IF(ISNUMBER(SEARCH("2 DIODOS",INVENTARIO!C201)),"2DI",
IF(ISNUMBER(SEARCH("3 DIODOS",INVENTARIO!C201)),"3DI",
IF(OR(ISNUMBER(SEARCH("TRASLUCIDO",INVENTARIO!C201)),ISNUMBER(SEARCH("TRANSLUCIDO",INVENTARIO!C201))),"TRA",
"")))))))))))))</f>
        <v/>
      </c>
      <c r="I20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2" spans="1:9">
      <c r="A202" t="str">
        <f>IF(ISNUMBER(SEARCH("LONA",INVENTARIO!C202)),"LON",
IF(ISNUMBER(SEARCH("VINIL",INVENTARIO!C202)),"VIN",
IF(ISNUMBER(SEARCH("KROMACOTE",INVENTARIO!C202)),"KRO",
IF(ISNUMBER(SEARCH("STARDREAM",INVENTARIO!C202)),"STA",
IF(ISNUMBER(SEARCH("DISPLAY",INVENTARIO!C202)),"DIS",
IF(ISNUMBER(SEARCH("ROLL UP",INVENTARIO!C202)),"ROL-UP",
IF(ISNUMBER(SEARCH("TRANSFER DE PAPEL",INVENTARIO!C202)),"TRA-PAP",
IF(ISNUMBER(SEARCH("TRANSFER",INVENTARIO!C202)),"TRA",IF(ISNUMBER(SEARCH("KOLA LOKA",INVENTARIO!C202)),"KOL-LOK",
IF(ISNUMBER(SEARCH("PETG",INVENTARIO!C202)),"PET",
IF(ISNUMBER(SEARCH("OJILLO",INVENTARIO!C202)),"OJI",
IF(ISNUMBER(SEARCH("COUCHE",INVENTARIO!C202)),"COU",
IF(ISNUMBER(SEARCH("PANEL DE ALUMINIO",INVENTARIO!C202)),"PAN-ALU",
IF(ISNUMBER(SEARCH("PVC",INVENTARIO!C202)),"PVC",
IF(ISNUMBER(SEARCH("PAPEL",INVENTARIO!C202)),"PAP",
IF(ISNUMBER(SEARCH("TELA",INVENTARIO!C202)),"TEL",
IF(ISNUMBER(SEARCH("CARTULINA",INVENTARIO!C202)),"CAR",
IF(OR(ISNUMBER(SEARCH("LAMINA",INVENTARIO!C202)),ISNUMBER(SEARCH("LÁMINA",INVENTARIO!C202)),ISNUMBER(SEARCH("LAMPARAS",INVENTARIO!C202))),"LAM",
IF(ISNUMBER(SEARCH("ESTIRENO",INVENTARIO!C202)),"EST",
IF(ISNUMBER(SEARCH("FOAMBOARD",INVENTARIO!C202)),"FOA",
IF(ISNUMBER(SEARCH("SOLVENTE",INVENTARIO!C202)),"SOL",
IF(ISNUMBER(SEARCH("TINTA",INVENTARIO!C202)),"TIN",
IF(ISNUMBER(SEARCH("ACRILICO",INVENTARIO!C202)),"ACR",
IF(ISNUMBER(SEARCH("MICROLED",INVENTARIO!C202)),"MIC",
IF(ISNUMBER(SEARCH("LED",INVENTARIO!C202)),"LED",
IF(ISNUMBER(SEARCH("FUENTE DE PODER",INVENTARIO!C202)),"FUE-POD",
IF(ISNUMBER(SEARCH("PETG",INVENTARIO!C202)),"PET",
IF(ISNUMBER(SEARCH("ALUMINIO",INVENTARIO!C202)),"ALU",
IF(ISNUMBER(SEARCH("CANAL",INVENTARIO!C202)),"CAN",
IF(ISNUMBER(SEARCH("ESCUADRA",INVENTARIO!C202)),"ESC",
IF(ISNUMBER(SEARCH("SOPORTE",INVENTARIO!C202)),"SOP","OTR")
))))))))))))))))))))))))))))))</f>
        <v>ACR</v>
      </c>
      <c r="B202" t="str">
        <f>IF(ISNUMBER(SEARCH("CORTE",INVENTARIO!C202)),"COR",
IF(ISNUMBER(SEARCH("CITYLIGHT",INVENTARIO!C202)),"CIT",
IF(ISNUMBER(SEARCH("LINO",INVENTARIO!C202)),"LIN",
IF(ISNUMBER(SEARCH("FABRIANO",INVENTARIO!C202)),"FAB",
IF(ISNUMBER(SEARCH("SUNDANCE",INVENTARIO!C202)),"SUN",
IF(ISNUMBER(SEARCH("SINTETICA",INVENTARIO!C202)),"SIN",
IF(ISNUMBER(SEARCH("CONTROL",INVENTARIO!C202)),"CON",
IF(ISNUMBER(SEARCH("TERMICO",INVENTARIO!C202)),"TER",
IF(ISNUMBER(SEARCH("C-15",INVENTARIO!C202)),"C15",
IF(ISNUMBER(SEARCH("C-20",INVENTARIO!C202)),"C20",
IF(ISNUMBER(SEARCH("C-30",INVENTARIO!C202)),"C30",
IF(ISNUMBER(SEARCH("C-40",INVENTARIO!C202)),"C40",
IF(ISNUMBER(SEARCH("C-60",INVENTARIO!C202)),"C60",
IF(ISNUMBER(SEARCH("C-80",INVENTARIO!C202)),"C80",
IF(ISNUMBER(SEARCH("EQUIPO",INVENTARIO!C202)),"EQU",
IF(ISNUMBER(SEARCH("FLOOR",INVENTARIO!C202)),"FLO",
IF(ISNUMBER(SEARCH("CRISTAL",INVENTARIO!C202)),"CRI",
IF(ISNUMBER(SEARCH(" SULFATADA",INVENTARIO!C213)),"SUL",
IF(ISNUMBER(SEARCH("OPALINA",INVENTARIO!C202)),"OPA",
IF(ISNUMBER(SEARCH("ADHERIBLE",INVENTARIO!C202)),"ADH",
IF(ISNUMBER(SEARCH("MICRO",INVENTARIO!C202)),"MIC","")))))))))))))))))))))</f>
        <v/>
      </c>
      <c r="C202" t="str">
        <f>IF(ISNUMBER(SEARCH("PARED",INVENTARIO!C202)),"PAR",
IF(ISNUMBER(SEARCH("FRONT",INVENTARIO!C202)),"FRO",
IF(ISNUMBER(SEARCH("ALTA RESISTENCIA",INVENTARIO!C202)),
"ALT-RES",IF(ISNUMBER(SEARCH("BACKLITE",INVENTARIO!C202)),"BAC",
IF(ISNUMBER(SEARCH("MATE",INVENTARIO!C202)),"MAT",
IF(ISNUMBER(SEARCH("MESH",INVENTARIO!C202)),"MES",
IF(ISNUMBER(SEARCH("BRILLANTE",INVENTARIO!C202)),"BRI",
IF(ISNUMBER(SEARCH("DELGADA",INVENTARIO!C202)),"DEL",
IF(ISNUMBER(SEARCH("GRUESA",INVENTARIO!C202)),"GRU",
IF(ISNUMBER(SEARCH("ESTATICO",INVENTARIO!C202)),"EST",
IF(ISNUMBER(SEARCH("REFLECTIVO",INVENTARIO!C202)),"REF",
IF(ISNUMBER(SEARCH("LX700",INVENTARIO!C202)),"LX7",
IF(ISNUMBER(SEARCH("GRANDO",INVENTARIO!C202)),"GRA",
IF(ISNUMBER(SEARCH("FB700",INVENTARIO!C202)),"FB7",
IF(ISNUMBER(SEARCH("LX360",INVENTARIO!C202)),"LX3",
IF(ISNUMBER(SEARCH("XEROX",INVENTARIO!C202)),"XER",
IF(ISNUMBER(SEARCH("CEPILLADO",INVENTARIO!C202)),"CEP",
IF(ISNUMBER(SEARCH("ESPEJO",INVENTARIO!C202)),"ESP",
IF(ISNUMBER(SEARCH("10 PTS",INVENTARIO!C202)),"10PT",
IF(ISNUMBER(SEARCH("12 PTS",INVENTARIO!C202)),"12PT",
IF(ISNUMBER(SEARCH("14 PTS",INVENTARIO!C202)),"14PT",
IF(ISNUMBER(SEARCH("CLASICO",INVENTARIO!C202)),"CLA",
""))))))))))))))))))))))</f>
        <v/>
      </c>
      <c r="D202" t="str">
        <f>IF(ISNUMBER(SEARCH("GRAN FORMATO",INVENTARIO!C202)),"GRA-FOR",
IF(ISNUMBER(SEARCH("CAMA PLANA",INVENTARIO!C202)),"CAM-PLA",
IF(ISNUMBER(SEARCH("GRADO INGENIERIA",INVENTARIO!C202)),"GRA-ING",
IF(ISNUMBER(SEARCH("130 GRS",INVENTARIO!C202)),"130GR",
IF(ISNUMBER(SEARCH("150 GRS",INVENTARIO!C202)),"150GR",
IF(ISNUMBER(SEARCH("185 GRS",INVENTARIO!C202)),"185GR",
IF(ISNUMBER(SEARCH("200 GRS",INVENTARIO!C202)),"200GR",
IF(ISNUMBER(SEARCH("250 GRS",INVENTARIO!C202)),"250GR",
IF(ISNUMBER(SEARCH("300 GRS",INVENTARIO!C202)),"300GR",
IF(ISNUMBER(SEARCH("350 GRS",INVENTARIO!C202)),"350GR",
IF(ISNUMBER(SEARCH("18 OZ",INVENTARIO!C202)),"18OZ",
IF(ISNUMBER(SEARCH("15 OZ",INVENTARIO!C202)),"15OZ",
IF(OR(ISNUMBER(SEARCH("13 OZ",INVENTARIO!C202)),ISNUMBER(SEARCH("13 ONZAS",INVENTARIO!C202))),"13OZ",
IF(OR(ISNUMBER(SEARCH("9 OZ",INVENTARIO!C202)),ISNUMBER(SEARCH("9 ONZAS",INVENTARIO!C202))),"09OZ",
IF(ISNUMBER(SEARCH("DOBLE CARA",INVENTARIO!C202)),"DOB-CAR",
"")))))))))))))))</f>
        <v/>
      </c>
      <c r="E202" t="str">
        <f>IF(OR(ISNUMBER(SEARCH("TRANSPARENTE",INVENTARIO!C202)),ISNUMBER(SEARCH("TRANSPARENTES",INVENTARIO!C202))),"TRA",
IF(OR(ISNUMBER(SEARCH("BLANCO",INVENTARIO!C202)),ISNUMBER(SEARCH("BCO",INVENTARIO!C202))),"BLA",
IF(ISNUMBER(SEARCH("FOTOGRAFICO",INVENTARIO!C202)),"FOT",
IF(ISNUMBER(SEARCH("MARFIL",INVENTARIO!C202)),"MAR",
IF(ISNUMBER(SEARCH("VERDE",INVENTARIO!C202)),"VER",
IF(ISNUMBER(SEARCH("MORADO",INVENTARIO!C202)),"MOR",
IF(ISNUMBER(SEARCH("PLATA",INVENTARIO!C202)),"PLA",
IF(ISNUMBER(SEARCH("ORO",INVENTARIO!C202)),"ORO",
IF(ISNUMBER(SEARCH("AMARILLO",INVENTARIO!C202)),"AMA",
IF(ISNUMBER(SEARCH("NARANJA",INVENTARIO!C202)),"NAR",
IF(ISNUMBER(SEARCH("NEGRO",INVENTARIO!C202)),"NEG",
IF(ISNUMBER(SEARCH("ROJO",INVENTARIO!C202)),"ROJ",
IF(ISNUMBER(SEARCH("AZUL",INVENTARIO!C202)),"AZU","")))))))))))))</f>
        <v>NEG</v>
      </c>
      <c r="F202" t="str">
        <f>IF(ISNUMBER(SEARCH("ARLON",INVENTARIO!C202)),"ARL",
IF(ISNUMBER(SEARCH("SUNTHINKS",INVENTARIO!C202)),"SUN",
IF(ISNUMBER(SEARCH("FRIO",INVENTARIO!C202)),"FRI",
IF(ISNUMBER(SEARCH("CALIDO",INVENTARIO!C202)),"CAL",
IF(ISNUMBER(SEARCH("CEPILLADO",INVENTARIO!C202)),"CEP",
IF(ISNUMBER(SEARCH("ESPEJO",INVENTARIO!C202)),"ESP",
""))))))</f>
        <v/>
      </c>
      <c r="G202" t="str">
        <f>IF(ISNUMBER(SEARCH("LATEX",INVENTARIO!C202)),"LAT",
IF(ISNUMBER(SEARCH("RESP. NEGRO",INVENTARIO!C202)),"RES-NEG",
IF(ISNUMBER(SEARCH("RESPALDO CAFE",INVENTARIO!C202)),"RES-CAF",
IF(ISNUMBER(SEARCH("RESPALDO GRIS",INVENTARIO!C202)),"RES-GRI",
IF(ISNUMBER(SEARCH("OPTICO",INVENTARIO!C202)),"OPT",
IF(ISNUMBER(SEARCH("1,2 MM",INVENTARIO!C202)),"1MM2",
IF(ISNUMBER(SEARCH("2 MM",INVENTARIO!C202)),"2MM",
IF(ISNUMBER(SEARCH("3 MM",INVENTARIO!C202)),"3MM",
IF(ISNUMBER(SEARCH("4 MM",INVENTARIO!C202)),"4MM",
IF(ISNUMBER(SEARCH("5 MM",INVENTARIO!C202)),"5MM",
IF(ISNUMBER(SEARCH("6 MM",INVENTARIO!C202)),"6MM",
IF(ISNUMBER(SEARCH("9 MM",INVENTARIO!C202)),"9MM",
IF(ISNUMBER(SEARCH("10 MM",INVENTARIO!C202)),"10MM","")))))))))))))</f>
        <v>3MM</v>
      </c>
      <c r="H202" t="str">
        <f>IF(ISNUMBER(SEARCH("GAMA BAJA",INVENTARIO!C202)),"GAM-BAJ",
IF(ISNUMBER(SEARCH("OPTIMIZADOR",INVENTARIO!C202)),"OPT",
IF(ISNUMBER(SEARCH("OVERCOAT",INVENTARIO!C202)),"OVE",
IF(ISNUMBER(SEARCH("WHITE",INVENTARIO!C202)),"WHI",
IF(ISNUMBER(SEARCH("LIGHT CYAN",INVENTARIO!C202)),"LIG-CYA",
IF(ISNUMBER(SEARCH("CYAN",INVENTARIO!C202)),"CYA",
IF(ISNUMBER(SEARCH("LIGHT MAGENTA",INVENTARIO!C202)),"LIG-MAG",
IF(ISNUMBER(SEARCH("MAGENTA",INVENTARIO!C202)),"MAG",
IF(ISNUMBER(SEARCH("BLACK",INVENTARIO!C202)),"BLA",
IF(ISNUMBER(SEARCH("YELLOW",INVENTARIO!C202)),"YEL",
IF(ISNUMBER(SEARCH("2 DIODOS",INVENTARIO!C202)),"2DI",
IF(ISNUMBER(SEARCH("3 DIODOS",INVENTARIO!C202)),"3DI",
IF(OR(ISNUMBER(SEARCH("TRASLUCIDO",INVENTARIO!C202)),ISNUMBER(SEARCH("TRANSLUCIDO",INVENTARIO!C202))),"TRA",
"")))))))))))))</f>
        <v/>
      </c>
      <c r="I20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3" spans="1:9">
      <c r="A203" t="str">
        <f>IF(ISNUMBER(SEARCH("LONA",INVENTARIO!C203)),"LON",
IF(ISNUMBER(SEARCH("VINIL",INVENTARIO!C203)),"VIN",
IF(ISNUMBER(SEARCH("KROMACOTE",INVENTARIO!C203)),"KRO",
IF(ISNUMBER(SEARCH("STARDREAM",INVENTARIO!C203)),"STA",
IF(ISNUMBER(SEARCH("DISPLAY",INVENTARIO!C203)),"DIS",
IF(ISNUMBER(SEARCH("ROLL UP",INVENTARIO!C203)),"ROL-UP",
IF(ISNUMBER(SEARCH("TRANSFER DE PAPEL",INVENTARIO!C203)),"TRA-PAP",
IF(ISNUMBER(SEARCH("TRANSFER",INVENTARIO!C203)),"TRA",IF(ISNUMBER(SEARCH("KOLA LOKA",INVENTARIO!C203)),"KOL-LOK",
IF(ISNUMBER(SEARCH("PETG",INVENTARIO!C203)),"PET",
IF(ISNUMBER(SEARCH("OJILLO",INVENTARIO!C203)),"OJI",
IF(ISNUMBER(SEARCH("COUCHE",INVENTARIO!C203)),"COU",
IF(ISNUMBER(SEARCH("PANEL DE ALUMINIO",INVENTARIO!C203)),"PAN-ALU",
IF(ISNUMBER(SEARCH("PVC",INVENTARIO!C203)),"PVC",
IF(ISNUMBER(SEARCH("PAPEL",INVENTARIO!C203)),"PAP",
IF(ISNUMBER(SEARCH("TELA",INVENTARIO!C203)),"TEL",
IF(ISNUMBER(SEARCH("CARTULINA",INVENTARIO!C203)),"CAR",
IF(OR(ISNUMBER(SEARCH("LAMINA",INVENTARIO!C203)),ISNUMBER(SEARCH("LÁMINA",INVENTARIO!C203)),ISNUMBER(SEARCH("LAMPARAS",INVENTARIO!C203))),"LAM",
IF(ISNUMBER(SEARCH("ESTIRENO",INVENTARIO!C203)),"EST",
IF(ISNUMBER(SEARCH("FOAMBOARD",INVENTARIO!C203)),"FOA",
IF(ISNUMBER(SEARCH("SOLVENTE",INVENTARIO!C203)),"SOL",
IF(ISNUMBER(SEARCH("TINTA",INVENTARIO!C203)),"TIN",
IF(ISNUMBER(SEARCH("ACRILICO",INVENTARIO!C203)),"ACR",
IF(ISNUMBER(SEARCH("MICROLED",INVENTARIO!C203)),"MIC",
IF(ISNUMBER(SEARCH("LED",INVENTARIO!C203)),"LED",
IF(ISNUMBER(SEARCH("FUENTE DE PODER",INVENTARIO!C203)),"FUE-POD",
IF(ISNUMBER(SEARCH("PETG",INVENTARIO!C203)),"PET",
IF(ISNUMBER(SEARCH("ALUMINIO",INVENTARIO!C203)),"ALU",
IF(ISNUMBER(SEARCH("CANAL",INVENTARIO!C203)),"CAN",
IF(ISNUMBER(SEARCH("ESCUADRA",INVENTARIO!C203)),"ESC",
IF(ISNUMBER(SEARCH("SOPORTE",INVENTARIO!C203)),"SOP","OTR")
))))))))))))))))))))))))))))))</f>
        <v>ACR</v>
      </c>
      <c r="B203" t="str">
        <f>IF(ISNUMBER(SEARCH("CORTE",INVENTARIO!C203)),"COR",
IF(ISNUMBER(SEARCH("CITYLIGHT",INVENTARIO!C203)),"CIT",
IF(ISNUMBER(SEARCH("LINO",INVENTARIO!C203)),"LIN",
IF(ISNUMBER(SEARCH("FABRIANO",INVENTARIO!C203)),"FAB",
IF(ISNUMBER(SEARCH("SUNDANCE",INVENTARIO!C203)),"SUN",
IF(ISNUMBER(SEARCH("SINTETICA",INVENTARIO!C203)),"SIN",
IF(ISNUMBER(SEARCH("CONTROL",INVENTARIO!C203)),"CON",
IF(ISNUMBER(SEARCH("TERMICO",INVENTARIO!C203)),"TER",
IF(ISNUMBER(SEARCH("C-15",INVENTARIO!C203)),"C15",
IF(ISNUMBER(SEARCH("C-20",INVENTARIO!C203)),"C20",
IF(ISNUMBER(SEARCH("C-30",INVENTARIO!C203)),"C30",
IF(ISNUMBER(SEARCH("C-40",INVENTARIO!C203)),"C40",
IF(ISNUMBER(SEARCH("C-60",INVENTARIO!C203)),"C60",
IF(ISNUMBER(SEARCH("C-80",INVENTARIO!C203)),"C80",
IF(ISNUMBER(SEARCH("EQUIPO",INVENTARIO!C203)),"EQU",
IF(ISNUMBER(SEARCH("FLOOR",INVENTARIO!C203)),"FLO",
IF(ISNUMBER(SEARCH("CRISTAL",INVENTARIO!C203)),"CRI",
IF(ISNUMBER(SEARCH(" SULFATADA",INVENTARIO!C214)),"SUL",
IF(ISNUMBER(SEARCH("OPALINA",INVENTARIO!C203)),"OPA",
IF(ISNUMBER(SEARCH("ADHERIBLE",INVENTARIO!C203)),"ADH",
IF(ISNUMBER(SEARCH("MICRO",INVENTARIO!C203)),"MIC","")))))))))))))))))))))</f>
        <v/>
      </c>
      <c r="C203" t="str">
        <f>IF(ISNUMBER(SEARCH("PARED",INVENTARIO!C203)),"PAR",
IF(ISNUMBER(SEARCH("FRONT",INVENTARIO!C203)),"FRO",
IF(ISNUMBER(SEARCH("ALTA RESISTENCIA",INVENTARIO!C203)),
"ALT-RES",IF(ISNUMBER(SEARCH("BACKLITE",INVENTARIO!C203)),"BAC",
IF(ISNUMBER(SEARCH("MATE",INVENTARIO!C203)),"MAT",
IF(ISNUMBER(SEARCH("MESH",INVENTARIO!C203)),"MES",
IF(ISNUMBER(SEARCH("BRILLANTE",INVENTARIO!C203)),"BRI",
IF(ISNUMBER(SEARCH("DELGADA",INVENTARIO!C203)),"DEL",
IF(ISNUMBER(SEARCH("GRUESA",INVENTARIO!C203)),"GRU",
IF(ISNUMBER(SEARCH("ESTATICO",INVENTARIO!C203)),"EST",
IF(ISNUMBER(SEARCH("REFLECTIVO",INVENTARIO!C203)),"REF",
IF(ISNUMBER(SEARCH("LX700",INVENTARIO!C203)),"LX7",
IF(ISNUMBER(SEARCH("GRANDO",INVENTARIO!C203)),"GRA",
IF(ISNUMBER(SEARCH("FB700",INVENTARIO!C203)),"FB7",
IF(ISNUMBER(SEARCH("LX360",INVENTARIO!C203)),"LX3",
IF(ISNUMBER(SEARCH("XEROX",INVENTARIO!C203)),"XER",
IF(ISNUMBER(SEARCH("CEPILLADO",INVENTARIO!C203)),"CEP",
IF(ISNUMBER(SEARCH("ESPEJO",INVENTARIO!C203)),"ESP",
IF(ISNUMBER(SEARCH("10 PTS",INVENTARIO!C203)),"10PT",
IF(ISNUMBER(SEARCH("12 PTS",INVENTARIO!C203)),"12PT",
IF(ISNUMBER(SEARCH("14 PTS",INVENTARIO!C203)),"14PT",
IF(ISNUMBER(SEARCH("CLASICO",INVENTARIO!C203)),"CLA",
""))))))))))))))))))))))</f>
        <v/>
      </c>
      <c r="D203" t="str">
        <f>IF(ISNUMBER(SEARCH("GRAN FORMATO",INVENTARIO!C203)),"GRA-FOR",
IF(ISNUMBER(SEARCH("CAMA PLANA",INVENTARIO!C203)),"CAM-PLA",
IF(ISNUMBER(SEARCH("GRADO INGENIERIA",INVENTARIO!C203)),"GRA-ING",
IF(ISNUMBER(SEARCH("130 GRS",INVENTARIO!C203)),"130GR",
IF(ISNUMBER(SEARCH("150 GRS",INVENTARIO!C203)),"150GR",
IF(ISNUMBER(SEARCH("185 GRS",INVENTARIO!C203)),"185GR",
IF(ISNUMBER(SEARCH("200 GRS",INVENTARIO!C203)),"200GR",
IF(ISNUMBER(SEARCH("250 GRS",INVENTARIO!C203)),"250GR",
IF(ISNUMBER(SEARCH("300 GRS",INVENTARIO!C203)),"300GR",
IF(ISNUMBER(SEARCH("350 GRS",INVENTARIO!C203)),"350GR",
IF(ISNUMBER(SEARCH("18 OZ",INVENTARIO!C203)),"18OZ",
IF(ISNUMBER(SEARCH("15 OZ",INVENTARIO!C203)),"15OZ",
IF(OR(ISNUMBER(SEARCH("13 OZ",INVENTARIO!C203)),ISNUMBER(SEARCH("13 ONZAS",INVENTARIO!C203))),"13OZ",
IF(OR(ISNUMBER(SEARCH("9 OZ",INVENTARIO!C203)),ISNUMBER(SEARCH("9 ONZAS",INVENTARIO!C203))),"09OZ",
IF(ISNUMBER(SEARCH("DOBLE CARA",INVENTARIO!C203)),"DOB-CAR",
"")))))))))))))))</f>
        <v/>
      </c>
      <c r="E203" t="str">
        <f>IF(OR(ISNUMBER(SEARCH("TRANSPARENTE",INVENTARIO!C203)),ISNUMBER(SEARCH("TRANSPARENTES",INVENTARIO!C203))),"TRA",
IF(OR(ISNUMBER(SEARCH("BLANCO",INVENTARIO!C203)),ISNUMBER(SEARCH("BCO",INVENTARIO!C203))),"BLA",
IF(ISNUMBER(SEARCH("FOTOGRAFICO",INVENTARIO!C203)),"FOT",
IF(ISNUMBER(SEARCH("MARFIL",INVENTARIO!C203)),"MAR",
IF(ISNUMBER(SEARCH("VERDE",INVENTARIO!C203)),"VER",
IF(ISNUMBER(SEARCH("MORADO",INVENTARIO!C203)),"MOR",
IF(ISNUMBER(SEARCH("PLATA",INVENTARIO!C203)),"PLA",
IF(ISNUMBER(SEARCH("ORO",INVENTARIO!C203)),"ORO",
IF(ISNUMBER(SEARCH("AMARILLO",INVENTARIO!C203)),"AMA",
IF(ISNUMBER(SEARCH("NARANJA",INVENTARIO!C203)),"NAR",
IF(ISNUMBER(SEARCH("NEGRO",INVENTARIO!C203)),"NEG",
IF(ISNUMBER(SEARCH("ROJO",INVENTARIO!C203)),"ROJ",
IF(ISNUMBER(SEARCH("AZUL",INVENTARIO!C203)),"AZU","")))))))))))))</f>
        <v>NEG</v>
      </c>
      <c r="F203" t="str">
        <f>IF(ISNUMBER(SEARCH("ARLON",INVENTARIO!C203)),"ARL",
IF(ISNUMBER(SEARCH("SUNTHINKS",INVENTARIO!C203)),"SUN",
IF(ISNUMBER(SEARCH("FRIO",INVENTARIO!C203)),"FRI",
IF(ISNUMBER(SEARCH("CALIDO",INVENTARIO!C203)),"CAL",
IF(ISNUMBER(SEARCH("CEPILLADO",INVENTARIO!C203)),"CEP",
IF(ISNUMBER(SEARCH("ESPEJO",INVENTARIO!C203)),"ESP",
""))))))</f>
        <v/>
      </c>
      <c r="G203" t="str">
        <f>IF(ISNUMBER(SEARCH("LATEX",INVENTARIO!C203)),"LAT",
IF(ISNUMBER(SEARCH("RESP. NEGRO",INVENTARIO!C203)),"RES-NEG",
IF(ISNUMBER(SEARCH("RESPALDO CAFE",INVENTARIO!C203)),"RES-CAF",
IF(ISNUMBER(SEARCH("RESPALDO GRIS",INVENTARIO!C203)),"RES-GRI",
IF(ISNUMBER(SEARCH("OPTICO",INVENTARIO!C203)),"OPT",
IF(ISNUMBER(SEARCH("1,2 MM",INVENTARIO!C203)),"1MM2",
IF(ISNUMBER(SEARCH("2 MM",INVENTARIO!C203)),"2MM",
IF(ISNUMBER(SEARCH("3 MM",INVENTARIO!C203)),"3MM",
IF(ISNUMBER(SEARCH("4 MM",INVENTARIO!C203)),"4MM",
IF(ISNUMBER(SEARCH("5 MM",INVENTARIO!C203)),"5MM",
IF(ISNUMBER(SEARCH("6 MM",INVENTARIO!C203)),"6MM",
IF(ISNUMBER(SEARCH("9 MM",INVENTARIO!C203)),"9MM",
IF(ISNUMBER(SEARCH("10 MM",INVENTARIO!C203)),"10MM","")))))))))))))</f>
        <v>6MM</v>
      </c>
      <c r="H203" t="str">
        <f>IF(ISNUMBER(SEARCH("GAMA BAJA",INVENTARIO!C203)),"GAM-BAJ",
IF(ISNUMBER(SEARCH("OPTIMIZADOR",INVENTARIO!C203)),"OPT",
IF(ISNUMBER(SEARCH("OVERCOAT",INVENTARIO!C203)),"OVE",
IF(ISNUMBER(SEARCH("WHITE",INVENTARIO!C203)),"WHI",
IF(ISNUMBER(SEARCH("LIGHT CYAN",INVENTARIO!C203)),"LIG-CYA",
IF(ISNUMBER(SEARCH("CYAN",INVENTARIO!C203)),"CYA",
IF(ISNUMBER(SEARCH("LIGHT MAGENTA",INVENTARIO!C203)),"LIG-MAG",
IF(ISNUMBER(SEARCH("MAGENTA",INVENTARIO!C203)),"MAG",
IF(ISNUMBER(SEARCH("BLACK",INVENTARIO!C203)),"BLA",
IF(ISNUMBER(SEARCH("YELLOW",INVENTARIO!C203)),"YEL",
IF(ISNUMBER(SEARCH("2 DIODOS",INVENTARIO!C203)),"2DI",
IF(ISNUMBER(SEARCH("3 DIODOS",INVENTARIO!C203)),"3DI",
IF(OR(ISNUMBER(SEARCH("TRASLUCIDO",INVENTARIO!C203)),ISNUMBER(SEARCH("TRANSLUCIDO",INVENTARIO!C203))),"TRA",
"")))))))))))))</f>
        <v/>
      </c>
      <c r="I20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4" spans="1:9">
      <c r="A204" t="str">
        <f>IF(ISNUMBER(SEARCH("LONA",INVENTARIO!C204)),"LON",
IF(ISNUMBER(SEARCH("VINIL",INVENTARIO!C204)),"VIN",
IF(ISNUMBER(SEARCH("KROMACOTE",INVENTARIO!C204)),"KRO",
IF(ISNUMBER(SEARCH("STARDREAM",INVENTARIO!C204)),"STA",
IF(ISNUMBER(SEARCH("DISPLAY",INVENTARIO!C204)),"DIS",
IF(ISNUMBER(SEARCH("ROLL UP",INVENTARIO!C204)),"ROL-UP",
IF(ISNUMBER(SEARCH("TRANSFER DE PAPEL",INVENTARIO!C204)),"TRA-PAP",
IF(ISNUMBER(SEARCH("TRANSFER",INVENTARIO!C204)),"TRA",IF(ISNUMBER(SEARCH("KOLA LOKA",INVENTARIO!C204)),"KOL-LOK",
IF(ISNUMBER(SEARCH("PETG",INVENTARIO!C204)),"PET",
IF(ISNUMBER(SEARCH("OJILLO",INVENTARIO!C204)),"OJI",
IF(ISNUMBER(SEARCH("COUCHE",INVENTARIO!C204)),"COU",
IF(ISNUMBER(SEARCH("PANEL DE ALUMINIO",INVENTARIO!C204)),"PAN-ALU",
IF(ISNUMBER(SEARCH("PVC",INVENTARIO!C204)),"PVC",
IF(ISNUMBER(SEARCH("PAPEL",INVENTARIO!C204)),"PAP",
IF(ISNUMBER(SEARCH("TELA",INVENTARIO!C204)),"TEL",
IF(ISNUMBER(SEARCH("CARTULINA",INVENTARIO!C204)),"CAR",
IF(OR(ISNUMBER(SEARCH("LAMINA",INVENTARIO!C204)),ISNUMBER(SEARCH("LÁMINA",INVENTARIO!C204)),ISNUMBER(SEARCH("LAMPARAS",INVENTARIO!C204))),"LAM",
IF(ISNUMBER(SEARCH("ESTIRENO",INVENTARIO!C204)),"EST",
IF(ISNUMBER(SEARCH("FOAMBOARD",INVENTARIO!C204)),"FOA",
IF(ISNUMBER(SEARCH("SOLVENTE",INVENTARIO!C204)),"SOL",
IF(ISNUMBER(SEARCH("TINTA",INVENTARIO!C204)),"TIN",
IF(ISNUMBER(SEARCH("ACRILICO",INVENTARIO!C204)),"ACR",
IF(ISNUMBER(SEARCH("MICROLED",INVENTARIO!C204)),"MIC",
IF(ISNUMBER(SEARCH("LED",INVENTARIO!C204)),"LED",
IF(ISNUMBER(SEARCH("FUENTE DE PODER",INVENTARIO!C204)),"FUE-POD",
IF(ISNUMBER(SEARCH("PETG",INVENTARIO!C204)),"PET",
IF(ISNUMBER(SEARCH("ALUMINIO",INVENTARIO!C204)),"ALU",
IF(ISNUMBER(SEARCH("CANAL",INVENTARIO!C204)),"CAN",
IF(ISNUMBER(SEARCH("ESCUADRA",INVENTARIO!C204)),"ESC",
IF(ISNUMBER(SEARCH("SOPORTE",INVENTARIO!C204)),"SOP","OTR")
))))))))))))))))))))))))))))))</f>
        <v>ACR</v>
      </c>
      <c r="B204" t="str">
        <f>IF(ISNUMBER(SEARCH("CORTE",INVENTARIO!C204)),"COR",
IF(ISNUMBER(SEARCH("CITYLIGHT",INVENTARIO!C204)),"CIT",
IF(ISNUMBER(SEARCH("LINO",INVENTARIO!C204)),"LIN",
IF(ISNUMBER(SEARCH("FABRIANO",INVENTARIO!C204)),"FAB",
IF(ISNUMBER(SEARCH("SUNDANCE",INVENTARIO!C204)),"SUN",
IF(ISNUMBER(SEARCH("SINTETICA",INVENTARIO!C204)),"SIN",
IF(ISNUMBER(SEARCH("CONTROL",INVENTARIO!C204)),"CON",
IF(ISNUMBER(SEARCH("TERMICO",INVENTARIO!C204)),"TER",
IF(ISNUMBER(SEARCH("C-15",INVENTARIO!C204)),"C15",
IF(ISNUMBER(SEARCH("C-20",INVENTARIO!C204)),"C20",
IF(ISNUMBER(SEARCH("C-30",INVENTARIO!C204)),"C30",
IF(ISNUMBER(SEARCH("C-40",INVENTARIO!C204)),"C40",
IF(ISNUMBER(SEARCH("C-60",INVENTARIO!C204)),"C60",
IF(ISNUMBER(SEARCH("C-80",INVENTARIO!C204)),"C80",
IF(ISNUMBER(SEARCH("EQUIPO",INVENTARIO!C204)),"EQU",
IF(ISNUMBER(SEARCH("FLOOR",INVENTARIO!C204)),"FLO",
IF(ISNUMBER(SEARCH("CRISTAL",INVENTARIO!C204)),"CRI",
IF(ISNUMBER(SEARCH(" SULFATADA",INVENTARIO!C215)),"SUL",
IF(ISNUMBER(SEARCH("OPALINA",INVENTARIO!C204)),"OPA",
IF(ISNUMBER(SEARCH("ADHERIBLE",INVENTARIO!C204)),"ADH",
IF(ISNUMBER(SEARCH("MICRO",INVENTARIO!C204)),"MIC","")))))))))))))))))))))</f>
        <v/>
      </c>
      <c r="C204" t="str">
        <f>IF(ISNUMBER(SEARCH("PARED",INVENTARIO!C204)),"PAR",
IF(ISNUMBER(SEARCH("FRONT",INVENTARIO!C204)),"FRO",
IF(ISNUMBER(SEARCH("ALTA RESISTENCIA",INVENTARIO!C204)),
"ALT-RES",IF(ISNUMBER(SEARCH("BACKLITE",INVENTARIO!C204)),"BAC",
IF(ISNUMBER(SEARCH("MATE",INVENTARIO!C204)),"MAT",
IF(ISNUMBER(SEARCH("MESH",INVENTARIO!C204)),"MES",
IF(ISNUMBER(SEARCH("BRILLANTE",INVENTARIO!C204)),"BRI",
IF(ISNUMBER(SEARCH("DELGADA",INVENTARIO!C204)),"DEL",
IF(ISNUMBER(SEARCH("GRUESA",INVENTARIO!C204)),"GRU",
IF(ISNUMBER(SEARCH("ESTATICO",INVENTARIO!C204)),"EST",
IF(ISNUMBER(SEARCH("REFLECTIVO",INVENTARIO!C204)),"REF",
IF(ISNUMBER(SEARCH("LX700",INVENTARIO!C204)),"LX7",
IF(ISNUMBER(SEARCH("GRANDO",INVENTARIO!C204)),"GRA",
IF(ISNUMBER(SEARCH("FB700",INVENTARIO!C204)),"FB7",
IF(ISNUMBER(SEARCH("LX360",INVENTARIO!C204)),"LX3",
IF(ISNUMBER(SEARCH("XEROX",INVENTARIO!C204)),"XER",
IF(ISNUMBER(SEARCH("CEPILLADO",INVENTARIO!C204)),"CEP",
IF(ISNUMBER(SEARCH("ESPEJO",INVENTARIO!C204)),"ESP",
IF(ISNUMBER(SEARCH("10 PTS",INVENTARIO!C204)),"10PT",
IF(ISNUMBER(SEARCH("12 PTS",INVENTARIO!C204)),"12PT",
IF(ISNUMBER(SEARCH("14 PTS",INVENTARIO!C204)),"14PT",
IF(ISNUMBER(SEARCH("CLASICO",INVENTARIO!C204)),"CLA",
""))))))))))))))))))))))</f>
        <v/>
      </c>
      <c r="D204" t="str">
        <f>IF(ISNUMBER(SEARCH("GRAN FORMATO",INVENTARIO!C204)),"GRA-FOR",
IF(ISNUMBER(SEARCH("CAMA PLANA",INVENTARIO!C204)),"CAM-PLA",
IF(ISNUMBER(SEARCH("GRADO INGENIERIA",INVENTARIO!C204)),"GRA-ING",
IF(ISNUMBER(SEARCH("130 GRS",INVENTARIO!C204)),"130GR",
IF(ISNUMBER(SEARCH("150 GRS",INVENTARIO!C204)),"150GR",
IF(ISNUMBER(SEARCH("185 GRS",INVENTARIO!C204)),"185GR",
IF(ISNUMBER(SEARCH("200 GRS",INVENTARIO!C204)),"200GR",
IF(ISNUMBER(SEARCH("250 GRS",INVENTARIO!C204)),"250GR",
IF(ISNUMBER(SEARCH("300 GRS",INVENTARIO!C204)),"300GR",
IF(ISNUMBER(SEARCH("350 GRS",INVENTARIO!C204)),"350GR",
IF(ISNUMBER(SEARCH("18 OZ",INVENTARIO!C204)),"18OZ",
IF(ISNUMBER(SEARCH("15 OZ",INVENTARIO!C204)),"15OZ",
IF(OR(ISNUMBER(SEARCH("13 OZ",INVENTARIO!C204)),ISNUMBER(SEARCH("13 ONZAS",INVENTARIO!C204))),"13OZ",
IF(OR(ISNUMBER(SEARCH("9 OZ",INVENTARIO!C204)),ISNUMBER(SEARCH("9 ONZAS",INVENTARIO!C204))),"09OZ",
IF(ISNUMBER(SEARCH("DOBLE CARA",INVENTARIO!C204)),"DOB-CAR",
"")))))))))))))))</f>
        <v/>
      </c>
      <c r="E204" t="str">
        <f>IF(OR(ISNUMBER(SEARCH("TRANSPARENTE",INVENTARIO!C204)),ISNUMBER(SEARCH("TRANSPARENTES",INVENTARIO!C204))),"TRA",
IF(OR(ISNUMBER(SEARCH("BLANCO",INVENTARIO!C204)),ISNUMBER(SEARCH("BCO",INVENTARIO!C204))),"BLA",
IF(ISNUMBER(SEARCH("FOTOGRAFICO",INVENTARIO!C204)),"FOT",
IF(ISNUMBER(SEARCH("MARFIL",INVENTARIO!C204)),"MAR",
IF(ISNUMBER(SEARCH("VERDE",INVENTARIO!C204)),"VER",
IF(ISNUMBER(SEARCH("MORADO",INVENTARIO!C204)),"MOR",
IF(ISNUMBER(SEARCH("PLATA",INVENTARIO!C204)),"PLA",
IF(ISNUMBER(SEARCH("ORO",INVENTARIO!C204)),"ORO",
IF(ISNUMBER(SEARCH("AMARILLO",INVENTARIO!C204)),"AMA",
IF(ISNUMBER(SEARCH("NARANJA",INVENTARIO!C204)),"NAR",
IF(ISNUMBER(SEARCH("NEGRO",INVENTARIO!C204)),"NEG",
IF(ISNUMBER(SEARCH("ROJO",INVENTARIO!C204)),"ROJ",
IF(ISNUMBER(SEARCH("AZUL",INVENTARIO!C204)),"AZU","")))))))))))))</f>
        <v>NEG</v>
      </c>
      <c r="F204" t="str">
        <f>IF(ISNUMBER(SEARCH("ARLON",INVENTARIO!C204)),"ARL",
IF(ISNUMBER(SEARCH("SUNTHINKS",INVENTARIO!C204)),"SUN",
IF(ISNUMBER(SEARCH("FRIO",INVENTARIO!C204)),"FRI",
IF(ISNUMBER(SEARCH("CALIDO",INVENTARIO!C204)),"CAL",
IF(ISNUMBER(SEARCH("CEPILLADO",INVENTARIO!C204)),"CEP",
IF(ISNUMBER(SEARCH("ESPEJO",INVENTARIO!C204)),"ESP",
""))))))</f>
        <v/>
      </c>
      <c r="G204" t="str">
        <f>IF(ISNUMBER(SEARCH("LATEX",INVENTARIO!C204)),"LAT",
IF(ISNUMBER(SEARCH("RESP. NEGRO",INVENTARIO!C204)),"RES-NEG",
IF(ISNUMBER(SEARCH("RESPALDO CAFE",INVENTARIO!C204)),"RES-CAF",
IF(ISNUMBER(SEARCH("RESPALDO GRIS",INVENTARIO!C204)),"RES-GRI",
IF(ISNUMBER(SEARCH("OPTICO",INVENTARIO!C204)),"OPT",
IF(ISNUMBER(SEARCH("1,2 MM",INVENTARIO!C204)),"1MM2",
IF(ISNUMBER(SEARCH("2 MM",INVENTARIO!C204)),"2MM",
IF(ISNUMBER(SEARCH("3 MM",INVENTARIO!C204)),"3MM",
IF(ISNUMBER(SEARCH("4 MM",INVENTARIO!C204)),"4MM",
IF(ISNUMBER(SEARCH("5 MM",INVENTARIO!C204)),"5MM",
IF(ISNUMBER(SEARCH("6 MM",INVENTARIO!C204)),"6MM",
IF(ISNUMBER(SEARCH("9 MM",INVENTARIO!C204)),"9MM",
IF(ISNUMBER(SEARCH("10 MM",INVENTARIO!C204)),"10MM","")))))))))))))</f>
        <v>6MM</v>
      </c>
      <c r="H204" t="str">
        <f>IF(ISNUMBER(SEARCH("GAMA BAJA",INVENTARIO!C204)),"GAM-BAJ",
IF(ISNUMBER(SEARCH("OPTIMIZADOR",INVENTARIO!C204)),"OPT",
IF(ISNUMBER(SEARCH("OVERCOAT",INVENTARIO!C204)),"OVE",
IF(ISNUMBER(SEARCH("WHITE",INVENTARIO!C204)),"WHI",
IF(ISNUMBER(SEARCH("LIGHT CYAN",INVENTARIO!C204)),"LIG-CYA",
IF(ISNUMBER(SEARCH("CYAN",INVENTARIO!C204)),"CYA",
IF(ISNUMBER(SEARCH("LIGHT MAGENTA",INVENTARIO!C204)),"LIG-MAG",
IF(ISNUMBER(SEARCH("MAGENTA",INVENTARIO!C204)),"MAG",
IF(ISNUMBER(SEARCH("BLACK",INVENTARIO!C204)),"BLA",
IF(ISNUMBER(SEARCH("YELLOW",INVENTARIO!C204)),"YEL",
IF(ISNUMBER(SEARCH("2 DIODOS",INVENTARIO!C204)),"2DI",
IF(ISNUMBER(SEARCH("3 DIODOS",INVENTARIO!C204)),"3DI",
IF(OR(ISNUMBER(SEARCH("TRASLUCIDO",INVENTARIO!C204)),ISNUMBER(SEARCH("TRANSLUCIDO",INVENTARIO!C204))),"TRA",
"")))))))))))))</f>
        <v/>
      </c>
      <c r="I20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5" spans="1:9">
      <c r="A205" t="str">
        <f>IF(ISNUMBER(SEARCH("LONA",INVENTARIO!C205)),"LON",
IF(ISNUMBER(SEARCH("VINIL",INVENTARIO!C205)),"VIN",
IF(ISNUMBER(SEARCH("KROMACOTE",INVENTARIO!C205)),"KRO",
IF(ISNUMBER(SEARCH("STARDREAM",INVENTARIO!C205)),"STA",
IF(ISNUMBER(SEARCH("DISPLAY",INVENTARIO!C205)),"DIS",
IF(ISNUMBER(SEARCH("ROLL UP",INVENTARIO!C205)),"ROL-UP",
IF(ISNUMBER(SEARCH("TRANSFER DE PAPEL",INVENTARIO!C205)),"TRA-PAP",
IF(ISNUMBER(SEARCH("TRANSFER",INVENTARIO!C205)),"TRA",IF(ISNUMBER(SEARCH("KOLA LOKA",INVENTARIO!C205)),"KOL-LOK",
IF(ISNUMBER(SEARCH("PETG",INVENTARIO!C205)),"PET",
IF(ISNUMBER(SEARCH("OJILLO",INVENTARIO!C205)),"OJI",
IF(ISNUMBER(SEARCH("COUCHE",INVENTARIO!C205)),"COU",
IF(ISNUMBER(SEARCH("PANEL DE ALUMINIO",INVENTARIO!C205)),"PAN-ALU",
IF(ISNUMBER(SEARCH("PVC",INVENTARIO!C205)),"PVC",
IF(ISNUMBER(SEARCH("PAPEL",INVENTARIO!C205)),"PAP",
IF(ISNUMBER(SEARCH("TELA",INVENTARIO!C205)),"TEL",
IF(ISNUMBER(SEARCH("CARTULINA",INVENTARIO!C205)),"CAR",
IF(OR(ISNUMBER(SEARCH("LAMINA",INVENTARIO!C205)),ISNUMBER(SEARCH("LÁMINA",INVENTARIO!C205)),ISNUMBER(SEARCH("LAMPARAS",INVENTARIO!C205))),"LAM",
IF(ISNUMBER(SEARCH("ESTIRENO",INVENTARIO!C205)),"EST",
IF(ISNUMBER(SEARCH("FOAMBOARD",INVENTARIO!C205)),"FOA",
IF(ISNUMBER(SEARCH("SOLVENTE",INVENTARIO!C205)),"SOL",
IF(ISNUMBER(SEARCH("TINTA",INVENTARIO!C205)),"TIN",
IF(ISNUMBER(SEARCH("ACRILICO",INVENTARIO!C205)),"ACR",
IF(ISNUMBER(SEARCH("MICROLED",INVENTARIO!C205)),"MIC",
IF(ISNUMBER(SEARCH("LED",INVENTARIO!C205)),"LED",
IF(ISNUMBER(SEARCH("FUENTE DE PODER",INVENTARIO!C205)),"FUE-POD",
IF(ISNUMBER(SEARCH("PETG",INVENTARIO!C205)),"PET",
IF(ISNUMBER(SEARCH("ALUMINIO",INVENTARIO!C205)),"ALU",
IF(ISNUMBER(SEARCH("CANAL",INVENTARIO!C205)),"CAN",
IF(ISNUMBER(SEARCH("ESCUADRA",INVENTARIO!C205)),"ESC",
IF(ISNUMBER(SEARCH("SOPORTE",INVENTARIO!C205)),"SOP","OTR")
))))))))))))))))))))))))))))))</f>
        <v>ACR</v>
      </c>
      <c r="B205" t="str">
        <f>IF(ISNUMBER(SEARCH("CORTE",INVENTARIO!C205)),"COR",
IF(ISNUMBER(SEARCH("CITYLIGHT",INVENTARIO!C205)),"CIT",
IF(ISNUMBER(SEARCH("LINO",INVENTARIO!C205)),"LIN",
IF(ISNUMBER(SEARCH("FABRIANO",INVENTARIO!C205)),"FAB",
IF(ISNUMBER(SEARCH("SUNDANCE",INVENTARIO!C205)),"SUN",
IF(ISNUMBER(SEARCH("SINTETICA",INVENTARIO!C205)),"SIN",
IF(ISNUMBER(SEARCH("CONTROL",INVENTARIO!C205)),"CON",
IF(ISNUMBER(SEARCH("TERMICO",INVENTARIO!C205)),"TER",
IF(ISNUMBER(SEARCH("C-15",INVENTARIO!C205)),"C15",
IF(ISNUMBER(SEARCH("C-20",INVENTARIO!C205)),"C20",
IF(ISNUMBER(SEARCH("C-30",INVENTARIO!C205)),"C30",
IF(ISNUMBER(SEARCH("C-40",INVENTARIO!C205)),"C40",
IF(ISNUMBER(SEARCH("C-60",INVENTARIO!C205)),"C60",
IF(ISNUMBER(SEARCH("C-80",INVENTARIO!C205)),"C80",
IF(ISNUMBER(SEARCH("EQUIPO",INVENTARIO!C205)),"EQU",
IF(ISNUMBER(SEARCH("FLOOR",INVENTARIO!C205)),"FLO",
IF(ISNUMBER(SEARCH("CRISTAL",INVENTARIO!C205)),"CRI",
IF(ISNUMBER(SEARCH(" SULFATADA",INVENTARIO!C216)),"SUL",
IF(ISNUMBER(SEARCH("OPALINA",INVENTARIO!C205)),"OPA",
IF(ISNUMBER(SEARCH("ADHERIBLE",INVENTARIO!C205)),"ADH",
IF(ISNUMBER(SEARCH("MICRO",INVENTARIO!C205)),"MIC","")))))))))))))))))))))</f>
        <v/>
      </c>
      <c r="C205" t="str">
        <f>IF(ISNUMBER(SEARCH("PARED",INVENTARIO!C205)),"PAR",
IF(ISNUMBER(SEARCH("FRONT",INVENTARIO!C205)),"FRO",
IF(ISNUMBER(SEARCH("ALTA RESISTENCIA",INVENTARIO!C205)),
"ALT-RES",IF(ISNUMBER(SEARCH("BACKLITE",INVENTARIO!C205)),"BAC",
IF(ISNUMBER(SEARCH("MATE",INVENTARIO!C205)),"MAT",
IF(ISNUMBER(SEARCH("MESH",INVENTARIO!C205)),"MES",
IF(ISNUMBER(SEARCH("BRILLANTE",INVENTARIO!C205)),"BRI",
IF(ISNUMBER(SEARCH("DELGADA",INVENTARIO!C205)),"DEL",
IF(ISNUMBER(SEARCH("GRUESA",INVENTARIO!C205)),"GRU",
IF(ISNUMBER(SEARCH("ESTATICO",INVENTARIO!C205)),"EST",
IF(ISNUMBER(SEARCH("REFLECTIVO",INVENTARIO!C205)),"REF",
IF(ISNUMBER(SEARCH("LX700",INVENTARIO!C205)),"LX7",
IF(ISNUMBER(SEARCH("GRANDO",INVENTARIO!C205)),"GRA",
IF(ISNUMBER(SEARCH("FB700",INVENTARIO!C205)),"FB7",
IF(ISNUMBER(SEARCH("LX360",INVENTARIO!C205)),"LX3",
IF(ISNUMBER(SEARCH("XEROX",INVENTARIO!C205)),"XER",
IF(ISNUMBER(SEARCH("CEPILLADO",INVENTARIO!C205)),"CEP",
IF(ISNUMBER(SEARCH("ESPEJO",INVENTARIO!C205)),"ESP",
IF(ISNUMBER(SEARCH("10 PTS",INVENTARIO!C205)),"10PT",
IF(ISNUMBER(SEARCH("12 PTS",INVENTARIO!C205)),"12PT",
IF(ISNUMBER(SEARCH("14 PTS",INVENTARIO!C205)),"14PT",
IF(ISNUMBER(SEARCH("CLASICO",INVENTARIO!C205)),"CLA",
""))))))))))))))))))))))</f>
        <v/>
      </c>
      <c r="D205" t="str">
        <f>IF(ISNUMBER(SEARCH("GRAN FORMATO",INVENTARIO!C205)),"GRA-FOR",
IF(ISNUMBER(SEARCH("CAMA PLANA",INVENTARIO!C205)),"CAM-PLA",
IF(ISNUMBER(SEARCH("GRADO INGENIERIA",INVENTARIO!C205)),"GRA-ING",
IF(ISNUMBER(SEARCH("130 GRS",INVENTARIO!C205)),"130GR",
IF(ISNUMBER(SEARCH("150 GRS",INVENTARIO!C205)),"150GR",
IF(ISNUMBER(SEARCH("185 GRS",INVENTARIO!C205)),"185GR",
IF(ISNUMBER(SEARCH("200 GRS",INVENTARIO!C205)),"200GR",
IF(ISNUMBER(SEARCH("250 GRS",INVENTARIO!C205)),"250GR",
IF(ISNUMBER(SEARCH("300 GRS",INVENTARIO!C205)),"300GR",
IF(ISNUMBER(SEARCH("350 GRS",INVENTARIO!C205)),"350GR",
IF(ISNUMBER(SEARCH("18 OZ",INVENTARIO!C205)),"18OZ",
IF(ISNUMBER(SEARCH("15 OZ",INVENTARIO!C205)),"15OZ",
IF(OR(ISNUMBER(SEARCH("13 OZ",INVENTARIO!C205)),ISNUMBER(SEARCH("13 ONZAS",INVENTARIO!C205))),"13OZ",
IF(OR(ISNUMBER(SEARCH("9 OZ",INVENTARIO!C205)),ISNUMBER(SEARCH("9 ONZAS",INVENTARIO!C205))),"09OZ",
IF(ISNUMBER(SEARCH("DOBLE CARA",INVENTARIO!C205)),"DOB-CAR",
"")))))))))))))))</f>
        <v/>
      </c>
      <c r="E205" t="str">
        <f>IF(OR(ISNUMBER(SEARCH("TRANSPARENTE",INVENTARIO!C205)),ISNUMBER(SEARCH("TRANSPARENTES",INVENTARIO!C205))),"TRA",
IF(OR(ISNUMBER(SEARCH("BLANCO",INVENTARIO!C205)),ISNUMBER(SEARCH("BCO",INVENTARIO!C205))),"BLA",
IF(ISNUMBER(SEARCH("FOTOGRAFICO",INVENTARIO!C205)),"FOT",
IF(ISNUMBER(SEARCH("MARFIL",INVENTARIO!C205)),"MAR",
IF(ISNUMBER(SEARCH("VERDE",INVENTARIO!C205)),"VER",
IF(ISNUMBER(SEARCH("MORADO",INVENTARIO!C205)),"MOR",
IF(ISNUMBER(SEARCH("PLATA",INVENTARIO!C205)),"PLA",
IF(ISNUMBER(SEARCH("ORO",INVENTARIO!C205)),"ORO",
IF(ISNUMBER(SEARCH("AMARILLO",INVENTARIO!C205)),"AMA",
IF(ISNUMBER(SEARCH("NARANJA",INVENTARIO!C205)),"NAR",
IF(ISNUMBER(SEARCH("NEGRO",INVENTARIO!C205)),"NEG",
IF(ISNUMBER(SEARCH("ROJO",INVENTARIO!C205)),"ROJ",
IF(ISNUMBER(SEARCH("AZUL",INVENTARIO!C205)),"AZU","")))))))))))))</f>
        <v>AMA</v>
      </c>
      <c r="F205" t="str">
        <f>IF(ISNUMBER(SEARCH("ARLON",INVENTARIO!C205)),"ARL",
IF(ISNUMBER(SEARCH("SUNTHINKS",INVENTARIO!C205)),"SUN",
IF(ISNUMBER(SEARCH("FRIO",INVENTARIO!C205)),"FRI",
IF(ISNUMBER(SEARCH("CALIDO",INVENTARIO!C205)),"CAL",
IF(ISNUMBER(SEARCH("CEPILLADO",INVENTARIO!C205)),"CEP",
IF(ISNUMBER(SEARCH("ESPEJO",INVENTARIO!C205)),"ESP",
""))))))</f>
        <v/>
      </c>
      <c r="G205" t="str">
        <f>IF(ISNUMBER(SEARCH("LATEX",INVENTARIO!C205)),"LAT",
IF(ISNUMBER(SEARCH("RESP. NEGRO",INVENTARIO!C205)),"RES-NEG",
IF(ISNUMBER(SEARCH("RESPALDO CAFE",INVENTARIO!C205)),"RES-CAF",
IF(ISNUMBER(SEARCH("RESPALDO GRIS",INVENTARIO!C205)),"RES-GRI",
IF(ISNUMBER(SEARCH("OPTICO",INVENTARIO!C205)),"OPT",
IF(ISNUMBER(SEARCH("1,2 MM",INVENTARIO!C205)),"1MM2",
IF(ISNUMBER(SEARCH("2 MM",INVENTARIO!C205)),"2MM",
IF(ISNUMBER(SEARCH("3 MM",INVENTARIO!C205)),"3MM",
IF(ISNUMBER(SEARCH("4 MM",INVENTARIO!C205)),"4MM",
IF(ISNUMBER(SEARCH("5 MM",INVENTARIO!C205)),"5MM",
IF(ISNUMBER(SEARCH("6 MM",INVENTARIO!C205)),"6MM",
IF(ISNUMBER(SEARCH("9 MM",INVENTARIO!C205)),"9MM",
IF(ISNUMBER(SEARCH("10 MM",INVENTARIO!C205)),"10MM","")))))))))))))</f>
        <v>3MM</v>
      </c>
      <c r="H205" t="str">
        <f>IF(ISNUMBER(SEARCH("GAMA BAJA",INVENTARIO!C205)),"GAM-BAJ",
IF(ISNUMBER(SEARCH("OPTIMIZADOR",INVENTARIO!C205)),"OPT",
IF(ISNUMBER(SEARCH("OVERCOAT",INVENTARIO!C205)),"OVE",
IF(ISNUMBER(SEARCH("WHITE",INVENTARIO!C205)),"WHI",
IF(ISNUMBER(SEARCH("LIGHT CYAN",INVENTARIO!C205)),"LIG-CYA",
IF(ISNUMBER(SEARCH("CYAN",INVENTARIO!C205)),"CYA",
IF(ISNUMBER(SEARCH("LIGHT MAGENTA",INVENTARIO!C205)),"LIG-MAG",
IF(ISNUMBER(SEARCH("MAGENTA",INVENTARIO!C205)),"MAG",
IF(ISNUMBER(SEARCH("BLACK",INVENTARIO!C205)),"BLA",
IF(ISNUMBER(SEARCH("YELLOW",INVENTARIO!C205)),"YEL",
IF(ISNUMBER(SEARCH("2 DIODOS",INVENTARIO!C205)),"2DI",
IF(ISNUMBER(SEARCH("3 DIODOS",INVENTARIO!C205)),"3DI",
IF(OR(ISNUMBER(SEARCH("TRASLUCIDO",INVENTARIO!C205)),ISNUMBER(SEARCH("TRANSLUCIDO",INVENTARIO!C205))),"TRA",
"")))))))))))))</f>
        <v/>
      </c>
      <c r="I20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6" spans="1:9">
      <c r="A206" t="str">
        <f>IF(ISNUMBER(SEARCH("LONA",INVENTARIO!C206)),"LON",
IF(ISNUMBER(SEARCH("VINIL",INVENTARIO!C206)),"VIN",
IF(ISNUMBER(SEARCH("KROMACOTE",INVENTARIO!C206)),"KRO",
IF(ISNUMBER(SEARCH("STARDREAM",INVENTARIO!C206)),"STA",
IF(ISNUMBER(SEARCH("DISPLAY",INVENTARIO!C206)),"DIS",
IF(ISNUMBER(SEARCH("ROLL UP",INVENTARIO!C206)),"ROL-UP",
IF(ISNUMBER(SEARCH("TRANSFER DE PAPEL",INVENTARIO!C206)),"TRA-PAP",
IF(ISNUMBER(SEARCH("TRANSFER",INVENTARIO!C206)),"TRA",IF(ISNUMBER(SEARCH("KOLA LOKA",INVENTARIO!C206)),"KOL-LOK",
IF(ISNUMBER(SEARCH("PETG",INVENTARIO!C206)),"PET",
IF(ISNUMBER(SEARCH("OJILLO",INVENTARIO!C206)),"OJI",
IF(ISNUMBER(SEARCH("COUCHE",INVENTARIO!C206)),"COU",
IF(ISNUMBER(SEARCH("PANEL DE ALUMINIO",INVENTARIO!C206)),"PAN-ALU",
IF(ISNUMBER(SEARCH("PVC",INVENTARIO!C206)),"PVC",
IF(ISNUMBER(SEARCH("PAPEL",INVENTARIO!C206)),"PAP",
IF(ISNUMBER(SEARCH("TELA",INVENTARIO!C206)),"TEL",
IF(ISNUMBER(SEARCH("CARTULINA",INVENTARIO!C206)),"CAR",
IF(OR(ISNUMBER(SEARCH("LAMINA",INVENTARIO!C206)),ISNUMBER(SEARCH("LÁMINA",INVENTARIO!C206)),ISNUMBER(SEARCH("LAMPARAS",INVENTARIO!C206))),"LAM",
IF(ISNUMBER(SEARCH("ESTIRENO",INVENTARIO!C206)),"EST",
IF(ISNUMBER(SEARCH("FOAMBOARD",INVENTARIO!C206)),"FOA",
IF(ISNUMBER(SEARCH("SOLVENTE",INVENTARIO!C206)),"SOL",
IF(ISNUMBER(SEARCH("TINTA",INVENTARIO!C206)),"TIN",
IF(ISNUMBER(SEARCH("ACRILICO",INVENTARIO!C206)),"ACR",
IF(ISNUMBER(SEARCH("MICROLED",INVENTARIO!C206)),"MIC",
IF(ISNUMBER(SEARCH("LED",INVENTARIO!C206)),"LED",
IF(ISNUMBER(SEARCH("FUENTE DE PODER",INVENTARIO!C206)),"FUE-POD",
IF(ISNUMBER(SEARCH("PETG",INVENTARIO!C206)),"PET",
IF(ISNUMBER(SEARCH("ALUMINIO",INVENTARIO!C206)),"ALU",
IF(ISNUMBER(SEARCH("CANAL",INVENTARIO!C206)),"CAN",
IF(ISNUMBER(SEARCH("ESCUADRA",INVENTARIO!C206)),"ESC",
IF(ISNUMBER(SEARCH("SOPORTE",INVENTARIO!C206)),"SOP","OTR")
))))))))))))))))))))))))))))))</f>
        <v>ACR</v>
      </c>
      <c r="B206" t="str">
        <f>IF(ISNUMBER(SEARCH("CORTE",INVENTARIO!C206)),"COR",
IF(ISNUMBER(SEARCH("CITYLIGHT",INVENTARIO!C206)),"CIT",
IF(ISNUMBER(SEARCH("LINO",INVENTARIO!C206)),"LIN",
IF(ISNUMBER(SEARCH("FABRIANO",INVENTARIO!C206)),"FAB",
IF(ISNUMBER(SEARCH("SUNDANCE",INVENTARIO!C206)),"SUN",
IF(ISNUMBER(SEARCH("SINTETICA",INVENTARIO!C206)),"SIN",
IF(ISNUMBER(SEARCH("CONTROL",INVENTARIO!C206)),"CON",
IF(ISNUMBER(SEARCH("TERMICO",INVENTARIO!C206)),"TER",
IF(ISNUMBER(SEARCH("C-15",INVENTARIO!C206)),"C15",
IF(ISNUMBER(SEARCH("C-20",INVENTARIO!C206)),"C20",
IF(ISNUMBER(SEARCH("C-30",INVENTARIO!C206)),"C30",
IF(ISNUMBER(SEARCH("C-40",INVENTARIO!C206)),"C40",
IF(ISNUMBER(SEARCH("C-60",INVENTARIO!C206)),"C60",
IF(ISNUMBER(SEARCH("C-80",INVENTARIO!C206)),"C80",
IF(ISNUMBER(SEARCH("EQUIPO",INVENTARIO!C206)),"EQU",
IF(ISNUMBER(SEARCH("FLOOR",INVENTARIO!C206)),"FLO",
IF(ISNUMBER(SEARCH("CRISTAL",INVENTARIO!C206)),"CRI",
IF(ISNUMBER(SEARCH(" SULFATADA",INVENTARIO!C217)),"SUL",
IF(ISNUMBER(SEARCH("OPALINA",INVENTARIO!C206)),"OPA",
IF(ISNUMBER(SEARCH("ADHERIBLE",INVENTARIO!C206)),"ADH",
IF(ISNUMBER(SEARCH("MICRO",INVENTARIO!C206)),"MIC","")))))))))))))))))))))</f>
        <v/>
      </c>
      <c r="C206" t="str">
        <f>IF(ISNUMBER(SEARCH("PARED",INVENTARIO!C206)),"PAR",
IF(ISNUMBER(SEARCH("FRONT",INVENTARIO!C206)),"FRO",
IF(ISNUMBER(SEARCH("ALTA RESISTENCIA",INVENTARIO!C206)),
"ALT-RES",IF(ISNUMBER(SEARCH("BACKLITE",INVENTARIO!C206)),"BAC",
IF(ISNUMBER(SEARCH("MATE",INVENTARIO!C206)),"MAT",
IF(ISNUMBER(SEARCH("MESH",INVENTARIO!C206)),"MES",
IF(ISNUMBER(SEARCH("BRILLANTE",INVENTARIO!C206)),"BRI",
IF(ISNUMBER(SEARCH("DELGADA",INVENTARIO!C206)),"DEL",
IF(ISNUMBER(SEARCH("GRUESA",INVENTARIO!C206)),"GRU",
IF(ISNUMBER(SEARCH("ESTATICO",INVENTARIO!C206)),"EST",
IF(ISNUMBER(SEARCH("REFLECTIVO",INVENTARIO!C206)),"REF",
IF(ISNUMBER(SEARCH("LX700",INVENTARIO!C206)),"LX7",
IF(ISNUMBER(SEARCH("GRANDO",INVENTARIO!C206)),"GRA",
IF(ISNUMBER(SEARCH("FB700",INVENTARIO!C206)),"FB7",
IF(ISNUMBER(SEARCH("LX360",INVENTARIO!C206)),"LX3",
IF(ISNUMBER(SEARCH("XEROX",INVENTARIO!C206)),"XER",
IF(ISNUMBER(SEARCH("CEPILLADO",INVENTARIO!C206)),"CEP",
IF(ISNUMBER(SEARCH("ESPEJO",INVENTARIO!C206)),"ESP",
IF(ISNUMBER(SEARCH("10 PTS",INVENTARIO!C206)),"10PT",
IF(ISNUMBER(SEARCH("12 PTS",INVENTARIO!C206)),"12PT",
IF(ISNUMBER(SEARCH("14 PTS",INVENTARIO!C206)),"14PT",
IF(ISNUMBER(SEARCH("CLASICO",INVENTARIO!C206)),"CLA",
""))))))))))))))))))))))</f>
        <v/>
      </c>
      <c r="D206" t="str">
        <f>IF(ISNUMBER(SEARCH("GRAN FORMATO",INVENTARIO!C206)),"GRA-FOR",
IF(ISNUMBER(SEARCH("CAMA PLANA",INVENTARIO!C206)),"CAM-PLA",
IF(ISNUMBER(SEARCH("GRADO INGENIERIA",INVENTARIO!C206)),"GRA-ING",
IF(ISNUMBER(SEARCH("130 GRS",INVENTARIO!C206)),"130GR",
IF(ISNUMBER(SEARCH("150 GRS",INVENTARIO!C206)),"150GR",
IF(ISNUMBER(SEARCH("185 GRS",INVENTARIO!C206)),"185GR",
IF(ISNUMBER(SEARCH("200 GRS",INVENTARIO!C206)),"200GR",
IF(ISNUMBER(SEARCH("250 GRS",INVENTARIO!C206)),"250GR",
IF(ISNUMBER(SEARCH("300 GRS",INVENTARIO!C206)),"300GR",
IF(ISNUMBER(SEARCH("350 GRS",INVENTARIO!C206)),"350GR",
IF(ISNUMBER(SEARCH("18 OZ",INVENTARIO!C206)),"18OZ",
IF(ISNUMBER(SEARCH("15 OZ",INVENTARIO!C206)),"15OZ",
IF(OR(ISNUMBER(SEARCH("13 OZ",INVENTARIO!C206)),ISNUMBER(SEARCH("13 ONZAS",INVENTARIO!C206))),"13OZ",
IF(OR(ISNUMBER(SEARCH("9 OZ",INVENTARIO!C206)),ISNUMBER(SEARCH("9 ONZAS",INVENTARIO!C206))),"09OZ",
IF(ISNUMBER(SEARCH("DOBLE CARA",INVENTARIO!C206)),"DOB-CAR",
"")))))))))))))))</f>
        <v/>
      </c>
      <c r="E206" t="str">
        <f>IF(OR(ISNUMBER(SEARCH("TRANSPARENTE",INVENTARIO!C206)),ISNUMBER(SEARCH("TRANSPARENTES",INVENTARIO!C206))),"TRA",
IF(OR(ISNUMBER(SEARCH("BLANCO",INVENTARIO!C206)),ISNUMBER(SEARCH("BCO",INVENTARIO!C206))),"BLA",
IF(ISNUMBER(SEARCH("FOTOGRAFICO",INVENTARIO!C206)),"FOT",
IF(ISNUMBER(SEARCH("MARFIL",INVENTARIO!C206)),"MAR",
IF(ISNUMBER(SEARCH("VERDE",INVENTARIO!C206)),"VER",
IF(ISNUMBER(SEARCH("MORADO",INVENTARIO!C206)),"MOR",
IF(ISNUMBER(SEARCH("PLATA",INVENTARIO!C206)),"PLA",
IF(ISNUMBER(SEARCH("ORO",INVENTARIO!C206)),"ORO",
IF(ISNUMBER(SEARCH("AMARILLO",INVENTARIO!C206)),"AMA",
IF(ISNUMBER(SEARCH("NARANJA",INVENTARIO!C206)),"NAR",
IF(ISNUMBER(SEARCH("NEGRO",INVENTARIO!C206)),"NEG",
IF(ISNUMBER(SEARCH("ROJO",INVENTARIO!C206)),"ROJ",
IF(ISNUMBER(SEARCH("AZUL",INVENTARIO!C206)),"AZU","")))))))))))))</f>
        <v>AMA</v>
      </c>
      <c r="F206" t="str">
        <f>IF(ISNUMBER(SEARCH("ARLON",INVENTARIO!C206)),"ARL",
IF(ISNUMBER(SEARCH("SUNTHINKS",INVENTARIO!C206)),"SUN",
IF(ISNUMBER(SEARCH("FRIO",INVENTARIO!C206)),"FRI",
IF(ISNUMBER(SEARCH("CALIDO",INVENTARIO!C206)),"CAL",
IF(ISNUMBER(SEARCH("CEPILLADO",INVENTARIO!C206)),"CEP",
IF(ISNUMBER(SEARCH("ESPEJO",INVENTARIO!C206)),"ESP",
""))))))</f>
        <v/>
      </c>
      <c r="G206" t="str">
        <f>IF(ISNUMBER(SEARCH("LATEX",INVENTARIO!C206)),"LAT",
IF(ISNUMBER(SEARCH("RESP. NEGRO",INVENTARIO!C206)),"RES-NEG",
IF(ISNUMBER(SEARCH("RESPALDO CAFE",INVENTARIO!C206)),"RES-CAF",
IF(ISNUMBER(SEARCH("RESPALDO GRIS",INVENTARIO!C206)),"RES-GRI",
IF(ISNUMBER(SEARCH("OPTICO",INVENTARIO!C206)),"OPT",
IF(ISNUMBER(SEARCH("1,2 MM",INVENTARIO!C206)),"1MM2",
IF(ISNUMBER(SEARCH("2 MM",INVENTARIO!C206)),"2MM",
IF(ISNUMBER(SEARCH("3 MM",INVENTARIO!C206)),"3MM",
IF(ISNUMBER(SEARCH("4 MM",INVENTARIO!C206)),"4MM",
IF(ISNUMBER(SEARCH("5 MM",INVENTARIO!C206)),"5MM",
IF(ISNUMBER(SEARCH("6 MM",INVENTARIO!C206)),"6MM",
IF(ISNUMBER(SEARCH("9 MM",INVENTARIO!C206)),"9MM",
IF(ISNUMBER(SEARCH("10 MM",INVENTARIO!C206)),"10MM","")))))))))))))</f>
        <v>3MM</v>
      </c>
      <c r="H206" t="str">
        <f>IF(ISNUMBER(SEARCH("GAMA BAJA",INVENTARIO!C206)),"GAM-BAJ",
IF(ISNUMBER(SEARCH("OPTIMIZADOR",INVENTARIO!C206)),"OPT",
IF(ISNUMBER(SEARCH("OVERCOAT",INVENTARIO!C206)),"OVE",
IF(ISNUMBER(SEARCH("WHITE",INVENTARIO!C206)),"WHI",
IF(ISNUMBER(SEARCH("LIGHT CYAN",INVENTARIO!C206)),"LIG-CYA",
IF(ISNUMBER(SEARCH("CYAN",INVENTARIO!C206)),"CYA",
IF(ISNUMBER(SEARCH("LIGHT MAGENTA",INVENTARIO!C206)),"LIG-MAG",
IF(ISNUMBER(SEARCH("MAGENTA",INVENTARIO!C206)),"MAG",
IF(ISNUMBER(SEARCH("BLACK",INVENTARIO!C206)),"BLA",
IF(ISNUMBER(SEARCH("YELLOW",INVENTARIO!C206)),"YEL",
IF(ISNUMBER(SEARCH("2 DIODOS",INVENTARIO!C206)),"2DI",
IF(ISNUMBER(SEARCH("3 DIODOS",INVENTARIO!C206)),"3DI",
IF(OR(ISNUMBER(SEARCH("TRASLUCIDO",INVENTARIO!C206)),ISNUMBER(SEARCH("TRANSLUCIDO",INVENTARIO!C206))),"TRA",
"")))))))))))))</f>
        <v>TRA</v>
      </c>
      <c r="I20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7" spans="1:9">
      <c r="A207" t="str">
        <f>IF(ISNUMBER(SEARCH("LONA",INVENTARIO!C207)),"LON",
IF(ISNUMBER(SEARCH("VINIL",INVENTARIO!C207)),"VIN",
IF(ISNUMBER(SEARCH("KROMACOTE",INVENTARIO!C207)),"KRO",
IF(ISNUMBER(SEARCH("STARDREAM",INVENTARIO!C207)),"STA",
IF(ISNUMBER(SEARCH("DISPLAY",INVENTARIO!C207)),"DIS",
IF(ISNUMBER(SEARCH("ROLL UP",INVENTARIO!C207)),"ROL-UP",
IF(ISNUMBER(SEARCH("TRANSFER DE PAPEL",INVENTARIO!C207)),"TRA-PAP",
IF(ISNUMBER(SEARCH("TRANSFER",INVENTARIO!C207)),"TRA",IF(ISNUMBER(SEARCH("KOLA LOKA",INVENTARIO!C207)),"KOL-LOK",
IF(ISNUMBER(SEARCH("PETG",INVENTARIO!C207)),"PET",
IF(ISNUMBER(SEARCH("OJILLO",INVENTARIO!C207)),"OJI",
IF(ISNUMBER(SEARCH("COUCHE",INVENTARIO!C207)),"COU",
IF(ISNUMBER(SEARCH("PANEL DE ALUMINIO",INVENTARIO!C207)),"PAN-ALU",
IF(ISNUMBER(SEARCH("PVC",INVENTARIO!C207)),"PVC",
IF(ISNUMBER(SEARCH("PAPEL",INVENTARIO!C207)),"PAP",
IF(ISNUMBER(SEARCH("TELA",INVENTARIO!C207)),"TEL",
IF(ISNUMBER(SEARCH("CARTULINA",INVENTARIO!C207)),"CAR",
IF(OR(ISNUMBER(SEARCH("LAMINA",INVENTARIO!C207)),ISNUMBER(SEARCH("LÁMINA",INVENTARIO!C207)),ISNUMBER(SEARCH("LAMPARAS",INVENTARIO!C207))),"LAM",
IF(ISNUMBER(SEARCH("ESTIRENO",INVENTARIO!C207)),"EST",
IF(ISNUMBER(SEARCH("FOAMBOARD",INVENTARIO!C207)),"FOA",
IF(ISNUMBER(SEARCH("SOLVENTE",INVENTARIO!C207)),"SOL",
IF(ISNUMBER(SEARCH("TINTA",INVENTARIO!C207)),"TIN",
IF(ISNUMBER(SEARCH("ACRILICO",INVENTARIO!C207)),"ACR",
IF(ISNUMBER(SEARCH("MICROLED",INVENTARIO!C207)),"MIC",
IF(ISNUMBER(SEARCH("LED",INVENTARIO!C207)),"LED",
IF(ISNUMBER(SEARCH("FUENTE DE PODER",INVENTARIO!C207)),"FUE-POD",
IF(ISNUMBER(SEARCH("PETG",INVENTARIO!C207)),"PET",
IF(ISNUMBER(SEARCH("ALUMINIO",INVENTARIO!C207)),"ALU",
IF(ISNUMBER(SEARCH("CANAL",INVENTARIO!C207)),"CAN",
IF(ISNUMBER(SEARCH("ESCUADRA",INVENTARIO!C207)),"ESC",
IF(ISNUMBER(SEARCH("SOPORTE",INVENTARIO!C207)),"SOP","OTR")
))))))))))))))))))))))))))))))</f>
        <v>ACR</v>
      </c>
      <c r="B207" t="str">
        <f>IF(ISNUMBER(SEARCH("CORTE",INVENTARIO!C207)),"COR",
IF(ISNUMBER(SEARCH("CITYLIGHT",INVENTARIO!C207)),"CIT",
IF(ISNUMBER(SEARCH("LINO",INVENTARIO!C207)),"LIN",
IF(ISNUMBER(SEARCH("FABRIANO",INVENTARIO!C207)),"FAB",
IF(ISNUMBER(SEARCH("SUNDANCE",INVENTARIO!C207)),"SUN",
IF(ISNUMBER(SEARCH("SINTETICA",INVENTARIO!C207)),"SIN",
IF(ISNUMBER(SEARCH("CONTROL",INVENTARIO!C207)),"CON",
IF(ISNUMBER(SEARCH("TERMICO",INVENTARIO!C207)),"TER",
IF(ISNUMBER(SEARCH("C-15",INVENTARIO!C207)),"C15",
IF(ISNUMBER(SEARCH("C-20",INVENTARIO!C207)),"C20",
IF(ISNUMBER(SEARCH("C-30",INVENTARIO!C207)),"C30",
IF(ISNUMBER(SEARCH("C-40",INVENTARIO!C207)),"C40",
IF(ISNUMBER(SEARCH("C-60",INVENTARIO!C207)),"C60",
IF(ISNUMBER(SEARCH("C-80",INVENTARIO!C207)),"C80",
IF(ISNUMBER(SEARCH("EQUIPO",INVENTARIO!C207)),"EQU",
IF(ISNUMBER(SEARCH("FLOOR",INVENTARIO!C207)),"FLO",
IF(ISNUMBER(SEARCH("CRISTAL",INVENTARIO!C207)),"CRI",
IF(ISNUMBER(SEARCH(" SULFATADA",INVENTARIO!C218)),"SUL",
IF(ISNUMBER(SEARCH("OPALINA",INVENTARIO!C207)),"OPA",
IF(ISNUMBER(SEARCH("ADHERIBLE",INVENTARIO!C207)),"ADH",
IF(ISNUMBER(SEARCH("MICRO",INVENTARIO!C207)),"MIC","")))))))))))))))))))))</f>
        <v/>
      </c>
      <c r="C207" t="str">
        <f>IF(ISNUMBER(SEARCH("PARED",INVENTARIO!C207)),"PAR",
IF(ISNUMBER(SEARCH("FRONT",INVENTARIO!C207)),"FRO",
IF(ISNUMBER(SEARCH("ALTA RESISTENCIA",INVENTARIO!C207)),
"ALT-RES",IF(ISNUMBER(SEARCH("BACKLITE",INVENTARIO!C207)),"BAC",
IF(ISNUMBER(SEARCH("MATE",INVENTARIO!C207)),"MAT",
IF(ISNUMBER(SEARCH("MESH",INVENTARIO!C207)),"MES",
IF(ISNUMBER(SEARCH("BRILLANTE",INVENTARIO!C207)),"BRI",
IF(ISNUMBER(SEARCH("DELGADA",INVENTARIO!C207)),"DEL",
IF(ISNUMBER(SEARCH("GRUESA",INVENTARIO!C207)),"GRU",
IF(ISNUMBER(SEARCH("ESTATICO",INVENTARIO!C207)),"EST",
IF(ISNUMBER(SEARCH("REFLECTIVO",INVENTARIO!C207)),"REF",
IF(ISNUMBER(SEARCH("LX700",INVENTARIO!C207)),"LX7",
IF(ISNUMBER(SEARCH("GRANDO",INVENTARIO!C207)),"GRA",
IF(ISNUMBER(SEARCH("FB700",INVENTARIO!C207)),"FB7",
IF(ISNUMBER(SEARCH("LX360",INVENTARIO!C207)),"LX3",
IF(ISNUMBER(SEARCH("XEROX",INVENTARIO!C207)),"XER",
IF(ISNUMBER(SEARCH("CEPILLADO",INVENTARIO!C207)),"CEP",
IF(ISNUMBER(SEARCH("ESPEJO",INVENTARIO!C207)),"ESP",
IF(ISNUMBER(SEARCH("10 PTS",INVENTARIO!C207)),"10PT",
IF(ISNUMBER(SEARCH("12 PTS",INVENTARIO!C207)),"12PT",
IF(ISNUMBER(SEARCH("14 PTS",INVENTARIO!C207)),"14PT",
IF(ISNUMBER(SEARCH("CLASICO",INVENTARIO!C207)),"CLA",
""))))))))))))))))))))))</f>
        <v/>
      </c>
      <c r="D207" t="str">
        <f>IF(ISNUMBER(SEARCH("GRAN FORMATO",INVENTARIO!C207)),"GRA-FOR",
IF(ISNUMBER(SEARCH("CAMA PLANA",INVENTARIO!C207)),"CAM-PLA",
IF(ISNUMBER(SEARCH("GRADO INGENIERIA",INVENTARIO!C207)),"GRA-ING",
IF(ISNUMBER(SEARCH("130 GRS",INVENTARIO!C207)),"130GR",
IF(ISNUMBER(SEARCH("150 GRS",INVENTARIO!C207)),"150GR",
IF(ISNUMBER(SEARCH("185 GRS",INVENTARIO!C207)),"185GR",
IF(ISNUMBER(SEARCH("200 GRS",INVENTARIO!C207)),"200GR",
IF(ISNUMBER(SEARCH("250 GRS",INVENTARIO!C207)),"250GR",
IF(ISNUMBER(SEARCH("300 GRS",INVENTARIO!C207)),"300GR",
IF(ISNUMBER(SEARCH("350 GRS",INVENTARIO!C207)),"350GR",
IF(ISNUMBER(SEARCH("18 OZ",INVENTARIO!C207)),"18OZ",
IF(ISNUMBER(SEARCH("15 OZ",INVENTARIO!C207)),"15OZ",
IF(OR(ISNUMBER(SEARCH("13 OZ",INVENTARIO!C207)),ISNUMBER(SEARCH("13 ONZAS",INVENTARIO!C207))),"13OZ",
IF(OR(ISNUMBER(SEARCH("9 OZ",INVENTARIO!C207)),ISNUMBER(SEARCH("9 ONZAS",INVENTARIO!C207))),"09OZ",
IF(ISNUMBER(SEARCH("DOBLE CARA",INVENTARIO!C207)),"DOB-CAR",
"")))))))))))))))</f>
        <v/>
      </c>
      <c r="E207" t="str">
        <f>IF(OR(ISNUMBER(SEARCH("TRANSPARENTE",INVENTARIO!C207)),ISNUMBER(SEARCH("TRANSPARENTES",INVENTARIO!C207))),"TRA",
IF(OR(ISNUMBER(SEARCH("BLANCO",INVENTARIO!C207)),ISNUMBER(SEARCH("BCO",INVENTARIO!C207))),"BLA",
IF(ISNUMBER(SEARCH("FOTOGRAFICO",INVENTARIO!C207)),"FOT",
IF(ISNUMBER(SEARCH("MARFIL",INVENTARIO!C207)),"MAR",
IF(ISNUMBER(SEARCH("VERDE",INVENTARIO!C207)),"VER",
IF(ISNUMBER(SEARCH("MORADO",INVENTARIO!C207)),"MOR",
IF(ISNUMBER(SEARCH("PLATA",INVENTARIO!C207)),"PLA",
IF(ISNUMBER(SEARCH("ORO",INVENTARIO!C207)),"ORO",
IF(ISNUMBER(SEARCH("AMARILLO",INVENTARIO!C207)),"AMA",
IF(ISNUMBER(SEARCH("NARANJA",INVENTARIO!C207)),"NAR",
IF(ISNUMBER(SEARCH("NEGRO",INVENTARIO!C207)),"NEG",
IF(ISNUMBER(SEARCH("ROJO",INVENTARIO!C207)),"ROJ",
IF(ISNUMBER(SEARCH("AZUL",INVENTARIO!C207)),"AZU","")))))))))))))</f>
        <v>VER</v>
      </c>
      <c r="F207" t="str">
        <f>IF(ISNUMBER(SEARCH("ARLON",INVENTARIO!C207)),"ARL",
IF(ISNUMBER(SEARCH("SUNTHINKS",INVENTARIO!C207)),"SUN",
IF(ISNUMBER(SEARCH("FRIO",INVENTARIO!C207)),"FRI",
IF(ISNUMBER(SEARCH("CALIDO",INVENTARIO!C207)),"CAL",
IF(ISNUMBER(SEARCH("CEPILLADO",INVENTARIO!C207)),"CEP",
IF(ISNUMBER(SEARCH("ESPEJO",INVENTARIO!C207)),"ESP",
""))))))</f>
        <v/>
      </c>
      <c r="G207" t="str">
        <f>IF(ISNUMBER(SEARCH("LATEX",INVENTARIO!C207)),"LAT",
IF(ISNUMBER(SEARCH("RESP. NEGRO",INVENTARIO!C207)),"RES-NEG",
IF(ISNUMBER(SEARCH("RESPALDO CAFE",INVENTARIO!C207)),"RES-CAF",
IF(ISNUMBER(SEARCH("RESPALDO GRIS",INVENTARIO!C207)),"RES-GRI",
IF(ISNUMBER(SEARCH("OPTICO",INVENTARIO!C207)),"OPT",
IF(ISNUMBER(SEARCH("1,2 MM",INVENTARIO!C207)),"1MM2",
IF(ISNUMBER(SEARCH("2 MM",INVENTARIO!C207)),"2MM",
IF(ISNUMBER(SEARCH("3 MM",INVENTARIO!C207)),"3MM",
IF(ISNUMBER(SEARCH("4 MM",INVENTARIO!C207)),"4MM",
IF(ISNUMBER(SEARCH("5 MM",INVENTARIO!C207)),"5MM",
IF(ISNUMBER(SEARCH("6 MM",INVENTARIO!C207)),"6MM",
IF(ISNUMBER(SEARCH("9 MM",INVENTARIO!C207)),"9MM",
IF(ISNUMBER(SEARCH("10 MM",INVENTARIO!C207)),"10MM","")))))))))))))</f>
        <v>3MM</v>
      </c>
      <c r="H207" t="str">
        <f>IF(ISNUMBER(SEARCH("GAMA BAJA",INVENTARIO!C207)),"GAM-BAJ",
IF(ISNUMBER(SEARCH("OPTIMIZADOR",INVENTARIO!C207)),"OPT",
IF(ISNUMBER(SEARCH("OVERCOAT",INVENTARIO!C207)),"OVE",
IF(ISNUMBER(SEARCH("WHITE",INVENTARIO!C207)),"WHI",
IF(ISNUMBER(SEARCH("LIGHT CYAN",INVENTARIO!C207)),"LIG-CYA",
IF(ISNUMBER(SEARCH("CYAN",INVENTARIO!C207)),"CYA",
IF(ISNUMBER(SEARCH("LIGHT MAGENTA",INVENTARIO!C207)),"LIG-MAG",
IF(ISNUMBER(SEARCH("MAGENTA",INVENTARIO!C207)),"MAG",
IF(ISNUMBER(SEARCH("BLACK",INVENTARIO!C207)),"BLA",
IF(ISNUMBER(SEARCH("YELLOW",INVENTARIO!C207)),"YEL",
IF(ISNUMBER(SEARCH("2 DIODOS",INVENTARIO!C207)),"2DI",
IF(ISNUMBER(SEARCH("3 DIODOS",INVENTARIO!C207)),"3DI",
IF(OR(ISNUMBER(SEARCH("TRASLUCIDO",INVENTARIO!C207)),ISNUMBER(SEARCH("TRANSLUCIDO",INVENTARIO!C207))),"TRA",
"")))))))))))))</f>
        <v/>
      </c>
      <c r="I20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8" spans="1:9">
      <c r="A208" t="str">
        <f>IF(ISNUMBER(SEARCH("LONA",INVENTARIO!C208)),"LON",
IF(ISNUMBER(SEARCH("VINIL",INVENTARIO!C208)),"VIN",
IF(ISNUMBER(SEARCH("KROMACOTE",INVENTARIO!C208)),"KRO",
IF(ISNUMBER(SEARCH("STARDREAM",INVENTARIO!C208)),"STA",
IF(ISNUMBER(SEARCH("DISPLAY",INVENTARIO!C208)),"DIS",
IF(ISNUMBER(SEARCH("ROLL UP",INVENTARIO!C208)),"ROL-UP",
IF(ISNUMBER(SEARCH("TRANSFER DE PAPEL",INVENTARIO!C208)),"TRA-PAP",
IF(ISNUMBER(SEARCH("TRANSFER",INVENTARIO!C208)),"TRA",IF(ISNUMBER(SEARCH("KOLA LOKA",INVENTARIO!C208)),"KOL-LOK",
IF(ISNUMBER(SEARCH("PETG",INVENTARIO!C208)),"PET",
IF(ISNUMBER(SEARCH("OJILLO",INVENTARIO!C208)),"OJI",
IF(ISNUMBER(SEARCH("COUCHE",INVENTARIO!C208)),"COU",
IF(ISNUMBER(SEARCH("PANEL DE ALUMINIO",INVENTARIO!C208)),"PAN-ALU",
IF(ISNUMBER(SEARCH("PVC",INVENTARIO!C208)),"PVC",
IF(ISNUMBER(SEARCH("PAPEL",INVENTARIO!C208)),"PAP",
IF(ISNUMBER(SEARCH("TELA",INVENTARIO!C208)),"TEL",
IF(ISNUMBER(SEARCH("CARTULINA",INVENTARIO!C208)),"CAR",
IF(OR(ISNUMBER(SEARCH("LAMINA",INVENTARIO!C208)),ISNUMBER(SEARCH("LÁMINA",INVENTARIO!C208)),ISNUMBER(SEARCH("LAMPARAS",INVENTARIO!C208))),"LAM",
IF(ISNUMBER(SEARCH("ESTIRENO",INVENTARIO!C208)),"EST",
IF(ISNUMBER(SEARCH("FOAMBOARD",INVENTARIO!C208)),"FOA",
IF(ISNUMBER(SEARCH("SOLVENTE",INVENTARIO!C208)),"SOL",
IF(ISNUMBER(SEARCH("TINTA",INVENTARIO!C208)),"TIN",
IF(ISNUMBER(SEARCH("ACRILICO",INVENTARIO!C208)),"ACR",
IF(ISNUMBER(SEARCH("MICROLED",INVENTARIO!C208)),"MIC",
IF(ISNUMBER(SEARCH("LED",INVENTARIO!C208)),"LED",
IF(ISNUMBER(SEARCH("FUENTE DE PODER",INVENTARIO!C208)),"FUE-POD",
IF(ISNUMBER(SEARCH("PETG",INVENTARIO!C208)),"PET",
IF(ISNUMBER(SEARCH("ALUMINIO",INVENTARIO!C208)),"ALU",
IF(ISNUMBER(SEARCH("CANAL",INVENTARIO!C208)),"CAN",
IF(ISNUMBER(SEARCH("ESCUADRA",INVENTARIO!C208)),"ESC",
IF(ISNUMBER(SEARCH("SOPORTE",INVENTARIO!C208)),"SOP","OTR")
))))))))))))))))))))))))))))))</f>
        <v>PAN-ALU</v>
      </c>
      <c r="B208" t="str">
        <f>IF(ISNUMBER(SEARCH("CORTE",INVENTARIO!C208)),"COR",
IF(ISNUMBER(SEARCH("CITYLIGHT",INVENTARIO!C208)),"CIT",
IF(ISNUMBER(SEARCH("LINO",INVENTARIO!C208)),"LIN",
IF(ISNUMBER(SEARCH("FABRIANO",INVENTARIO!C208)),"FAB",
IF(ISNUMBER(SEARCH("SUNDANCE",INVENTARIO!C208)),"SUN",
IF(ISNUMBER(SEARCH("SINTETICA",INVENTARIO!C208)),"SIN",
IF(ISNUMBER(SEARCH("CONTROL",INVENTARIO!C208)),"CON",
IF(ISNUMBER(SEARCH("TERMICO",INVENTARIO!C208)),"TER",
IF(ISNUMBER(SEARCH("C-15",INVENTARIO!C208)),"C15",
IF(ISNUMBER(SEARCH("C-20",INVENTARIO!C208)),"C20",
IF(ISNUMBER(SEARCH("C-30",INVENTARIO!C208)),"C30",
IF(ISNUMBER(SEARCH("C-40",INVENTARIO!C208)),"C40",
IF(ISNUMBER(SEARCH("C-60",INVENTARIO!C208)),"C60",
IF(ISNUMBER(SEARCH("C-80",INVENTARIO!C208)),"C80",
IF(ISNUMBER(SEARCH("EQUIPO",INVENTARIO!C208)),"EQU",
IF(ISNUMBER(SEARCH("FLOOR",INVENTARIO!C208)),"FLO",
IF(ISNUMBER(SEARCH("CRISTAL",INVENTARIO!C208)),"CRI",
IF(ISNUMBER(SEARCH(" SULFATADA",INVENTARIO!C219)),"SUL",
IF(ISNUMBER(SEARCH("OPALINA",INVENTARIO!C208)),"OPA",
IF(ISNUMBER(SEARCH("ADHERIBLE",INVENTARIO!C208)),"ADH",
IF(ISNUMBER(SEARCH("MICRO",INVENTARIO!C208)),"MIC","")))))))))))))))))))))</f>
        <v/>
      </c>
      <c r="C208" t="str">
        <f>IF(ISNUMBER(SEARCH("PARED",INVENTARIO!C208)),"PAR",
IF(ISNUMBER(SEARCH("FRONT",INVENTARIO!C208)),"FRO",
IF(ISNUMBER(SEARCH("ALTA RESISTENCIA",INVENTARIO!C208)),
"ALT-RES",IF(ISNUMBER(SEARCH("BACKLITE",INVENTARIO!C208)),"BAC",
IF(ISNUMBER(SEARCH("MATE",INVENTARIO!C208)),"MAT",
IF(ISNUMBER(SEARCH("MESH",INVENTARIO!C208)),"MES",
IF(ISNUMBER(SEARCH("BRILLANTE",INVENTARIO!C208)),"BRI",
IF(ISNUMBER(SEARCH("DELGADA",INVENTARIO!C208)),"DEL",
IF(ISNUMBER(SEARCH("GRUESA",INVENTARIO!C208)),"GRU",
IF(ISNUMBER(SEARCH("ESTATICO",INVENTARIO!C208)),"EST",
IF(ISNUMBER(SEARCH("REFLECTIVO",INVENTARIO!C208)),"REF",
IF(ISNUMBER(SEARCH("LX700",INVENTARIO!C208)),"LX7",
IF(ISNUMBER(SEARCH("GRANDO",INVENTARIO!C208)),"GRA",
IF(ISNUMBER(SEARCH("FB700",INVENTARIO!C208)),"FB7",
IF(ISNUMBER(SEARCH("LX360",INVENTARIO!C208)),"LX3",
IF(ISNUMBER(SEARCH("XEROX",INVENTARIO!C208)),"XER",
IF(ISNUMBER(SEARCH("CEPILLADO",INVENTARIO!C208)),"CEP",
IF(ISNUMBER(SEARCH("ESPEJO",INVENTARIO!C208)),"ESP",
IF(ISNUMBER(SEARCH("10 PTS",INVENTARIO!C208)),"10PT",
IF(ISNUMBER(SEARCH("12 PTS",INVENTARIO!C208)),"12PT",
IF(ISNUMBER(SEARCH("14 PTS",INVENTARIO!C208)),"14PT",
IF(ISNUMBER(SEARCH("CLASICO",INVENTARIO!C208)),"CLA",
""))))))))))))))))))))))</f>
        <v/>
      </c>
      <c r="D208" t="str">
        <f>IF(ISNUMBER(SEARCH("GRAN FORMATO",INVENTARIO!C208)),"GRA-FOR",
IF(ISNUMBER(SEARCH("CAMA PLANA",INVENTARIO!C208)),"CAM-PLA",
IF(ISNUMBER(SEARCH("GRADO INGENIERIA",INVENTARIO!C208)),"GRA-ING",
IF(ISNUMBER(SEARCH("130 GRS",INVENTARIO!C208)),"130GR",
IF(ISNUMBER(SEARCH("150 GRS",INVENTARIO!C208)),"150GR",
IF(ISNUMBER(SEARCH("185 GRS",INVENTARIO!C208)),"185GR",
IF(ISNUMBER(SEARCH("200 GRS",INVENTARIO!C208)),"200GR",
IF(ISNUMBER(SEARCH("250 GRS",INVENTARIO!C208)),"250GR",
IF(ISNUMBER(SEARCH("300 GRS",INVENTARIO!C208)),"300GR",
IF(ISNUMBER(SEARCH("350 GRS",INVENTARIO!C208)),"350GR",
IF(ISNUMBER(SEARCH("18 OZ",INVENTARIO!C208)),"18OZ",
IF(ISNUMBER(SEARCH("15 OZ",INVENTARIO!C208)),"15OZ",
IF(OR(ISNUMBER(SEARCH("13 OZ",INVENTARIO!C208)),ISNUMBER(SEARCH("13 ONZAS",INVENTARIO!C208))),"13OZ",
IF(OR(ISNUMBER(SEARCH("9 OZ",INVENTARIO!C208)),ISNUMBER(SEARCH("9 ONZAS",INVENTARIO!C208))),"09OZ",
IF(ISNUMBER(SEARCH("DOBLE CARA",INVENTARIO!C208)),"DOB-CAR",
"")))))))))))))))</f>
        <v/>
      </c>
      <c r="E208" t="str">
        <f>IF(OR(ISNUMBER(SEARCH("TRANSPARENTE",INVENTARIO!C208)),ISNUMBER(SEARCH("TRANSPARENTES",INVENTARIO!C208))),"TRA",
IF(OR(ISNUMBER(SEARCH("BLANCO",INVENTARIO!C208)),ISNUMBER(SEARCH("BCO",INVENTARIO!C208))),"BLA",
IF(ISNUMBER(SEARCH("FOTOGRAFICO",INVENTARIO!C208)),"FOT",
IF(ISNUMBER(SEARCH("MARFIL",INVENTARIO!C208)),"MAR",
IF(ISNUMBER(SEARCH("VERDE",INVENTARIO!C208)),"VER",
IF(ISNUMBER(SEARCH("MORADO",INVENTARIO!C208)),"MOR",
IF(ISNUMBER(SEARCH("PLATA",INVENTARIO!C208)),"PLA",
IF(ISNUMBER(SEARCH("ORO",INVENTARIO!C208)),"ORO",
IF(ISNUMBER(SEARCH("AMARILLO",INVENTARIO!C208)),"AMA",
IF(ISNUMBER(SEARCH("NARANJA",INVENTARIO!C208)),"NAR",
IF(ISNUMBER(SEARCH("NEGRO",INVENTARIO!C208)),"NEG",
IF(ISNUMBER(SEARCH("ROJO",INVENTARIO!C208)),"ROJ",
IF(ISNUMBER(SEARCH("AZUL",INVENTARIO!C208)),"AZU","")))))))))))))</f>
        <v>AZU</v>
      </c>
      <c r="F208" t="str">
        <f>IF(ISNUMBER(SEARCH("ARLON",INVENTARIO!C208)),"ARL",
IF(ISNUMBER(SEARCH("SUNTHINKS",INVENTARIO!C208)),"SUN",
IF(ISNUMBER(SEARCH("FRIO",INVENTARIO!C208)),"FRI",
IF(ISNUMBER(SEARCH("CALIDO",INVENTARIO!C208)),"CAL",
IF(ISNUMBER(SEARCH("CEPILLADO",INVENTARIO!C208)),"CEP",
IF(ISNUMBER(SEARCH("ESPEJO",INVENTARIO!C208)),"ESP",
""))))))</f>
        <v/>
      </c>
      <c r="G208" t="str">
        <f>IF(ISNUMBER(SEARCH("LATEX",INVENTARIO!C208)),"LAT",
IF(ISNUMBER(SEARCH("RESP. NEGRO",INVENTARIO!C208)),"RES-NEG",
IF(ISNUMBER(SEARCH("RESPALDO CAFE",INVENTARIO!C208)),"RES-CAF",
IF(ISNUMBER(SEARCH("RESPALDO GRIS",INVENTARIO!C208)),"RES-GRI",
IF(ISNUMBER(SEARCH("OPTICO",INVENTARIO!C208)),"OPT",
IF(ISNUMBER(SEARCH("1,2 MM",INVENTARIO!C208)),"1MM2",
IF(ISNUMBER(SEARCH("2 MM",INVENTARIO!C208)),"2MM",
IF(ISNUMBER(SEARCH("3 MM",INVENTARIO!C208)),"3MM",
IF(ISNUMBER(SEARCH("4 MM",INVENTARIO!C208)),"4MM",
IF(ISNUMBER(SEARCH("5 MM",INVENTARIO!C208)),"5MM",
IF(ISNUMBER(SEARCH("6 MM",INVENTARIO!C208)),"6MM",
IF(ISNUMBER(SEARCH("9 MM",INVENTARIO!C208)),"9MM",
IF(ISNUMBER(SEARCH("10 MM",INVENTARIO!C208)),"10MM","")))))))))))))</f>
        <v>4MM</v>
      </c>
      <c r="H208" t="str">
        <f>IF(ISNUMBER(SEARCH("GAMA BAJA",INVENTARIO!C208)),"GAM-BAJ",
IF(ISNUMBER(SEARCH("OPTIMIZADOR",INVENTARIO!C208)),"OPT",
IF(ISNUMBER(SEARCH("OVERCOAT",INVENTARIO!C208)),"OVE",
IF(ISNUMBER(SEARCH("WHITE",INVENTARIO!C208)),"WHI",
IF(ISNUMBER(SEARCH("LIGHT CYAN",INVENTARIO!C208)),"LIG-CYA",
IF(ISNUMBER(SEARCH("CYAN",INVENTARIO!C208)),"CYA",
IF(ISNUMBER(SEARCH("LIGHT MAGENTA",INVENTARIO!C208)),"LIG-MAG",
IF(ISNUMBER(SEARCH("MAGENTA",INVENTARIO!C208)),"MAG",
IF(ISNUMBER(SEARCH("BLACK",INVENTARIO!C208)),"BLA",
IF(ISNUMBER(SEARCH("YELLOW",INVENTARIO!C208)),"YEL",
IF(ISNUMBER(SEARCH("2 DIODOS",INVENTARIO!C208)),"2DI",
IF(ISNUMBER(SEARCH("3 DIODOS",INVENTARIO!C208)),"3DI",
IF(OR(ISNUMBER(SEARCH("TRASLUCIDO",INVENTARIO!C208)),ISNUMBER(SEARCH("TRANSLUCIDO",INVENTARIO!C208))),"TRA",
"")))))))))))))</f>
        <v/>
      </c>
      <c r="I20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09" spans="1:9">
      <c r="A209" t="str">
        <f>IF(ISNUMBER(SEARCH("LONA",INVENTARIO!C209)),"LON",
IF(ISNUMBER(SEARCH("VINIL",INVENTARIO!C209)),"VIN",
IF(ISNUMBER(SEARCH("KROMACOTE",INVENTARIO!C209)),"KRO",
IF(ISNUMBER(SEARCH("STARDREAM",INVENTARIO!C209)),"STA",
IF(ISNUMBER(SEARCH("DISPLAY",INVENTARIO!C209)),"DIS",
IF(ISNUMBER(SEARCH("ROLL UP",INVENTARIO!C209)),"ROL-UP",
IF(ISNUMBER(SEARCH("TRANSFER DE PAPEL",INVENTARIO!C209)),"TRA-PAP",
IF(ISNUMBER(SEARCH("TRANSFER",INVENTARIO!C209)),"TRA",IF(ISNUMBER(SEARCH("KOLA LOKA",INVENTARIO!C209)),"KOL-LOK",
IF(ISNUMBER(SEARCH("PETG",INVENTARIO!C209)),"PET",
IF(ISNUMBER(SEARCH("OJILLO",INVENTARIO!C209)),"OJI",
IF(ISNUMBER(SEARCH("COUCHE",INVENTARIO!C209)),"COU",
IF(ISNUMBER(SEARCH("PANEL DE ALUMINIO",INVENTARIO!C209)),"PAN-ALU",
IF(ISNUMBER(SEARCH("PVC",INVENTARIO!C209)),"PVC",
IF(ISNUMBER(SEARCH("PAPEL",INVENTARIO!C209)),"PAP",
IF(ISNUMBER(SEARCH("TELA",INVENTARIO!C209)),"TEL",
IF(ISNUMBER(SEARCH("CARTULINA",INVENTARIO!C209)),"CAR",
IF(OR(ISNUMBER(SEARCH("LAMINA",INVENTARIO!C209)),ISNUMBER(SEARCH("LÁMINA",INVENTARIO!C209)),ISNUMBER(SEARCH("LAMPARAS",INVENTARIO!C209))),"LAM",
IF(ISNUMBER(SEARCH("ESTIRENO",INVENTARIO!C209)),"EST",
IF(ISNUMBER(SEARCH("FOAMBOARD",INVENTARIO!C209)),"FOA",
IF(ISNUMBER(SEARCH("SOLVENTE",INVENTARIO!C209)),"SOL",
IF(ISNUMBER(SEARCH("TINTA",INVENTARIO!C209)),"TIN",
IF(ISNUMBER(SEARCH("ACRILICO",INVENTARIO!C209)),"ACR",
IF(ISNUMBER(SEARCH("MICROLED",INVENTARIO!C209)),"MIC",
IF(ISNUMBER(SEARCH("LED",INVENTARIO!C209)),"LED",
IF(ISNUMBER(SEARCH("FUENTE DE PODER",INVENTARIO!C209)),"FUE-POD",
IF(ISNUMBER(SEARCH("PETG",INVENTARIO!C209)),"PET",
IF(ISNUMBER(SEARCH("ALUMINIO",INVENTARIO!C209)),"ALU",
IF(ISNUMBER(SEARCH("CANAL",INVENTARIO!C209)),"CAN",
IF(ISNUMBER(SEARCH("ESCUADRA",INVENTARIO!C209)),"ESC",
IF(ISNUMBER(SEARCH("SOPORTE",INVENTARIO!C209)),"SOP","OTR")
))))))))))))))))))))))))))))))</f>
        <v>PAN-ALU</v>
      </c>
      <c r="B209" t="str">
        <f>IF(ISNUMBER(SEARCH("CORTE",INVENTARIO!C209)),"COR",
IF(ISNUMBER(SEARCH("CITYLIGHT",INVENTARIO!C209)),"CIT",
IF(ISNUMBER(SEARCH("LINO",INVENTARIO!C209)),"LIN",
IF(ISNUMBER(SEARCH("FABRIANO",INVENTARIO!C209)),"FAB",
IF(ISNUMBER(SEARCH("SUNDANCE",INVENTARIO!C209)),"SUN",
IF(ISNUMBER(SEARCH("SINTETICA",INVENTARIO!C209)),"SIN",
IF(ISNUMBER(SEARCH("CONTROL",INVENTARIO!C209)),"CON",
IF(ISNUMBER(SEARCH("TERMICO",INVENTARIO!C209)),"TER",
IF(ISNUMBER(SEARCH("C-15",INVENTARIO!C209)),"C15",
IF(ISNUMBER(SEARCH("C-20",INVENTARIO!C209)),"C20",
IF(ISNUMBER(SEARCH("C-30",INVENTARIO!C209)),"C30",
IF(ISNUMBER(SEARCH("C-40",INVENTARIO!C209)),"C40",
IF(ISNUMBER(SEARCH("C-60",INVENTARIO!C209)),"C60",
IF(ISNUMBER(SEARCH("C-80",INVENTARIO!C209)),"C80",
IF(ISNUMBER(SEARCH("EQUIPO",INVENTARIO!C209)),"EQU",
IF(ISNUMBER(SEARCH("FLOOR",INVENTARIO!C209)),"FLO",
IF(ISNUMBER(SEARCH("CRISTAL",INVENTARIO!C209)),"CRI",
IF(ISNUMBER(SEARCH(" SULFATADA",INVENTARIO!C220)),"SUL",
IF(ISNUMBER(SEARCH("OPALINA",INVENTARIO!C209)),"OPA",
IF(ISNUMBER(SEARCH("ADHERIBLE",INVENTARIO!C209)),"ADH",
IF(ISNUMBER(SEARCH("MICRO",INVENTARIO!C209)),"MIC","")))))))))))))))))))))</f>
        <v/>
      </c>
      <c r="C209" t="str">
        <f>IF(ISNUMBER(SEARCH("PARED",INVENTARIO!C209)),"PAR",
IF(ISNUMBER(SEARCH("FRONT",INVENTARIO!C209)),"FRO",
IF(ISNUMBER(SEARCH("ALTA RESISTENCIA",INVENTARIO!C209)),
"ALT-RES",IF(ISNUMBER(SEARCH("BACKLITE",INVENTARIO!C209)),"BAC",
IF(ISNUMBER(SEARCH("MATE",INVENTARIO!C209)),"MAT",
IF(ISNUMBER(SEARCH("MESH",INVENTARIO!C209)),"MES",
IF(ISNUMBER(SEARCH("BRILLANTE",INVENTARIO!C209)),"BRI",
IF(ISNUMBER(SEARCH("DELGADA",INVENTARIO!C209)),"DEL",
IF(ISNUMBER(SEARCH("GRUESA",INVENTARIO!C209)),"GRU",
IF(ISNUMBER(SEARCH("ESTATICO",INVENTARIO!C209)),"EST",
IF(ISNUMBER(SEARCH("REFLECTIVO",INVENTARIO!C209)),"REF",
IF(ISNUMBER(SEARCH("LX700",INVENTARIO!C209)),"LX7",
IF(ISNUMBER(SEARCH("GRANDO",INVENTARIO!C209)),"GRA",
IF(ISNUMBER(SEARCH("FB700",INVENTARIO!C209)),"FB7",
IF(ISNUMBER(SEARCH("LX360",INVENTARIO!C209)),"LX3",
IF(ISNUMBER(SEARCH("XEROX",INVENTARIO!C209)),"XER",
IF(ISNUMBER(SEARCH("CEPILLADO",INVENTARIO!C209)),"CEP",
IF(ISNUMBER(SEARCH("ESPEJO",INVENTARIO!C209)),"ESP",
IF(ISNUMBER(SEARCH("10 PTS",INVENTARIO!C209)),"10PT",
IF(ISNUMBER(SEARCH("12 PTS",INVENTARIO!C209)),"12PT",
IF(ISNUMBER(SEARCH("14 PTS",INVENTARIO!C209)),"14PT",
IF(ISNUMBER(SEARCH("CLASICO",INVENTARIO!C209)),"CLA",
""))))))))))))))))))))))</f>
        <v/>
      </c>
      <c r="D209" t="str">
        <f>IF(ISNUMBER(SEARCH("GRAN FORMATO",INVENTARIO!C209)),"GRA-FOR",
IF(ISNUMBER(SEARCH("CAMA PLANA",INVENTARIO!C209)),"CAM-PLA",
IF(ISNUMBER(SEARCH("GRADO INGENIERIA",INVENTARIO!C209)),"GRA-ING",
IF(ISNUMBER(SEARCH("130 GRS",INVENTARIO!C209)),"130GR",
IF(ISNUMBER(SEARCH("150 GRS",INVENTARIO!C209)),"150GR",
IF(ISNUMBER(SEARCH("185 GRS",INVENTARIO!C209)),"185GR",
IF(ISNUMBER(SEARCH("200 GRS",INVENTARIO!C209)),"200GR",
IF(ISNUMBER(SEARCH("250 GRS",INVENTARIO!C209)),"250GR",
IF(ISNUMBER(SEARCH("300 GRS",INVENTARIO!C209)),"300GR",
IF(ISNUMBER(SEARCH("350 GRS",INVENTARIO!C209)),"350GR",
IF(ISNUMBER(SEARCH("18 OZ",INVENTARIO!C209)),"18OZ",
IF(ISNUMBER(SEARCH("15 OZ",INVENTARIO!C209)),"15OZ",
IF(OR(ISNUMBER(SEARCH("13 OZ",INVENTARIO!C209)),ISNUMBER(SEARCH("13 ONZAS",INVENTARIO!C209))),"13OZ",
IF(OR(ISNUMBER(SEARCH("9 OZ",INVENTARIO!C209)),ISNUMBER(SEARCH("9 ONZAS",INVENTARIO!C209))),"09OZ",
IF(ISNUMBER(SEARCH("DOBLE CARA",INVENTARIO!C209)),"DOB-CAR",
"")))))))))))))))</f>
        <v/>
      </c>
      <c r="E209" t="str">
        <f>IF(OR(ISNUMBER(SEARCH("TRANSPARENTE",INVENTARIO!C209)),ISNUMBER(SEARCH("TRANSPARENTES",INVENTARIO!C209))),"TRA",
IF(OR(ISNUMBER(SEARCH("BLANCO",INVENTARIO!C209)),ISNUMBER(SEARCH("BCO",INVENTARIO!C209))),"BLA",
IF(ISNUMBER(SEARCH("FOTOGRAFICO",INVENTARIO!C209)),"FOT",
IF(ISNUMBER(SEARCH("MARFIL",INVENTARIO!C209)),"MAR",
IF(ISNUMBER(SEARCH("VERDE",INVENTARIO!C209)),"VER",
IF(ISNUMBER(SEARCH("MORADO",INVENTARIO!C209)),"MOR",
IF(ISNUMBER(SEARCH("PLATA",INVENTARIO!C209)),"PLA",
IF(ISNUMBER(SEARCH("ORO",INVENTARIO!C209)),"ORO",
IF(ISNUMBER(SEARCH("AMARILLO",INVENTARIO!C209)),"AMA",
IF(ISNUMBER(SEARCH("NARANJA",INVENTARIO!C209)),"NAR",
IF(ISNUMBER(SEARCH("NEGRO",INVENTARIO!C209)),"NEG",
IF(ISNUMBER(SEARCH("ROJO",INVENTARIO!C209)),"ROJ",
IF(ISNUMBER(SEARCH("AZUL",INVENTARIO!C209)),"AZU","")))))))))))))</f>
        <v>AZU</v>
      </c>
      <c r="F209" t="str">
        <f>IF(ISNUMBER(SEARCH("ARLON",INVENTARIO!C209)),"ARL",
IF(ISNUMBER(SEARCH("SUNTHINKS",INVENTARIO!C209)),"SUN",
IF(ISNUMBER(SEARCH("FRIO",INVENTARIO!C209)),"FRI",
IF(ISNUMBER(SEARCH("CALIDO",INVENTARIO!C209)),"CAL",
IF(ISNUMBER(SEARCH("CEPILLADO",INVENTARIO!C209)),"CEP",
IF(ISNUMBER(SEARCH("ESPEJO",INVENTARIO!C209)),"ESP",
""))))))</f>
        <v/>
      </c>
      <c r="G209" t="str">
        <f>IF(ISNUMBER(SEARCH("LATEX",INVENTARIO!C209)),"LAT",
IF(ISNUMBER(SEARCH("RESP. NEGRO",INVENTARIO!C209)),"RES-NEG",
IF(ISNUMBER(SEARCH("RESPALDO CAFE",INVENTARIO!C209)),"RES-CAF",
IF(ISNUMBER(SEARCH("RESPALDO GRIS",INVENTARIO!C209)),"RES-GRI",
IF(ISNUMBER(SEARCH("OPTICO",INVENTARIO!C209)),"OPT",
IF(ISNUMBER(SEARCH("1,2 MM",INVENTARIO!C209)),"1MM2",
IF(ISNUMBER(SEARCH("2 MM",INVENTARIO!C209)),"2MM",
IF(ISNUMBER(SEARCH("3 MM",INVENTARIO!C209)),"3MM",
IF(ISNUMBER(SEARCH("4 MM",INVENTARIO!C209)),"4MM",
IF(ISNUMBER(SEARCH("5 MM",INVENTARIO!C209)),"5MM",
IF(ISNUMBER(SEARCH("6 MM",INVENTARIO!C209)),"6MM",
IF(ISNUMBER(SEARCH("9 MM",INVENTARIO!C209)),"9MM",
IF(ISNUMBER(SEARCH("10 MM",INVENTARIO!C209)),"10MM","")))))))))))))</f>
        <v>4MM</v>
      </c>
      <c r="H209" t="str">
        <f>IF(ISNUMBER(SEARCH("GAMA BAJA",INVENTARIO!C209)),"GAM-BAJ",
IF(ISNUMBER(SEARCH("OPTIMIZADOR",INVENTARIO!C209)),"OPT",
IF(ISNUMBER(SEARCH("OVERCOAT",INVENTARIO!C209)),"OVE",
IF(ISNUMBER(SEARCH("WHITE",INVENTARIO!C209)),"WHI",
IF(ISNUMBER(SEARCH("LIGHT CYAN",INVENTARIO!C209)),"LIG-CYA",
IF(ISNUMBER(SEARCH("CYAN",INVENTARIO!C209)),"CYA",
IF(ISNUMBER(SEARCH("LIGHT MAGENTA",INVENTARIO!C209)),"LIG-MAG",
IF(ISNUMBER(SEARCH("MAGENTA",INVENTARIO!C209)),"MAG",
IF(ISNUMBER(SEARCH("BLACK",INVENTARIO!C209)),"BLA",
IF(ISNUMBER(SEARCH("YELLOW",INVENTARIO!C209)),"YEL",
IF(ISNUMBER(SEARCH("2 DIODOS",INVENTARIO!C209)),"2DI",
IF(ISNUMBER(SEARCH("3 DIODOS",INVENTARIO!C209)),"3DI",
IF(OR(ISNUMBER(SEARCH("TRASLUCIDO",INVENTARIO!C209)),ISNUMBER(SEARCH("TRANSLUCIDO",INVENTARIO!C209))),"TRA",
"")))))))))))))</f>
        <v/>
      </c>
      <c r="I20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0" spans="1:9">
      <c r="A210" t="str">
        <f>IF(ISNUMBER(SEARCH("LONA",INVENTARIO!C210)),"LON",
IF(ISNUMBER(SEARCH("VINIL",INVENTARIO!C210)),"VIN",
IF(ISNUMBER(SEARCH("KROMACOTE",INVENTARIO!C210)),"KRO",
IF(ISNUMBER(SEARCH("STARDREAM",INVENTARIO!C210)),"STA",
IF(ISNUMBER(SEARCH("DISPLAY",INVENTARIO!C210)),"DIS",
IF(ISNUMBER(SEARCH("ROLL UP",INVENTARIO!C210)),"ROL-UP",
IF(ISNUMBER(SEARCH("TRANSFER DE PAPEL",INVENTARIO!C210)),"TRA-PAP",
IF(ISNUMBER(SEARCH("TRANSFER",INVENTARIO!C210)),"TRA",IF(ISNUMBER(SEARCH("KOLA LOKA",INVENTARIO!C210)),"KOL-LOK",
IF(ISNUMBER(SEARCH("PETG",INVENTARIO!C210)),"PET",
IF(ISNUMBER(SEARCH("OJILLO",INVENTARIO!C210)),"OJI",
IF(ISNUMBER(SEARCH("COUCHE",INVENTARIO!C210)),"COU",
IF(ISNUMBER(SEARCH("PANEL DE ALUMINIO",INVENTARIO!C210)),"PAN-ALU",
IF(ISNUMBER(SEARCH("PVC",INVENTARIO!C210)),"PVC",
IF(ISNUMBER(SEARCH("PAPEL",INVENTARIO!C210)),"PAP",
IF(ISNUMBER(SEARCH("TELA",INVENTARIO!C210)),"TEL",
IF(ISNUMBER(SEARCH("CARTULINA",INVENTARIO!C210)),"CAR",
IF(OR(ISNUMBER(SEARCH("LAMINA",INVENTARIO!C210)),ISNUMBER(SEARCH("LÁMINA",INVENTARIO!C210)),ISNUMBER(SEARCH("LAMPARAS",INVENTARIO!C210))),"LAM",
IF(ISNUMBER(SEARCH("ESTIRENO",INVENTARIO!C210)),"EST",
IF(ISNUMBER(SEARCH("FOAMBOARD",INVENTARIO!C210)),"FOA",
IF(ISNUMBER(SEARCH("SOLVENTE",INVENTARIO!C210)),"SOL",
IF(ISNUMBER(SEARCH("TINTA",INVENTARIO!C210)),"TIN",
IF(ISNUMBER(SEARCH("ACRILICO",INVENTARIO!C210)),"ACR",
IF(ISNUMBER(SEARCH("MICROLED",INVENTARIO!C210)),"MIC",
IF(ISNUMBER(SEARCH("LED",INVENTARIO!C210)),"LED",
IF(ISNUMBER(SEARCH("FUENTE DE PODER",INVENTARIO!C210)),"FUE-POD",
IF(ISNUMBER(SEARCH("PETG",INVENTARIO!C210)),"PET",
IF(ISNUMBER(SEARCH("ALUMINIO",INVENTARIO!C210)),"ALU",
IF(ISNUMBER(SEARCH("CANAL",INVENTARIO!C210)),"CAN",
IF(ISNUMBER(SEARCH("ESCUADRA",INVENTARIO!C210)),"ESC",
IF(ISNUMBER(SEARCH("SOPORTE",INVENTARIO!C210)),"SOP","OTR")
))))))))))))))))))))))))))))))</f>
        <v>PAN-ALU</v>
      </c>
      <c r="B210" t="str">
        <f>IF(ISNUMBER(SEARCH("CORTE",INVENTARIO!C210)),"COR",
IF(ISNUMBER(SEARCH("CITYLIGHT",INVENTARIO!C210)),"CIT",
IF(ISNUMBER(SEARCH("LINO",INVENTARIO!C210)),"LIN",
IF(ISNUMBER(SEARCH("FABRIANO",INVENTARIO!C210)),"FAB",
IF(ISNUMBER(SEARCH("SUNDANCE",INVENTARIO!C210)),"SUN",
IF(ISNUMBER(SEARCH("SINTETICA",INVENTARIO!C210)),"SIN",
IF(ISNUMBER(SEARCH("CONTROL",INVENTARIO!C210)),"CON",
IF(ISNUMBER(SEARCH("TERMICO",INVENTARIO!C210)),"TER",
IF(ISNUMBER(SEARCH("C-15",INVENTARIO!C210)),"C15",
IF(ISNUMBER(SEARCH("C-20",INVENTARIO!C210)),"C20",
IF(ISNUMBER(SEARCH("C-30",INVENTARIO!C210)),"C30",
IF(ISNUMBER(SEARCH("C-40",INVENTARIO!C210)),"C40",
IF(ISNUMBER(SEARCH("C-60",INVENTARIO!C210)),"C60",
IF(ISNUMBER(SEARCH("C-80",INVENTARIO!C210)),"C80",
IF(ISNUMBER(SEARCH("EQUIPO",INVENTARIO!C210)),"EQU",
IF(ISNUMBER(SEARCH("FLOOR",INVENTARIO!C210)),"FLO",
IF(ISNUMBER(SEARCH("CRISTAL",INVENTARIO!C210)),"CRI",
IF(ISNUMBER(SEARCH(" SULFATADA",INVENTARIO!C221)),"SUL",
IF(ISNUMBER(SEARCH("OPALINA",INVENTARIO!C210)),"OPA",
IF(ISNUMBER(SEARCH("ADHERIBLE",INVENTARIO!C210)),"ADH",
IF(ISNUMBER(SEARCH("MICRO",INVENTARIO!C210)),"MIC","")))))))))))))))))))))</f>
        <v/>
      </c>
      <c r="C210" t="str">
        <f>IF(ISNUMBER(SEARCH("PARED",INVENTARIO!C210)),"PAR",
IF(ISNUMBER(SEARCH("FRONT",INVENTARIO!C210)),"FRO",
IF(ISNUMBER(SEARCH("ALTA RESISTENCIA",INVENTARIO!C210)),
"ALT-RES",IF(ISNUMBER(SEARCH("BACKLITE",INVENTARIO!C210)),"BAC",
IF(ISNUMBER(SEARCH("MATE",INVENTARIO!C210)),"MAT",
IF(ISNUMBER(SEARCH("MESH",INVENTARIO!C210)),"MES",
IF(ISNUMBER(SEARCH("BRILLANTE",INVENTARIO!C210)),"BRI",
IF(ISNUMBER(SEARCH("DELGADA",INVENTARIO!C210)),"DEL",
IF(ISNUMBER(SEARCH("GRUESA",INVENTARIO!C210)),"GRU",
IF(ISNUMBER(SEARCH("ESTATICO",INVENTARIO!C210)),"EST",
IF(ISNUMBER(SEARCH("REFLECTIVO",INVENTARIO!C210)),"REF",
IF(ISNUMBER(SEARCH("LX700",INVENTARIO!C210)),"LX7",
IF(ISNUMBER(SEARCH("GRANDO",INVENTARIO!C210)),"GRA",
IF(ISNUMBER(SEARCH("FB700",INVENTARIO!C210)),"FB7",
IF(ISNUMBER(SEARCH("LX360",INVENTARIO!C210)),"LX3",
IF(ISNUMBER(SEARCH("XEROX",INVENTARIO!C210)),"XER",
IF(ISNUMBER(SEARCH("CEPILLADO",INVENTARIO!C210)),"CEP",
IF(ISNUMBER(SEARCH("ESPEJO",INVENTARIO!C210)),"ESP",
IF(ISNUMBER(SEARCH("10 PTS",INVENTARIO!C210)),"10PT",
IF(ISNUMBER(SEARCH("12 PTS",INVENTARIO!C210)),"12PT",
IF(ISNUMBER(SEARCH("14 PTS",INVENTARIO!C210)),"14PT",
IF(ISNUMBER(SEARCH("CLASICO",INVENTARIO!C210)),"CLA",
""))))))))))))))))))))))</f>
        <v/>
      </c>
      <c r="D210" t="str">
        <f>IF(ISNUMBER(SEARCH("GRAN FORMATO",INVENTARIO!C210)),"GRA-FOR",
IF(ISNUMBER(SEARCH("CAMA PLANA",INVENTARIO!C210)),"CAM-PLA",
IF(ISNUMBER(SEARCH("GRADO INGENIERIA",INVENTARIO!C210)),"GRA-ING",
IF(ISNUMBER(SEARCH("130 GRS",INVENTARIO!C210)),"130GR",
IF(ISNUMBER(SEARCH("150 GRS",INVENTARIO!C210)),"150GR",
IF(ISNUMBER(SEARCH("185 GRS",INVENTARIO!C210)),"185GR",
IF(ISNUMBER(SEARCH("200 GRS",INVENTARIO!C210)),"200GR",
IF(ISNUMBER(SEARCH("250 GRS",INVENTARIO!C210)),"250GR",
IF(ISNUMBER(SEARCH("300 GRS",INVENTARIO!C210)),"300GR",
IF(ISNUMBER(SEARCH("350 GRS",INVENTARIO!C210)),"350GR",
IF(ISNUMBER(SEARCH("18 OZ",INVENTARIO!C210)),"18OZ",
IF(ISNUMBER(SEARCH("15 OZ",INVENTARIO!C210)),"15OZ",
IF(OR(ISNUMBER(SEARCH("13 OZ",INVENTARIO!C210)),ISNUMBER(SEARCH("13 ONZAS",INVENTARIO!C210))),"13OZ",
IF(OR(ISNUMBER(SEARCH("9 OZ",INVENTARIO!C210)),ISNUMBER(SEARCH("9 ONZAS",INVENTARIO!C210))),"09OZ",
IF(ISNUMBER(SEARCH("DOBLE CARA",INVENTARIO!C210)),"DOB-CAR",
"")))))))))))))))</f>
        <v/>
      </c>
      <c r="E210" t="str">
        <f>IF(OR(ISNUMBER(SEARCH("TRANSPARENTE",INVENTARIO!C210)),ISNUMBER(SEARCH("TRANSPARENTES",INVENTARIO!C210))),"TRA",
IF(OR(ISNUMBER(SEARCH("BLANCO",INVENTARIO!C210)),ISNUMBER(SEARCH("BCO",INVENTARIO!C210))),"BLA",
IF(ISNUMBER(SEARCH("FOTOGRAFICO",INVENTARIO!C210)),"FOT",
IF(ISNUMBER(SEARCH("MARFIL",INVENTARIO!C210)),"MAR",
IF(ISNUMBER(SEARCH("VERDE",INVENTARIO!C210)),"VER",
IF(ISNUMBER(SEARCH("MORADO",INVENTARIO!C210)),"MOR",
IF(ISNUMBER(SEARCH("PLATA",INVENTARIO!C210)),"PLA",
IF(ISNUMBER(SEARCH("ORO",INVENTARIO!C210)),"ORO",
IF(ISNUMBER(SEARCH("AMARILLO",INVENTARIO!C210)),"AMA",
IF(ISNUMBER(SEARCH("NARANJA",INVENTARIO!C210)),"NAR",
IF(ISNUMBER(SEARCH("NEGRO",INVENTARIO!C210)),"NEG",
IF(ISNUMBER(SEARCH("ROJO",INVENTARIO!C210)),"ROJ",
IF(ISNUMBER(SEARCH("AZUL",INVENTARIO!C210)),"AZU","")))))))))))))</f>
        <v>AZU</v>
      </c>
      <c r="F210" t="str">
        <f>IF(ISNUMBER(SEARCH("ARLON",INVENTARIO!C210)),"ARL",
IF(ISNUMBER(SEARCH("SUNTHINKS",INVENTARIO!C210)),"SUN",
IF(ISNUMBER(SEARCH("FRIO",INVENTARIO!C210)),"FRI",
IF(ISNUMBER(SEARCH("CALIDO",INVENTARIO!C210)),"CAL",
IF(ISNUMBER(SEARCH("CEPILLADO",INVENTARIO!C210)),"CEP",
IF(ISNUMBER(SEARCH("ESPEJO",INVENTARIO!C210)),"ESP",
""))))))</f>
        <v/>
      </c>
      <c r="G210" t="str">
        <f>IF(ISNUMBER(SEARCH("LATEX",INVENTARIO!C210)),"LAT",
IF(ISNUMBER(SEARCH("RESP. NEGRO",INVENTARIO!C210)),"RES-NEG",
IF(ISNUMBER(SEARCH("RESPALDO CAFE",INVENTARIO!C210)),"RES-CAF",
IF(ISNUMBER(SEARCH("RESPALDO GRIS",INVENTARIO!C210)),"RES-GRI",
IF(ISNUMBER(SEARCH("OPTICO",INVENTARIO!C210)),"OPT",
IF(ISNUMBER(SEARCH("1,2 MM",INVENTARIO!C210)),"1MM2",
IF(ISNUMBER(SEARCH("2 MM",INVENTARIO!C210)),"2MM",
IF(ISNUMBER(SEARCH("3 MM",INVENTARIO!C210)),"3MM",
IF(ISNUMBER(SEARCH("4 MM",INVENTARIO!C210)),"4MM",
IF(ISNUMBER(SEARCH("5 MM",INVENTARIO!C210)),"5MM",
IF(ISNUMBER(SEARCH("6 MM",INVENTARIO!C210)),"6MM",
IF(ISNUMBER(SEARCH("9 MM",INVENTARIO!C210)),"9MM",
IF(ISNUMBER(SEARCH("10 MM",INVENTARIO!C210)),"10MM","")))))))))))))</f>
        <v>4MM</v>
      </c>
      <c r="H210" t="str">
        <f>IF(ISNUMBER(SEARCH("GAMA BAJA",INVENTARIO!C210)),"GAM-BAJ",
IF(ISNUMBER(SEARCH("OPTIMIZADOR",INVENTARIO!C210)),"OPT",
IF(ISNUMBER(SEARCH("OVERCOAT",INVENTARIO!C210)),"OVE",
IF(ISNUMBER(SEARCH("WHITE",INVENTARIO!C210)),"WHI",
IF(ISNUMBER(SEARCH("LIGHT CYAN",INVENTARIO!C210)),"LIG-CYA",
IF(ISNUMBER(SEARCH("CYAN",INVENTARIO!C210)),"CYA",
IF(ISNUMBER(SEARCH("LIGHT MAGENTA",INVENTARIO!C210)),"LIG-MAG",
IF(ISNUMBER(SEARCH("MAGENTA",INVENTARIO!C210)),"MAG",
IF(ISNUMBER(SEARCH("BLACK",INVENTARIO!C210)),"BLA",
IF(ISNUMBER(SEARCH("YELLOW",INVENTARIO!C210)),"YEL",
IF(ISNUMBER(SEARCH("2 DIODOS",INVENTARIO!C210)),"2DI",
IF(ISNUMBER(SEARCH("3 DIODOS",INVENTARIO!C210)),"3DI",
IF(OR(ISNUMBER(SEARCH("TRASLUCIDO",INVENTARIO!C210)),ISNUMBER(SEARCH("TRANSLUCIDO",INVENTARIO!C210))),"TRA",
"")))))))))))))</f>
        <v/>
      </c>
      <c r="I21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1" spans="1:9">
      <c r="A211" t="str">
        <f>IF(ISNUMBER(SEARCH("LONA",INVENTARIO!C211)),"LON",
IF(ISNUMBER(SEARCH("VINIL",INVENTARIO!C211)),"VIN",
IF(ISNUMBER(SEARCH("KROMACOTE",INVENTARIO!C211)),"KRO",
IF(ISNUMBER(SEARCH("STARDREAM",INVENTARIO!C211)),"STA",
IF(ISNUMBER(SEARCH("DISPLAY",INVENTARIO!C211)),"DIS",
IF(ISNUMBER(SEARCH("ROLL UP",INVENTARIO!C211)),"ROL-UP",
IF(ISNUMBER(SEARCH("TRANSFER DE PAPEL",INVENTARIO!C211)),"TRA-PAP",
IF(ISNUMBER(SEARCH("TRANSFER",INVENTARIO!C211)),"TRA",IF(ISNUMBER(SEARCH("KOLA LOKA",INVENTARIO!C211)),"KOL-LOK",
IF(ISNUMBER(SEARCH("PETG",INVENTARIO!C211)),"PET",
IF(ISNUMBER(SEARCH("OJILLO",INVENTARIO!C211)),"OJI",
IF(ISNUMBER(SEARCH("COUCHE",INVENTARIO!C211)),"COU",
IF(ISNUMBER(SEARCH("PANEL DE ALUMINIO",INVENTARIO!C211)),"PAN-ALU",
IF(ISNUMBER(SEARCH("PVC",INVENTARIO!C211)),"PVC",
IF(ISNUMBER(SEARCH("PAPEL",INVENTARIO!C211)),"PAP",
IF(ISNUMBER(SEARCH("TELA",INVENTARIO!C211)),"TEL",
IF(ISNUMBER(SEARCH("CARTULINA",INVENTARIO!C211)),"CAR",
IF(OR(ISNUMBER(SEARCH("LAMINA",INVENTARIO!C211)),ISNUMBER(SEARCH("LÁMINA",INVENTARIO!C211)),ISNUMBER(SEARCH("LAMPARAS",INVENTARIO!C211))),"LAM",
IF(ISNUMBER(SEARCH("ESTIRENO",INVENTARIO!C211)),"EST",
IF(ISNUMBER(SEARCH("FOAMBOARD",INVENTARIO!C211)),"FOA",
IF(ISNUMBER(SEARCH("SOLVENTE",INVENTARIO!C211)),"SOL",
IF(ISNUMBER(SEARCH("TINTA",INVENTARIO!C211)),"TIN",
IF(ISNUMBER(SEARCH("ACRILICO",INVENTARIO!C211)),"ACR",
IF(ISNUMBER(SEARCH("MICROLED",INVENTARIO!C211)),"MIC",
IF(ISNUMBER(SEARCH("LED",INVENTARIO!C211)),"LED",
IF(ISNUMBER(SEARCH("FUENTE DE PODER",INVENTARIO!C211)),"FUE-POD",
IF(ISNUMBER(SEARCH("PETG",INVENTARIO!C211)),"PET",
IF(ISNUMBER(SEARCH("ALUMINIO",INVENTARIO!C211)),"ALU",
IF(ISNUMBER(SEARCH("CANAL",INVENTARIO!C211)),"CAN",
IF(ISNUMBER(SEARCH("ESCUADRA",INVENTARIO!C211)),"ESC",
IF(ISNUMBER(SEARCH("SOPORTE",INVENTARIO!C211)),"SOP","OTR")
))))))))))))))))))))))))))))))</f>
        <v>PAN-ALU</v>
      </c>
      <c r="B211" t="str">
        <f>IF(ISNUMBER(SEARCH("CORTE",INVENTARIO!C211)),"COR",
IF(ISNUMBER(SEARCH("CITYLIGHT",INVENTARIO!C211)),"CIT",
IF(ISNUMBER(SEARCH("LINO",INVENTARIO!C211)),"LIN",
IF(ISNUMBER(SEARCH("FABRIANO",INVENTARIO!C211)),"FAB",
IF(ISNUMBER(SEARCH("SUNDANCE",INVENTARIO!C211)),"SUN",
IF(ISNUMBER(SEARCH("SINTETICA",INVENTARIO!C211)),"SIN",
IF(ISNUMBER(SEARCH("CONTROL",INVENTARIO!C211)),"CON",
IF(ISNUMBER(SEARCH("TERMICO",INVENTARIO!C211)),"TER",
IF(ISNUMBER(SEARCH("C-15",INVENTARIO!C211)),"C15",
IF(ISNUMBER(SEARCH("C-20",INVENTARIO!C211)),"C20",
IF(ISNUMBER(SEARCH("C-30",INVENTARIO!C211)),"C30",
IF(ISNUMBER(SEARCH("C-40",INVENTARIO!C211)),"C40",
IF(ISNUMBER(SEARCH("C-60",INVENTARIO!C211)),"C60",
IF(ISNUMBER(SEARCH("C-80",INVENTARIO!C211)),"C80",
IF(ISNUMBER(SEARCH("EQUIPO",INVENTARIO!C211)),"EQU",
IF(ISNUMBER(SEARCH("FLOOR",INVENTARIO!C211)),"FLO",
IF(ISNUMBER(SEARCH("CRISTAL",INVENTARIO!C211)),"CRI",
IF(ISNUMBER(SEARCH(" SULFATADA",INVENTARIO!C222)),"SUL",
IF(ISNUMBER(SEARCH("OPALINA",INVENTARIO!C211)),"OPA",
IF(ISNUMBER(SEARCH("ADHERIBLE",INVENTARIO!C211)),"ADH",
IF(ISNUMBER(SEARCH("MICRO",INVENTARIO!C211)),"MIC","")))))))))))))))))))))</f>
        <v/>
      </c>
      <c r="C211" t="str">
        <f>IF(ISNUMBER(SEARCH("PARED",INVENTARIO!C211)),"PAR",
IF(ISNUMBER(SEARCH("FRONT",INVENTARIO!C211)),"FRO",
IF(ISNUMBER(SEARCH("ALTA RESISTENCIA",INVENTARIO!C211)),
"ALT-RES",IF(ISNUMBER(SEARCH("BACKLITE",INVENTARIO!C211)),"BAC",
IF(ISNUMBER(SEARCH("MATE",INVENTARIO!C211)),"MAT",
IF(ISNUMBER(SEARCH("MESH",INVENTARIO!C211)),"MES",
IF(ISNUMBER(SEARCH("BRILLANTE",INVENTARIO!C211)),"BRI",
IF(ISNUMBER(SEARCH("DELGADA",INVENTARIO!C211)),"DEL",
IF(ISNUMBER(SEARCH("GRUESA",INVENTARIO!C211)),"GRU",
IF(ISNUMBER(SEARCH("ESTATICO",INVENTARIO!C211)),"EST",
IF(ISNUMBER(SEARCH("REFLECTIVO",INVENTARIO!C211)),"REF",
IF(ISNUMBER(SEARCH("LX700",INVENTARIO!C211)),"LX7",
IF(ISNUMBER(SEARCH("GRANDO",INVENTARIO!C211)),"GRA",
IF(ISNUMBER(SEARCH("FB700",INVENTARIO!C211)),"FB7",
IF(ISNUMBER(SEARCH("LX360",INVENTARIO!C211)),"LX3",
IF(ISNUMBER(SEARCH("XEROX",INVENTARIO!C211)),"XER",
IF(ISNUMBER(SEARCH("CEPILLADO",INVENTARIO!C211)),"CEP",
IF(ISNUMBER(SEARCH("ESPEJO",INVENTARIO!C211)),"ESP",
IF(ISNUMBER(SEARCH("10 PTS",INVENTARIO!C211)),"10PT",
IF(ISNUMBER(SEARCH("12 PTS",INVENTARIO!C211)),"12PT",
IF(ISNUMBER(SEARCH("14 PTS",INVENTARIO!C211)),"14PT",
IF(ISNUMBER(SEARCH("CLASICO",INVENTARIO!C211)),"CLA",
""))))))))))))))))))))))</f>
        <v/>
      </c>
      <c r="D211" t="str">
        <f>IF(ISNUMBER(SEARCH("GRAN FORMATO",INVENTARIO!C211)),"GRA-FOR",
IF(ISNUMBER(SEARCH("CAMA PLANA",INVENTARIO!C211)),"CAM-PLA",
IF(ISNUMBER(SEARCH("GRADO INGENIERIA",INVENTARIO!C211)),"GRA-ING",
IF(ISNUMBER(SEARCH("130 GRS",INVENTARIO!C211)),"130GR",
IF(ISNUMBER(SEARCH("150 GRS",INVENTARIO!C211)),"150GR",
IF(ISNUMBER(SEARCH("185 GRS",INVENTARIO!C211)),"185GR",
IF(ISNUMBER(SEARCH("200 GRS",INVENTARIO!C211)),"200GR",
IF(ISNUMBER(SEARCH("250 GRS",INVENTARIO!C211)),"250GR",
IF(ISNUMBER(SEARCH("300 GRS",INVENTARIO!C211)),"300GR",
IF(ISNUMBER(SEARCH("350 GRS",INVENTARIO!C211)),"350GR",
IF(ISNUMBER(SEARCH("18 OZ",INVENTARIO!C211)),"18OZ",
IF(ISNUMBER(SEARCH("15 OZ",INVENTARIO!C211)),"15OZ",
IF(OR(ISNUMBER(SEARCH("13 OZ",INVENTARIO!C211)),ISNUMBER(SEARCH("13 ONZAS",INVENTARIO!C211))),"13OZ",
IF(OR(ISNUMBER(SEARCH("9 OZ",INVENTARIO!C211)),ISNUMBER(SEARCH("9 ONZAS",INVENTARIO!C211))),"09OZ",
IF(ISNUMBER(SEARCH("DOBLE CARA",INVENTARIO!C211)),"DOB-CAR",
"")))))))))))))))</f>
        <v/>
      </c>
      <c r="E211" t="str">
        <f>IF(OR(ISNUMBER(SEARCH("TRANSPARENTE",INVENTARIO!C211)),ISNUMBER(SEARCH("TRANSPARENTES",INVENTARIO!C211))),"TRA",
IF(OR(ISNUMBER(SEARCH("BLANCO",INVENTARIO!C211)),ISNUMBER(SEARCH("BCO",INVENTARIO!C211))),"BLA",
IF(ISNUMBER(SEARCH("FOTOGRAFICO",INVENTARIO!C211)),"FOT",
IF(ISNUMBER(SEARCH("MARFIL",INVENTARIO!C211)),"MAR",
IF(ISNUMBER(SEARCH("VERDE",INVENTARIO!C211)),"VER",
IF(ISNUMBER(SEARCH("MORADO",INVENTARIO!C211)),"MOR",
IF(ISNUMBER(SEARCH("PLATA",INVENTARIO!C211)),"PLA",
IF(ISNUMBER(SEARCH("ORO",INVENTARIO!C211)),"ORO",
IF(ISNUMBER(SEARCH("AMARILLO",INVENTARIO!C211)),"AMA",
IF(ISNUMBER(SEARCH("NARANJA",INVENTARIO!C211)),"NAR",
IF(ISNUMBER(SEARCH("NEGRO",INVENTARIO!C211)),"NEG",
IF(ISNUMBER(SEARCH("ROJO",INVENTARIO!C211)),"ROJ",
IF(ISNUMBER(SEARCH("AZUL",INVENTARIO!C211)),"AZU","")))))))))))))</f>
        <v>ROJ</v>
      </c>
      <c r="F211" t="str">
        <f>IF(ISNUMBER(SEARCH("ARLON",INVENTARIO!C211)),"ARL",
IF(ISNUMBER(SEARCH("SUNTHINKS",INVENTARIO!C211)),"SUN",
IF(ISNUMBER(SEARCH("FRIO",INVENTARIO!C211)),"FRI",
IF(ISNUMBER(SEARCH("CALIDO",INVENTARIO!C211)),"CAL",
IF(ISNUMBER(SEARCH("CEPILLADO",INVENTARIO!C211)),"CEP",
IF(ISNUMBER(SEARCH("ESPEJO",INVENTARIO!C211)),"ESP",
""))))))</f>
        <v/>
      </c>
      <c r="G211" t="str">
        <f>IF(ISNUMBER(SEARCH("LATEX",INVENTARIO!C211)),"LAT",
IF(ISNUMBER(SEARCH("RESP. NEGRO",INVENTARIO!C211)),"RES-NEG",
IF(ISNUMBER(SEARCH("RESPALDO CAFE",INVENTARIO!C211)),"RES-CAF",
IF(ISNUMBER(SEARCH("RESPALDO GRIS",INVENTARIO!C211)),"RES-GRI",
IF(ISNUMBER(SEARCH("OPTICO",INVENTARIO!C211)),"OPT",
IF(ISNUMBER(SEARCH("1,2 MM",INVENTARIO!C211)),"1MM2",
IF(ISNUMBER(SEARCH("2 MM",INVENTARIO!C211)),"2MM",
IF(ISNUMBER(SEARCH("3 MM",INVENTARIO!C211)),"3MM",
IF(ISNUMBER(SEARCH("4 MM",INVENTARIO!C211)),"4MM",
IF(ISNUMBER(SEARCH("5 MM",INVENTARIO!C211)),"5MM",
IF(ISNUMBER(SEARCH("6 MM",INVENTARIO!C211)),"6MM",
IF(ISNUMBER(SEARCH("9 MM",INVENTARIO!C211)),"9MM",
IF(ISNUMBER(SEARCH("10 MM",INVENTARIO!C211)),"10MM","")))))))))))))</f>
        <v>4MM</v>
      </c>
      <c r="H211" t="str">
        <f>IF(ISNUMBER(SEARCH("GAMA BAJA",INVENTARIO!C211)),"GAM-BAJ",
IF(ISNUMBER(SEARCH("OPTIMIZADOR",INVENTARIO!C211)),"OPT",
IF(ISNUMBER(SEARCH("OVERCOAT",INVENTARIO!C211)),"OVE",
IF(ISNUMBER(SEARCH("WHITE",INVENTARIO!C211)),"WHI",
IF(ISNUMBER(SEARCH("LIGHT CYAN",INVENTARIO!C211)),"LIG-CYA",
IF(ISNUMBER(SEARCH("CYAN",INVENTARIO!C211)),"CYA",
IF(ISNUMBER(SEARCH("LIGHT MAGENTA",INVENTARIO!C211)),"LIG-MAG",
IF(ISNUMBER(SEARCH("MAGENTA",INVENTARIO!C211)),"MAG",
IF(ISNUMBER(SEARCH("BLACK",INVENTARIO!C211)),"BLA",
IF(ISNUMBER(SEARCH("YELLOW",INVENTARIO!C211)),"YEL",
IF(ISNUMBER(SEARCH("2 DIODOS",INVENTARIO!C211)),"2DI",
IF(ISNUMBER(SEARCH("3 DIODOS",INVENTARIO!C211)),"3DI",
IF(OR(ISNUMBER(SEARCH("TRASLUCIDO",INVENTARIO!C211)),ISNUMBER(SEARCH("TRANSLUCIDO",INVENTARIO!C211))),"TRA",
"")))))))))))))</f>
        <v/>
      </c>
      <c r="I21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2" spans="1:9">
      <c r="A212" t="str">
        <f>IF(ISNUMBER(SEARCH("LONA",INVENTARIO!C212)),"LON",
IF(ISNUMBER(SEARCH("VINIL",INVENTARIO!C212)),"VIN",
IF(ISNUMBER(SEARCH("KROMACOTE",INVENTARIO!C212)),"KRO",
IF(ISNUMBER(SEARCH("STARDREAM",INVENTARIO!C212)),"STA",
IF(ISNUMBER(SEARCH("DISPLAY",INVENTARIO!C212)),"DIS",
IF(ISNUMBER(SEARCH("ROLL UP",INVENTARIO!C212)),"ROL-UP",
IF(ISNUMBER(SEARCH("TRANSFER DE PAPEL",INVENTARIO!C212)),"TRA-PAP",
IF(ISNUMBER(SEARCH("TRANSFER",INVENTARIO!C212)),"TRA",IF(ISNUMBER(SEARCH("KOLA LOKA",INVENTARIO!C212)),"KOL-LOK",
IF(ISNUMBER(SEARCH("PETG",INVENTARIO!C212)),"PET",
IF(ISNUMBER(SEARCH("OJILLO",INVENTARIO!C212)),"OJI",
IF(ISNUMBER(SEARCH("COUCHE",INVENTARIO!C212)),"COU",
IF(ISNUMBER(SEARCH("PANEL DE ALUMINIO",INVENTARIO!C212)),"PAN-ALU",
IF(ISNUMBER(SEARCH("PVC",INVENTARIO!C212)),"PVC",
IF(ISNUMBER(SEARCH("PAPEL",INVENTARIO!C212)),"PAP",
IF(ISNUMBER(SEARCH("TELA",INVENTARIO!C212)),"TEL",
IF(ISNUMBER(SEARCH("CARTULINA",INVENTARIO!C212)),"CAR",
IF(OR(ISNUMBER(SEARCH("LAMINA",INVENTARIO!C212)),ISNUMBER(SEARCH("LÁMINA",INVENTARIO!C212)),ISNUMBER(SEARCH("LAMPARAS",INVENTARIO!C212))),"LAM",
IF(ISNUMBER(SEARCH("ESTIRENO",INVENTARIO!C212)),"EST",
IF(ISNUMBER(SEARCH("FOAMBOARD",INVENTARIO!C212)),"FOA",
IF(ISNUMBER(SEARCH("SOLVENTE",INVENTARIO!C212)),"SOL",
IF(ISNUMBER(SEARCH("TINTA",INVENTARIO!C212)),"TIN",
IF(ISNUMBER(SEARCH("ACRILICO",INVENTARIO!C212)),"ACR",
IF(ISNUMBER(SEARCH("MICROLED",INVENTARIO!C212)),"MIC",
IF(ISNUMBER(SEARCH("LED",INVENTARIO!C212)),"LED",
IF(ISNUMBER(SEARCH("FUENTE DE PODER",INVENTARIO!C212)),"FUE-POD",
IF(ISNUMBER(SEARCH("PETG",INVENTARIO!C212)),"PET",
IF(ISNUMBER(SEARCH("ALUMINIO",INVENTARIO!C212)),"ALU",
IF(ISNUMBER(SEARCH("CANAL",INVENTARIO!C212)),"CAN",
IF(ISNUMBER(SEARCH("ESCUADRA",INVENTARIO!C212)),"ESC",
IF(ISNUMBER(SEARCH("SOPORTE",INVENTARIO!C212)),"SOP","OTR")
))))))))))))))))))))))))))))))</f>
        <v>PAN-ALU</v>
      </c>
      <c r="B212" t="str">
        <f>IF(ISNUMBER(SEARCH("CORTE",INVENTARIO!C212)),"COR",
IF(ISNUMBER(SEARCH("CITYLIGHT",INVENTARIO!C212)),"CIT",
IF(ISNUMBER(SEARCH("LINO",INVENTARIO!C212)),"LIN",
IF(ISNUMBER(SEARCH("FABRIANO",INVENTARIO!C212)),"FAB",
IF(ISNUMBER(SEARCH("SUNDANCE",INVENTARIO!C212)),"SUN",
IF(ISNUMBER(SEARCH("SINTETICA",INVENTARIO!C212)),"SIN",
IF(ISNUMBER(SEARCH("CONTROL",INVENTARIO!C212)),"CON",
IF(ISNUMBER(SEARCH("TERMICO",INVENTARIO!C212)),"TER",
IF(ISNUMBER(SEARCH("C-15",INVENTARIO!C212)),"C15",
IF(ISNUMBER(SEARCH("C-20",INVENTARIO!C212)),"C20",
IF(ISNUMBER(SEARCH("C-30",INVENTARIO!C212)),"C30",
IF(ISNUMBER(SEARCH("C-40",INVENTARIO!C212)),"C40",
IF(ISNUMBER(SEARCH("C-60",INVENTARIO!C212)),"C60",
IF(ISNUMBER(SEARCH("C-80",INVENTARIO!C212)),"C80",
IF(ISNUMBER(SEARCH("EQUIPO",INVENTARIO!C212)),"EQU",
IF(ISNUMBER(SEARCH("FLOOR",INVENTARIO!C212)),"FLO",
IF(ISNUMBER(SEARCH("CRISTAL",INVENTARIO!C212)),"CRI",
IF(ISNUMBER(SEARCH(" SULFATADA",INVENTARIO!C223)),"SUL",
IF(ISNUMBER(SEARCH("OPALINA",INVENTARIO!C212)),"OPA",
IF(ISNUMBER(SEARCH("ADHERIBLE",INVENTARIO!C212)),"ADH",
IF(ISNUMBER(SEARCH("MICRO",INVENTARIO!C212)),"MIC","")))))))))))))))))))))</f>
        <v/>
      </c>
      <c r="C212" t="str">
        <f>IF(ISNUMBER(SEARCH("PARED",INVENTARIO!C212)),"PAR",
IF(ISNUMBER(SEARCH("FRONT",INVENTARIO!C212)),"FRO",
IF(ISNUMBER(SEARCH("ALTA RESISTENCIA",INVENTARIO!C212)),
"ALT-RES",IF(ISNUMBER(SEARCH("BACKLITE",INVENTARIO!C212)),"BAC",
IF(ISNUMBER(SEARCH("MATE",INVENTARIO!C212)),"MAT",
IF(ISNUMBER(SEARCH("MESH",INVENTARIO!C212)),"MES",
IF(ISNUMBER(SEARCH("BRILLANTE",INVENTARIO!C212)),"BRI",
IF(ISNUMBER(SEARCH("DELGADA",INVENTARIO!C212)),"DEL",
IF(ISNUMBER(SEARCH("GRUESA",INVENTARIO!C212)),"GRU",
IF(ISNUMBER(SEARCH("ESTATICO",INVENTARIO!C212)),"EST",
IF(ISNUMBER(SEARCH("REFLECTIVO",INVENTARIO!C212)),"REF",
IF(ISNUMBER(SEARCH("LX700",INVENTARIO!C212)),"LX7",
IF(ISNUMBER(SEARCH("GRANDO",INVENTARIO!C212)),"GRA",
IF(ISNUMBER(SEARCH("FB700",INVENTARIO!C212)),"FB7",
IF(ISNUMBER(SEARCH("LX360",INVENTARIO!C212)),"LX3",
IF(ISNUMBER(SEARCH("XEROX",INVENTARIO!C212)),"XER",
IF(ISNUMBER(SEARCH("CEPILLADO",INVENTARIO!C212)),"CEP",
IF(ISNUMBER(SEARCH("ESPEJO",INVENTARIO!C212)),"ESP",
IF(ISNUMBER(SEARCH("10 PTS",INVENTARIO!C212)),"10PT",
IF(ISNUMBER(SEARCH("12 PTS",INVENTARIO!C212)),"12PT",
IF(ISNUMBER(SEARCH("14 PTS",INVENTARIO!C212)),"14PT",
IF(ISNUMBER(SEARCH("CLASICO",INVENTARIO!C212)),"CLA",
""))))))))))))))))))))))</f>
        <v/>
      </c>
      <c r="D212" t="str">
        <f>IF(ISNUMBER(SEARCH("GRAN FORMATO",INVENTARIO!C212)),"GRA-FOR",
IF(ISNUMBER(SEARCH("CAMA PLANA",INVENTARIO!C212)),"CAM-PLA",
IF(ISNUMBER(SEARCH("GRADO INGENIERIA",INVENTARIO!C212)),"GRA-ING",
IF(ISNUMBER(SEARCH("130 GRS",INVENTARIO!C212)),"130GR",
IF(ISNUMBER(SEARCH("150 GRS",INVENTARIO!C212)),"150GR",
IF(ISNUMBER(SEARCH("185 GRS",INVENTARIO!C212)),"185GR",
IF(ISNUMBER(SEARCH("200 GRS",INVENTARIO!C212)),"200GR",
IF(ISNUMBER(SEARCH("250 GRS",INVENTARIO!C212)),"250GR",
IF(ISNUMBER(SEARCH("300 GRS",INVENTARIO!C212)),"300GR",
IF(ISNUMBER(SEARCH("350 GRS",INVENTARIO!C212)),"350GR",
IF(ISNUMBER(SEARCH("18 OZ",INVENTARIO!C212)),"18OZ",
IF(ISNUMBER(SEARCH("15 OZ",INVENTARIO!C212)),"15OZ",
IF(OR(ISNUMBER(SEARCH("13 OZ",INVENTARIO!C212)),ISNUMBER(SEARCH("13 ONZAS",INVENTARIO!C212))),"13OZ",
IF(OR(ISNUMBER(SEARCH("9 OZ",INVENTARIO!C212)),ISNUMBER(SEARCH("9 ONZAS",INVENTARIO!C212))),"09OZ",
IF(ISNUMBER(SEARCH("DOBLE CARA",INVENTARIO!C212)),"DOB-CAR",
"")))))))))))))))</f>
        <v/>
      </c>
      <c r="E212" t="str">
        <f>IF(OR(ISNUMBER(SEARCH("TRANSPARENTE",INVENTARIO!C212)),ISNUMBER(SEARCH("TRANSPARENTES",INVENTARIO!C212))),"TRA",
IF(OR(ISNUMBER(SEARCH("BLANCO",INVENTARIO!C212)),ISNUMBER(SEARCH("BCO",INVENTARIO!C212))),"BLA",
IF(ISNUMBER(SEARCH("FOTOGRAFICO",INVENTARIO!C212)),"FOT",
IF(ISNUMBER(SEARCH("MARFIL",INVENTARIO!C212)),"MAR",
IF(ISNUMBER(SEARCH("VERDE",INVENTARIO!C212)),"VER",
IF(ISNUMBER(SEARCH("MORADO",INVENTARIO!C212)),"MOR",
IF(ISNUMBER(SEARCH("PLATA",INVENTARIO!C212)),"PLA",
IF(ISNUMBER(SEARCH("ORO",INVENTARIO!C212)),"ORO",
IF(ISNUMBER(SEARCH("AMARILLO",INVENTARIO!C212)),"AMA",
IF(ISNUMBER(SEARCH("NARANJA",INVENTARIO!C212)),"NAR",
IF(ISNUMBER(SEARCH("NEGRO",INVENTARIO!C212)),"NEG",
IF(ISNUMBER(SEARCH("ROJO",INVENTARIO!C212)),"ROJ",
IF(ISNUMBER(SEARCH("AZUL",INVENTARIO!C212)),"AZU","")))))))))))))</f>
        <v>ROJ</v>
      </c>
      <c r="F212" t="str">
        <f>IF(ISNUMBER(SEARCH("ARLON",INVENTARIO!C212)),"ARL",
IF(ISNUMBER(SEARCH("SUNTHINKS",INVENTARIO!C212)),"SUN",
IF(ISNUMBER(SEARCH("FRIO",INVENTARIO!C212)),"FRI",
IF(ISNUMBER(SEARCH("CALIDO",INVENTARIO!C212)),"CAL",
IF(ISNUMBER(SEARCH("CEPILLADO",INVENTARIO!C212)),"CEP",
IF(ISNUMBER(SEARCH("ESPEJO",INVENTARIO!C212)),"ESP",
""))))))</f>
        <v/>
      </c>
      <c r="G212" t="str">
        <f>IF(ISNUMBER(SEARCH("LATEX",INVENTARIO!C212)),"LAT",
IF(ISNUMBER(SEARCH("RESP. NEGRO",INVENTARIO!C212)),"RES-NEG",
IF(ISNUMBER(SEARCH("RESPALDO CAFE",INVENTARIO!C212)),"RES-CAF",
IF(ISNUMBER(SEARCH("RESPALDO GRIS",INVENTARIO!C212)),"RES-GRI",
IF(ISNUMBER(SEARCH("OPTICO",INVENTARIO!C212)),"OPT",
IF(ISNUMBER(SEARCH("1,2 MM",INVENTARIO!C212)),"1MM2",
IF(ISNUMBER(SEARCH("2 MM",INVENTARIO!C212)),"2MM",
IF(ISNUMBER(SEARCH("3 MM",INVENTARIO!C212)),"3MM",
IF(ISNUMBER(SEARCH("4 MM",INVENTARIO!C212)),"4MM",
IF(ISNUMBER(SEARCH("5 MM",INVENTARIO!C212)),"5MM",
IF(ISNUMBER(SEARCH("6 MM",INVENTARIO!C212)),"6MM",
IF(ISNUMBER(SEARCH("9 MM",INVENTARIO!C212)),"9MM",
IF(ISNUMBER(SEARCH("10 MM",INVENTARIO!C212)),"10MM","")))))))))))))</f>
        <v>4MM</v>
      </c>
      <c r="H212" t="str">
        <f>IF(ISNUMBER(SEARCH("GAMA BAJA",INVENTARIO!C212)),"GAM-BAJ",
IF(ISNUMBER(SEARCH("OPTIMIZADOR",INVENTARIO!C212)),"OPT",
IF(ISNUMBER(SEARCH("OVERCOAT",INVENTARIO!C212)),"OVE",
IF(ISNUMBER(SEARCH("WHITE",INVENTARIO!C212)),"WHI",
IF(ISNUMBER(SEARCH("LIGHT CYAN",INVENTARIO!C212)),"LIG-CYA",
IF(ISNUMBER(SEARCH("CYAN",INVENTARIO!C212)),"CYA",
IF(ISNUMBER(SEARCH("LIGHT MAGENTA",INVENTARIO!C212)),"LIG-MAG",
IF(ISNUMBER(SEARCH("MAGENTA",INVENTARIO!C212)),"MAG",
IF(ISNUMBER(SEARCH("BLACK",INVENTARIO!C212)),"BLA",
IF(ISNUMBER(SEARCH("YELLOW",INVENTARIO!C212)),"YEL",
IF(ISNUMBER(SEARCH("2 DIODOS",INVENTARIO!C212)),"2DI",
IF(ISNUMBER(SEARCH("3 DIODOS",INVENTARIO!C212)),"3DI",
IF(OR(ISNUMBER(SEARCH("TRASLUCIDO",INVENTARIO!C212)),ISNUMBER(SEARCH("TRANSLUCIDO",INVENTARIO!C212))),"TRA",
"")))))))))))))</f>
        <v/>
      </c>
      <c r="I21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3" spans="1:9">
      <c r="A213" t="str">
        <f>IF(ISNUMBER(SEARCH("LONA",INVENTARIO!C213)),"LON",
IF(ISNUMBER(SEARCH("VINIL",INVENTARIO!C213)),"VIN",
IF(ISNUMBER(SEARCH("KROMACOTE",INVENTARIO!C213)),"KRO",
IF(ISNUMBER(SEARCH("STARDREAM",INVENTARIO!C213)),"STA",
IF(ISNUMBER(SEARCH("DISPLAY",INVENTARIO!C213)),"DIS",
IF(ISNUMBER(SEARCH("ROLL UP",INVENTARIO!C213)),"ROL-UP",
IF(ISNUMBER(SEARCH("TRANSFER DE PAPEL",INVENTARIO!C213)),"TRA-PAP",
IF(ISNUMBER(SEARCH("TRANSFER",INVENTARIO!C213)),"TRA",IF(ISNUMBER(SEARCH("KOLA LOKA",INVENTARIO!C213)),"KOL-LOK",
IF(ISNUMBER(SEARCH("PETG",INVENTARIO!C213)),"PET",
IF(ISNUMBER(SEARCH("OJILLO",INVENTARIO!C213)),"OJI",
IF(ISNUMBER(SEARCH("COUCHE",INVENTARIO!C213)),"COU",
IF(ISNUMBER(SEARCH("PANEL DE ALUMINIO",INVENTARIO!C213)),"PAN-ALU",
IF(ISNUMBER(SEARCH("PVC",INVENTARIO!C213)),"PVC",
IF(ISNUMBER(SEARCH("PAPEL",INVENTARIO!C213)),"PAP",
IF(ISNUMBER(SEARCH("TELA",INVENTARIO!C213)),"TEL",
IF(ISNUMBER(SEARCH("CARTULINA",INVENTARIO!C213)),"CAR",
IF(OR(ISNUMBER(SEARCH("LAMINA",INVENTARIO!C213)),ISNUMBER(SEARCH("LÁMINA",INVENTARIO!C213)),ISNUMBER(SEARCH("LAMPARAS",INVENTARIO!C213))),"LAM",
IF(ISNUMBER(SEARCH("ESTIRENO",INVENTARIO!C213)),"EST",
IF(ISNUMBER(SEARCH("FOAMBOARD",INVENTARIO!C213)),"FOA",
IF(ISNUMBER(SEARCH("SOLVENTE",INVENTARIO!C213)),"SOL",
IF(ISNUMBER(SEARCH("TINTA",INVENTARIO!C213)),"TIN",
IF(ISNUMBER(SEARCH("ACRILICO",INVENTARIO!C213)),"ACR",
IF(ISNUMBER(SEARCH("MICROLED",INVENTARIO!C213)),"MIC",
IF(ISNUMBER(SEARCH("LED",INVENTARIO!C213)),"LED",
IF(ISNUMBER(SEARCH("FUENTE DE PODER",INVENTARIO!C213)),"FUE-POD",
IF(ISNUMBER(SEARCH("PETG",INVENTARIO!C213)),"PET",
IF(ISNUMBER(SEARCH("ALUMINIO",INVENTARIO!C213)),"ALU",
IF(ISNUMBER(SEARCH("CANAL",INVENTARIO!C213)),"CAN",
IF(ISNUMBER(SEARCH("ESCUADRA",INVENTARIO!C213)),"ESC",
IF(ISNUMBER(SEARCH("SOPORTE",INVENTARIO!C213)),"SOP","OTR")
))))))))))))))))))))))))))))))</f>
        <v>PAN-ALU</v>
      </c>
      <c r="B213" t="str">
        <f>IF(ISNUMBER(SEARCH("CORTE",INVENTARIO!C213)),"COR",
IF(ISNUMBER(SEARCH("CITYLIGHT",INVENTARIO!C213)),"CIT",
IF(ISNUMBER(SEARCH("LINO",INVENTARIO!C213)),"LIN",
IF(ISNUMBER(SEARCH("FABRIANO",INVENTARIO!C213)),"FAB",
IF(ISNUMBER(SEARCH("SUNDANCE",INVENTARIO!C213)),"SUN",
IF(ISNUMBER(SEARCH("SINTETICA",INVENTARIO!C213)),"SIN",
IF(ISNUMBER(SEARCH("CONTROL",INVENTARIO!C213)),"CON",
IF(ISNUMBER(SEARCH("TERMICO",INVENTARIO!C213)),"TER",
IF(ISNUMBER(SEARCH("C-15",INVENTARIO!C213)),"C15",
IF(ISNUMBER(SEARCH("C-20",INVENTARIO!C213)),"C20",
IF(ISNUMBER(SEARCH("C-30",INVENTARIO!C213)),"C30",
IF(ISNUMBER(SEARCH("C-40",INVENTARIO!C213)),"C40",
IF(ISNUMBER(SEARCH("C-60",INVENTARIO!C213)),"C60",
IF(ISNUMBER(SEARCH("C-80",INVENTARIO!C213)),"C80",
IF(ISNUMBER(SEARCH("EQUIPO",INVENTARIO!C213)),"EQU",
IF(ISNUMBER(SEARCH("FLOOR",INVENTARIO!C213)),"FLO",
IF(ISNUMBER(SEARCH("CRISTAL",INVENTARIO!C213)),"CRI",
IF(ISNUMBER(SEARCH(" SULFATADA",INVENTARIO!C224)),"SUL",
IF(ISNUMBER(SEARCH("OPALINA",INVENTARIO!C213)),"OPA",
IF(ISNUMBER(SEARCH("ADHERIBLE",INVENTARIO!C213)),"ADH",
IF(ISNUMBER(SEARCH("MICRO",INVENTARIO!C213)),"MIC","")))))))))))))))))))))</f>
        <v/>
      </c>
      <c r="C213" t="str">
        <f>IF(ISNUMBER(SEARCH("PARED",INVENTARIO!C213)),"PAR",
IF(ISNUMBER(SEARCH("FRONT",INVENTARIO!C213)),"FRO",
IF(ISNUMBER(SEARCH("ALTA RESISTENCIA",INVENTARIO!C213)),
"ALT-RES",IF(ISNUMBER(SEARCH("BACKLITE",INVENTARIO!C213)),"BAC",
IF(ISNUMBER(SEARCH("MATE",INVENTARIO!C213)),"MAT",
IF(ISNUMBER(SEARCH("MESH",INVENTARIO!C213)),"MES",
IF(ISNUMBER(SEARCH("BRILLANTE",INVENTARIO!C213)),"BRI",
IF(ISNUMBER(SEARCH("DELGADA",INVENTARIO!C213)),"DEL",
IF(ISNUMBER(SEARCH("GRUESA",INVENTARIO!C213)),"GRU",
IF(ISNUMBER(SEARCH("ESTATICO",INVENTARIO!C213)),"EST",
IF(ISNUMBER(SEARCH("REFLECTIVO",INVENTARIO!C213)),"REF",
IF(ISNUMBER(SEARCH("LX700",INVENTARIO!C213)),"LX7",
IF(ISNUMBER(SEARCH("GRANDO",INVENTARIO!C213)),"GRA",
IF(ISNUMBER(SEARCH("FB700",INVENTARIO!C213)),"FB7",
IF(ISNUMBER(SEARCH("LX360",INVENTARIO!C213)),"LX3",
IF(ISNUMBER(SEARCH("XEROX",INVENTARIO!C213)),"XER",
IF(ISNUMBER(SEARCH("CEPILLADO",INVENTARIO!C213)),"CEP",
IF(ISNUMBER(SEARCH("ESPEJO",INVENTARIO!C213)),"ESP",
IF(ISNUMBER(SEARCH("10 PTS",INVENTARIO!C213)),"10PT",
IF(ISNUMBER(SEARCH("12 PTS",INVENTARIO!C213)),"12PT",
IF(ISNUMBER(SEARCH("14 PTS",INVENTARIO!C213)),"14PT",
IF(ISNUMBER(SEARCH("CLASICO",INVENTARIO!C213)),"CLA",
""))))))))))))))))))))))</f>
        <v>MAT</v>
      </c>
      <c r="D213" t="str">
        <f>IF(ISNUMBER(SEARCH("GRAN FORMATO",INVENTARIO!C213)),"GRA-FOR",
IF(ISNUMBER(SEARCH("CAMA PLANA",INVENTARIO!C213)),"CAM-PLA",
IF(ISNUMBER(SEARCH("GRADO INGENIERIA",INVENTARIO!C213)),"GRA-ING",
IF(ISNUMBER(SEARCH("130 GRS",INVENTARIO!C213)),"130GR",
IF(ISNUMBER(SEARCH("150 GRS",INVENTARIO!C213)),"150GR",
IF(ISNUMBER(SEARCH("185 GRS",INVENTARIO!C213)),"185GR",
IF(ISNUMBER(SEARCH("200 GRS",INVENTARIO!C213)),"200GR",
IF(ISNUMBER(SEARCH("250 GRS",INVENTARIO!C213)),"250GR",
IF(ISNUMBER(SEARCH("300 GRS",INVENTARIO!C213)),"300GR",
IF(ISNUMBER(SEARCH("350 GRS",INVENTARIO!C213)),"350GR",
IF(ISNUMBER(SEARCH("18 OZ",INVENTARIO!C213)),"18OZ",
IF(ISNUMBER(SEARCH("15 OZ",INVENTARIO!C213)),"15OZ",
IF(OR(ISNUMBER(SEARCH("13 OZ",INVENTARIO!C213)),ISNUMBER(SEARCH("13 ONZAS",INVENTARIO!C213))),"13OZ",
IF(OR(ISNUMBER(SEARCH("9 OZ",INVENTARIO!C213)),ISNUMBER(SEARCH("9 ONZAS",INVENTARIO!C213))),"09OZ",
IF(ISNUMBER(SEARCH("DOBLE CARA",INVENTARIO!C213)),"DOB-CAR",
"")))))))))))))))</f>
        <v/>
      </c>
      <c r="E213" t="str">
        <f>IF(OR(ISNUMBER(SEARCH("TRANSPARENTE",INVENTARIO!C213)),ISNUMBER(SEARCH("TRANSPARENTES",INVENTARIO!C213))),"TRA",
IF(OR(ISNUMBER(SEARCH("BLANCO",INVENTARIO!C213)),ISNUMBER(SEARCH("BCO",INVENTARIO!C213))),"BLA",
IF(ISNUMBER(SEARCH("FOTOGRAFICO",INVENTARIO!C213)),"FOT",
IF(ISNUMBER(SEARCH("MARFIL",INVENTARIO!C213)),"MAR",
IF(ISNUMBER(SEARCH("VERDE",INVENTARIO!C213)),"VER",
IF(ISNUMBER(SEARCH("MORADO",INVENTARIO!C213)),"MOR",
IF(ISNUMBER(SEARCH("PLATA",INVENTARIO!C213)),"PLA",
IF(ISNUMBER(SEARCH("ORO",INVENTARIO!C213)),"ORO",
IF(ISNUMBER(SEARCH("AMARILLO",INVENTARIO!C213)),"AMA",
IF(ISNUMBER(SEARCH("NARANJA",INVENTARIO!C213)),"NAR",
IF(ISNUMBER(SEARCH("NEGRO",INVENTARIO!C213)),"NEG",
IF(ISNUMBER(SEARCH("ROJO",INVENTARIO!C213)),"ROJ",
IF(ISNUMBER(SEARCH("AZUL",INVENTARIO!C213)),"AZU","")))))))))))))</f>
        <v>NEG</v>
      </c>
      <c r="F213" t="str">
        <f>IF(ISNUMBER(SEARCH("ARLON",INVENTARIO!C213)),"ARL",
IF(ISNUMBER(SEARCH("SUNTHINKS",INVENTARIO!C213)),"SUN",
IF(ISNUMBER(SEARCH("FRIO",INVENTARIO!C213)),"FRI",
IF(ISNUMBER(SEARCH("CALIDO",INVENTARIO!C213)),"CAL",
IF(ISNUMBER(SEARCH("CEPILLADO",INVENTARIO!C213)),"CEP",
IF(ISNUMBER(SEARCH("ESPEJO",INVENTARIO!C213)),"ESP",
""))))))</f>
        <v/>
      </c>
      <c r="G213" t="str">
        <f>IF(ISNUMBER(SEARCH("LATEX",INVENTARIO!C213)),"LAT",
IF(ISNUMBER(SEARCH("RESP. NEGRO",INVENTARIO!C213)),"RES-NEG",
IF(ISNUMBER(SEARCH("RESPALDO CAFE",INVENTARIO!C213)),"RES-CAF",
IF(ISNUMBER(SEARCH("RESPALDO GRIS",INVENTARIO!C213)),"RES-GRI",
IF(ISNUMBER(SEARCH("OPTICO",INVENTARIO!C213)),"OPT",
IF(ISNUMBER(SEARCH("1,2 MM",INVENTARIO!C213)),"1MM2",
IF(ISNUMBER(SEARCH("2 MM",INVENTARIO!C213)),"2MM",
IF(ISNUMBER(SEARCH("3 MM",INVENTARIO!C213)),"3MM",
IF(ISNUMBER(SEARCH("4 MM",INVENTARIO!C213)),"4MM",
IF(ISNUMBER(SEARCH("5 MM",INVENTARIO!C213)),"5MM",
IF(ISNUMBER(SEARCH("6 MM",INVENTARIO!C213)),"6MM",
IF(ISNUMBER(SEARCH("9 MM",INVENTARIO!C213)),"9MM",
IF(ISNUMBER(SEARCH("10 MM",INVENTARIO!C213)),"10MM","")))))))))))))</f>
        <v>4MM</v>
      </c>
      <c r="H213" t="str">
        <f>IF(ISNUMBER(SEARCH("GAMA BAJA",INVENTARIO!C213)),"GAM-BAJ",
IF(ISNUMBER(SEARCH("OPTIMIZADOR",INVENTARIO!C213)),"OPT",
IF(ISNUMBER(SEARCH("OVERCOAT",INVENTARIO!C213)),"OVE",
IF(ISNUMBER(SEARCH("WHITE",INVENTARIO!C213)),"WHI",
IF(ISNUMBER(SEARCH("LIGHT CYAN",INVENTARIO!C213)),"LIG-CYA",
IF(ISNUMBER(SEARCH("CYAN",INVENTARIO!C213)),"CYA",
IF(ISNUMBER(SEARCH("LIGHT MAGENTA",INVENTARIO!C213)),"LIG-MAG",
IF(ISNUMBER(SEARCH("MAGENTA",INVENTARIO!C213)),"MAG",
IF(ISNUMBER(SEARCH("BLACK",INVENTARIO!C213)),"BLA",
IF(ISNUMBER(SEARCH("YELLOW",INVENTARIO!C213)),"YEL",
IF(ISNUMBER(SEARCH("2 DIODOS",INVENTARIO!C213)),"2DI",
IF(ISNUMBER(SEARCH("3 DIODOS",INVENTARIO!C213)),"3DI",
IF(OR(ISNUMBER(SEARCH("TRASLUCIDO",INVENTARIO!C213)),ISNUMBER(SEARCH("TRANSLUCIDO",INVENTARIO!C213))),"TRA",
"")))))))))))))</f>
        <v/>
      </c>
      <c r="I21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4" spans="1:9">
      <c r="A214" t="str">
        <f>IF(ISNUMBER(SEARCH("LONA",INVENTARIO!C214)),"LON",
IF(ISNUMBER(SEARCH("VINIL",INVENTARIO!C214)),"VIN",
IF(ISNUMBER(SEARCH("KROMACOTE",INVENTARIO!C214)),"KRO",
IF(ISNUMBER(SEARCH("STARDREAM",INVENTARIO!C214)),"STA",
IF(ISNUMBER(SEARCH("DISPLAY",INVENTARIO!C214)),"DIS",
IF(ISNUMBER(SEARCH("ROLL UP",INVENTARIO!C214)),"ROL-UP",
IF(ISNUMBER(SEARCH("TRANSFER DE PAPEL",INVENTARIO!C214)),"TRA-PAP",
IF(ISNUMBER(SEARCH("TRANSFER",INVENTARIO!C214)),"TRA",IF(ISNUMBER(SEARCH("KOLA LOKA",INVENTARIO!C214)),"KOL-LOK",
IF(ISNUMBER(SEARCH("PETG",INVENTARIO!C214)),"PET",
IF(ISNUMBER(SEARCH("OJILLO",INVENTARIO!C214)),"OJI",
IF(ISNUMBER(SEARCH("COUCHE",INVENTARIO!C214)),"COU",
IF(ISNUMBER(SEARCH("PANEL DE ALUMINIO",INVENTARIO!C214)),"PAN-ALU",
IF(ISNUMBER(SEARCH("PVC",INVENTARIO!C214)),"PVC",
IF(ISNUMBER(SEARCH("PAPEL",INVENTARIO!C214)),"PAP",
IF(ISNUMBER(SEARCH("TELA",INVENTARIO!C214)),"TEL",
IF(ISNUMBER(SEARCH("CARTULINA",INVENTARIO!C214)),"CAR",
IF(OR(ISNUMBER(SEARCH("LAMINA",INVENTARIO!C214)),ISNUMBER(SEARCH("LÁMINA",INVENTARIO!C214)),ISNUMBER(SEARCH("LAMPARAS",INVENTARIO!C214))),"LAM",
IF(ISNUMBER(SEARCH("ESTIRENO",INVENTARIO!C214)),"EST",
IF(ISNUMBER(SEARCH("FOAMBOARD",INVENTARIO!C214)),"FOA",
IF(ISNUMBER(SEARCH("SOLVENTE",INVENTARIO!C214)),"SOL",
IF(ISNUMBER(SEARCH("TINTA",INVENTARIO!C214)),"TIN",
IF(ISNUMBER(SEARCH("ACRILICO",INVENTARIO!C214)),"ACR",
IF(ISNUMBER(SEARCH("MICROLED",INVENTARIO!C214)),"MIC",
IF(ISNUMBER(SEARCH("LED",INVENTARIO!C214)),"LED",
IF(ISNUMBER(SEARCH("FUENTE DE PODER",INVENTARIO!C214)),"FUE-POD",
IF(ISNUMBER(SEARCH("PETG",INVENTARIO!C214)),"PET",
IF(ISNUMBER(SEARCH("ALUMINIO",INVENTARIO!C214)),"ALU",
IF(ISNUMBER(SEARCH("CANAL",INVENTARIO!C214)),"CAN",
IF(ISNUMBER(SEARCH("ESCUADRA",INVENTARIO!C214)),"ESC",
IF(ISNUMBER(SEARCH("SOPORTE",INVENTARIO!C214)),"SOP","OTR")
))))))))))))))))))))))))))))))</f>
        <v>PAN-ALU</v>
      </c>
      <c r="B214" t="str">
        <f>IF(ISNUMBER(SEARCH("CORTE",INVENTARIO!C214)),"COR",
IF(ISNUMBER(SEARCH("CITYLIGHT",INVENTARIO!C214)),"CIT",
IF(ISNUMBER(SEARCH("LINO",INVENTARIO!C214)),"LIN",
IF(ISNUMBER(SEARCH("FABRIANO",INVENTARIO!C214)),"FAB",
IF(ISNUMBER(SEARCH("SUNDANCE",INVENTARIO!C214)),"SUN",
IF(ISNUMBER(SEARCH("SINTETICA",INVENTARIO!C214)),"SIN",
IF(ISNUMBER(SEARCH("CONTROL",INVENTARIO!C214)),"CON",
IF(ISNUMBER(SEARCH("TERMICO",INVENTARIO!C214)),"TER",
IF(ISNUMBER(SEARCH("C-15",INVENTARIO!C214)),"C15",
IF(ISNUMBER(SEARCH("C-20",INVENTARIO!C214)),"C20",
IF(ISNUMBER(SEARCH("C-30",INVENTARIO!C214)),"C30",
IF(ISNUMBER(SEARCH("C-40",INVENTARIO!C214)),"C40",
IF(ISNUMBER(SEARCH("C-60",INVENTARIO!C214)),"C60",
IF(ISNUMBER(SEARCH("C-80",INVENTARIO!C214)),"C80",
IF(ISNUMBER(SEARCH("EQUIPO",INVENTARIO!C214)),"EQU",
IF(ISNUMBER(SEARCH("FLOOR",INVENTARIO!C214)),"FLO",
IF(ISNUMBER(SEARCH("CRISTAL",INVENTARIO!C214)),"CRI",
IF(ISNUMBER(SEARCH(" SULFATADA",INVENTARIO!C225)),"SUL",
IF(ISNUMBER(SEARCH("OPALINA",INVENTARIO!C214)),"OPA",
IF(ISNUMBER(SEARCH("ADHERIBLE",INVENTARIO!C214)),"ADH",
IF(ISNUMBER(SEARCH("MICRO",INVENTARIO!C214)),"MIC","")))))))))))))))))))))</f>
        <v/>
      </c>
      <c r="C214" t="str">
        <f>IF(ISNUMBER(SEARCH("PARED",INVENTARIO!C214)),"PAR",
IF(ISNUMBER(SEARCH("FRONT",INVENTARIO!C214)),"FRO",
IF(ISNUMBER(SEARCH("ALTA RESISTENCIA",INVENTARIO!C214)),
"ALT-RES",IF(ISNUMBER(SEARCH("BACKLITE",INVENTARIO!C214)),"BAC",
IF(ISNUMBER(SEARCH("MATE",INVENTARIO!C214)),"MAT",
IF(ISNUMBER(SEARCH("MESH",INVENTARIO!C214)),"MES",
IF(ISNUMBER(SEARCH("BRILLANTE",INVENTARIO!C214)),"BRI",
IF(ISNUMBER(SEARCH("DELGADA",INVENTARIO!C214)),"DEL",
IF(ISNUMBER(SEARCH("GRUESA",INVENTARIO!C214)),"GRU",
IF(ISNUMBER(SEARCH("ESTATICO",INVENTARIO!C214)),"EST",
IF(ISNUMBER(SEARCH("REFLECTIVO",INVENTARIO!C214)),"REF",
IF(ISNUMBER(SEARCH("LX700",INVENTARIO!C214)),"LX7",
IF(ISNUMBER(SEARCH("GRANDO",INVENTARIO!C214)),"GRA",
IF(ISNUMBER(SEARCH("FB700",INVENTARIO!C214)),"FB7",
IF(ISNUMBER(SEARCH("LX360",INVENTARIO!C214)),"LX3",
IF(ISNUMBER(SEARCH("XEROX",INVENTARIO!C214)),"XER",
IF(ISNUMBER(SEARCH("CEPILLADO",INVENTARIO!C214)),"CEP",
IF(ISNUMBER(SEARCH("ESPEJO",INVENTARIO!C214)),"ESP",
IF(ISNUMBER(SEARCH("10 PTS",INVENTARIO!C214)),"10PT",
IF(ISNUMBER(SEARCH("12 PTS",INVENTARIO!C214)),"12PT",
IF(ISNUMBER(SEARCH("14 PTS",INVENTARIO!C214)),"14PT",
IF(ISNUMBER(SEARCH("CLASICO",INVENTARIO!C214)),"CLA",
""))))))))))))))))))))))</f>
        <v>MAT</v>
      </c>
      <c r="D214" t="str">
        <f>IF(ISNUMBER(SEARCH("GRAN FORMATO",INVENTARIO!C214)),"GRA-FOR",
IF(ISNUMBER(SEARCH("CAMA PLANA",INVENTARIO!C214)),"CAM-PLA",
IF(ISNUMBER(SEARCH("GRADO INGENIERIA",INVENTARIO!C214)),"GRA-ING",
IF(ISNUMBER(SEARCH("130 GRS",INVENTARIO!C214)),"130GR",
IF(ISNUMBER(SEARCH("150 GRS",INVENTARIO!C214)),"150GR",
IF(ISNUMBER(SEARCH("185 GRS",INVENTARIO!C214)),"185GR",
IF(ISNUMBER(SEARCH("200 GRS",INVENTARIO!C214)),"200GR",
IF(ISNUMBER(SEARCH("250 GRS",INVENTARIO!C214)),"250GR",
IF(ISNUMBER(SEARCH("300 GRS",INVENTARIO!C214)),"300GR",
IF(ISNUMBER(SEARCH("350 GRS",INVENTARIO!C214)),"350GR",
IF(ISNUMBER(SEARCH("18 OZ",INVENTARIO!C214)),"18OZ",
IF(ISNUMBER(SEARCH("15 OZ",INVENTARIO!C214)),"15OZ",
IF(OR(ISNUMBER(SEARCH("13 OZ",INVENTARIO!C214)),ISNUMBER(SEARCH("13 ONZAS",INVENTARIO!C214))),"13OZ",
IF(OR(ISNUMBER(SEARCH("9 OZ",INVENTARIO!C214)),ISNUMBER(SEARCH("9 ONZAS",INVENTARIO!C214))),"09OZ",
IF(ISNUMBER(SEARCH("DOBLE CARA",INVENTARIO!C214)),"DOB-CAR",
"")))))))))))))))</f>
        <v/>
      </c>
      <c r="E214" t="str">
        <f>IF(OR(ISNUMBER(SEARCH("TRANSPARENTE",INVENTARIO!C214)),ISNUMBER(SEARCH("TRANSPARENTES",INVENTARIO!C214))),"TRA",
IF(OR(ISNUMBER(SEARCH("BLANCO",INVENTARIO!C214)),ISNUMBER(SEARCH("BCO",INVENTARIO!C214))),"BLA",
IF(ISNUMBER(SEARCH("FOTOGRAFICO",INVENTARIO!C214)),"FOT",
IF(ISNUMBER(SEARCH("MARFIL",INVENTARIO!C214)),"MAR",
IF(ISNUMBER(SEARCH("VERDE",INVENTARIO!C214)),"VER",
IF(ISNUMBER(SEARCH("MORADO",INVENTARIO!C214)),"MOR",
IF(ISNUMBER(SEARCH("PLATA",INVENTARIO!C214)),"PLA",
IF(ISNUMBER(SEARCH("ORO",INVENTARIO!C214)),"ORO",
IF(ISNUMBER(SEARCH("AMARILLO",INVENTARIO!C214)),"AMA",
IF(ISNUMBER(SEARCH("NARANJA",INVENTARIO!C214)),"NAR",
IF(ISNUMBER(SEARCH("NEGRO",INVENTARIO!C214)),"NEG",
IF(ISNUMBER(SEARCH("ROJO",INVENTARIO!C214)),"ROJ",
IF(ISNUMBER(SEARCH("AZUL",INVENTARIO!C214)),"AZU","")))))))))))))</f>
        <v>NEG</v>
      </c>
      <c r="F214" t="str">
        <f>IF(ISNUMBER(SEARCH("ARLON",INVENTARIO!C214)),"ARL",
IF(ISNUMBER(SEARCH("SUNTHINKS",INVENTARIO!C214)),"SUN",
IF(ISNUMBER(SEARCH("FRIO",INVENTARIO!C214)),"FRI",
IF(ISNUMBER(SEARCH("CALIDO",INVENTARIO!C214)),"CAL",
IF(ISNUMBER(SEARCH("CEPILLADO",INVENTARIO!C214)),"CEP",
IF(ISNUMBER(SEARCH("ESPEJO",INVENTARIO!C214)),"ESP",
""))))))</f>
        <v/>
      </c>
      <c r="G214" t="str">
        <f>IF(ISNUMBER(SEARCH("LATEX",INVENTARIO!C214)),"LAT",
IF(ISNUMBER(SEARCH("RESP. NEGRO",INVENTARIO!C214)),"RES-NEG",
IF(ISNUMBER(SEARCH("RESPALDO CAFE",INVENTARIO!C214)),"RES-CAF",
IF(ISNUMBER(SEARCH("RESPALDO GRIS",INVENTARIO!C214)),"RES-GRI",
IF(ISNUMBER(SEARCH("OPTICO",INVENTARIO!C214)),"OPT",
IF(ISNUMBER(SEARCH("1,2 MM",INVENTARIO!C214)),"1MM2",
IF(ISNUMBER(SEARCH("2 MM",INVENTARIO!C214)),"2MM",
IF(ISNUMBER(SEARCH("3 MM",INVENTARIO!C214)),"3MM",
IF(ISNUMBER(SEARCH("4 MM",INVENTARIO!C214)),"4MM",
IF(ISNUMBER(SEARCH("5 MM",INVENTARIO!C214)),"5MM",
IF(ISNUMBER(SEARCH("6 MM",INVENTARIO!C214)),"6MM",
IF(ISNUMBER(SEARCH("9 MM",INVENTARIO!C214)),"9MM",
IF(ISNUMBER(SEARCH("10 MM",INVENTARIO!C214)),"10MM","")))))))))))))</f>
        <v>4MM</v>
      </c>
      <c r="H214" t="str">
        <f>IF(ISNUMBER(SEARCH("GAMA BAJA",INVENTARIO!C214)),"GAM-BAJ",
IF(ISNUMBER(SEARCH("OPTIMIZADOR",INVENTARIO!C214)),"OPT",
IF(ISNUMBER(SEARCH("OVERCOAT",INVENTARIO!C214)),"OVE",
IF(ISNUMBER(SEARCH("WHITE",INVENTARIO!C214)),"WHI",
IF(ISNUMBER(SEARCH("LIGHT CYAN",INVENTARIO!C214)),"LIG-CYA",
IF(ISNUMBER(SEARCH("CYAN",INVENTARIO!C214)),"CYA",
IF(ISNUMBER(SEARCH("LIGHT MAGENTA",INVENTARIO!C214)),"LIG-MAG",
IF(ISNUMBER(SEARCH("MAGENTA",INVENTARIO!C214)),"MAG",
IF(ISNUMBER(SEARCH("BLACK",INVENTARIO!C214)),"BLA",
IF(ISNUMBER(SEARCH("YELLOW",INVENTARIO!C214)),"YEL",
IF(ISNUMBER(SEARCH("2 DIODOS",INVENTARIO!C214)),"2DI",
IF(ISNUMBER(SEARCH("3 DIODOS",INVENTARIO!C214)),"3DI",
IF(OR(ISNUMBER(SEARCH("TRASLUCIDO",INVENTARIO!C214)),ISNUMBER(SEARCH("TRANSLUCIDO",INVENTARIO!C214))),"TRA",
"")))))))))))))</f>
        <v/>
      </c>
      <c r="I21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5" spans="1:9">
      <c r="A215" t="str">
        <f>IF(ISNUMBER(SEARCH("LONA",INVENTARIO!C215)),"LON",
IF(ISNUMBER(SEARCH("VINIL",INVENTARIO!C215)),"VIN",
IF(ISNUMBER(SEARCH("KROMACOTE",INVENTARIO!C215)),"KRO",
IF(ISNUMBER(SEARCH("STARDREAM",INVENTARIO!C215)),"STA",
IF(ISNUMBER(SEARCH("DISPLAY",INVENTARIO!C215)),"DIS",
IF(ISNUMBER(SEARCH("ROLL UP",INVENTARIO!C215)),"ROL-UP",
IF(ISNUMBER(SEARCH("TRANSFER DE PAPEL",INVENTARIO!C215)),"TRA-PAP",
IF(ISNUMBER(SEARCH("TRANSFER",INVENTARIO!C215)),"TRA",IF(ISNUMBER(SEARCH("KOLA LOKA",INVENTARIO!C215)),"KOL-LOK",
IF(ISNUMBER(SEARCH("PETG",INVENTARIO!C215)),"PET",
IF(ISNUMBER(SEARCH("OJILLO",INVENTARIO!C215)),"OJI",
IF(ISNUMBER(SEARCH("COUCHE",INVENTARIO!C215)),"COU",
IF(ISNUMBER(SEARCH("PANEL DE ALUMINIO",INVENTARIO!C215)),"PAN-ALU",
IF(ISNUMBER(SEARCH("PVC",INVENTARIO!C215)),"PVC",
IF(ISNUMBER(SEARCH("PAPEL",INVENTARIO!C215)),"PAP",
IF(ISNUMBER(SEARCH("TELA",INVENTARIO!C215)),"TEL",
IF(ISNUMBER(SEARCH("CARTULINA",INVENTARIO!C215)),"CAR",
IF(OR(ISNUMBER(SEARCH("LAMINA",INVENTARIO!C215)),ISNUMBER(SEARCH("LÁMINA",INVENTARIO!C215)),ISNUMBER(SEARCH("LAMPARAS",INVENTARIO!C215))),"LAM",
IF(ISNUMBER(SEARCH("ESTIRENO",INVENTARIO!C215)),"EST",
IF(ISNUMBER(SEARCH("FOAMBOARD",INVENTARIO!C215)),"FOA",
IF(ISNUMBER(SEARCH("SOLVENTE",INVENTARIO!C215)),"SOL",
IF(ISNUMBER(SEARCH("TINTA",INVENTARIO!C215)),"TIN",
IF(ISNUMBER(SEARCH("ACRILICO",INVENTARIO!C215)),"ACR",
IF(ISNUMBER(SEARCH("MICROLED",INVENTARIO!C215)),"MIC",
IF(ISNUMBER(SEARCH("LED",INVENTARIO!C215)),"LED",
IF(ISNUMBER(SEARCH("FUENTE DE PODER",INVENTARIO!C215)),"FUE-POD",
IF(ISNUMBER(SEARCH("PETG",INVENTARIO!C215)),"PET",
IF(ISNUMBER(SEARCH("ALUMINIO",INVENTARIO!C215)),"ALU",
IF(ISNUMBER(SEARCH("CANAL",INVENTARIO!C215)),"CAN",
IF(ISNUMBER(SEARCH("ESCUADRA",INVENTARIO!C215)),"ESC",
IF(ISNUMBER(SEARCH("SOPORTE",INVENTARIO!C215)),"SOP","OTR")
))))))))))))))))))))))))))))))</f>
        <v>PAN-ALU</v>
      </c>
      <c r="B215" t="str">
        <f>IF(ISNUMBER(SEARCH("CORTE",INVENTARIO!C215)),"COR",
IF(ISNUMBER(SEARCH("CITYLIGHT",INVENTARIO!C215)),"CIT",
IF(ISNUMBER(SEARCH("LINO",INVENTARIO!C215)),"LIN",
IF(ISNUMBER(SEARCH("FABRIANO",INVENTARIO!C215)),"FAB",
IF(ISNUMBER(SEARCH("SUNDANCE",INVENTARIO!C215)),"SUN",
IF(ISNUMBER(SEARCH("SINTETICA",INVENTARIO!C215)),"SIN",
IF(ISNUMBER(SEARCH("CONTROL",INVENTARIO!C215)),"CON",
IF(ISNUMBER(SEARCH("TERMICO",INVENTARIO!C215)),"TER",
IF(ISNUMBER(SEARCH("C-15",INVENTARIO!C215)),"C15",
IF(ISNUMBER(SEARCH("C-20",INVENTARIO!C215)),"C20",
IF(ISNUMBER(SEARCH("C-30",INVENTARIO!C215)),"C30",
IF(ISNUMBER(SEARCH("C-40",INVENTARIO!C215)),"C40",
IF(ISNUMBER(SEARCH("C-60",INVENTARIO!C215)),"C60",
IF(ISNUMBER(SEARCH("C-80",INVENTARIO!C215)),"C80",
IF(ISNUMBER(SEARCH("EQUIPO",INVENTARIO!C215)),"EQU",
IF(ISNUMBER(SEARCH("FLOOR",INVENTARIO!C215)),"FLO",
IF(ISNUMBER(SEARCH("CRISTAL",INVENTARIO!C215)),"CRI",
IF(ISNUMBER(SEARCH(" SULFATADA",INVENTARIO!C226)),"SUL",
IF(ISNUMBER(SEARCH("OPALINA",INVENTARIO!C215)),"OPA",
IF(ISNUMBER(SEARCH("ADHERIBLE",INVENTARIO!C215)),"ADH",
IF(ISNUMBER(SEARCH("MICRO",INVENTARIO!C215)),"MIC","")))))))))))))))))))))</f>
        <v/>
      </c>
      <c r="C215" t="str">
        <f>IF(ISNUMBER(SEARCH("PARED",INVENTARIO!C215)),"PAR",
IF(ISNUMBER(SEARCH("FRONT",INVENTARIO!C215)),"FRO",
IF(ISNUMBER(SEARCH("ALTA RESISTENCIA",INVENTARIO!C215)),
"ALT-RES",IF(ISNUMBER(SEARCH("BACKLITE",INVENTARIO!C215)),"BAC",
IF(ISNUMBER(SEARCH("MATE",INVENTARIO!C215)),"MAT",
IF(ISNUMBER(SEARCH("MESH",INVENTARIO!C215)),"MES",
IF(ISNUMBER(SEARCH("BRILLANTE",INVENTARIO!C215)),"BRI",
IF(ISNUMBER(SEARCH("DELGADA",INVENTARIO!C215)),"DEL",
IF(ISNUMBER(SEARCH("GRUESA",INVENTARIO!C215)),"GRU",
IF(ISNUMBER(SEARCH("ESTATICO",INVENTARIO!C215)),"EST",
IF(ISNUMBER(SEARCH("REFLECTIVO",INVENTARIO!C215)),"REF",
IF(ISNUMBER(SEARCH("LX700",INVENTARIO!C215)),"LX7",
IF(ISNUMBER(SEARCH("GRANDO",INVENTARIO!C215)),"GRA",
IF(ISNUMBER(SEARCH("FB700",INVENTARIO!C215)),"FB7",
IF(ISNUMBER(SEARCH("LX360",INVENTARIO!C215)),"LX3",
IF(ISNUMBER(SEARCH("XEROX",INVENTARIO!C215)),"XER",
IF(ISNUMBER(SEARCH("CEPILLADO",INVENTARIO!C215)),"CEP",
IF(ISNUMBER(SEARCH("ESPEJO",INVENTARIO!C215)),"ESP",
IF(ISNUMBER(SEARCH("10 PTS",INVENTARIO!C215)),"10PT",
IF(ISNUMBER(SEARCH("12 PTS",INVENTARIO!C215)),"12PT",
IF(ISNUMBER(SEARCH("14 PTS",INVENTARIO!C215)),"14PT",
IF(ISNUMBER(SEARCH("CLASICO",INVENTARIO!C215)),"CLA",
""))))))))))))))))))))))</f>
        <v>BRI</v>
      </c>
      <c r="D215" t="str">
        <f>IF(ISNUMBER(SEARCH("GRAN FORMATO",INVENTARIO!C215)),"GRA-FOR",
IF(ISNUMBER(SEARCH("CAMA PLANA",INVENTARIO!C215)),"CAM-PLA",
IF(ISNUMBER(SEARCH("GRADO INGENIERIA",INVENTARIO!C215)),"GRA-ING",
IF(ISNUMBER(SEARCH("130 GRS",INVENTARIO!C215)),"130GR",
IF(ISNUMBER(SEARCH("150 GRS",INVENTARIO!C215)),"150GR",
IF(ISNUMBER(SEARCH("185 GRS",INVENTARIO!C215)),"185GR",
IF(ISNUMBER(SEARCH("200 GRS",INVENTARIO!C215)),"200GR",
IF(ISNUMBER(SEARCH("250 GRS",INVENTARIO!C215)),"250GR",
IF(ISNUMBER(SEARCH("300 GRS",INVENTARIO!C215)),"300GR",
IF(ISNUMBER(SEARCH("350 GRS",INVENTARIO!C215)),"350GR",
IF(ISNUMBER(SEARCH("18 OZ",INVENTARIO!C215)),"18OZ",
IF(ISNUMBER(SEARCH("15 OZ",INVENTARIO!C215)),"15OZ",
IF(OR(ISNUMBER(SEARCH("13 OZ",INVENTARIO!C215)),ISNUMBER(SEARCH("13 ONZAS",INVENTARIO!C215))),"13OZ",
IF(OR(ISNUMBER(SEARCH("9 OZ",INVENTARIO!C215)),ISNUMBER(SEARCH("9 ONZAS",INVENTARIO!C215))),"09OZ",
IF(ISNUMBER(SEARCH("DOBLE CARA",INVENTARIO!C215)),"DOB-CAR",
"")))))))))))))))</f>
        <v/>
      </c>
      <c r="E215" t="str">
        <f>IF(OR(ISNUMBER(SEARCH("TRANSPARENTE",INVENTARIO!C215)),ISNUMBER(SEARCH("TRANSPARENTES",INVENTARIO!C215))),"TRA",
IF(OR(ISNUMBER(SEARCH("BLANCO",INVENTARIO!C215)),ISNUMBER(SEARCH("BCO",INVENTARIO!C215))),"BLA",
IF(ISNUMBER(SEARCH("FOTOGRAFICO",INVENTARIO!C215)),"FOT",
IF(ISNUMBER(SEARCH("MARFIL",INVENTARIO!C215)),"MAR",
IF(ISNUMBER(SEARCH("VERDE",INVENTARIO!C215)),"VER",
IF(ISNUMBER(SEARCH("MORADO",INVENTARIO!C215)),"MOR",
IF(ISNUMBER(SEARCH("PLATA",INVENTARIO!C215)),"PLA",
IF(ISNUMBER(SEARCH("ORO",INVENTARIO!C215)),"ORO",
IF(ISNUMBER(SEARCH("AMARILLO",INVENTARIO!C215)),"AMA",
IF(ISNUMBER(SEARCH("NARANJA",INVENTARIO!C215)),"NAR",
IF(ISNUMBER(SEARCH("NEGRO",INVENTARIO!C215)),"NEG",
IF(ISNUMBER(SEARCH("ROJO",INVENTARIO!C215)),"ROJ",
IF(ISNUMBER(SEARCH("AZUL",INVENTARIO!C215)),"AZU","")))))))))))))</f>
        <v>PLA</v>
      </c>
      <c r="F215" t="str">
        <f>IF(ISNUMBER(SEARCH("ARLON",INVENTARIO!C215)),"ARL",
IF(ISNUMBER(SEARCH("SUNTHINKS",INVENTARIO!C215)),"SUN",
IF(ISNUMBER(SEARCH("FRIO",INVENTARIO!C215)),"FRI",
IF(ISNUMBER(SEARCH("CALIDO",INVENTARIO!C215)),"CAL",
IF(ISNUMBER(SEARCH("CEPILLADO",INVENTARIO!C215)),"CEP",
IF(ISNUMBER(SEARCH("ESPEJO",INVENTARIO!C215)),"ESP",
""))))))</f>
        <v/>
      </c>
      <c r="G215" t="str">
        <f>IF(ISNUMBER(SEARCH("LATEX",INVENTARIO!C215)),"LAT",
IF(ISNUMBER(SEARCH("RESP. NEGRO",INVENTARIO!C215)),"RES-NEG",
IF(ISNUMBER(SEARCH("RESPALDO CAFE",INVENTARIO!C215)),"RES-CAF",
IF(ISNUMBER(SEARCH("RESPALDO GRIS",INVENTARIO!C215)),"RES-GRI",
IF(ISNUMBER(SEARCH("OPTICO",INVENTARIO!C215)),"OPT",
IF(ISNUMBER(SEARCH("1,2 MM",INVENTARIO!C215)),"1MM2",
IF(ISNUMBER(SEARCH("2 MM",INVENTARIO!C215)),"2MM",
IF(ISNUMBER(SEARCH("3 MM",INVENTARIO!C215)),"3MM",
IF(ISNUMBER(SEARCH("4 MM",INVENTARIO!C215)),"4MM",
IF(ISNUMBER(SEARCH("5 MM",INVENTARIO!C215)),"5MM",
IF(ISNUMBER(SEARCH("6 MM",INVENTARIO!C215)),"6MM",
IF(ISNUMBER(SEARCH("9 MM",INVENTARIO!C215)),"9MM",
IF(ISNUMBER(SEARCH("10 MM",INVENTARIO!C215)),"10MM","")))))))))))))</f>
        <v>4MM</v>
      </c>
      <c r="H215" t="str">
        <f>IF(ISNUMBER(SEARCH("GAMA BAJA",INVENTARIO!C215)),"GAM-BAJ",
IF(ISNUMBER(SEARCH("OPTIMIZADOR",INVENTARIO!C215)),"OPT",
IF(ISNUMBER(SEARCH("OVERCOAT",INVENTARIO!C215)),"OVE",
IF(ISNUMBER(SEARCH("WHITE",INVENTARIO!C215)),"WHI",
IF(ISNUMBER(SEARCH("LIGHT CYAN",INVENTARIO!C215)),"LIG-CYA",
IF(ISNUMBER(SEARCH("CYAN",INVENTARIO!C215)),"CYA",
IF(ISNUMBER(SEARCH("LIGHT MAGENTA",INVENTARIO!C215)),"LIG-MAG",
IF(ISNUMBER(SEARCH("MAGENTA",INVENTARIO!C215)),"MAG",
IF(ISNUMBER(SEARCH("BLACK",INVENTARIO!C215)),"BLA",
IF(ISNUMBER(SEARCH("YELLOW",INVENTARIO!C215)),"YEL",
IF(ISNUMBER(SEARCH("2 DIODOS",INVENTARIO!C215)),"2DI",
IF(ISNUMBER(SEARCH("3 DIODOS",INVENTARIO!C215)),"3DI",
IF(OR(ISNUMBER(SEARCH("TRASLUCIDO",INVENTARIO!C215)),ISNUMBER(SEARCH("TRANSLUCIDO",INVENTARIO!C215))),"TRA",
"")))))))))))))</f>
        <v/>
      </c>
      <c r="I21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6" spans="1:9">
      <c r="A216" t="str">
        <f>IF(ISNUMBER(SEARCH("LONA",INVENTARIO!C216)),"LON",
IF(ISNUMBER(SEARCH("VINIL",INVENTARIO!C216)),"VIN",
IF(ISNUMBER(SEARCH("KROMACOTE",INVENTARIO!C216)),"KRO",
IF(ISNUMBER(SEARCH("STARDREAM",INVENTARIO!C216)),"STA",
IF(ISNUMBER(SEARCH("DISPLAY",INVENTARIO!C216)),"DIS",
IF(ISNUMBER(SEARCH("ROLL UP",INVENTARIO!C216)),"ROL-UP",
IF(ISNUMBER(SEARCH("TRANSFER DE PAPEL",INVENTARIO!C216)),"TRA-PAP",
IF(ISNUMBER(SEARCH("TRANSFER",INVENTARIO!C216)),"TRA",IF(ISNUMBER(SEARCH("KOLA LOKA",INVENTARIO!C216)),"KOL-LOK",
IF(ISNUMBER(SEARCH("PETG",INVENTARIO!C216)),"PET",
IF(ISNUMBER(SEARCH("OJILLO",INVENTARIO!C216)),"OJI",
IF(ISNUMBER(SEARCH("COUCHE",INVENTARIO!C216)),"COU",
IF(ISNUMBER(SEARCH("PANEL DE ALUMINIO",INVENTARIO!C216)),"PAN-ALU",
IF(ISNUMBER(SEARCH("PVC",INVENTARIO!C216)),"PVC",
IF(ISNUMBER(SEARCH("PAPEL",INVENTARIO!C216)),"PAP",
IF(ISNUMBER(SEARCH("TELA",INVENTARIO!C216)),"TEL",
IF(ISNUMBER(SEARCH("CARTULINA",INVENTARIO!C216)),"CAR",
IF(OR(ISNUMBER(SEARCH("LAMINA",INVENTARIO!C216)),ISNUMBER(SEARCH("LÁMINA",INVENTARIO!C216)),ISNUMBER(SEARCH("LAMPARAS",INVENTARIO!C216))),"LAM",
IF(ISNUMBER(SEARCH("ESTIRENO",INVENTARIO!C216)),"EST",
IF(ISNUMBER(SEARCH("FOAMBOARD",INVENTARIO!C216)),"FOA",
IF(ISNUMBER(SEARCH("SOLVENTE",INVENTARIO!C216)),"SOL",
IF(ISNUMBER(SEARCH("TINTA",INVENTARIO!C216)),"TIN",
IF(ISNUMBER(SEARCH("ACRILICO",INVENTARIO!C216)),"ACR",
IF(ISNUMBER(SEARCH("MICROLED",INVENTARIO!C216)),"MIC",
IF(ISNUMBER(SEARCH("LED",INVENTARIO!C216)),"LED",
IF(ISNUMBER(SEARCH("FUENTE DE PODER",INVENTARIO!C216)),"FUE-POD",
IF(ISNUMBER(SEARCH("PETG",INVENTARIO!C216)),"PET",
IF(ISNUMBER(SEARCH("ALUMINIO",INVENTARIO!C216)),"ALU",
IF(ISNUMBER(SEARCH("CANAL",INVENTARIO!C216)),"CAN",
IF(ISNUMBER(SEARCH("ESCUADRA",INVENTARIO!C216)),"ESC",
IF(ISNUMBER(SEARCH("SOPORTE",INVENTARIO!C216)),"SOP","OTR")
))))))))))))))))))))))))))))))</f>
        <v>PAN-ALU</v>
      </c>
      <c r="B216" t="str">
        <f>IF(ISNUMBER(SEARCH("CORTE",INVENTARIO!C216)),"COR",
IF(ISNUMBER(SEARCH("CITYLIGHT",INVENTARIO!C216)),"CIT",
IF(ISNUMBER(SEARCH("LINO",INVENTARIO!C216)),"LIN",
IF(ISNUMBER(SEARCH("FABRIANO",INVENTARIO!C216)),"FAB",
IF(ISNUMBER(SEARCH("SUNDANCE",INVENTARIO!C216)),"SUN",
IF(ISNUMBER(SEARCH("SINTETICA",INVENTARIO!C216)),"SIN",
IF(ISNUMBER(SEARCH("CONTROL",INVENTARIO!C216)),"CON",
IF(ISNUMBER(SEARCH("TERMICO",INVENTARIO!C216)),"TER",
IF(ISNUMBER(SEARCH("C-15",INVENTARIO!C216)),"C15",
IF(ISNUMBER(SEARCH("C-20",INVENTARIO!C216)),"C20",
IF(ISNUMBER(SEARCH("C-30",INVENTARIO!C216)),"C30",
IF(ISNUMBER(SEARCH("C-40",INVENTARIO!C216)),"C40",
IF(ISNUMBER(SEARCH("C-60",INVENTARIO!C216)),"C60",
IF(ISNUMBER(SEARCH("C-80",INVENTARIO!C216)),"C80",
IF(ISNUMBER(SEARCH("EQUIPO",INVENTARIO!C216)),"EQU",
IF(ISNUMBER(SEARCH("FLOOR",INVENTARIO!C216)),"FLO",
IF(ISNUMBER(SEARCH("CRISTAL",INVENTARIO!C216)),"CRI",
IF(ISNUMBER(SEARCH(" SULFATADA",INVENTARIO!C227)),"SUL",
IF(ISNUMBER(SEARCH("OPALINA",INVENTARIO!C216)),"OPA",
IF(ISNUMBER(SEARCH("ADHERIBLE",INVENTARIO!C216)),"ADH",
IF(ISNUMBER(SEARCH("MICRO",INVENTARIO!C216)),"MIC","")))))))))))))))))))))</f>
        <v/>
      </c>
      <c r="C216" t="str">
        <f>IF(ISNUMBER(SEARCH("PARED",INVENTARIO!C216)),"PAR",
IF(ISNUMBER(SEARCH("FRONT",INVENTARIO!C216)),"FRO",
IF(ISNUMBER(SEARCH("ALTA RESISTENCIA",INVENTARIO!C216)),
"ALT-RES",IF(ISNUMBER(SEARCH("BACKLITE",INVENTARIO!C216)),"BAC",
IF(ISNUMBER(SEARCH("MATE",INVENTARIO!C216)),"MAT",
IF(ISNUMBER(SEARCH("MESH",INVENTARIO!C216)),"MES",
IF(ISNUMBER(SEARCH("BRILLANTE",INVENTARIO!C216)),"BRI",
IF(ISNUMBER(SEARCH("DELGADA",INVENTARIO!C216)),"DEL",
IF(ISNUMBER(SEARCH("GRUESA",INVENTARIO!C216)),"GRU",
IF(ISNUMBER(SEARCH("ESTATICO",INVENTARIO!C216)),"EST",
IF(ISNUMBER(SEARCH("REFLECTIVO",INVENTARIO!C216)),"REF",
IF(ISNUMBER(SEARCH("LX700",INVENTARIO!C216)),"LX7",
IF(ISNUMBER(SEARCH("GRANDO",INVENTARIO!C216)),"GRA",
IF(ISNUMBER(SEARCH("FB700",INVENTARIO!C216)),"FB7",
IF(ISNUMBER(SEARCH("LX360",INVENTARIO!C216)),"LX3",
IF(ISNUMBER(SEARCH("XEROX",INVENTARIO!C216)),"XER",
IF(ISNUMBER(SEARCH("CEPILLADO",INVENTARIO!C216)),"CEP",
IF(ISNUMBER(SEARCH("ESPEJO",INVENTARIO!C216)),"ESP",
IF(ISNUMBER(SEARCH("10 PTS",INVENTARIO!C216)),"10PT",
IF(ISNUMBER(SEARCH("12 PTS",INVENTARIO!C216)),"12PT",
IF(ISNUMBER(SEARCH("14 PTS",INVENTARIO!C216)),"14PT",
IF(ISNUMBER(SEARCH("CLASICO",INVENTARIO!C216)),"CLA",
""))))))))))))))))))))))</f>
        <v>CEP</v>
      </c>
      <c r="D216" t="str">
        <f>IF(ISNUMBER(SEARCH("GRAN FORMATO",INVENTARIO!C216)),"GRA-FOR",
IF(ISNUMBER(SEARCH("CAMA PLANA",INVENTARIO!C216)),"CAM-PLA",
IF(ISNUMBER(SEARCH("GRADO INGENIERIA",INVENTARIO!C216)),"GRA-ING",
IF(ISNUMBER(SEARCH("130 GRS",INVENTARIO!C216)),"130GR",
IF(ISNUMBER(SEARCH("150 GRS",INVENTARIO!C216)),"150GR",
IF(ISNUMBER(SEARCH("185 GRS",INVENTARIO!C216)),"185GR",
IF(ISNUMBER(SEARCH("200 GRS",INVENTARIO!C216)),"200GR",
IF(ISNUMBER(SEARCH("250 GRS",INVENTARIO!C216)),"250GR",
IF(ISNUMBER(SEARCH("300 GRS",INVENTARIO!C216)),"300GR",
IF(ISNUMBER(SEARCH("350 GRS",INVENTARIO!C216)),"350GR",
IF(ISNUMBER(SEARCH("18 OZ",INVENTARIO!C216)),"18OZ",
IF(ISNUMBER(SEARCH("15 OZ",INVENTARIO!C216)),"15OZ",
IF(OR(ISNUMBER(SEARCH("13 OZ",INVENTARIO!C216)),ISNUMBER(SEARCH("13 ONZAS",INVENTARIO!C216))),"13OZ",
IF(OR(ISNUMBER(SEARCH("9 OZ",INVENTARIO!C216)),ISNUMBER(SEARCH("9 ONZAS",INVENTARIO!C216))),"09OZ",
IF(ISNUMBER(SEARCH("DOBLE CARA",INVENTARIO!C216)),"DOB-CAR",
"")))))))))))))))</f>
        <v/>
      </c>
      <c r="E216" t="str">
        <f>IF(OR(ISNUMBER(SEARCH("TRANSPARENTE",INVENTARIO!C216)),ISNUMBER(SEARCH("TRANSPARENTES",INVENTARIO!C216))),"TRA",
IF(OR(ISNUMBER(SEARCH("BLANCO",INVENTARIO!C216)),ISNUMBER(SEARCH("BCO",INVENTARIO!C216))),"BLA",
IF(ISNUMBER(SEARCH("FOTOGRAFICO",INVENTARIO!C216)),"FOT",
IF(ISNUMBER(SEARCH("MARFIL",INVENTARIO!C216)),"MAR",
IF(ISNUMBER(SEARCH("VERDE",INVENTARIO!C216)),"VER",
IF(ISNUMBER(SEARCH("MORADO",INVENTARIO!C216)),"MOR",
IF(ISNUMBER(SEARCH("PLATA",INVENTARIO!C216)),"PLA",
IF(ISNUMBER(SEARCH("ORO",INVENTARIO!C216)),"ORO",
IF(ISNUMBER(SEARCH("AMARILLO",INVENTARIO!C216)),"AMA",
IF(ISNUMBER(SEARCH("NARANJA",INVENTARIO!C216)),"NAR",
IF(ISNUMBER(SEARCH("NEGRO",INVENTARIO!C216)),"NEG",
IF(ISNUMBER(SEARCH("ROJO",INVENTARIO!C216)),"ROJ",
IF(ISNUMBER(SEARCH("AZUL",INVENTARIO!C216)),"AZU","")))))))))))))</f>
        <v>PLA</v>
      </c>
      <c r="F216" t="str">
        <f>IF(ISNUMBER(SEARCH("ARLON",INVENTARIO!C216)),"ARL",
IF(ISNUMBER(SEARCH("SUNTHINKS",INVENTARIO!C216)),"SUN",
IF(ISNUMBER(SEARCH("FRIO",INVENTARIO!C216)),"FRI",
IF(ISNUMBER(SEARCH("CALIDO",INVENTARIO!C216)),"CAL",
IF(ISNUMBER(SEARCH("CEPILLADO",INVENTARIO!C216)),"CEP",
IF(ISNUMBER(SEARCH("ESPEJO",INVENTARIO!C216)),"ESP",
""))))))</f>
        <v>CEP</v>
      </c>
      <c r="G216" t="str">
        <f>IF(ISNUMBER(SEARCH("LATEX",INVENTARIO!C216)),"LAT",
IF(ISNUMBER(SEARCH("RESP. NEGRO",INVENTARIO!C216)),"RES-NEG",
IF(ISNUMBER(SEARCH("RESPALDO CAFE",INVENTARIO!C216)),"RES-CAF",
IF(ISNUMBER(SEARCH("RESPALDO GRIS",INVENTARIO!C216)),"RES-GRI",
IF(ISNUMBER(SEARCH("OPTICO",INVENTARIO!C216)),"OPT",
IF(ISNUMBER(SEARCH("1,2 MM",INVENTARIO!C216)),"1MM2",
IF(ISNUMBER(SEARCH("2 MM",INVENTARIO!C216)),"2MM",
IF(ISNUMBER(SEARCH("3 MM",INVENTARIO!C216)),"3MM",
IF(ISNUMBER(SEARCH("4 MM",INVENTARIO!C216)),"4MM",
IF(ISNUMBER(SEARCH("5 MM",INVENTARIO!C216)),"5MM",
IF(ISNUMBER(SEARCH("6 MM",INVENTARIO!C216)),"6MM",
IF(ISNUMBER(SEARCH("9 MM",INVENTARIO!C216)),"9MM",
IF(ISNUMBER(SEARCH("10 MM",INVENTARIO!C216)),"10MM","")))))))))))))</f>
        <v>4MM</v>
      </c>
      <c r="H216" t="str">
        <f>IF(ISNUMBER(SEARCH("GAMA BAJA",INVENTARIO!C216)),"GAM-BAJ",
IF(ISNUMBER(SEARCH("OPTIMIZADOR",INVENTARIO!C216)),"OPT",
IF(ISNUMBER(SEARCH("OVERCOAT",INVENTARIO!C216)),"OVE",
IF(ISNUMBER(SEARCH("WHITE",INVENTARIO!C216)),"WHI",
IF(ISNUMBER(SEARCH("LIGHT CYAN",INVENTARIO!C216)),"LIG-CYA",
IF(ISNUMBER(SEARCH("CYAN",INVENTARIO!C216)),"CYA",
IF(ISNUMBER(SEARCH("LIGHT MAGENTA",INVENTARIO!C216)),"LIG-MAG",
IF(ISNUMBER(SEARCH("MAGENTA",INVENTARIO!C216)),"MAG",
IF(ISNUMBER(SEARCH("BLACK",INVENTARIO!C216)),"BLA",
IF(ISNUMBER(SEARCH("YELLOW",INVENTARIO!C216)),"YEL",
IF(ISNUMBER(SEARCH("2 DIODOS",INVENTARIO!C216)),"2DI",
IF(ISNUMBER(SEARCH("3 DIODOS",INVENTARIO!C216)),"3DI",
IF(OR(ISNUMBER(SEARCH("TRASLUCIDO",INVENTARIO!C216)),ISNUMBER(SEARCH("TRANSLUCIDO",INVENTARIO!C216))),"TRA",
"")))))))))))))</f>
        <v/>
      </c>
      <c r="I21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7" spans="1:9">
      <c r="A217" t="str">
        <f>IF(ISNUMBER(SEARCH("LONA",INVENTARIO!C217)),"LON",
IF(ISNUMBER(SEARCH("VINIL",INVENTARIO!C217)),"VIN",
IF(ISNUMBER(SEARCH("KROMACOTE",INVENTARIO!C217)),"KRO",
IF(ISNUMBER(SEARCH("STARDREAM",INVENTARIO!C217)),"STA",
IF(ISNUMBER(SEARCH("DISPLAY",INVENTARIO!C217)),"DIS",
IF(ISNUMBER(SEARCH("ROLL UP",INVENTARIO!C217)),"ROL-UP",
IF(ISNUMBER(SEARCH("TRANSFER DE PAPEL",INVENTARIO!C217)),"TRA-PAP",
IF(ISNUMBER(SEARCH("TRANSFER",INVENTARIO!C217)),"TRA",IF(ISNUMBER(SEARCH("KOLA LOKA",INVENTARIO!C217)),"KOL-LOK",
IF(ISNUMBER(SEARCH("PETG",INVENTARIO!C217)),"PET",
IF(ISNUMBER(SEARCH("OJILLO",INVENTARIO!C217)),"OJI",
IF(ISNUMBER(SEARCH("COUCHE",INVENTARIO!C217)),"COU",
IF(ISNUMBER(SEARCH("PANEL DE ALUMINIO",INVENTARIO!C217)),"PAN-ALU",
IF(ISNUMBER(SEARCH("PVC",INVENTARIO!C217)),"PVC",
IF(ISNUMBER(SEARCH("PAPEL",INVENTARIO!C217)),"PAP",
IF(ISNUMBER(SEARCH("TELA",INVENTARIO!C217)),"TEL",
IF(ISNUMBER(SEARCH("CARTULINA",INVENTARIO!C217)),"CAR",
IF(OR(ISNUMBER(SEARCH("LAMINA",INVENTARIO!C217)),ISNUMBER(SEARCH("LÁMINA",INVENTARIO!C217)),ISNUMBER(SEARCH("LAMPARAS",INVENTARIO!C217))),"LAM",
IF(ISNUMBER(SEARCH("ESTIRENO",INVENTARIO!C217)),"EST",
IF(ISNUMBER(SEARCH("FOAMBOARD",INVENTARIO!C217)),"FOA",
IF(ISNUMBER(SEARCH("SOLVENTE",INVENTARIO!C217)),"SOL",
IF(ISNUMBER(SEARCH("TINTA",INVENTARIO!C217)),"TIN",
IF(ISNUMBER(SEARCH("ACRILICO",INVENTARIO!C217)),"ACR",
IF(ISNUMBER(SEARCH("MICROLED",INVENTARIO!C217)),"MIC",
IF(ISNUMBER(SEARCH("LED",INVENTARIO!C217)),"LED",
IF(ISNUMBER(SEARCH("FUENTE DE PODER",INVENTARIO!C217)),"FUE-POD",
IF(ISNUMBER(SEARCH("PETG",INVENTARIO!C217)),"PET",
IF(ISNUMBER(SEARCH("ALUMINIO",INVENTARIO!C217)),"ALU",
IF(ISNUMBER(SEARCH("CANAL",INVENTARIO!C217)),"CAN",
IF(ISNUMBER(SEARCH("ESCUADRA",INVENTARIO!C217)),"ESC",
IF(ISNUMBER(SEARCH("SOPORTE",INVENTARIO!C217)),"SOP","OTR")
))))))))))))))))))))))))))))))</f>
        <v>PAN-ALU</v>
      </c>
      <c r="B217" t="str">
        <f>IF(ISNUMBER(SEARCH("CORTE",INVENTARIO!C217)),"COR",
IF(ISNUMBER(SEARCH("CITYLIGHT",INVENTARIO!C217)),"CIT",
IF(ISNUMBER(SEARCH("LINO",INVENTARIO!C217)),"LIN",
IF(ISNUMBER(SEARCH("FABRIANO",INVENTARIO!C217)),"FAB",
IF(ISNUMBER(SEARCH("SUNDANCE",INVENTARIO!C217)),"SUN",
IF(ISNUMBER(SEARCH("SINTETICA",INVENTARIO!C217)),"SIN",
IF(ISNUMBER(SEARCH("CONTROL",INVENTARIO!C217)),"CON",
IF(ISNUMBER(SEARCH("TERMICO",INVENTARIO!C217)),"TER",
IF(ISNUMBER(SEARCH("C-15",INVENTARIO!C217)),"C15",
IF(ISNUMBER(SEARCH("C-20",INVENTARIO!C217)),"C20",
IF(ISNUMBER(SEARCH("C-30",INVENTARIO!C217)),"C30",
IF(ISNUMBER(SEARCH("C-40",INVENTARIO!C217)),"C40",
IF(ISNUMBER(SEARCH("C-60",INVENTARIO!C217)),"C60",
IF(ISNUMBER(SEARCH("C-80",INVENTARIO!C217)),"C80",
IF(ISNUMBER(SEARCH("EQUIPO",INVENTARIO!C217)),"EQU",
IF(ISNUMBER(SEARCH("FLOOR",INVENTARIO!C217)),"FLO",
IF(ISNUMBER(SEARCH("CRISTAL",INVENTARIO!C217)),"CRI",
IF(ISNUMBER(SEARCH(" SULFATADA",INVENTARIO!C228)),"SUL",
IF(ISNUMBER(SEARCH("OPALINA",INVENTARIO!C217)),"OPA",
IF(ISNUMBER(SEARCH("ADHERIBLE",INVENTARIO!C217)),"ADH",
IF(ISNUMBER(SEARCH("MICRO",INVENTARIO!C217)),"MIC","")))))))))))))))))))))</f>
        <v/>
      </c>
      <c r="C217" t="str">
        <f>IF(ISNUMBER(SEARCH("PARED",INVENTARIO!C217)),"PAR",
IF(ISNUMBER(SEARCH("FRONT",INVENTARIO!C217)),"FRO",
IF(ISNUMBER(SEARCH("ALTA RESISTENCIA",INVENTARIO!C217)),
"ALT-RES",IF(ISNUMBER(SEARCH("BACKLITE",INVENTARIO!C217)),"BAC",
IF(ISNUMBER(SEARCH("MATE",INVENTARIO!C217)),"MAT",
IF(ISNUMBER(SEARCH("MESH",INVENTARIO!C217)),"MES",
IF(ISNUMBER(SEARCH("BRILLANTE",INVENTARIO!C217)),"BRI",
IF(ISNUMBER(SEARCH("DELGADA",INVENTARIO!C217)),"DEL",
IF(ISNUMBER(SEARCH("GRUESA",INVENTARIO!C217)),"GRU",
IF(ISNUMBER(SEARCH("ESTATICO",INVENTARIO!C217)),"EST",
IF(ISNUMBER(SEARCH("REFLECTIVO",INVENTARIO!C217)),"REF",
IF(ISNUMBER(SEARCH("LX700",INVENTARIO!C217)),"LX7",
IF(ISNUMBER(SEARCH("GRANDO",INVENTARIO!C217)),"GRA",
IF(ISNUMBER(SEARCH("FB700",INVENTARIO!C217)),"FB7",
IF(ISNUMBER(SEARCH("LX360",INVENTARIO!C217)),"LX3",
IF(ISNUMBER(SEARCH("XEROX",INVENTARIO!C217)),"XER",
IF(ISNUMBER(SEARCH("CEPILLADO",INVENTARIO!C217)),"CEP",
IF(ISNUMBER(SEARCH("ESPEJO",INVENTARIO!C217)),"ESP",
IF(ISNUMBER(SEARCH("10 PTS",INVENTARIO!C217)),"10PT",
IF(ISNUMBER(SEARCH("12 PTS",INVENTARIO!C217)),"12PT",
IF(ISNUMBER(SEARCH("14 PTS",INVENTARIO!C217)),"14PT",
IF(ISNUMBER(SEARCH("CLASICO",INVENTARIO!C217)),"CLA",
""))))))))))))))))))))))</f>
        <v/>
      </c>
      <c r="D217" t="str">
        <f>IF(ISNUMBER(SEARCH("GRAN FORMATO",INVENTARIO!C217)),"GRA-FOR",
IF(ISNUMBER(SEARCH("CAMA PLANA",INVENTARIO!C217)),"CAM-PLA",
IF(ISNUMBER(SEARCH("GRADO INGENIERIA",INVENTARIO!C217)),"GRA-ING",
IF(ISNUMBER(SEARCH("130 GRS",INVENTARIO!C217)),"130GR",
IF(ISNUMBER(SEARCH("150 GRS",INVENTARIO!C217)),"150GR",
IF(ISNUMBER(SEARCH("185 GRS",INVENTARIO!C217)),"185GR",
IF(ISNUMBER(SEARCH("200 GRS",INVENTARIO!C217)),"200GR",
IF(ISNUMBER(SEARCH("250 GRS",INVENTARIO!C217)),"250GR",
IF(ISNUMBER(SEARCH("300 GRS",INVENTARIO!C217)),"300GR",
IF(ISNUMBER(SEARCH("350 GRS",INVENTARIO!C217)),"350GR",
IF(ISNUMBER(SEARCH("18 OZ",INVENTARIO!C217)),"18OZ",
IF(ISNUMBER(SEARCH("15 OZ",INVENTARIO!C217)),"15OZ",
IF(OR(ISNUMBER(SEARCH("13 OZ",INVENTARIO!C217)),ISNUMBER(SEARCH("13 ONZAS",INVENTARIO!C217))),"13OZ",
IF(OR(ISNUMBER(SEARCH("9 OZ",INVENTARIO!C217)),ISNUMBER(SEARCH("9 ONZAS",INVENTARIO!C217))),"09OZ",
IF(ISNUMBER(SEARCH("DOBLE CARA",INVENTARIO!C217)),"DOB-CAR",
"")))))))))))))))</f>
        <v/>
      </c>
      <c r="E217" t="str">
        <f>IF(OR(ISNUMBER(SEARCH("TRANSPARENTE",INVENTARIO!C217)),ISNUMBER(SEARCH("TRANSPARENTES",INVENTARIO!C217))),"TRA",
IF(OR(ISNUMBER(SEARCH("BLANCO",INVENTARIO!C217)),ISNUMBER(SEARCH("BCO",INVENTARIO!C217))),"BLA",
IF(ISNUMBER(SEARCH("FOTOGRAFICO",INVENTARIO!C217)),"FOT",
IF(ISNUMBER(SEARCH("MARFIL",INVENTARIO!C217)),"MAR",
IF(ISNUMBER(SEARCH("VERDE",INVENTARIO!C217)),"VER",
IF(ISNUMBER(SEARCH("MORADO",INVENTARIO!C217)),"MOR",
IF(ISNUMBER(SEARCH("PLATA",INVENTARIO!C217)),"PLA",
IF(ISNUMBER(SEARCH("ORO",INVENTARIO!C217)),"ORO",
IF(ISNUMBER(SEARCH("AMARILLO",INVENTARIO!C217)),"AMA",
IF(ISNUMBER(SEARCH("NARANJA",INVENTARIO!C217)),"NAR",
IF(ISNUMBER(SEARCH("NEGRO",INVENTARIO!C217)),"NEG",
IF(ISNUMBER(SEARCH("ROJO",INVENTARIO!C217)),"ROJ",
IF(ISNUMBER(SEARCH("AZUL",INVENTARIO!C217)),"AZU","")))))))))))))</f>
        <v>VER</v>
      </c>
      <c r="F217" t="str">
        <f>IF(ISNUMBER(SEARCH("ARLON",INVENTARIO!C217)),"ARL",
IF(ISNUMBER(SEARCH("SUNTHINKS",INVENTARIO!C217)),"SUN",
IF(ISNUMBER(SEARCH("FRIO",INVENTARIO!C217)),"FRI",
IF(ISNUMBER(SEARCH("CALIDO",INVENTARIO!C217)),"CAL",
IF(ISNUMBER(SEARCH("CEPILLADO",INVENTARIO!C217)),"CEP",
IF(ISNUMBER(SEARCH("ESPEJO",INVENTARIO!C217)),"ESP",
""))))))</f>
        <v/>
      </c>
      <c r="G217" t="str">
        <f>IF(ISNUMBER(SEARCH("LATEX",INVENTARIO!C217)),"LAT",
IF(ISNUMBER(SEARCH("RESP. NEGRO",INVENTARIO!C217)),"RES-NEG",
IF(ISNUMBER(SEARCH("RESPALDO CAFE",INVENTARIO!C217)),"RES-CAF",
IF(ISNUMBER(SEARCH("RESPALDO GRIS",INVENTARIO!C217)),"RES-GRI",
IF(ISNUMBER(SEARCH("OPTICO",INVENTARIO!C217)),"OPT",
IF(ISNUMBER(SEARCH("1,2 MM",INVENTARIO!C217)),"1MM2",
IF(ISNUMBER(SEARCH("2 MM",INVENTARIO!C217)),"2MM",
IF(ISNUMBER(SEARCH("3 MM",INVENTARIO!C217)),"3MM",
IF(ISNUMBER(SEARCH("4 MM",INVENTARIO!C217)),"4MM",
IF(ISNUMBER(SEARCH("5 MM",INVENTARIO!C217)),"5MM",
IF(ISNUMBER(SEARCH("6 MM",INVENTARIO!C217)),"6MM",
IF(ISNUMBER(SEARCH("9 MM",INVENTARIO!C217)),"9MM",
IF(ISNUMBER(SEARCH("10 MM",INVENTARIO!C217)),"10MM","")))))))))))))</f>
        <v>4MM</v>
      </c>
      <c r="H217" t="str">
        <f>IF(ISNUMBER(SEARCH("GAMA BAJA",INVENTARIO!C217)),"GAM-BAJ",
IF(ISNUMBER(SEARCH("OPTIMIZADOR",INVENTARIO!C217)),"OPT",
IF(ISNUMBER(SEARCH("OVERCOAT",INVENTARIO!C217)),"OVE",
IF(ISNUMBER(SEARCH("WHITE",INVENTARIO!C217)),"WHI",
IF(ISNUMBER(SEARCH("LIGHT CYAN",INVENTARIO!C217)),"LIG-CYA",
IF(ISNUMBER(SEARCH("CYAN",INVENTARIO!C217)),"CYA",
IF(ISNUMBER(SEARCH("LIGHT MAGENTA",INVENTARIO!C217)),"LIG-MAG",
IF(ISNUMBER(SEARCH("MAGENTA",INVENTARIO!C217)),"MAG",
IF(ISNUMBER(SEARCH("BLACK",INVENTARIO!C217)),"BLA",
IF(ISNUMBER(SEARCH("YELLOW",INVENTARIO!C217)),"YEL",
IF(ISNUMBER(SEARCH("2 DIODOS",INVENTARIO!C217)),"2DI",
IF(ISNUMBER(SEARCH("3 DIODOS",INVENTARIO!C217)),"3DI",
IF(OR(ISNUMBER(SEARCH("TRASLUCIDO",INVENTARIO!C217)),ISNUMBER(SEARCH("TRANSLUCIDO",INVENTARIO!C217))),"TRA",
"")))))))))))))</f>
        <v/>
      </c>
      <c r="I21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8" spans="1:9">
      <c r="A218" t="str">
        <f>IF(ISNUMBER(SEARCH("LONA",INVENTARIO!C218)),"LON",
IF(ISNUMBER(SEARCH("VINIL",INVENTARIO!C218)),"VIN",
IF(ISNUMBER(SEARCH("KROMACOTE",INVENTARIO!C218)),"KRO",
IF(ISNUMBER(SEARCH("STARDREAM",INVENTARIO!C218)),"STA",
IF(ISNUMBER(SEARCH("DISPLAY",INVENTARIO!C218)),"DIS",
IF(ISNUMBER(SEARCH("ROLL UP",INVENTARIO!C218)),"ROL-UP",
IF(ISNUMBER(SEARCH("TRANSFER DE PAPEL",INVENTARIO!C218)),"TRA-PAP",
IF(ISNUMBER(SEARCH("TRANSFER",INVENTARIO!C218)),"TRA",IF(ISNUMBER(SEARCH("KOLA LOKA",INVENTARIO!C218)),"KOL-LOK",
IF(ISNUMBER(SEARCH("PETG",INVENTARIO!C218)),"PET",
IF(ISNUMBER(SEARCH("OJILLO",INVENTARIO!C218)),"OJI",
IF(ISNUMBER(SEARCH("COUCHE",INVENTARIO!C218)),"COU",
IF(ISNUMBER(SEARCH("PANEL DE ALUMINIO",INVENTARIO!C218)),"PAN-ALU",
IF(ISNUMBER(SEARCH("PVC",INVENTARIO!C218)),"PVC",
IF(ISNUMBER(SEARCH("PAPEL",INVENTARIO!C218)),"PAP",
IF(ISNUMBER(SEARCH("TELA",INVENTARIO!C218)),"TEL",
IF(ISNUMBER(SEARCH("CARTULINA",INVENTARIO!C218)),"CAR",
IF(OR(ISNUMBER(SEARCH("LAMINA",INVENTARIO!C218)),ISNUMBER(SEARCH("LÁMINA",INVENTARIO!C218)),ISNUMBER(SEARCH("LAMPARAS",INVENTARIO!C218))),"LAM",
IF(ISNUMBER(SEARCH("ESTIRENO",INVENTARIO!C218)),"EST",
IF(ISNUMBER(SEARCH("FOAMBOARD",INVENTARIO!C218)),"FOA",
IF(ISNUMBER(SEARCH("SOLVENTE",INVENTARIO!C218)),"SOL",
IF(ISNUMBER(SEARCH("TINTA",INVENTARIO!C218)),"TIN",
IF(ISNUMBER(SEARCH("ACRILICO",INVENTARIO!C218)),"ACR",
IF(ISNUMBER(SEARCH("MICROLED",INVENTARIO!C218)),"MIC",
IF(ISNUMBER(SEARCH("LED",INVENTARIO!C218)),"LED",
IF(ISNUMBER(SEARCH("FUENTE DE PODER",INVENTARIO!C218)),"FUE-POD",
IF(ISNUMBER(SEARCH("PETG",INVENTARIO!C218)),"PET",
IF(ISNUMBER(SEARCH("ALUMINIO",INVENTARIO!C218)),"ALU",
IF(ISNUMBER(SEARCH("CANAL",INVENTARIO!C218)),"CAN",
IF(ISNUMBER(SEARCH("ESCUADRA",INVENTARIO!C218)),"ESC",
IF(ISNUMBER(SEARCH("SOPORTE",INVENTARIO!C218)),"SOP","OTR")
))))))))))))))))))))))))))))))</f>
        <v>PAN-ALU</v>
      </c>
      <c r="B218" t="str">
        <f>IF(ISNUMBER(SEARCH("CORTE",INVENTARIO!C218)),"COR",
IF(ISNUMBER(SEARCH("CITYLIGHT",INVENTARIO!C218)),"CIT",
IF(ISNUMBER(SEARCH("LINO",INVENTARIO!C218)),"LIN",
IF(ISNUMBER(SEARCH("FABRIANO",INVENTARIO!C218)),"FAB",
IF(ISNUMBER(SEARCH("SUNDANCE",INVENTARIO!C218)),"SUN",
IF(ISNUMBER(SEARCH("SINTETICA",INVENTARIO!C218)),"SIN",
IF(ISNUMBER(SEARCH("CONTROL",INVENTARIO!C218)),"CON",
IF(ISNUMBER(SEARCH("TERMICO",INVENTARIO!C218)),"TER",
IF(ISNUMBER(SEARCH("C-15",INVENTARIO!C218)),"C15",
IF(ISNUMBER(SEARCH("C-20",INVENTARIO!C218)),"C20",
IF(ISNUMBER(SEARCH("C-30",INVENTARIO!C218)),"C30",
IF(ISNUMBER(SEARCH("C-40",INVENTARIO!C218)),"C40",
IF(ISNUMBER(SEARCH("C-60",INVENTARIO!C218)),"C60",
IF(ISNUMBER(SEARCH("C-80",INVENTARIO!C218)),"C80",
IF(ISNUMBER(SEARCH("EQUIPO",INVENTARIO!C218)),"EQU",
IF(ISNUMBER(SEARCH("FLOOR",INVENTARIO!C218)),"FLO",
IF(ISNUMBER(SEARCH("CRISTAL",INVENTARIO!C218)),"CRI",
IF(ISNUMBER(SEARCH(" SULFATADA",INVENTARIO!C229)),"SUL",
IF(ISNUMBER(SEARCH("OPALINA",INVENTARIO!C218)),"OPA",
IF(ISNUMBER(SEARCH("ADHERIBLE",INVENTARIO!C218)),"ADH",
IF(ISNUMBER(SEARCH("MICRO",INVENTARIO!C218)),"MIC","")))))))))))))))))))))</f>
        <v/>
      </c>
      <c r="C218" t="str">
        <f>IF(ISNUMBER(SEARCH("PARED",INVENTARIO!C218)),"PAR",
IF(ISNUMBER(SEARCH("FRONT",INVENTARIO!C218)),"FRO",
IF(ISNUMBER(SEARCH("ALTA RESISTENCIA",INVENTARIO!C218)),
"ALT-RES",IF(ISNUMBER(SEARCH("BACKLITE",INVENTARIO!C218)),"BAC",
IF(ISNUMBER(SEARCH("MATE",INVENTARIO!C218)),"MAT",
IF(ISNUMBER(SEARCH("MESH",INVENTARIO!C218)),"MES",
IF(ISNUMBER(SEARCH("BRILLANTE",INVENTARIO!C218)),"BRI",
IF(ISNUMBER(SEARCH("DELGADA",INVENTARIO!C218)),"DEL",
IF(ISNUMBER(SEARCH("GRUESA",INVENTARIO!C218)),"GRU",
IF(ISNUMBER(SEARCH("ESTATICO",INVENTARIO!C218)),"EST",
IF(ISNUMBER(SEARCH("REFLECTIVO",INVENTARIO!C218)),"REF",
IF(ISNUMBER(SEARCH("LX700",INVENTARIO!C218)),"LX7",
IF(ISNUMBER(SEARCH("GRANDO",INVENTARIO!C218)),"GRA",
IF(ISNUMBER(SEARCH("FB700",INVENTARIO!C218)),"FB7",
IF(ISNUMBER(SEARCH("LX360",INVENTARIO!C218)),"LX3",
IF(ISNUMBER(SEARCH("XEROX",INVENTARIO!C218)),"XER",
IF(ISNUMBER(SEARCH("CEPILLADO",INVENTARIO!C218)),"CEP",
IF(ISNUMBER(SEARCH("ESPEJO",INVENTARIO!C218)),"ESP",
IF(ISNUMBER(SEARCH("10 PTS",INVENTARIO!C218)),"10PT",
IF(ISNUMBER(SEARCH("12 PTS",INVENTARIO!C218)),"12PT",
IF(ISNUMBER(SEARCH("14 PTS",INVENTARIO!C218)),"14PT",
IF(ISNUMBER(SEARCH("CLASICO",INVENTARIO!C218)),"CLA",
""))))))))))))))))))))))</f>
        <v/>
      </c>
      <c r="D218" t="str">
        <f>IF(ISNUMBER(SEARCH("GRAN FORMATO",INVENTARIO!C218)),"GRA-FOR",
IF(ISNUMBER(SEARCH("CAMA PLANA",INVENTARIO!C218)),"CAM-PLA",
IF(ISNUMBER(SEARCH("GRADO INGENIERIA",INVENTARIO!C218)),"GRA-ING",
IF(ISNUMBER(SEARCH("130 GRS",INVENTARIO!C218)),"130GR",
IF(ISNUMBER(SEARCH("150 GRS",INVENTARIO!C218)),"150GR",
IF(ISNUMBER(SEARCH("185 GRS",INVENTARIO!C218)),"185GR",
IF(ISNUMBER(SEARCH("200 GRS",INVENTARIO!C218)),"200GR",
IF(ISNUMBER(SEARCH("250 GRS",INVENTARIO!C218)),"250GR",
IF(ISNUMBER(SEARCH("300 GRS",INVENTARIO!C218)),"300GR",
IF(ISNUMBER(SEARCH("350 GRS",INVENTARIO!C218)),"350GR",
IF(ISNUMBER(SEARCH("18 OZ",INVENTARIO!C218)),"18OZ",
IF(ISNUMBER(SEARCH("15 OZ",INVENTARIO!C218)),"15OZ",
IF(OR(ISNUMBER(SEARCH("13 OZ",INVENTARIO!C218)),ISNUMBER(SEARCH("13 ONZAS",INVENTARIO!C218))),"13OZ",
IF(OR(ISNUMBER(SEARCH("9 OZ",INVENTARIO!C218)),ISNUMBER(SEARCH("9 ONZAS",INVENTARIO!C218))),"09OZ",
IF(ISNUMBER(SEARCH("DOBLE CARA",INVENTARIO!C218)),"DOB-CAR",
"")))))))))))))))</f>
        <v/>
      </c>
      <c r="E218" t="str">
        <f>IF(OR(ISNUMBER(SEARCH("TRANSPARENTE",INVENTARIO!C218)),ISNUMBER(SEARCH("TRANSPARENTES",INVENTARIO!C218))),"TRA",
IF(OR(ISNUMBER(SEARCH("BLANCO",INVENTARIO!C218)),ISNUMBER(SEARCH("BCO",INVENTARIO!C218))),"BLA",
IF(ISNUMBER(SEARCH("FOTOGRAFICO",INVENTARIO!C218)),"FOT",
IF(ISNUMBER(SEARCH("MARFIL",INVENTARIO!C218)),"MAR",
IF(ISNUMBER(SEARCH("VERDE",INVENTARIO!C218)),"VER",
IF(ISNUMBER(SEARCH("MORADO",INVENTARIO!C218)),"MOR",
IF(ISNUMBER(SEARCH("PLATA",INVENTARIO!C218)),"PLA",
IF(ISNUMBER(SEARCH("ORO",INVENTARIO!C218)),"ORO",
IF(ISNUMBER(SEARCH("AMARILLO",INVENTARIO!C218)),"AMA",
IF(ISNUMBER(SEARCH("NARANJA",INVENTARIO!C218)),"NAR",
IF(ISNUMBER(SEARCH("NEGRO",INVENTARIO!C218)),"NEG",
IF(ISNUMBER(SEARCH("ROJO",INVENTARIO!C218)),"ROJ",
IF(ISNUMBER(SEARCH("AZUL",INVENTARIO!C218)),"AZU","")))))))))))))</f>
        <v>VER</v>
      </c>
      <c r="F218" t="str">
        <f>IF(ISNUMBER(SEARCH("ARLON",INVENTARIO!C218)),"ARL",
IF(ISNUMBER(SEARCH("SUNTHINKS",INVENTARIO!C218)),"SUN",
IF(ISNUMBER(SEARCH("FRIO",INVENTARIO!C218)),"FRI",
IF(ISNUMBER(SEARCH("CALIDO",INVENTARIO!C218)),"CAL",
IF(ISNUMBER(SEARCH("CEPILLADO",INVENTARIO!C218)),"CEP",
IF(ISNUMBER(SEARCH("ESPEJO",INVENTARIO!C218)),"ESP",
""))))))</f>
        <v/>
      </c>
      <c r="G218" t="str">
        <f>IF(ISNUMBER(SEARCH("LATEX",INVENTARIO!C218)),"LAT",
IF(ISNUMBER(SEARCH("RESP. NEGRO",INVENTARIO!C218)),"RES-NEG",
IF(ISNUMBER(SEARCH("RESPALDO CAFE",INVENTARIO!C218)),"RES-CAF",
IF(ISNUMBER(SEARCH("RESPALDO GRIS",INVENTARIO!C218)),"RES-GRI",
IF(ISNUMBER(SEARCH("OPTICO",INVENTARIO!C218)),"OPT",
IF(ISNUMBER(SEARCH("1,2 MM",INVENTARIO!C218)),"1MM2",
IF(ISNUMBER(SEARCH("2 MM",INVENTARIO!C218)),"2MM",
IF(ISNUMBER(SEARCH("3 MM",INVENTARIO!C218)),"3MM",
IF(ISNUMBER(SEARCH("4 MM",INVENTARIO!C218)),"4MM",
IF(ISNUMBER(SEARCH("5 MM",INVENTARIO!C218)),"5MM",
IF(ISNUMBER(SEARCH("6 MM",INVENTARIO!C218)),"6MM",
IF(ISNUMBER(SEARCH("9 MM",INVENTARIO!C218)),"9MM",
IF(ISNUMBER(SEARCH("10 MM",INVENTARIO!C218)),"10MM","")))))))))))))</f>
        <v>4MM</v>
      </c>
      <c r="H218" t="str">
        <f>IF(ISNUMBER(SEARCH("GAMA BAJA",INVENTARIO!C218)),"GAM-BAJ",
IF(ISNUMBER(SEARCH("OPTIMIZADOR",INVENTARIO!C218)),"OPT",
IF(ISNUMBER(SEARCH("OVERCOAT",INVENTARIO!C218)),"OVE",
IF(ISNUMBER(SEARCH("WHITE",INVENTARIO!C218)),"WHI",
IF(ISNUMBER(SEARCH("LIGHT CYAN",INVENTARIO!C218)),"LIG-CYA",
IF(ISNUMBER(SEARCH("CYAN",INVENTARIO!C218)),"CYA",
IF(ISNUMBER(SEARCH("LIGHT MAGENTA",INVENTARIO!C218)),"LIG-MAG",
IF(ISNUMBER(SEARCH("MAGENTA",INVENTARIO!C218)),"MAG",
IF(ISNUMBER(SEARCH("BLACK",INVENTARIO!C218)),"BLA",
IF(ISNUMBER(SEARCH("YELLOW",INVENTARIO!C218)),"YEL",
IF(ISNUMBER(SEARCH("2 DIODOS",INVENTARIO!C218)),"2DI",
IF(ISNUMBER(SEARCH("3 DIODOS",INVENTARIO!C218)),"3DI",
IF(OR(ISNUMBER(SEARCH("TRASLUCIDO",INVENTARIO!C218)),ISNUMBER(SEARCH("TRANSLUCIDO",INVENTARIO!C218))),"TRA",
"")))))))))))))</f>
        <v/>
      </c>
      <c r="I21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19" spans="1:9">
      <c r="A219" t="str">
        <f>IF(ISNUMBER(SEARCH("LONA",INVENTARIO!C219)),"LON",
IF(ISNUMBER(SEARCH("VINIL",INVENTARIO!C219)),"VIN",
IF(ISNUMBER(SEARCH("KROMACOTE",INVENTARIO!C219)),"KRO",
IF(ISNUMBER(SEARCH("STARDREAM",INVENTARIO!C219)),"STA",
IF(ISNUMBER(SEARCH("DISPLAY",INVENTARIO!C219)),"DIS",
IF(ISNUMBER(SEARCH("ROLL UP",INVENTARIO!C219)),"ROL-UP",
IF(ISNUMBER(SEARCH("TRANSFER DE PAPEL",INVENTARIO!C219)),"TRA-PAP",
IF(ISNUMBER(SEARCH("TRANSFER",INVENTARIO!C219)),"TRA",IF(ISNUMBER(SEARCH("KOLA LOKA",INVENTARIO!C219)),"KOL-LOK",
IF(ISNUMBER(SEARCH("PETG",INVENTARIO!C219)),"PET",
IF(ISNUMBER(SEARCH("OJILLO",INVENTARIO!C219)),"OJI",
IF(ISNUMBER(SEARCH("COUCHE",INVENTARIO!C219)),"COU",
IF(ISNUMBER(SEARCH("PANEL DE ALUMINIO",INVENTARIO!C219)),"PAN-ALU",
IF(ISNUMBER(SEARCH("PVC",INVENTARIO!C219)),"PVC",
IF(ISNUMBER(SEARCH("PAPEL",INVENTARIO!C219)),"PAP",
IF(ISNUMBER(SEARCH("TELA",INVENTARIO!C219)),"TEL",
IF(ISNUMBER(SEARCH("CARTULINA",INVENTARIO!C219)),"CAR",
IF(OR(ISNUMBER(SEARCH("LAMINA",INVENTARIO!C219)),ISNUMBER(SEARCH("LÁMINA",INVENTARIO!C219)),ISNUMBER(SEARCH("LAMPARAS",INVENTARIO!C219))),"LAM",
IF(ISNUMBER(SEARCH("ESTIRENO",INVENTARIO!C219)),"EST",
IF(ISNUMBER(SEARCH("FOAMBOARD",INVENTARIO!C219)),"FOA",
IF(ISNUMBER(SEARCH("SOLVENTE",INVENTARIO!C219)),"SOL",
IF(ISNUMBER(SEARCH("TINTA",INVENTARIO!C219)),"TIN",
IF(ISNUMBER(SEARCH("ACRILICO",INVENTARIO!C219)),"ACR",
IF(ISNUMBER(SEARCH("MICROLED",INVENTARIO!C219)),"MIC",
IF(ISNUMBER(SEARCH("LED",INVENTARIO!C219)),"LED",
IF(ISNUMBER(SEARCH("FUENTE DE PODER",INVENTARIO!C219)),"FUE-POD",
IF(ISNUMBER(SEARCH("PETG",INVENTARIO!C219)),"PET",
IF(ISNUMBER(SEARCH("ALUMINIO",INVENTARIO!C219)),"ALU",
IF(ISNUMBER(SEARCH("CANAL",INVENTARIO!C219)),"CAN",
IF(ISNUMBER(SEARCH("ESCUADRA",INVENTARIO!C219)),"ESC",
IF(ISNUMBER(SEARCH("SOPORTE",INVENTARIO!C219)),"SOP","OTR")
))))))))))))))))))))))))))))))</f>
        <v>PAN-ALU</v>
      </c>
      <c r="B219" t="str">
        <f>IF(ISNUMBER(SEARCH("CORTE",INVENTARIO!C219)),"COR",
IF(ISNUMBER(SEARCH("CITYLIGHT",INVENTARIO!C219)),"CIT",
IF(ISNUMBER(SEARCH("LINO",INVENTARIO!C219)),"LIN",
IF(ISNUMBER(SEARCH("FABRIANO",INVENTARIO!C219)),"FAB",
IF(ISNUMBER(SEARCH("SUNDANCE",INVENTARIO!C219)),"SUN",
IF(ISNUMBER(SEARCH("SINTETICA",INVENTARIO!C219)),"SIN",
IF(ISNUMBER(SEARCH("CONTROL",INVENTARIO!C219)),"CON",
IF(ISNUMBER(SEARCH("TERMICO",INVENTARIO!C219)),"TER",
IF(ISNUMBER(SEARCH("C-15",INVENTARIO!C219)),"C15",
IF(ISNUMBER(SEARCH("C-20",INVENTARIO!C219)),"C20",
IF(ISNUMBER(SEARCH("C-30",INVENTARIO!C219)),"C30",
IF(ISNUMBER(SEARCH("C-40",INVENTARIO!C219)),"C40",
IF(ISNUMBER(SEARCH("C-60",INVENTARIO!C219)),"C60",
IF(ISNUMBER(SEARCH("C-80",INVENTARIO!C219)),"C80",
IF(ISNUMBER(SEARCH("EQUIPO",INVENTARIO!C219)),"EQU",
IF(ISNUMBER(SEARCH("FLOOR",INVENTARIO!C219)),"FLO",
IF(ISNUMBER(SEARCH("CRISTAL",INVENTARIO!C219)),"CRI",
IF(ISNUMBER(SEARCH(" SULFATADA",INVENTARIO!C230)),"SUL",
IF(ISNUMBER(SEARCH("OPALINA",INVENTARIO!C219)),"OPA",
IF(ISNUMBER(SEARCH("ADHERIBLE",INVENTARIO!C219)),"ADH",
IF(ISNUMBER(SEARCH("MICRO",INVENTARIO!C219)),"MIC","")))))))))))))))))))))</f>
        <v/>
      </c>
      <c r="C219" t="str">
        <f>IF(ISNUMBER(SEARCH("PARED",INVENTARIO!C219)),"PAR",
IF(ISNUMBER(SEARCH("FRONT",INVENTARIO!C219)),"FRO",
IF(ISNUMBER(SEARCH("ALTA RESISTENCIA",INVENTARIO!C219)),
"ALT-RES",IF(ISNUMBER(SEARCH("BACKLITE",INVENTARIO!C219)),"BAC",
IF(ISNUMBER(SEARCH("MATE",INVENTARIO!C219)),"MAT",
IF(ISNUMBER(SEARCH("MESH",INVENTARIO!C219)),"MES",
IF(ISNUMBER(SEARCH("BRILLANTE",INVENTARIO!C219)),"BRI",
IF(ISNUMBER(SEARCH("DELGADA",INVENTARIO!C219)),"DEL",
IF(ISNUMBER(SEARCH("GRUESA",INVENTARIO!C219)),"GRU",
IF(ISNUMBER(SEARCH("ESTATICO",INVENTARIO!C219)),"EST",
IF(ISNUMBER(SEARCH("REFLECTIVO",INVENTARIO!C219)),"REF",
IF(ISNUMBER(SEARCH("LX700",INVENTARIO!C219)),"LX7",
IF(ISNUMBER(SEARCH("GRANDO",INVENTARIO!C219)),"GRA",
IF(ISNUMBER(SEARCH("FB700",INVENTARIO!C219)),"FB7",
IF(ISNUMBER(SEARCH("LX360",INVENTARIO!C219)),"LX3",
IF(ISNUMBER(SEARCH("XEROX",INVENTARIO!C219)),"XER",
IF(ISNUMBER(SEARCH("CEPILLADO",INVENTARIO!C219)),"CEP",
IF(ISNUMBER(SEARCH("ESPEJO",INVENTARIO!C219)),"ESP",
IF(ISNUMBER(SEARCH("10 PTS",INVENTARIO!C219)),"10PT",
IF(ISNUMBER(SEARCH("12 PTS",INVENTARIO!C219)),"12PT",
IF(ISNUMBER(SEARCH("14 PTS",INVENTARIO!C219)),"14PT",
IF(ISNUMBER(SEARCH("CLASICO",INVENTARIO!C219)),"CLA",
""))))))))))))))))))))))</f>
        <v/>
      </c>
      <c r="D219" t="str">
        <f>IF(ISNUMBER(SEARCH("GRAN FORMATO",INVENTARIO!C219)),"GRA-FOR",
IF(ISNUMBER(SEARCH("CAMA PLANA",INVENTARIO!C219)),"CAM-PLA",
IF(ISNUMBER(SEARCH("GRADO INGENIERIA",INVENTARIO!C219)),"GRA-ING",
IF(ISNUMBER(SEARCH("130 GRS",INVENTARIO!C219)),"130GR",
IF(ISNUMBER(SEARCH("150 GRS",INVENTARIO!C219)),"150GR",
IF(ISNUMBER(SEARCH("185 GRS",INVENTARIO!C219)),"185GR",
IF(ISNUMBER(SEARCH("200 GRS",INVENTARIO!C219)),"200GR",
IF(ISNUMBER(SEARCH("250 GRS",INVENTARIO!C219)),"250GR",
IF(ISNUMBER(SEARCH("300 GRS",INVENTARIO!C219)),"300GR",
IF(ISNUMBER(SEARCH("350 GRS",INVENTARIO!C219)),"350GR",
IF(ISNUMBER(SEARCH("18 OZ",INVENTARIO!C219)),"18OZ",
IF(ISNUMBER(SEARCH("15 OZ",INVENTARIO!C219)),"15OZ",
IF(OR(ISNUMBER(SEARCH("13 OZ",INVENTARIO!C219)),ISNUMBER(SEARCH("13 ONZAS",INVENTARIO!C219))),"13OZ",
IF(OR(ISNUMBER(SEARCH("9 OZ",INVENTARIO!C219)),ISNUMBER(SEARCH("9 ONZAS",INVENTARIO!C219))),"09OZ",
IF(ISNUMBER(SEARCH("DOBLE CARA",INVENTARIO!C219)),"DOB-CAR",
"")))))))))))))))</f>
        <v/>
      </c>
      <c r="E219" t="str">
        <f>IF(OR(ISNUMBER(SEARCH("TRANSPARENTE",INVENTARIO!C219)),ISNUMBER(SEARCH("TRANSPARENTES",INVENTARIO!C219))),"TRA",
IF(OR(ISNUMBER(SEARCH("BLANCO",INVENTARIO!C219)),ISNUMBER(SEARCH("BCO",INVENTARIO!C219))),"BLA",
IF(ISNUMBER(SEARCH("FOTOGRAFICO",INVENTARIO!C219)),"FOT",
IF(ISNUMBER(SEARCH("MARFIL",INVENTARIO!C219)),"MAR",
IF(ISNUMBER(SEARCH("VERDE",INVENTARIO!C219)),"VER",
IF(ISNUMBER(SEARCH("MORADO",INVENTARIO!C219)),"MOR",
IF(ISNUMBER(SEARCH("PLATA",INVENTARIO!C219)),"PLA",
IF(ISNUMBER(SEARCH("ORO",INVENTARIO!C219)),"ORO",
IF(ISNUMBER(SEARCH("AMARILLO",INVENTARIO!C219)),"AMA",
IF(ISNUMBER(SEARCH("NARANJA",INVENTARIO!C219)),"NAR",
IF(ISNUMBER(SEARCH("NEGRO",INVENTARIO!C219)),"NEG",
IF(ISNUMBER(SEARCH("ROJO",INVENTARIO!C219)),"ROJ",
IF(ISNUMBER(SEARCH("AZUL",INVENTARIO!C219)),"AZU","")))))))))))))</f>
        <v>NAR</v>
      </c>
      <c r="F219" t="str">
        <f>IF(ISNUMBER(SEARCH("ARLON",INVENTARIO!C219)),"ARL",
IF(ISNUMBER(SEARCH("SUNTHINKS",INVENTARIO!C219)),"SUN",
IF(ISNUMBER(SEARCH("FRIO",INVENTARIO!C219)),"FRI",
IF(ISNUMBER(SEARCH("CALIDO",INVENTARIO!C219)),"CAL",
IF(ISNUMBER(SEARCH("CEPILLADO",INVENTARIO!C219)),"CEP",
IF(ISNUMBER(SEARCH("ESPEJO",INVENTARIO!C219)),"ESP",
""))))))</f>
        <v/>
      </c>
      <c r="G219" t="str">
        <f>IF(ISNUMBER(SEARCH("LATEX",INVENTARIO!C219)),"LAT",
IF(ISNUMBER(SEARCH("RESP. NEGRO",INVENTARIO!C219)),"RES-NEG",
IF(ISNUMBER(SEARCH("RESPALDO CAFE",INVENTARIO!C219)),"RES-CAF",
IF(ISNUMBER(SEARCH("RESPALDO GRIS",INVENTARIO!C219)),"RES-GRI",
IF(ISNUMBER(SEARCH("OPTICO",INVENTARIO!C219)),"OPT",
IF(ISNUMBER(SEARCH("1,2 MM",INVENTARIO!C219)),"1MM2",
IF(ISNUMBER(SEARCH("2 MM",INVENTARIO!C219)),"2MM",
IF(ISNUMBER(SEARCH("3 MM",INVENTARIO!C219)),"3MM",
IF(ISNUMBER(SEARCH("4 MM",INVENTARIO!C219)),"4MM",
IF(ISNUMBER(SEARCH("5 MM",INVENTARIO!C219)),"5MM",
IF(ISNUMBER(SEARCH("6 MM",INVENTARIO!C219)),"6MM",
IF(ISNUMBER(SEARCH("9 MM",INVENTARIO!C219)),"9MM",
IF(ISNUMBER(SEARCH("10 MM",INVENTARIO!C219)),"10MM","")))))))))))))</f>
        <v>4MM</v>
      </c>
      <c r="H219" t="str">
        <f>IF(ISNUMBER(SEARCH("GAMA BAJA",INVENTARIO!C219)),"GAM-BAJ",
IF(ISNUMBER(SEARCH("OPTIMIZADOR",INVENTARIO!C219)),"OPT",
IF(ISNUMBER(SEARCH("OVERCOAT",INVENTARIO!C219)),"OVE",
IF(ISNUMBER(SEARCH("WHITE",INVENTARIO!C219)),"WHI",
IF(ISNUMBER(SEARCH("LIGHT CYAN",INVENTARIO!C219)),"LIG-CYA",
IF(ISNUMBER(SEARCH("CYAN",INVENTARIO!C219)),"CYA",
IF(ISNUMBER(SEARCH("LIGHT MAGENTA",INVENTARIO!C219)),"LIG-MAG",
IF(ISNUMBER(SEARCH("MAGENTA",INVENTARIO!C219)),"MAG",
IF(ISNUMBER(SEARCH("BLACK",INVENTARIO!C219)),"BLA",
IF(ISNUMBER(SEARCH("YELLOW",INVENTARIO!C219)),"YEL",
IF(ISNUMBER(SEARCH("2 DIODOS",INVENTARIO!C219)),"2DI",
IF(ISNUMBER(SEARCH("3 DIODOS",INVENTARIO!C219)),"3DI",
IF(OR(ISNUMBER(SEARCH("TRASLUCIDO",INVENTARIO!C219)),ISNUMBER(SEARCH("TRANSLUCIDO",INVENTARIO!C219))),"TRA",
"")))))))))))))</f>
        <v/>
      </c>
      <c r="I21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0" spans="1:9">
      <c r="A220" t="str">
        <f>IF(ISNUMBER(SEARCH("LONA",INVENTARIO!C220)),"LON",
IF(ISNUMBER(SEARCH("VINIL",INVENTARIO!C220)),"VIN",
IF(ISNUMBER(SEARCH("KROMACOTE",INVENTARIO!C220)),"KRO",
IF(ISNUMBER(SEARCH("STARDREAM",INVENTARIO!C220)),"STA",
IF(ISNUMBER(SEARCH("DISPLAY",INVENTARIO!C220)),"DIS",
IF(ISNUMBER(SEARCH("ROLL UP",INVENTARIO!C220)),"ROL-UP",
IF(ISNUMBER(SEARCH("TRANSFER DE PAPEL",INVENTARIO!C220)),"TRA-PAP",
IF(ISNUMBER(SEARCH("TRANSFER",INVENTARIO!C220)),"TRA",IF(ISNUMBER(SEARCH("KOLA LOKA",INVENTARIO!C220)),"KOL-LOK",
IF(ISNUMBER(SEARCH("PETG",INVENTARIO!C220)),"PET",
IF(ISNUMBER(SEARCH("OJILLO",INVENTARIO!C220)),"OJI",
IF(ISNUMBER(SEARCH("COUCHE",INVENTARIO!C220)),"COU",
IF(ISNUMBER(SEARCH("PANEL DE ALUMINIO",INVENTARIO!C220)),"PAN-ALU",
IF(ISNUMBER(SEARCH("PVC",INVENTARIO!C220)),"PVC",
IF(ISNUMBER(SEARCH("PAPEL",INVENTARIO!C220)),"PAP",
IF(ISNUMBER(SEARCH("TELA",INVENTARIO!C220)),"TEL",
IF(ISNUMBER(SEARCH("CARTULINA",INVENTARIO!C220)),"CAR",
IF(OR(ISNUMBER(SEARCH("LAMINA",INVENTARIO!C220)),ISNUMBER(SEARCH("LÁMINA",INVENTARIO!C220)),ISNUMBER(SEARCH("LAMPARAS",INVENTARIO!C220))),"LAM",
IF(ISNUMBER(SEARCH("ESTIRENO",INVENTARIO!C220)),"EST",
IF(ISNUMBER(SEARCH("FOAMBOARD",INVENTARIO!C220)),"FOA",
IF(ISNUMBER(SEARCH("SOLVENTE",INVENTARIO!C220)),"SOL",
IF(ISNUMBER(SEARCH("TINTA",INVENTARIO!C220)),"TIN",
IF(ISNUMBER(SEARCH("ACRILICO",INVENTARIO!C220)),"ACR",
IF(ISNUMBER(SEARCH("MICROLED",INVENTARIO!C220)),"MIC",
IF(ISNUMBER(SEARCH("LED",INVENTARIO!C220)),"LED",
IF(ISNUMBER(SEARCH("FUENTE DE PODER",INVENTARIO!C220)),"FUE-POD",
IF(ISNUMBER(SEARCH("PETG",INVENTARIO!C220)),"PET",
IF(ISNUMBER(SEARCH("ALUMINIO",INVENTARIO!C220)),"ALU",
IF(ISNUMBER(SEARCH("CANAL",INVENTARIO!C220)),"CAN",
IF(ISNUMBER(SEARCH("ESCUADRA",INVENTARIO!C220)),"ESC",
IF(ISNUMBER(SEARCH("SOPORTE",INVENTARIO!C220)),"SOP","OTR")
))))))))))))))))))))))))))))))</f>
        <v>PAN-ALU</v>
      </c>
      <c r="B220" t="str">
        <f>IF(ISNUMBER(SEARCH("CORTE",INVENTARIO!C220)),"COR",
IF(ISNUMBER(SEARCH("CITYLIGHT",INVENTARIO!C220)),"CIT",
IF(ISNUMBER(SEARCH("LINO",INVENTARIO!C220)),"LIN",
IF(ISNUMBER(SEARCH("FABRIANO",INVENTARIO!C220)),"FAB",
IF(ISNUMBER(SEARCH("SUNDANCE",INVENTARIO!C220)),"SUN",
IF(ISNUMBER(SEARCH("SINTETICA",INVENTARIO!C220)),"SIN",
IF(ISNUMBER(SEARCH("CONTROL",INVENTARIO!C220)),"CON",
IF(ISNUMBER(SEARCH("TERMICO",INVENTARIO!C220)),"TER",
IF(ISNUMBER(SEARCH("C-15",INVENTARIO!C220)),"C15",
IF(ISNUMBER(SEARCH("C-20",INVENTARIO!C220)),"C20",
IF(ISNUMBER(SEARCH("C-30",INVENTARIO!C220)),"C30",
IF(ISNUMBER(SEARCH("C-40",INVENTARIO!C220)),"C40",
IF(ISNUMBER(SEARCH("C-60",INVENTARIO!C220)),"C60",
IF(ISNUMBER(SEARCH("C-80",INVENTARIO!C220)),"C80",
IF(ISNUMBER(SEARCH("EQUIPO",INVENTARIO!C220)),"EQU",
IF(ISNUMBER(SEARCH("FLOOR",INVENTARIO!C220)),"FLO",
IF(ISNUMBER(SEARCH("CRISTAL",INVENTARIO!C220)),"CRI",
IF(ISNUMBER(SEARCH(" SULFATADA",INVENTARIO!C231)),"SUL",
IF(ISNUMBER(SEARCH("OPALINA",INVENTARIO!C220)),"OPA",
IF(ISNUMBER(SEARCH("ADHERIBLE",INVENTARIO!C220)),"ADH",
IF(ISNUMBER(SEARCH("MICRO",INVENTARIO!C220)),"MIC","")))))))))))))))))))))</f>
        <v/>
      </c>
      <c r="C220" t="str">
        <f>IF(ISNUMBER(SEARCH("PARED",INVENTARIO!C220)),"PAR",
IF(ISNUMBER(SEARCH("FRONT",INVENTARIO!C220)),"FRO",
IF(ISNUMBER(SEARCH("ALTA RESISTENCIA",INVENTARIO!C220)),
"ALT-RES",IF(ISNUMBER(SEARCH("BACKLITE",INVENTARIO!C220)),"BAC",
IF(ISNUMBER(SEARCH("MATE",INVENTARIO!C220)),"MAT",
IF(ISNUMBER(SEARCH("MESH",INVENTARIO!C220)),"MES",
IF(ISNUMBER(SEARCH("BRILLANTE",INVENTARIO!C220)),"BRI",
IF(ISNUMBER(SEARCH("DELGADA",INVENTARIO!C220)),"DEL",
IF(ISNUMBER(SEARCH("GRUESA",INVENTARIO!C220)),"GRU",
IF(ISNUMBER(SEARCH("ESTATICO",INVENTARIO!C220)),"EST",
IF(ISNUMBER(SEARCH("REFLECTIVO",INVENTARIO!C220)),"REF",
IF(ISNUMBER(SEARCH("LX700",INVENTARIO!C220)),"LX7",
IF(ISNUMBER(SEARCH("GRANDO",INVENTARIO!C220)),"GRA",
IF(ISNUMBER(SEARCH("FB700",INVENTARIO!C220)),"FB7",
IF(ISNUMBER(SEARCH("LX360",INVENTARIO!C220)),"LX3",
IF(ISNUMBER(SEARCH("XEROX",INVENTARIO!C220)),"XER",
IF(ISNUMBER(SEARCH("CEPILLADO",INVENTARIO!C220)),"CEP",
IF(ISNUMBER(SEARCH("ESPEJO",INVENTARIO!C220)),"ESP",
IF(ISNUMBER(SEARCH("10 PTS",INVENTARIO!C220)),"10PT",
IF(ISNUMBER(SEARCH("12 PTS",INVENTARIO!C220)),"12PT",
IF(ISNUMBER(SEARCH("14 PTS",INVENTARIO!C220)),"14PT",
IF(ISNUMBER(SEARCH("CLASICO",INVENTARIO!C220)),"CLA",
""))))))))))))))))))))))</f>
        <v/>
      </c>
      <c r="D220" t="str">
        <f>IF(ISNUMBER(SEARCH("GRAN FORMATO",INVENTARIO!C220)),"GRA-FOR",
IF(ISNUMBER(SEARCH("CAMA PLANA",INVENTARIO!C220)),"CAM-PLA",
IF(ISNUMBER(SEARCH("GRADO INGENIERIA",INVENTARIO!C220)),"GRA-ING",
IF(ISNUMBER(SEARCH("130 GRS",INVENTARIO!C220)),"130GR",
IF(ISNUMBER(SEARCH("150 GRS",INVENTARIO!C220)),"150GR",
IF(ISNUMBER(SEARCH("185 GRS",INVENTARIO!C220)),"185GR",
IF(ISNUMBER(SEARCH("200 GRS",INVENTARIO!C220)),"200GR",
IF(ISNUMBER(SEARCH("250 GRS",INVENTARIO!C220)),"250GR",
IF(ISNUMBER(SEARCH("300 GRS",INVENTARIO!C220)),"300GR",
IF(ISNUMBER(SEARCH("350 GRS",INVENTARIO!C220)),"350GR",
IF(ISNUMBER(SEARCH("18 OZ",INVENTARIO!C220)),"18OZ",
IF(ISNUMBER(SEARCH("15 OZ",INVENTARIO!C220)),"15OZ",
IF(OR(ISNUMBER(SEARCH("13 OZ",INVENTARIO!C220)),ISNUMBER(SEARCH("13 ONZAS",INVENTARIO!C220))),"13OZ",
IF(OR(ISNUMBER(SEARCH("9 OZ",INVENTARIO!C220)),ISNUMBER(SEARCH("9 ONZAS",INVENTARIO!C220))),"09OZ",
IF(ISNUMBER(SEARCH("DOBLE CARA",INVENTARIO!C220)),"DOB-CAR",
"")))))))))))))))</f>
        <v/>
      </c>
      <c r="E220" t="str">
        <f>IF(OR(ISNUMBER(SEARCH("TRANSPARENTE",INVENTARIO!C220)),ISNUMBER(SEARCH("TRANSPARENTES",INVENTARIO!C220))),"TRA",
IF(OR(ISNUMBER(SEARCH("BLANCO",INVENTARIO!C220)),ISNUMBER(SEARCH("BCO",INVENTARIO!C220))),"BLA",
IF(ISNUMBER(SEARCH("FOTOGRAFICO",INVENTARIO!C220)),"FOT",
IF(ISNUMBER(SEARCH("MARFIL",INVENTARIO!C220)),"MAR",
IF(ISNUMBER(SEARCH("VERDE",INVENTARIO!C220)),"VER",
IF(ISNUMBER(SEARCH("MORADO",INVENTARIO!C220)),"MOR",
IF(ISNUMBER(SEARCH("PLATA",INVENTARIO!C220)),"PLA",
IF(ISNUMBER(SEARCH("ORO",INVENTARIO!C220)),"ORO",
IF(ISNUMBER(SEARCH("AMARILLO",INVENTARIO!C220)),"AMA",
IF(ISNUMBER(SEARCH("NARANJA",INVENTARIO!C220)),"NAR",
IF(ISNUMBER(SEARCH("NEGRO",INVENTARIO!C220)),"NEG",
IF(ISNUMBER(SEARCH("ROJO",INVENTARIO!C220)),"ROJ",
IF(ISNUMBER(SEARCH("AZUL",INVENTARIO!C220)),"AZU","")))))))))))))</f>
        <v>BLA</v>
      </c>
      <c r="F220" t="str">
        <f>IF(ISNUMBER(SEARCH("ARLON",INVENTARIO!C220)),"ARL",
IF(ISNUMBER(SEARCH("SUNTHINKS",INVENTARIO!C220)),"SUN",
IF(ISNUMBER(SEARCH("FRIO",INVENTARIO!C220)),"FRI",
IF(ISNUMBER(SEARCH("CALIDO",INVENTARIO!C220)),"CAL",
IF(ISNUMBER(SEARCH("CEPILLADO",INVENTARIO!C220)),"CEP",
IF(ISNUMBER(SEARCH("ESPEJO",INVENTARIO!C220)),"ESP",
""))))))</f>
        <v/>
      </c>
      <c r="G220" t="str">
        <f>IF(ISNUMBER(SEARCH("LATEX",INVENTARIO!C220)),"LAT",
IF(ISNUMBER(SEARCH("RESP. NEGRO",INVENTARIO!C220)),"RES-NEG",
IF(ISNUMBER(SEARCH("RESPALDO CAFE",INVENTARIO!C220)),"RES-CAF",
IF(ISNUMBER(SEARCH("RESPALDO GRIS",INVENTARIO!C220)),"RES-GRI",
IF(ISNUMBER(SEARCH("OPTICO",INVENTARIO!C220)),"OPT",
IF(ISNUMBER(SEARCH("1,2 MM",INVENTARIO!C220)),"1MM2",
IF(ISNUMBER(SEARCH("2 MM",INVENTARIO!C220)),"2MM",
IF(ISNUMBER(SEARCH("3 MM",INVENTARIO!C220)),"3MM",
IF(ISNUMBER(SEARCH("4 MM",INVENTARIO!C220)),"4MM",
IF(ISNUMBER(SEARCH("5 MM",INVENTARIO!C220)),"5MM",
IF(ISNUMBER(SEARCH("6 MM",INVENTARIO!C220)),"6MM",
IF(ISNUMBER(SEARCH("9 MM",INVENTARIO!C220)),"9MM",
IF(ISNUMBER(SEARCH("10 MM",INVENTARIO!C220)),"10MM","")))))))))))))</f>
        <v>4MM</v>
      </c>
      <c r="H220" t="str">
        <f>IF(ISNUMBER(SEARCH("GAMA BAJA",INVENTARIO!C220)),"GAM-BAJ",
IF(ISNUMBER(SEARCH("OPTIMIZADOR",INVENTARIO!C220)),"OPT",
IF(ISNUMBER(SEARCH("OVERCOAT",INVENTARIO!C220)),"OVE",
IF(ISNUMBER(SEARCH("WHITE",INVENTARIO!C220)),"WHI",
IF(ISNUMBER(SEARCH("LIGHT CYAN",INVENTARIO!C220)),"LIG-CYA",
IF(ISNUMBER(SEARCH("CYAN",INVENTARIO!C220)),"CYA",
IF(ISNUMBER(SEARCH("LIGHT MAGENTA",INVENTARIO!C220)),"LIG-MAG",
IF(ISNUMBER(SEARCH("MAGENTA",INVENTARIO!C220)),"MAG",
IF(ISNUMBER(SEARCH("BLACK",INVENTARIO!C220)),"BLA",
IF(ISNUMBER(SEARCH("YELLOW",INVENTARIO!C220)),"YEL",
IF(ISNUMBER(SEARCH("2 DIODOS",INVENTARIO!C220)),"2DI",
IF(ISNUMBER(SEARCH("3 DIODOS",INVENTARIO!C220)),"3DI",
IF(OR(ISNUMBER(SEARCH("TRASLUCIDO",INVENTARIO!C220)),ISNUMBER(SEARCH("TRANSLUCIDO",INVENTARIO!C220))),"TRA",
"")))))))))))))</f>
        <v/>
      </c>
      <c r="I22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1" spans="1:9">
      <c r="A221" t="str">
        <f>IF(ISNUMBER(SEARCH("LONA",INVENTARIO!C221)),"LON",
IF(ISNUMBER(SEARCH("VINIL",INVENTARIO!C221)),"VIN",
IF(ISNUMBER(SEARCH("KROMACOTE",INVENTARIO!C221)),"KRO",
IF(ISNUMBER(SEARCH("STARDREAM",INVENTARIO!C221)),"STA",
IF(ISNUMBER(SEARCH("DISPLAY",INVENTARIO!C221)),"DIS",
IF(ISNUMBER(SEARCH("ROLL UP",INVENTARIO!C221)),"ROL-UP",
IF(ISNUMBER(SEARCH("TRANSFER DE PAPEL",INVENTARIO!C221)),"TRA-PAP",
IF(ISNUMBER(SEARCH("TRANSFER",INVENTARIO!C221)),"TRA",IF(ISNUMBER(SEARCH("KOLA LOKA",INVENTARIO!C221)),"KOL-LOK",
IF(ISNUMBER(SEARCH("PETG",INVENTARIO!C221)),"PET",
IF(ISNUMBER(SEARCH("OJILLO",INVENTARIO!C221)),"OJI",
IF(ISNUMBER(SEARCH("COUCHE",INVENTARIO!C221)),"COU",
IF(ISNUMBER(SEARCH("PANEL DE ALUMINIO",INVENTARIO!C221)),"PAN-ALU",
IF(ISNUMBER(SEARCH("PVC",INVENTARIO!C221)),"PVC",
IF(ISNUMBER(SEARCH("PAPEL",INVENTARIO!C221)),"PAP",
IF(ISNUMBER(SEARCH("TELA",INVENTARIO!C221)),"TEL",
IF(ISNUMBER(SEARCH("CARTULINA",INVENTARIO!C221)),"CAR",
IF(OR(ISNUMBER(SEARCH("LAMINA",INVENTARIO!C221)),ISNUMBER(SEARCH("LÁMINA",INVENTARIO!C221)),ISNUMBER(SEARCH("LAMPARAS",INVENTARIO!C221))),"LAM",
IF(ISNUMBER(SEARCH("ESTIRENO",INVENTARIO!C221)),"EST",
IF(ISNUMBER(SEARCH("FOAMBOARD",INVENTARIO!C221)),"FOA",
IF(ISNUMBER(SEARCH("SOLVENTE",INVENTARIO!C221)),"SOL",
IF(ISNUMBER(SEARCH("TINTA",INVENTARIO!C221)),"TIN",
IF(ISNUMBER(SEARCH("ACRILICO",INVENTARIO!C221)),"ACR",
IF(ISNUMBER(SEARCH("MICROLED",INVENTARIO!C221)),"MIC",
IF(ISNUMBER(SEARCH("LED",INVENTARIO!C221)),"LED",
IF(ISNUMBER(SEARCH("FUENTE DE PODER",INVENTARIO!C221)),"FUE-POD",
IF(ISNUMBER(SEARCH("PETG",INVENTARIO!C221)),"PET",
IF(ISNUMBER(SEARCH("ALUMINIO",INVENTARIO!C221)),"ALU",
IF(ISNUMBER(SEARCH("CANAL",INVENTARIO!C221)),"CAN",
IF(ISNUMBER(SEARCH("ESCUADRA",INVENTARIO!C221)),"ESC",
IF(ISNUMBER(SEARCH("SOPORTE",INVENTARIO!C221)),"SOP","OTR")
))))))))))))))))))))))))))))))</f>
        <v>PAN-ALU</v>
      </c>
      <c r="B221" t="str">
        <f>IF(ISNUMBER(SEARCH("CORTE",INVENTARIO!C221)),"COR",
IF(ISNUMBER(SEARCH("CITYLIGHT",INVENTARIO!C221)),"CIT",
IF(ISNUMBER(SEARCH("LINO",INVENTARIO!C221)),"LIN",
IF(ISNUMBER(SEARCH("FABRIANO",INVENTARIO!C221)),"FAB",
IF(ISNUMBER(SEARCH("SUNDANCE",INVENTARIO!C221)),"SUN",
IF(ISNUMBER(SEARCH("SINTETICA",INVENTARIO!C221)),"SIN",
IF(ISNUMBER(SEARCH("CONTROL",INVENTARIO!C221)),"CON",
IF(ISNUMBER(SEARCH("TERMICO",INVENTARIO!C221)),"TER",
IF(ISNUMBER(SEARCH("C-15",INVENTARIO!C221)),"C15",
IF(ISNUMBER(SEARCH("C-20",INVENTARIO!C221)),"C20",
IF(ISNUMBER(SEARCH("C-30",INVENTARIO!C221)),"C30",
IF(ISNUMBER(SEARCH("C-40",INVENTARIO!C221)),"C40",
IF(ISNUMBER(SEARCH("C-60",INVENTARIO!C221)),"C60",
IF(ISNUMBER(SEARCH("C-80",INVENTARIO!C221)),"C80",
IF(ISNUMBER(SEARCH("EQUIPO",INVENTARIO!C221)),"EQU",
IF(ISNUMBER(SEARCH("FLOOR",INVENTARIO!C221)),"FLO",
IF(ISNUMBER(SEARCH("CRISTAL",INVENTARIO!C221)),"CRI",
IF(ISNUMBER(SEARCH(" SULFATADA",INVENTARIO!C232)),"SUL",
IF(ISNUMBER(SEARCH("OPALINA",INVENTARIO!C221)),"OPA",
IF(ISNUMBER(SEARCH("ADHERIBLE",INVENTARIO!C221)),"ADH",
IF(ISNUMBER(SEARCH("MICRO",INVENTARIO!C221)),"MIC","")))))))))))))))))))))</f>
        <v/>
      </c>
      <c r="C221" t="str">
        <f>IF(ISNUMBER(SEARCH("PARED",INVENTARIO!C221)),"PAR",
IF(ISNUMBER(SEARCH("FRONT",INVENTARIO!C221)),"FRO",
IF(ISNUMBER(SEARCH("ALTA RESISTENCIA",INVENTARIO!C221)),
"ALT-RES",IF(ISNUMBER(SEARCH("BACKLITE",INVENTARIO!C221)),"BAC",
IF(ISNUMBER(SEARCH("MATE",INVENTARIO!C221)),"MAT",
IF(ISNUMBER(SEARCH("MESH",INVENTARIO!C221)),"MES",
IF(ISNUMBER(SEARCH("BRILLANTE",INVENTARIO!C221)),"BRI",
IF(ISNUMBER(SEARCH("DELGADA",INVENTARIO!C221)),"DEL",
IF(ISNUMBER(SEARCH("GRUESA",INVENTARIO!C221)),"GRU",
IF(ISNUMBER(SEARCH("ESTATICO",INVENTARIO!C221)),"EST",
IF(ISNUMBER(SEARCH("REFLECTIVO",INVENTARIO!C221)),"REF",
IF(ISNUMBER(SEARCH("LX700",INVENTARIO!C221)),"LX7",
IF(ISNUMBER(SEARCH("GRANDO",INVENTARIO!C221)),"GRA",
IF(ISNUMBER(SEARCH("FB700",INVENTARIO!C221)),"FB7",
IF(ISNUMBER(SEARCH("LX360",INVENTARIO!C221)),"LX3",
IF(ISNUMBER(SEARCH("XEROX",INVENTARIO!C221)),"XER",
IF(ISNUMBER(SEARCH("CEPILLADO",INVENTARIO!C221)),"CEP",
IF(ISNUMBER(SEARCH("ESPEJO",INVENTARIO!C221)),"ESP",
IF(ISNUMBER(SEARCH("10 PTS",INVENTARIO!C221)),"10PT",
IF(ISNUMBER(SEARCH("12 PTS",INVENTARIO!C221)),"12PT",
IF(ISNUMBER(SEARCH("14 PTS",INVENTARIO!C221)),"14PT",
IF(ISNUMBER(SEARCH("CLASICO",INVENTARIO!C221)),"CLA",
""))))))))))))))))))))))</f>
        <v>MAT</v>
      </c>
      <c r="D221" t="str">
        <f>IF(ISNUMBER(SEARCH("GRAN FORMATO",INVENTARIO!C221)),"GRA-FOR",
IF(ISNUMBER(SEARCH("CAMA PLANA",INVENTARIO!C221)),"CAM-PLA",
IF(ISNUMBER(SEARCH("GRADO INGENIERIA",INVENTARIO!C221)),"GRA-ING",
IF(ISNUMBER(SEARCH("130 GRS",INVENTARIO!C221)),"130GR",
IF(ISNUMBER(SEARCH("150 GRS",INVENTARIO!C221)),"150GR",
IF(ISNUMBER(SEARCH("185 GRS",INVENTARIO!C221)),"185GR",
IF(ISNUMBER(SEARCH("200 GRS",INVENTARIO!C221)),"200GR",
IF(ISNUMBER(SEARCH("250 GRS",INVENTARIO!C221)),"250GR",
IF(ISNUMBER(SEARCH("300 GRS",INVENTARIO!C221)),"300GR",
IF(ISNUMBER(SEARCH("350 GRS",INVENTARIO!C221)),"350GR",
IF(ISNUMBER(SEARCH("18 OZ",INVENTARIO!C221)),"18OZ",
IF(ISNUMBER(SEARCH("15 OZ",INVENTARIO!C221)),"15OZ",
IF(OR(ISNUMBER(SEARCH("13 OZ",INVENTARIO!C221)),ISNUMBER(SEARCH("13 ONZAS",INVENTARIO!C221))),"13OZ",
IF(OR(ISNUMBER(SEARCH("9 OZ",INVENTARIO!C221)),ISNUMBER(SEARCH("9 ONZAS",INVENTARIO!C221))),"09OZ",
IF(ISNUMBER(SEARCH("DOBLE CARA",INVENTARIO!C221)),"DOB-CAR",
"")))))))))))))))</f>
        <v/>
      </c>
      <c r="E221" t="str">
        <f>IF(OR(ISNUMBER(SEARCH("TRANSPARENTE",INVENTARIO!C221)),ISNUMBER(SEARCH("TRANSPARENTES",INVENTARIO!C221))),"TRA",
IF(OR(ISNUMBER(SEARCH("BLANCO",INVENTARIO!C221)),ISNUMBER(SEARCH("BCO",INVENTARIO!C221))),"BLA",
IF(ISNUMBER(SEARCH("FOTOGRAFICO",INVENTARIO!C221)),"FOT",
IF(ISNUMBER(SEARCH("MARFIL",INVENTARIO!C221)),"MAR",
IF(ISNUMBER(SEARCH("VERDE",INVENTARIO!C221)),"VER",
IF(ISNUMBER(SEARCH("MORADO",INVENTARIO!C221)),"MOR",
IF(ISNUMBER(SEARCH("PLATA",INVENTARIO!C221)),"PLA",
IF(ISNUMBER(SEARCH("ORO",INVENTARIO!C221)),"ORO",
IF(ISNUMBER(SEARCH("AMARILLO",INVENTARIO!C221)),"AMA",
IF(ISNUMBER(SEARCH("NARANJA",INVENTARIO!C221)),"NAR",
IF(ISNUMBER(SEARCH("NEGRO",INVENTARIO!C221)),"NEG",
IF(ISNUMBER(SEARCH("ROJO",INVENTARIO!C221)),"ROJ",
IF(ISNUMBER(SEARCH("AZUL",INVENTARIO!C221)),"AZU","")))))))))))))</f>
        <v>NEG</v>
      </c>
      <c r="F221" t="str">
        <f>IF(ISNUMBER(SEARCH("ARLON",INVENTARIO!C221)),"ARL",
IF(ISNUMBER(SEARCH("SUNTHINKS",INVENTARIO!C221)),"SUN",
IF(ISNUMBER(SEARCH("FRIO",INVENTARIO!C221)),"FRI",
IF(ISNUMBER(SEARCH("CALIDO",INVENTARIO!C221)),"CAL",
IF(ISNUMBER(SEARCH("CEPILLADO",INVENTARIO!C221)),"CEP",
IF(ISNUMBER(SEARCH("ESPEJO",INVENTARIO!C221)),"ESP",
""))))))</f>
        <v/>
      </c>
      <c r="G221" t="str">
        <f>IF(ISNUMBER(SEARCH("LATEX",INVENTARIO!C221)),"LAT",
IF(ISNUMBER(SEARCH("RESP. NEGRO",INVENTARIO!C221)),"RES-NEG",
IF(ISNUMBER(SEARCH("RESPALDO CAFE",INVENTARIO!C221)),"RES-CAF",
IF(ISNUMBER(SEARCH("RESPALDO GRIS",INVENTARIO!C221)),"RES-GRI",
IF(ISNUMBER(SEARCH("OPTICO",INVENTARIO!C221)),"OPT",
IF(ISNUMBER(SEARCH("1,2 MM",INVENTARIO!C221)),"1MM2",
IF(ISNUMBER(SEARCH("2 MM",INVENTARIO!C221)),"2MM",
IF(ISNUMBER(SEARCH("3 MM",INVENTARIO!C221)),"3MM",
IF(ISNUMBER(SEARCH("4 MM",INVENTARIO!C221)),"4MM",
IF(ISNUMBER(SEARCH("5 MM",INVENTARIO!C221)),"5MM",
IF(ISNUMBER(SEARCH("6 MM",INVENTARIO!C221)),"6MM",
IF(ISNUMBER(SEARCH("9 MM",INVENTARIO!C221)),"9MM",
IF(ISNUMBER(SEARCH("10 MM",INVENTARIO!C221)),"10MM","")))))))))))))</f>
        <v>3MM</v>
      </c>
      <c r="H221" t="str">
        <f>IF(ISNUMBER(SEARCH("GAMA BAJA",INVENTARIO!C221)),"GAM-BAJ",
IF(ISNUMBER(SEARCH("OPTIMIZADOR",INVENTARIO!C221)),"OPT",
IF(ISNUMBER(SEARCH("OVERCOAT",INVENTARIO!C221)),"OVE",
IF(ISNUMBER(SEARCH("WHITE",INVENTARIO!C221)),"WHI",
IF(ISNUMBER(SEARCH("LIGHT CYAN",INVENTARIO!C221)),"LIG-CYA",
IF(ISNUMBER(SEARCH("CYAN",INVENTARIO!C221)),"CYA",
IF(ISNUMBER(SEARCH("LIGHT MAGENTA",INVENTARIO!C221)),"LIG-MAG",
IF(ISNUMBER(SEARCH("MAGENTA",INVENTARIO!C221)),"MAG",
IF(ISNUMBER(SEARCH("BLACK",INVENTARIO!C221)),"BLA",
IF(ISNUMBER(SEARCH("YELLOW",INVENTARIO!C221)),"YEL",
IF(ISNUMBER(SEARCH("2 DIODOS",INVENTARIO!C221)),"2DI",
IF(ISNUMBER(SEARCH("3 DIODOS",INVENTARIO!C221)),"3DI",
IF(OR(ISNUMBER(SEARCH("TRASLUCIDO",INVENTARIO!C221)),ISNUMBER(SEARCH("TRANSLUCIDO",INVENTARIO!C221))),"TRA",
"")))))))))))))</f>
        <v/>
      </c>
      <c r="I22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2" spans="1:9">
      <c r="A222" t="str">
        <f>IF(ISNUMBER(SEARCH("LONA",INVENTARIO!C222)),"LON",
IF(ISNUMBER(SEARCH("VINIL",INVENTARIO!C222)),"VIN",
IF(ISNUMBER(SEARCH("KROMACOTE",INVENTARIO!C222)),"KRO",
IF(ISNUMBER(SEARCH("STARDREAM",INVENTARIO!C222)),"STA",
IF(ISNUMBER(SEARCH("DISPLAY",INVENTARIO!C222)),"DIS",
IF(ISNUMBER(SEARCH("ROLL UP",INVENTARIO!C222)),"ROL-UP",
IF(ISNUMBER(SEARCH("TRANSFER DE PAPEL",INVENTARIO!C222)),"TRA-PAP",
IF(ISNUMBER(SEARCH("TRANSFER",INVENTARIO!C222)),"TRA",IF(ISNUMBER(SEARCH("KOLA LOKA",INVENTARIO!C222)),"KOL-LOK",
IF(ISNUMBER(SEARCH("PETG",INVENTARIO!C222)),"PET",
IF(ISNUMBER(SEARCH("OJILLO",INVENTARIO!C222)),"OJI",
IF(ISNUMBER(SEARCH("COUCHE",INVENTARIO!C222)),"COU",
IF(ISNUMBER(SEARCH("PANEL DE ALUMINIO",INVENTARIO!C222)),"PAN-ALU",
IF(ISNUMBER(SEARCH("PVC",INVENTARIO!C222)),"PVC",
IF(ISNUMBER(SEARCH("PAPEL",INVENTARIO!C222)),"PAP",
IF(ISNUMBER(SEARCH("TELA",INVENTARIO!C222)),"TEL",
IF(ISNUMBER(SEARCH("CARTULINA",INVENTARIO!C222)),"CAR",
IF(OR(ISNUMBER(SEARCH("LAMINA",INVENTARIO!C222)),ISNUMBER(SEARCH("LÁMINA",INVENTARIO!C222)),ISNUMBER(SEARCH("LAMPARAS",INVENTARIO!C222))),"LAM",
IF(ISNUMBER(SEARCH("ESTIRENO",INVENTARIO!C222)),"EST",
IF(ISNUMBER(SEARCH("FOAMBOARD",INVENTARIO!C222)),"FOA",
IF(ISNUMBER(SEARCH("SOLVENTE",INVENTARIO!C222)),"SOL",
IF(ISNUMBER(SEARCH("TINTA",INVENTARIO!C222)),"TIN",
IF(ISNUMBER(SEARCH("ACRILICO",INVENTARIO!C222)),"ACR",
IF(ISNUMBER(SEARCH("MICROLED",INVENTARIO!C222)),"MIC",
IF(ISNUMBER(SEARCH("LED",INVENTARIO!C222)),"LED",
IF(ISNUMBER(SEARCH("FUENTE DE PODER",INVENTARIO!C222)),"FUE-POD",
IF(ISNUMBER(SEARCH("PETG",INVENTARIO!C222)),"PET",
IF(ISNUMBER(SEARCH("ALUMINIO",INVENTARIO!C222)),"ALU",
IF(ISNUMBER(SEARCH("CANAL",INVENTARIO!C222)),"CAN",
IF(ISNUMBER(SEARCH("ESCUADRA",INVENTARIO!C222)),"ESC",
IF(ISNUMBER(SEARCH("SOPORTE",INVENTARIO!C222)),"SOP","OTR")
))))))))))))))))))))))))))))))</f>
        <v>PAN-ALU</v>
      </c>
      <c r="B222" t="str">
        <f>IF(ISNUMBER(SEARCH("CORTE",INVENTARIO!C222)),"COR",
IF(ISNUMBER(SEARCH("CITYLIGHT",INVENTARIO!C222)),"CIT",
IF(ISNUMBER(SEARCH("LINO",INVENTARIO!C222)),"LIN",
IF(ISNUMBER(SEARCH("FABRIANO",INVENTARIO!C222)),"FAB",
IF(ISNUMBER(SEARCH("SUNDANCE",INVENTARIO!C222)),"SUN",
IF(ISNUMBER(SEARCH("SINTETICA",INVENTARIO!C222)),"SIN",
IF(ISNUMBER(SEARCH("CONTROL",INVENTARIO!C222)),"CON",
IF(ISNUMBER(SEARCH("TERMICO",INVENTARIO!C222)),"TER",
IF(ISNUMBER(SEARCH("C-15",INVENTARIO!C222)),"C15",
IF(ISNUMBER(SEARCH("C-20",INVENTARIO!C222)),"C20",
IF(ISNUMBER(SEARCH("C-30",INVENTARIO!C222)),"C30",
IF(ISNUMBER(SEARCH("C-40",INVENTARIO!C222)),"C40",
IF(ISNUMBER(SEARCH("C-60",INVENTARIO!C222)),"C60",
IF(ISNUMBER(SEARCH("C-80",INVENTARIO!C222)),"C80",
IF(ISNUMBER(SEARCH("EQUIPO",INVENTARIO!C222)),"EQU",
IF(ISNUMBER(SEARCH("FLOOR",INVENTARIO!C222)),"FLO",
IF(ISNUMBER(SEARCH("CRISTAL",INVENTARIO!C222)),"CRI",
IF(ISNUMBER(SEARCH(" SULFATADA",INVENTARIO!C233)),"SUL",
IF(ISNUMBER(SEARCH("OPALINA",INVENTARIO!C222)),"OPA",
IF(ISNUMBER(SEARCH("ADHERIBLE",INVENTARIO!C222)),"ADH",
IF(ISNUMBER(SEARCH("MICRO",INVENTARIO!C222)),"MIC","")))))))))))))))))))))</f>
        <v/>
      </c>
      <c r="C222" t="str">
        <f>IF(ISNUMBER(SEARCH("PARED",INVENTARIO!C222)),"PAR",
IF(ISNUMBER(SEARCH("FRONT",INVENTARIO!C222)),"FRO",
IF(ISNUMBER(SEARCH("ALTA RESISTENCIA",INVENTARIO!C222)),
"ALT-RES",IF(ISNUMBER(SEARCH("BACKLITE",INVENTARIO!C222)),"BAC",
IF(ISNUMBER(SEARCH("MATE",INVENTARIO!C222)),"MAT",
IF(ISNUMBER(SEARCH("MESH",INVENTARIO!C222)),"MES",
IF(ISNUMBER(SEARCH("BRILLANTE",INVENTARIO!C222)),"BRI",
IF(ISNUMBER(SEARCH("DELGADA",INVENTARIO!C222)),"DEL",
IF(ISNUMBER(SEARCH("GRUESA",INVENTARIO!C222)),"GRU",
IF(ISNUMBER(SEARCH("ESTATICO",INVENTARIO!C222)),"EST",
IF(ISNUMBER(SEARCH("REFLECTIVO",INVENTARIO!C222)),"REF",
IF(ISNUMBER(SEARCH("LX700",INVENTARIO!C222)),"LX7",
IF(ISNUMBER(SEARCH("GRANDO",INVENTARIO!C222)),"GRA",
IF(ISNUMBER(SEARCH("FB700",INVENTARIO!C222)),"FB7",
IF(ISNUMBER(SEARCH("LX360",INVENTARIO!C222)),"LX3",
IF(ISNUMBER(SEARCH("XEROX",INVENTARIO!C222)),"XER",
IF(ISNUMBER(SEARCH("CEPILLADO",INVENTARIO!C222)),"CEP",
IF(ISNUMBER(SEARCH("ESPEJO",INVENTARIO!C222)),"ESP",
IF(ISNUMBER(SEARCH("10 PTS",INVENTARIO!C222)),"10PT",
IF(ISNUMBER(SEARCH("12 PTS",INVENTARIO!C222)),"12PT",
IF(ISNUMBER(SEARCH("14 PTS",INVENTARIO!C222)),"14PT",
IF(ISNUMBER(SEARCH("CLASICO",INVENTARIO!C222)),"CLA",
""))))))))))))))))))))))</f>
        <v>MAT</v>
      </c>
      <c r="D222" t="str">
        <f>IF(ISNUMBER(SEARCH("GRAN FORMATO",INVENTARIO!C222)),"GRA-FOR",
IF(ISNUMBER(SEARCH("CAMA PLANA",INVENTARIO!C222)),"CAM-PLA",
IF(ISNUMBER(SEARCH("GRADO INGENIERIA",INVENTARIO!C222)),"GRA-ING",
IF(ISNUMBER(SEARCH("130 GRS",INVENTARIO!C222)),"130GR",
IF(ISNUMBER(SEARCH("150 GRS",INVENTARIO!C222)),"150GR",
IF(ISNUMBER(SEARCH("185 GRS",INVENTARIO!C222)),"185GR",
IF(ISNUMBER(SEARCH("200 GRS",INVENTARIO!C222)),"200GR",
IF(ISNUMBER(SEARCH("250 GRS",INVENTARIO!C222)),"250GR",
IF(ISNUMBER(SEARCH("300 GRS",INVENTARIO!C222)),"300GR",
IF(ISNUMBER(SEARCH("350 GRS",INVENTARIO!C222)),"350GR",
IF(ISNUMBER(SEARCH("18 OZ",INVENTARIO!C222)),"18OZ",
IF(ISNUMBER(SEARCH("15 OZ",INVENTARIO!C222)),"15OZ",
IF(OR(ISNUMBER(SEARCH("13 OZ",INVENTARIO!C222)),ISNUMBER(SEARCH("13 ONZAS",INVENTARIO!C222))),"13OZ",
IF(OR(ISNUMBER(SEARCH("9 OZ",INVENTARIO!C222)),ISNUMBER(SEARCH("9 ONZAS",INVENTARIO!C222))),"09OZ",
IF(ISNUMBER(SEARCH("DOBLE CARA",INVENTARIO!C222)),"DOB-CAR",
"")))))))))))))))</f>
        <v/>
      </c>
      <c r="E222" t="str">
        <f>IF(OR(ISNUMBER(SEARCH("TRANSPARENTE",INVENTARIO!C222)),ISNUMBER(SEARCH("TRANSPARENTES",INVENTARIO!C222))),"TRA",
IF(OR(ISNUMBER(SEARCH("BLANCO",INVENTARIO!C222)),ISNUMBER(SEARCH("BCO",INVENTARIO!C222))),"BLA",
IF(ISNUMBER(SEARCH("FOTOGRAFICO",INVENTARIO!C222)),"FOT",
IF(ISNUMBER(SEARCH("MARFIL",INVENTARIO!C222)),"MAR",
IF(ISNUMBER(SEARCH("VERDE",INVENTARIO!C222)),"VER",
IF(ISNUMBER(SEARCH("MORADO",INVENTARIO!C222)),"MOR",
IF(ISNUMBER(SEARCH("PLATA",INVENTARIO!C222)),"PLA",
IF(ISNUMBER(SEARCH("ORO",INVENTARIO!C222)),"ORO",
IF(ISNUMBER(SEARCH("AMARILLO",INVENTARIO!C222)),"AMA",
IF(ISNUMBER(SEARCH("NARANJA",INVENTARIO!C222)),"NAR",
IF(ISNUMBER(SEARCH("NEGRO",INVENTARIO!C222)),"NEG",
IF(ISNUMBER(SEARCH("ROJO",INVENTARIO!C222)),"ROJ",
IF(ISNUMBER(SEARCH("AZUL",INVENTARIO!C222)),"AZU","")))))))))))))</f>
        <v>BLA</v>
      </c>
      <c r="F222" t="str">
        <f>IF(ISNUMBER(SEARCH("ARLON",INVENTARIO!C222)),"ARL",
IF(ISNUMBER(SEARCH("SUNTHINKS",INVENTARIO!C222)),"SUN",
IF(ISNUMBER(SEARCH("FRIO",INVENTARIO!C222)),"FRI",
IF(ISNUMBER(SEARCH("CALIDO",INVENTARIO!C222)),"CAL",
IF(ISNUMBER(SEARCH("CEPILLADO",INVENTARIO!C222)),"CEP",
IF(ISNUMBER(SEARCH("ESPEJO",INVENTARIO!C222)),"ESP",
""))))))</f>
        <v/>
      </c>
      <c r="G222" t="str">
        <f>IF(ISNUMBER(SEARCH("LATEX",INVENTARIO!C222)),"LAT",
IF(ISNUMBER(SEARCH("RESP. NEGRO",INVENTARIO!C222)),"RES-NEG",
IF(ISNUMBER(SEARCH("RESPALDO CAFE",INVENTARIO!C222)),"RES-CAF",
IF(ISNUMBER(SEARCH("RESPALDO GRIS",INVENTARIO!C222)),"RES-GRI",
IF(ISNUMBER(SEARCH("OPTICO",INVENTARIO!C222)),"OPT",
IF(ISNUMBER(SEARCH("1,2 MM",INVENTARIO!C222)),"1MM2",
IF(ISNUMBER(SEARCH("2 MM",INVENTARIO!C222)),"2MM",
IF(ISNUMBER(SEARCH("3 MM",INVENTARIO!C222)),"3MM",
IF(ISNUMBER(SEARCH("4 MM",INVENTARIO!C222)),"4MM",
IF(ISNUMBER(SEARCH("5 MM",INVENTARIO!C222)),"5MM",
IF(ISNUMBER(SEARCH("6 MM",INVENTARIO!C222)),"6MM",
IF(ISNUMBER(SEARCH("9 MM",INVENTARIO!C222)),"9MM",
IF(ISNUMBER(SEARCH("10 MM",INVENTARIO!C222)),"10MM","")))))))))))))</f>
        <v>3MM</v>
      </c>
      <c r="H222" t="str">
        <f>IF(ISNUMBER(SEARCH("GAMA BAJA",INVENTARIO!C222)),"GAM-BAJ",
IF(ISNUMBER(SEARCH("OPTIMIZADOR",INVENTARIO!C222)),"OPT",
IF(ISNUMBER(SEARCH("OVERCOAT",INVENTARIO!C222)),"OVE",
IF(ISNUMBER(SEARCH("WHITE",INVENTARIO!C222)),"WHI",
IF(ISNUMBER(SEARCH("LIGHT CYAN",INVENTARIO!C222)),"LIG-CYA",
IF(ISNUMBER(SEARCH("CYAN",INVENTARIO!C222)),"CYA",
IF(ISNUMBER(SEARCH("LIGHT MAGENTA",INVENTARIO!C222)),"LIG-MAG",
IF(ISNUMBER(SEARCH("MAGENTA",INVENTARIO!C222)),"MAG",
IF(ISNUMBER(SEARCH("BLACK",INVENTARIO!C222)),"BLA",
IF(ISNUMBER(SEARCH("YELLOW",INVENTARIO!C222)),"YEL",
IF(ISNUMBER(SEARCH("2 DIODOS",INVENTARIO!C222)),"2DI",
IF(ISNUMBER(SEARCH("3 DIODOS",INVENTARIO!C222)),"3DI",
IF(OR(ISNUMBER(SEARCH("TRASLUCIDO",INVENTARIO!C222)),ISNUMBER(SEARCH("TRANSLUCIDO",INVENTARIO!C222))),"TRA",
"")))))))))))))</f>
        <v/>
      </c>
      <c r="I22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3" spans="1:9">
      <c r="A223" t="str">
        <f>IF(ISNUMBER(SEARCH("LONA",INVENTARIO!C223)),"LON",
IF(ISNUMBER(SEARCH("VINIL",INVENTARIO!C223)),"VIN",
IF(ISNUMBER(SEARCH("KROMACOTE",INVENTARIO!C223)),"KRO",
IF(ISNUMBER(SEARCH("STARDREAM",INVENTARIO!C223)),"STA",
IF(ISNUMBER(SEARCH("DISPLAY",INVENTARIO!C223)),"DIS",
IF(ISNUMBER(SEARCH("ROLL UP",INVENTARIO!C223)),"ROL-UP",
IF(ISNUMBER(SEARCH("TRANSFER DE PAPEL",INVENTARIO!C223)),"TRA-PAP",
IF(ISNUMBER(SEARCH("TRANSFER",INVENTARIO!C223)),"TRA",IF(ISNUMBER(SEARCH("KOLA LOKA",INVENTARIO!C223)),"KOL-LOK",
IF(ISNUMBER(SEARCH("PETG",INVENTARIO!C223)),"PET",
IF(ISNUMBER(SEARCH("OJILLO",INVENTARIO!C223)),"OJI",
IF(ISNUMBER(SEARCH("COUCHE",INVENTARIO!C223)),"COU",
IF(ISNUMBER(SEARCH("PANEL DE ALUMINIO",INVENTARIO!C223)),"PAN-ALU",
IF(ISNUMBER(SEARCH("PVC",INVENTARIO!C223)),"PVC",
IF(ISNUMBER(SEARCH("PAPEL",INVENTARIO!C223)),"PAP",
IF(ISNUMBER(SEARCH("TELA",INVENTARIO!C223)),"TEL",
IF(ISNUMBER(SEARCH("CARTULINA",INVENTARIO!C223)),"CAR",
IF(OR(ISNUMBER(SEARCH("LAMINA",INVENTARIO!C223)),ISNUMBER(SEARCH("LÁMINA",INVENTARIO!C223)),ISNUMBER(SEARCH("LAMPARAS",INVENTARIO!C223))),"LAM",
IF(ISNUMBER(SEARCH("ESTIRENO",INVENTARIO!C223)),"EST",
IF(ISNUMBER(SEARCH("FOAMBOARD",INVENTARIO!C223)),"FOA",
IF(ISNUMBER(SEARCH("SOLVENTE",INVENTARIO!C223)),"SOL",
IF(ISNUMBER(SEARCH("TINTA",INVENTARIO!C223)),"TIN",
IF(ISNUMBER(SEARCH("ACRILICO",INVENTARIO!C223)),"ACR",
IF(ISNUMBER(SEARCH("MICROLED",INVENTARIO!C223)),"MIC",
IF(ISNUMBER(SEARCH("LED",INVENTARIO!C223)),"LED",
IF(ISNUMBER(SEARCH("FUENTE DE PODER",INVENTARIO!C223)),"FUE-POD",
IF(ISNUMBER(SEARCH("PETG",INVENTARIO!C223)),"PET",
IF(ISNUMBER(SEARCH("ALUMINIO",INVENTARIO!C223)),"ALU",
IF(ISNUMBER(SEARCH("CANAL",INVENTARIO!C223)),"CAN",
IF(ISNUMBER(SEARCH("ESCUADRA",INVENTARIO!C223)),"ESC",
IF(ISNUMBER(SEARCH("SOPORTE",INVENTARIO!C223)),"SOP","OTR")
))))))))))))))))))))))))))))))</f>
        <v>PAN-ALU</v>
      </c>
      <c r="B223" t="str">
        <f>IF(ISNUMBER(SEARCH("CORTE",INVENTARIO!C223)),"COR",
IF(ISNUMBER(SEARCH("CITYLIGHT",INVENTARIO!C223)),"CIT",
IF(ISNUMBER(SEARCH("LINO",INVENTARIO!C223)),"LIN",
IF(ISNUMBER(SEARCH("FABRIANO",INVENTARIO!C223)),"FAB",
IF(ISNUMBER(SEARCH("SUNDANCE",INVENTARIO!C223)),"SUN",
IF(ISNUMBER(SEARCH("SINTETICA",INVENTARIO!C223)),"SIN",
IF(ISNUMBER(SEARCH("CONTROL",INVENTARIO!C223)),"CON",
IF(ISNUMBER(SEARCH("TERMICO",INVENTARIO!C223)),"TER",
IF(ISNUMBER(SEARCH("C-15",INVENTARIO!C223)),"C15",
IF(ISNUMBER(SEARCH("C-20",INVENTARIO!C223)),"C20",
IF(ISNUMBER(SEARCH("C-30",INVENTARIO!C223)),"C30",
IF(ISNUMBER(SEARCH("C-40",INVENTARIO!C223)),"C40",
IF(ISNUMBER(SEARCH("C-60",INVENTARIO!C223)),"C60",
IF(ISNUMBER(SEARCH("C-80",INVENTARIO!C223)),"C80",
IF(ISNUMBER(SEARCH("EQUIPO",INVENTARIO!C223)),"EQU",
IF(ISNUMBER(SEARCH("FLOOR",INVENTARIO!C223)),"FLO",
IF(ISNUMBER(SEARCH("CRISTAL",INVENTARIO!C223)),"CRI",
IF(ISNUMBER(SEARCH(" SULFATADA",INVENTARIO!C234)),"SUL",
IF(ISNUMBER(SEARCH("OPALINA",INVENTARIO!C223)),"OPA",
IF(ISNUMBER(SEARCH("ADHERIBLE",INVENTARIO!C223)),"ADH",
IF(ISNUMBER(SEARCH("MICRO",INVENTARIO!C223)),"MIC","")))))))))))))))))))))</f>
        <v/>
      </c>
      <c r="C223" t="str">
        <f>IF(ISNUMBER(SEARCH("PARED",INVENTARIO!C223)),"PAR",
IF(ISNUMBER(SEARCH("FRONT",INVENTARIO!C223)),"FRO",
IF(ISNUMBER(SEARCH("ALTA RESISTENCIA",INVENTARIO!C223)),
"ALT-RES",IF(ISNUMBER(SEARCH("BACKLITE",INVENTARIO!C223)),"BAC",
IF(ISNUMBER(SEARCH("MATE",INVENTARIO!C223)),"MAT",
IF(ISNUMBER(SEARCH("MESH",INVENTARIO!C223)),"MES",
IF(ISNUMBER(SEARCH("BRILLANTE",INVENTARIO!C223)),"BRI",
IF(ISNUMBER(SEARCH("DELGADA",INVENTARIO!C223)),"DEL",
IF(ISNUMBER(SEARCH("GRUESA",INVENTARIO!C223)),"GRU",
IF(ISNUMBER(SEARCH("ESTATICO",INVENTARIO!C223)),"EST",
IF(ISNUMBER(SEARCH("REFLECTIVO",INVENTARIO!C223)),"REF",
IF(ISNUMBER(SEARCH("LX700",INVENTARIO!C223)),"LX7",
IF(ISNUMBER(SEARCH("GRANDO",INVENTARIO!C223)),"GRA",
IF(ISNUMBER(SEARCH("FB700",INVENTARIO!C223)),"FB7",
IF(ISNUMBER(SEARCH("LX360",INVENTARIO!C223)),"LX3",
IF(ISNUMBER(SEARCH("XEROX",INVENTARIO!C223)),"XER",
IF(ISNUMBER(SEARCH("CEPILLADO",INVENTARIO!C223)),"CEP",
IF(ISNUMBER(SEARCH("ESPEJO",INVENTARIO!C223)),"ESP",
IF(ISNUMBER(SEARCH("10 PTS",INVENTARIO!C223)),"10PT",
IF(ISNUMBER(SEARCH("12 PTS",INVENTARIO!C223)),"12PT",
IF(ISNUMBER(SEARCH("14 PTS",INVENTARIO!C223)),"14PT",
IF(ISNUMBER(SEARCH("CLASICO",INVENTARIO!C223)),"CLA",
""))))))))))))))))))))))</f>
        <v>BRI</v>
      </c>
      <c r="D223" t="str">
        <f>IF(ISNUMBER(SEARCH("GRAN FORMATO",INVENTARIO!C223)),"GRA-FOR",
IF(ISNUMBER(SEARCH("CAMA PLANA",INVENTARIO!C223)),"CAM-PLA",
IF(ISNUMBER(SEARCH("GRADO INGENIERIA",INVENTARIO!C223)),"GRA-ING",
IF(ISNUMBER(SEARCH("130 GRS",INVENTARIO!C223)),"130GR",
IF(ISNUMBER(SEARCH("150 GRS",INVENTARIO!C223)),"150GR",
IF(ISNUMBER(SEARCH("185 GRS",INVENTARIO!C223)),"185GR",
IF(ISNUMBER(SEARCH("200 GRS",INVENTARIO!C223)),"200GR",
IF(ISNUMBER(SEARCH("250 GRS",INVENTARIO!C223)),"250GR",
IF(ISNUMBER(SEARCH("300 GRS",INVENTARIO!C223)),"300GR",
IF(ISNUMBER(SEARCH("350 GRS",INVENTARIO!C223)),"350GR",
IF(ISNUMBER(SEARCH("18 OZ",INVENTARIO!C223)),"18OZ",
IF(ISNUMBER(SEARCH("15 OZ",INVENTARIO!C223)),"15OZ",
IF(OR(ISNUMBER(SEARCH("13 OZ",INVENTARIO!C223)),ISNUMBER(SEARCH("13 ONZAS",INVENTARIO!C223))),"13OZ",
IF(OR(ISNUMBER(SEARCH("9 OZ",INVENTARIO!C223)),ISNUMBER(SEARCH("9 ONZAS",INVENTARIO!C223))),"09OZ",
IF(ISNUMBER(SEARCH("DOBLE CARA",INVENTARIO!C223)),"DOB-CAR",
"")))))))))))))))</f>
        <v/>
      </c>
      <c r="E223" t="str">
        <f>IF(OR(ISNUMBER(SEARCH("TRANSPARENTE",INVENTARIO!C223)),ISNUMBER(SEARCH("TRANSPARENTES",INVENTARIO!C223))),"TRA",
IF(OR(ISNUMBER(SEARCH("BLANCO",INVENTARIO!C223)),ISNUMBER(SEARCH("BCO",INVENTARIO!C223))),"BLA",
IF(ISNUMBER(SEARCH("FOTOGRAFICO",INVENTARIO!C223)),"FOT",
IF(ISNUMBER(SEARCH("MARFIL",INVENTARIO!C223)),"MAR",
IF(ISNUMBER(SEARCH("VERDE",INVENTARIO!C223)),"VER",
IF(ISNUMBER(SEARCH("MORADO",INVENTARIO!C223)),"MOR",
IF(ISNUMBER(SEARCH("PLATA",INVENTARIO!C223)),"PLA",
IF(ISNUMBER(SEARCH("ORO",INVENTARIO!C223)),"ORO",
IF(ISNUMBER(SEARCH("AMARILLO",INVENTARIO!C223)),"AMA",
IF(ISNUMBER(SEARCH("NARANJA",INVENTARIO!C223)),"NAR",
IF(ISNUMBER(SEARCH("NEGRO",INVENTARIO!C223)),"NEG",
IF(ISNUMBER(SEARCH("ROJO",INVENTARIO!C223)),"ROJ",
IF(ISNUMBER(SEARCH("AZUL",INVENTARIO!C223)),"AZU","")))))))))))))</f>
        <v>PLA</v>
      </c>
      <c r="F223" t="str">
        <f>IF(ISNUMBER(SEARCH("ARLON",INVENTARIO!C223)),"ARL",
IF(ISNUMBER(SEARCH("SUNTHINKS",INVENTARIO!C223)),"SUN",
IF(ISNUMBER(SEARCH("FRIO",INVENTARIO!C223)),"FRI",
IF(ISNUMBER(SEARCH("CALIDO",INVENTARIO!C223)),"CAL",
IF(ISNUMBER(SEARCH("CEPILLADO",INVENTARIO!C223)),"CEP",
IF(ISNUMBER(SEARCH("ESPEJO",INVENTARIO!C223)),"ESP",
""))))))</f>
        <v/>
      </c>
      <c r="G223" t="str">
        <f>IF(ISNUMBER(SEARCH("LATEX",INVENTARIO!C223)),"LAT",
IF(ISNUMBER(SEARCH("RESP. NEGRO",INVENTARIO!C223)),"RES-NEG",
IF(ISNUMBER(SEARCH("RESPALDO CAFE",INVENTARIO!C223)),"RES-CAF",
IF(ISNUMBER(SEARCH("RESPALDO GRIS",INVENTARIO!C223)),"RES-GRI",
IF(ISNUMBER(SEARCH("OPTICO",INVENTARIO!C223)),"OPT",
IF(ISNUMBER(SEARCH("1,2 MM",INVENTARIO!C223)),"1MM2",
IF(ISNUMBER(SEARCH("2 MM",INVENTARIO!C223)),"2MM",
IF(ISNUMBER(SEARCH("3 MM",INVENTARIO!C223)),"3MM",
IF(ISNUMBER(SEARCH("4 MM",INVENTARIO!C223)),"4MM",
IF(ISNUMBER(SEARCH("5 MM",INVENTARIO!C223)),"5MM",
IF(ISNUMBER(SEARCH("6 MM",INVENTARIO!C223)),"6MM",
IF(ISNUMBER(SEARCH("9 MM",INVENTARIO!C223)),"9MM",
IF(ISNUMBER(SEARCH("10 MM",INVENTARIO!C223)),"10MM","")))))))))))))</f>
        <v>3MM</v>
      </c>
      <c r="H223" t="str">
        <f>IF(ISNUMBER(SEARCH("GAMA BAJA",INVENTARIO!C223)),"GAM-BAJ",
IF(ISNUMBER(SEARCH("OPTIMIZADOR",INVENTARIO!C223)),"OPT",
IF(ISNUMBER(SEARCH("OVERCOAT",INVENTARIO!C223)),"OVE",
IF(ISNUMBER(SEARCH("WHITE",INVENTARIO!C223)),"WHI",
IF(ISNUMBER(SEARCH("LIGHT CYAN",INVENTARIO!C223)),"LIG-CYA",
IF(ISNUMBER(SEARCH("CYAN",INVENTARIO!C223)),"CYA",
IF(ISNUMBER(SEARCH("LIGHT MAGENTA",INVENTARIO!C223)),"LIG-MAG",
IF(ISNUMBER(SEARCH("MAGENTA",INVENTARIO!C223)),"MAG",
IF(ISNUMBER(SEARCH("BLACK",INVENTARIO!C223)),"BLA",
IF(ISNUMBER(SEARCH("YELLOW",INVENTARIO!C223)),"YEL",
IF(ISNUMBER(SEARCH("2 DIODOS",INVENTARIO!C223)),"2DI",
IF(ISNUMBER(SEARCH("3 DIODOS",INVENTARIO!C223)),"3DI",
IF(OR(ISNUMBER(SEARCH("TRASLUCIDO",INVENTARIO!C223)),ISNUMBER(SEARCH("TRANSLUCIDO",INVENTARIO!C223))),"TRA",
"")))))))))))))</f>
        <v/>
      </c>
      <c r="I22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4" spans="1:9">
      <c r="A224" t="str">
        <f>IF(ISNUMBER(SEARCH("LONA",INVENTARIO!C224)),"LON",
IF(ISNUMBER(SEARCH("VINIL",INVENTARIO!C224)),"VIN",
IF(ISNUMBER(SEARCH("KROMACOTE",INVENTARIO!C224)),"KRO",
IF(ISNUMBER(SEARCH("STARDREAM",INVENTARIO!C224)),"STA",
IF(ISNUMBER(SEARCH("DISPLAY",INVENTARIO!C224)),"DIS",
IF(ISNUMBER(SEARCH("ROLL UP",INVENTARIO!C224)),"ROL-UP",
IF(ISNUMBER(SEARCH("TRANSFER DE PAPEL",INVENTARIO!C224)),"TRA-PAP",
IF(ISNUMBER(SEARCH("TRANSFER",INVENTARIO!C224)),"TRA",IF(ISNUMBER(SEARCH("KOLA LOKA",INVENTARIO!C224)),"KOL-LOK",
IF(ISNUMBER(SEARCH("PETG",INVENTARIO!C224)),"PET",
IF(ISNUMBER(SEARCH("OJILLO",INVENTARIO!C224)),"OJI",
IF(ISNUMBER(SEARCH("COUCHE",INVENTARIO!C224)),"COU",
IF(ISNUMBER(SEARCH("PANEL DE ALUMINIO",INVENTARIO!C224)),"PAN-ALU",
IF(ISNUMBER(SEARCH("PVC",INVENTARIO!C224)),"PVC",
IF(ISNUMBER(SEARCH("PAPEL",INVENTARIO!C224)),"PAP",
IF(ISNUMBER(SEARCH("TELA",INVENTARIO!C224)),"TEL",
IF(ISNUMBER(SEARCH("CARTULINA",INVENTARIO!C224)),"CAR",
IF(OR(ISNUMBER(SEARCH("LAMINA",INVENTARIO!C224)),ISNUMBER(SEARCH("LÁMINA",INVENTARIO!C224)),ISNUMBER(SEARCH("LAMPARAS",INVENTARIO!C224))),"LAM",
IF(ISNUMBER(SEARCH("ESTIRENO",INVENTARIO!C224)),"EST",
IF(ISNUMBER(SEARCH("FOAMBOARD",INVENTARIO!C224)),"FOA",
IF(ISNUMBER(SEARCH("SOLVENTE",INVENTARIO!C224)),"SOL",
IF(ISNUMBER(SEARCH("TINTA",INVENTARIO!C224)),"TIN",
IF(ISNUMBER(SEARCH("ACRILICO",INVENTARIO!C224)),"ACR",
IF(ISNUMBER(SEARCH("MICROLED",INVENTARIO!C224)),"MIC",
IF(ISNUMBER(SEARCH("LED",INVENTARIO!C224)),"LED",
IF(ISNUMBER(SEARCH("FUENTE DE PODER",INVENTARIO!C224)),"FUE-POD",
IF(ISNUMBER(SEARCH("PETG",INVENTARIO!C224)),"PET",
IF(ISNUMBER(SEARCH("ALUMINIO",INVENTARIO!C224)),"ALU",
IF(ISNUMBER(SEARCH("CANAL",INVENTARIO!C224)),"CAN",
IF(ISNUMBER(SEARCH("ESCUADRA",INVENTARIO!C224)),"ESC",
IF(ISNUMBER(SEARCH("SOPORTE",INVENTARIO!C224)),"SOP","OTR")
))))))))))))))))))))))))))))))</f>
        <v>PAN-ALU</v>
      </c>
      <c r="B224" t="str">
        <f>IF(ISNUMBER(SEARCH("CORTE",INVENTARIO!C224)),"COR",
IF(ISNUMBER(SEARCH("CITYLIGHT",INVENTARIO!C224)),"CIT",
IF(ISNUMBER(SEARCH("LINO",INVENTARIO!C224)),"LIN",
IF(ISNUMBER(SEARCH("FABRIANO",INVENTARIO!C224)),"FAB",
IF(ISNUMBER(SEARCH("SUNDANCE",INVENTARIO!C224)),"SUN",
IF(ISNUMBER(SEARCH("SINTETICA",INVENTARIO!C224)),"SIN",
IF(ISNUMBER(SEARCH("CONTROL",INVENTARIO!C224)),"CON",
IF(ISNUMBER(SEARCH("TERMICO",INVENTARIO!C224)),"TER",
IF(ISNUMBER(SEARCH("C-15",INVENTARIO!C224)),"C15",
IF(ISNUMBER(SEARCH("C-20",INVENTARIO!C224)),"C20",
IF(ISNUMBER(SEARCH("C-30",INVENTARIO!C224)),"C30",
IF(ISNUMBER(SEARCH("C-40",INVENTARIO!C224)),"C40",
IF(ISNUMBER(SEARCH("C-60",INVENTARIO!C224)),"C60",
IF(ISNUMBER(SEARCH("C-80",INVENTARIO!C224)),"C80",
IF(ISNUMBER(SEARCH("EQUIPO",INVENTARIO!C224)),"EQU",
IF(ISNUMBER(SEARCH("FLOOR",INVENTARIO!C224)),"FLO",
IF(ISNUMBER(SEARCH("CRISTAL",INVENTARIO!C224)),"CRI",
IF(ISNUMBER(SEARCH(" SULFATADA",INVENTARIO!C235)),"SUL",
IF(ISNUMBER(SEARCH("OPALINA",INVENTARIO!C224)),"OPA",
IF(ISNUMBER(SEARCH("ADHERIBLE",INVENTARIO!C224)),"ADH",
IF(ISNUMBER(SEARCH("MICRO",INVENTARIO!C224)),"MIC","")))))))))))))))))))))</f>
        <v/>
      </c>
      <c r="C224" t="str">
        <f>IF(ISNUMBER(SEARCH("PARED",INVENTARIO!C224)),"PAR",
IF(ISNUMBER(SEARCH("FRONT",INVENTARIO!C224)),"FRO",
IF(ISNUMBER(SEARCH("ALTA RESISTENCIA",INVENTARIO!C224)),
"ALT-RES",IF(ISNUMBER(SEARCH("BACKLITE",INVENTARIO!C224)),"BAC",
IF(ISNUMBER(SEARCH("MATE",INVENTARIO!C224)),"MAT",
IF(ISNUMBER(SEARCH("MESH",INVENTARIO!C224)),"MES",
IF(ISNUMBER(SEARCH("BRILLANTE",INVENTARIO!C224)),"BRI",
IF(ISNUMBER(SEARCH("DELGADA",INVENTARIO!C224)),"DEL",
IF(ISNUMBER(SEARCH("GRUESA",INVENTARIO!C224)),"GRU",
IF(ISNUMBER(SEARCH("ESTATICO",INVENTARIO!C224)),"EST",
IF(ISNUMBER(SEARCH("REFLECTIVO",INVENTARIO!C224)),"REF",
IF(ISNUMBER(SEARCH("LX700",INVENTARIO!C224)),"LX7",
IF(ISNUMBER(SEARCH("GRANDO",INVENTARIO!C224)),"GRA",
IF(ISNUMBER(SEARCH("FB700",INVENTARIO!C224)),"FB7",
IF(ISNUMBER(SEARCH("LX360",INVENTARIO!C224)),"LX3",
IF(ISNUMBER(SEARCH("XEROX",INVENTARIO!C224)),"XER",
IF(ISNUMBER(SEARCH("CEPILLADO",INVENTARIO!C224)),"CEP",
IF(ISNUMBER(SEARCH("ESPEJO",INVENTARIO!C224)),"ESP",
IF(ISNUMBER(SEARCH("10 PTS",INVENTARIO!C224)),"10PT",
IF(ISNUMBER(SEARCH("12 PTS",INVENTARIO!C224)),"12PT",
IF(ISNUMBER(SEARCH("14 PTS",INVENTARIO!C224)),"14PT",
IF(ISNUMBER(SEARCH("CLASICO",INVENTARIO!C224)),"CLA",
""))))))))))))))))))))))</f>
        <v>BRI</v>
      </c>
      <c r="D224" t="str">
        <f>IF(ISNUMBER(SEARCH("GRAN FORMATO",INVENTARIO!C224)),"GRA-FOR",
IF(ISNUMBER(SEARCH("CAMA PLANA",INVENTARIO!C224)),"CAM-PLA",
IF(ISNUMBER(SEARCH("GRADO INGENIERIA",INVENTARIO!C224)),"GRA-ING",
IF(ISNUMBER(SEARCH("130 GRS",INVENTARIO!C224)),"130GR",
IF(ISNUMBER(SEARCH("150 GRS",INVENTARIO!C224)),"150GR",
IF(ISNUMBER(SEARCH("185 GRS",INVENTARIO!C224)),"185GR",
IF(ISNUMBER(SEARCH("200 GRS",INVENTARIO!C224)),"200GR",
IF(ISNUMBER(SEARCH("250 GRS",INVENTARIO!C224)),"250GR",
IF(ISNUMBER(SEARCH("300 GRS",INVENTARIO!C224)),"300GR",
IF(ISNUMBER(SEARCH("350 GRS",INVENTARIO!C224)),"350GR",
IF(ISNUMBER(SEARCH("18 OZ",INVENTARIO!C224)),"18OZ",
IF(ISNUMBER(SEARCH("15 OZ",INVENTARIO!C224)),"15OZ",
IF(OR(ISNUMBER(SEARCH("13 OZ",INVENTARIO!C224)),ISNUMBER(SEARCH("13 ONZAS",INVENTARIO!C224))),"13OZ",
IF(OR(ISNUMBER(SEARCH("9 OZ",INVENTARIO!C224)),ISNUMBER(SEARCH("9 ONZAS",INVENTARIO!C224))),"09OZ",
IF(ISNUMBER(SEARCH("DOBLE CARA",INVENTARIO!C224)),"DOB-CAR",
"")))))))))))))))</f>
        <v/>
      </c>
      <c r="E224" t="str">
        <f>IF(OR(ISNUMBER(SEARCH("TRANSPARENTE",INVENTARIO!C224)),ISNUMBER(SEARCH("TRANSPARENTES",INVENTARIO!C224))),"TRA",
IF(OR(ISNUMBER(SEARCH("BLANCO",INVENTARIO!C224)),ISNUMBER(SEARCH("BCO",INVENTARIO!C224))),"BLA",
IF(ISNUMBER(SEARCH("FOTOGRAFICO",INVENTARIO!C224)),"FOT",
IF(ISNUMBER(SEARCH("MARFIL",INVENTARIO!C224)),"MAR",
IF(ISNUMBER(SEARCH("VERDE",INVENTARIO!C224)),"VER",
IF(ISNUMBER(SEARCH("MORADO",INVENTARIO!C224)),"MOR",
IF(ISNUMBER(SEARCH("PLATA",INVENTARIO!C224)),"PLA",
IF(ISNUMBER(SEARCH("ORO",INVENTARIO!C224)),"ORO",
IF(ISNUMBER(SEARCH("AMARILLO",INVENTARIO!C224)),"AMA",
IF(ISNUMBER(SEARCH("NARANJA",INVENTARIO!C224)),"NAR",
IF(ISNUMBER(SEARCH("NEGRO",INVENTARIO!C224)),"NEG",
IF(ISNUMBER(SEARCH("ROJO",INVENTARIO!C224)),"ROJ",
IF(ISNUMBER(SEARCH("AZUL",INVENTARIO!C224)),"AZU","")))))))))))))</f>
        <v>PLA</v>
      </c>
      <c r="F224" t="str">
        <f>IF(ISNUMBER(SEARCH("ARLON",INVENTARIO!C224)),"ARL",
IF(ISNUMBER(SEARCH("SUNTHINKS",INVENTARIO!C224)),"SUN",
IF(ISNUMBER(SEARCH("FRIO",INVENTARIO!C224)),"FRI",
IF(ISNUMBER(SEARCH("CALIDO",INVENTARIO!C224)),"CAL",
IF(ISNUMBER(SEARCH("CEPILLADO",INVENTARIO!C224)),"CEP",
IF(ISNUMBER(SEARCH("ESPEJO",INVENTARIO!C224)),"ESP",
""))))))</f>
        <v/>
      </c>
      <c r="G224" t="str">
        <f>IF(ISNUMBER(SEARCH("LATEX",INVENTARIO!C224)),"LAT",
IF(ISNUMBER(SEARCH("RESP. NEGRO",INVENTARIO!C224)),"RES-NEG",
IF(ISNUMBER(SEARCH("RESPALDO CAFE",INVENTARIO!C224)),"RES-CAF",
IF(ISNUMBER(SEARCH("RESPALDO GRIS",INVENTARIO!C224)),"RES-GRI",
IF(ISNUMBER(SEARCH("OPTICO",INVENTARIO!C224)),"OPT",
IF(ISNUMBER(SEARCH("1,2 MM",INVENTARIO!C224)),"1MM2",
IF(ISNUMBER(SEARCH("2 MM",INVENTARIO!C224)),"2MM",
IF(ISNUMBER(SEARCH("3 MM",INVENTARIO!C224)),"3MM",
IF(ISNUMBER(SEARCH("4 MM",INVENTARIO!C224)),"4MM",
IF(ISNUMBER(SEARCH("5 MM",INVENTARIO!C224)),"5MM",
IF(ISNUMBER(SEARCH("6 MM",INVENTARIO!C224)),"6MM",
IF(ISNUMBER(SEARCH("9 MM",INVENTARIO!C224)),"9MM",
IF(ISNUMBER(SEARCH("10 MM",INVENTARIO!C224)),"10MM","")))))))))))))</f>
        <v>3MM</v>
      </c>
      <c r="H224" t="str">
        <f>IF(ISNUMBER(SEARCH("GAMA BAJA",INVENTARIO!C224)),"GAM-BAJ",
IF(ISNUMBER(SEARCH("OPTIMIZADOR",INVENTARIO!C224)),"OPT",
IF(ISNUMBER(SEARCH("OVERCOAT",INVENTARIO!C224)),"OVE",
IF(ISNUMBER(SEARCH("WHITE",INVENTARIO!C224)),"WHI",
IF(ISNUMBER(SEARCH("LIGHT CYAN",INVENTARIO!C224)),"LIG-CYA",
IF(ISNUMBER(SEARCH("CYAN",INVENTARIO!C224)),"CYA",
IF(ISNUMBER(SEARCH("LIGHT MAGENTA",INVENTARIO!C224)),"LIG-MAG",
IF(ISNUMBER(SEARCH("MAGENTA",INVENTARIO!C224)),"MAG",
IF(ISNUMBER(SEARCH("BLACK",INVENTARIO!C224)),"BLA",
IF(ISNUMBER(SEARCH("YELLOW",INVENTARIO!C224)),"YEL",
IF(ISNUMBER(SEARCH("2 DIODOS",INVENTARIO!C224)),"2DI",
IF(ISNUMBER(SEARCH("3 DIODOS",INVENTARIO!C224)),"3DI",
IF(OR(ISNUMBER(SEARCH("TRASLUCIDO",INVENTARIO!C224)),ISNUMBER(SEARCH("TRANSLUCIDO",INVENTARIO!C224))),"TRA",
"")))))))))))))</f>
        <v/>
      </c>
      <c r="I22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5" spans="1:9">
      <c r="A225" t="str">
        <f>IF(ISNUMBER(SEARCH("LONA",INVENTARIO!C225)),"LON",
IF(ISNUMBER(SEARCH("VINIL",INVENTARIO!C225)),"VIN",
IF(ISNUMBER(SEARCH("KROMACOTE",INVENTARIO!C225)),"KRO",
IF(ISNUMBER(SEARCH("STARDREAM",INVENTARIO!C225)),"STA",
IF(ISNUMBER(SEARCH("DISPLAY",INVENTARIO!C225)),"DIS",
IF(ISNUMBER(SEARCH("ROLL UP",INVENTARIO!C225)),"ROL-UP",
IF(ISNUMBER(SEARCH("TRANSFER DE PAPEL",INVENTARIO!C225)),"TRA-PAP",
IF(ISNUMBER(SEARCH("TRANSFER",INVENTARIO!C225)),"TRA",IF(ISNUMBER(SEARCH("KOLA LOKA",INVENTARIO!C225)),"KOL-LOK",
IF(ISNUMBER(SEARCH("PETG",INVENTARIO!C225)),"PET",
IF(ISNUMBER(SEARCH("OJILLO",INVENTARIO!C225)),"OJI",
IF(ISNUMBER(SEARCH("COUCHE",INVENTARIO!C225)),"COU",
IF(ISNUMBER(SEARCH("PANEL DE ALUMINIO",INVENTARIO!C225)),"PAN-ALU",
IF(ISNUMBER(SEARCH("PVC",INVENTARIO!C225)),"PVC",
IF(ISNUMBER(SEARCH("PAPEL",INVENTARIO!C225)),"PAP",
IF(ISNUMBER(SEARCH("TELA",INVENTARIO!C225)),"TEL",
IF(ISNUMBER(SEARCH("CARTULINA",INVENTARIO!C225)),"CAR",
IF(OR(ISNUMBER(SEARCH("LAMINA",INVENTARIO!C225)),ISNUMBER(SEARCH("LÁMINA",INVENTARIO!C225)),ISNUMBER(SEARCH("LAMPARAS",INVENTARIO!C225))),"LAM",
IF(ISNUMBER(SEARCH("ESTIRENO",INVENTARIO!C225)),"EST",
IF(ISNUMBER(SEARCH("FOAMBOARD",INVENTARIO!C225)),"FOA",
IF(ISNUMBER(SEARCH("SOLVENTE",INVENTARIO!C225)),"SOL",
IF(ISNUMBER(SEARCH("TINTA",INVENTARIO!C225)),"TIN",
IF(ISNUMBER(SEARCH("ACRILICO",INVENTARIO!C225)),"ACR",
IF(ISNUMBER(SEARCH("MICROLED",INVENTARIO!C225)),"MIC",
IF(ISNUMBER(SEARCH("LED",INVENTARIO!C225)),"LED",
IF(ISNUMBER(SEARCH("FUENTE DE PODER",INVENTARIO!C225)),"FUE-POD",
IF(ISNUMBER(SEARCH("PETG",INVENTARIO!C225)),"PET",
IF(ISNUMBER(SEARCH("ALUMINIO",INVENTARIO!C225)),"ALU",
IF(ISNUMBER(SEARCH("CANAL",INVENTARIO!C225)),"CAN",
IF(ISNUMBER(SEARCH("ESCUADRA",INVENTARIO!C225)),"ESC",
IF(ISNUMBER(SEARCH("SOPORTE",INVENTARIO!C225)),"SOP","OTR")
))))))))))))))))))))))))))))))</f>
        <v>PAN-ALU</v>
      </c>
      <c r="B225" t="str">
        <f>IF(ISNUMBER(SEARCH("CORTE",INVENTARIO!C225)),"COR",
IF(ISNUMBER(SEARCH("CITYLIGHT",INVENTARIO!C225)),"CIT",
IF(ISNUMBER(SEARCH("LINO",INVENTARIO!C225)),"LIN",
IF(ISNUMBER(SEARCH("FABRIANO",INVENTARIO!C225)),"FAB",
IF(ISNUMBER(SEARCH("SUNDANCE",INVENTARIO!C225)),"SUN",
IF(ISNUMBER(SEARCH("SINTETICA",INVENTARIO!C225)),"SIN",
IF(ISNUMBER(SEARCH("CONTROL",INVENTARIO!C225)),"CON",
IF(ISNUMBER(SEARCH("TERMICO",INVENTARIO!C225)),"TER",
IF(ISNUMBER(SEARCH("C-15",INVENTARIO!C225)),"C15",
IF(ISNUMBER(SEARCH("C-20",INVENTARIO!C225)),"C20",
IF(ISNUMBER(SEARCH("C-30",INVENTARIO!C225)),"C30",
IF(ISNUMBER(SEARCH("C-40",INVENTARIO!C225)),"C40",
IF(ISNUMBER(SEARCH("C-60",INVENTARIO!C225)),"C60",
IF(ISNUMBER(SEARCH("C-80",INVENTARIO!C225)),"C80",
IF(ISNUMBER(SEARCH("EQUIPO",INVENTARIO!C225)),"EQU",
IF(ISNUMBER(SEARCH("FLOOR",INVENTARIO!C225)),"FLO",
IF(ISNUMBER(SEARCH("CRISTAL",INVENTARIO!C225)),"CRI",
IF(ISNUMBER(SEARCH(" SULFATADA",INVENTARIO!C236)),"SUL",
IF(ISNUMBER(SEARCH("OPALINA",INVENTARIO!C225)),"OPA",
IF(ISNUMBER(SEARCH("ADHERIBLE",INVENTARIO!C225)),"ADH",
IF(ISNUMBER(SEARCH("MICRO",INVENTARIO!C225)),"MIC","")))))))))))))))))))))</f>
        <v/>
      </c>
      <c r="C225" t="str">
        <f>IF(ISNUMBER(SEARCH("PARED",INVENTARIO!C225)),"PAR",
IF(ISNUMBER(SEARCH("FRONT",INVENTARIO!C225)),"FRO",
IF(ISNUMBER(SEARCH("ALTA RESISTENCIA",INVENTARIO!C225)),
"ALT-RES",IF(ISNUMBER(SEARCH("BACKLITE",INVENTARIO!C225)),"BAC",
IF(ISNUMBER(SEARCH("MATE",INVENTARIO!C225)),"MAT",
IF(ISNUMBER(SEARCH("MESH",INVENTARIO!C225)),"MES",
IF(ISNUMBER(SEARCH("BRILLANTE",INVENTARIO!C225)),"BRI",
IF(ISNUMBER(SEARCH("DELGADA",INVENTARIO!C225)),"DEL",
IF(ISNUMBER(SEARCH("GRUESA",INVENTARIO!C225)),"GRU",
IF(ISNUMBER(SEARCH("ESTATICO",INVENTARIO!C225)),"EST",
IF(ISNUMBER(SEARCH("REFLECTIVO",INVENTARIO!C225)),"REF",
IF(ISNUMBER(SEARCH("LX700",INVENTARIO!C225)),"LX7",
IF(ISNUMBER(SEARCH("GRANDO",INVENTARIO!C225)),"GRA",
IF(ISNUMBER(SEARCH("FB700",INVENTARIO!C225)),"FB7",
IF(ISNUMBER(SEARCH("LX360",INVENTARIO!C225)),"LX3",
IF(ISNUMBER(SEARCH("XEROX",INVENTARIO!C225)),"XER",
IF(ISNUMBER(SEARCH("CEPILLADO",INVENTARIO!C225)),"CEP",
IF(ISNUMBER(SEARCH("ESPEJO",INVENTARIO!C225)),"ESP",
IF(ISNUMBER(SEARCH("10 PTS",INVENTARIO!C225)),"10PT",
IF(ISNUMBER(SEARCH("12 PTS",INVENTARIO!C225)),"12PT",
IF(ISNUMBER(SEARCH("14 PTS",INVENTARIO!C225)),"14PT",
IF(ISNUMBER(SEARCH("CLASICO",INVENTARIO!C225)),"CLA",
""))))))))))))))))))))))</f>
        <v>CEP</v>
      </c>
      <c r="D225" t="str">
        <f>IF(ISNUMBER(SEARCH("GRAN FORMATO",INVENTARIO!C225)),"GRA-FOR",
IF(ISNUMBER(SEARCH("CAMA PLANA",INVENTARIO!C225)),"CAM-PLA",
IF(ISNUMBER(SEARCH("GRADO INGENIERIA",INVENTARIO!C225)),"GRA-ING",
IF(ISNUMBER(SEARCH("130 GRS",INVENTARIO!C225)),"130GR",
IF(ISNUMBER(SEARCH("150 GRS",INVENTARIO!C225)),"150GR",
IF(ISNUMBER(SEARCH("185 GRS",INVENTARIO!C225)),"185GR",
IF(ISNUMBER(SEARCH("200 GRS",INVENTARIO!C225)),"200GR",
IF(ISNUMBER(SEARCH("250 GRS",INVENTARIO!C225)),"250GR",
IF(ISNUMBER(SEARCH("300 GRS",INVENTARIO!C225)),"300GR",
IF(ISNUMBER(SEARCH("350 GRS",INVENTARIO!C225)),"350GR",
IF(ISNUMBER(SEARCH("18 OZ",INVENTARIO!C225)),"18OZ",
IF(ISNUMBER(SEARCH("15 OZ",INVENTARIO!C225)),"15OZ",
IF(OR(ISNUMBER(SEARCH("13 OZ",INVENTARIO!C225)),ISNUMBER(SEARCH("13 ONZAS",INVENTARIO!C225))),"13OZ",
IF(OR(ISNUMBER(SEARCH("9 OZ",INVENTARIO!C225)),ISNUMBER(SEARCH("9 ONZAS",INVENTARIO!C225))),"09OZ",
IF(ISNUMBER(SEARCH("DOBLE CARA",INVENTARIO!C225)),"DOB-CAR",
"")))))))))))))))</f>
        <v/>
      </c>
      <c r="E225" t="str">
        <f>IF(OR(ISNUMBER(SEARCH("TRANSPARENTE",INVENTARIO!C225)),ISNUMBER(SEARCH("TRANSPARENTES",INVENTARIO!C225))),"TRA",
IF(OR(ISNUMBER(SEARCH("BLANCO",INVENTARIO!C225)),ISNUMBER(SEARCH("BCO",INVENTARIO!C225))),"BLA",
IF(ISNUMBER(SEARCH("FOTOGRAFICO",INVENTARIO!C225)),"FOT",
IF(ISNUMBER(SEARCH("MARFIL",INVENTARIO!C225)),"MAR",
IF(ISNUMBER(SEARCH("VERDE",INVENTARIO!C225)),"VER",
IF(ISNUMBER(SEARCH("MORADO",INVENTARIO!C225)),"MOR",
IF(ISNUMBER(SEARCH("PLATA",INVENTARIO!C225)),"PLA",
IF(ISNUMBER(SEARCH("ORO",INVENTARIO!C225)),"ORO",
IF(ISNUMBER(SEARCH("AMARILLO",INVENTARIO!C225)),"AMA",
IF(ISNUMBER(SEARCH("NARANJA",INVENTARIO!C225)),"NAR",
IF(ISNUMBER(SEARCH("NEGRO",INVENTARIO!C225)),"NEG",
IF(ISNUMBER(SEARCH("ROJO",INVENTARIO!C225)),"ROJ",
IF(ISNUMBER(SEARCH("AZUL",INVENTARIO!C225)),"AZU","")))))))))))))</f>
        <v>PLA</v>
      </c>
      <c r="F225" t="str">
        <f>IF(ISNUMBER(SEARCH("ARLON",INVENTARIO!C225)),"ARL",
IF(ISNUMBER(SEARCH("SUNTHINKS",INVENTARIO!C225)),"SUN",
IF(ISNUMBER(SEARCH("FRIO",INVENTARIO!C225)),"FRI",
IF(ISNUMBER(SEARCH("CALIDO",INVENTARIO!C225)),"CAL",
IF(ISNUMBER(SEARCH("CEPILLADO",INVENTARIO!C225)),"CEP",
IF(ISNUMBER(SEARCH("ESPEJO",INVENTARIO!C225)),"ESP",
""))))))</f>
        <v>CEP</v>
      </c>
      <c r="G225" t="str">
        <f>IF(ISNUMBER(SEARCH("LATEX",INVENTARIO!C225)),"LAT",
IF(ISNUMBER(SEARCH("RESP. NEGRO",INVENTARIO!C225)),"RES-NEG",
IF(ISNUMBER(SEARCH("RESPALDO CAFE",INVENTARIO!C225)),"RES-CAF",
IF(ISNUMBER(SEARCH("RESPALDO GRIS",INVENTARIO!C225)),"RES-GRI",
IF(ISNUMBER(SEARCH("OPTICO",INVENTARIO!C225)),"OPT",
IF(ISNUMBER(SEARCH("1,2 MM",INVENTARIO!C225)),"1MM2",
IF(ISNUMBER(SEARCH("2 MM",INVENTARIO!C225)),"2MM",
IF(ISNUMBER(SEARCH("3 MM",INVENTARIO!C225)),"3MM",
IF(ISNUMBER(SEARCH("4 MM",INVENTARIO!C225)),"4MM",
IF(ISNUMBER(SEARCH("5 MM",INVENTARIO!C225)),"5MM",
IF(ISNUMBER(SEARCH("6 MM",INVENTARIO!C225)),"6MM",
IF(ISNUMBER(SEARCH("9 MM",INVENTARIO!C225)),"9MM",
IF(ISNUMBER(SEARCH("10 MM",INVENTARIO!C225)),"10MM","")))))))))))))</f>
        <v>3MM</v>
      </c>
      <c r="H225" t="str">
        <f>IF(ISNUMBER(SEARCH("GAMA BAJA",INVENTARIO!C225)),"GAM-BAJ",
IF(ISNUMBER(SEARCH("OPTIMIZADOR",INVENTARIO!C225)),"OPT",
IF(ISNUMBER(SEARCH("OVERCOAT",INVENTARIO!C225)),"OVE",
IF(ISNUMBER(SEARCH("WHITE",INVENTARIO!C225)),"WHI",
IF(ISNUMBER(SEARCH("LIGHT CYAN",INVENTARIO!C225)),"LIG-CYA",
IF(ISNUMBER(SEARCH("CYAN",INVENTARIO!C225)),"CYA",
IF(ISNUMBER(SEARCH("LIGHT MAGENTA",INVENTARIO!C225)),"LIG-MAG",
IF(ISNUMBER(SEARCH("MAGENTA",INVENTARIO!C225)),"MAG",
IF(ISNUMBER(SEARCH("BLACK",INVENTARIO!C225)),"BLA",
IF(ISNUMBER(SEARCH("YELLOW",INVENTARIO!C225)),"YEL",
IF(ISNUMBER(SEARCH("2 DIODOS",INVENTARIO!C225)),"2DI",
IF(ISNUMBER(SEARCH("3 DIODOS",INVENTARIO!C225)),"3DI",
IF(OR(ISNUMBER(SEARCH("TRASLUCIDO",INVENTARIO!C225)),ISNUMBER(SEARCH("TRANSLUCIDO",INVENTARIO!C225))),"TRA",
"")))))))))))))</f>
        <v/>
      </c>
      <c r="I22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6" spans="1:9">
      <c r="A226" t="str">
        <f>IF(ISNUMBER(SEARCH("LONA",INVENTARIO!C226)),"LON",
IF(ISNUMBER(SEARCH("VINIL",INVENTARIO!C226)),"VIN",
IF(ISNUMBER(SEARCH("KROMACOTE",INVENTARIO!C226)),"KRO",
IF(ISNUMBER(SEARCH("STARDREAM",INVENTARIO!C226)),"STA",
IF(ISNUMBER(SEARCH("DISPLAY",INVENTARIO!C226)),"DIS",
IF(ISNUMBER(SEARCH("ROLL UP",INVENTARIO!C226)),"ROL-UP",
IF(ISNUMBER(SEARCH("TRANSFER DE PAPEL",INVENTARIO!C226)),"TRA-PAP",
IF(ISNUMBER(SEARCH("TRANSFER",INVENTARIO!C226)),"TRA",IF(ISNUMBER(SEARCH("KOLA LOKA",INVENTARIO!C226)),"KOL-LOK",
IF(ISNUMBER(SEARCH("PETG",INVENTARIO!C226)),"PET",
IF(ISNUMBER(SEARCH("OJILLO",INVENTARIO!C226)),"OJI",
IF(ISNUMBER(SEARCH("COUCHE",INVENTARIO!C226)),"COU",
IF(ISNUMBER(SEARCH("PANEL DE ALUMINIO",INVENTARIO!C226)),"PAN-ALU",
IF(ISNUMBER(SEARCH("PVC",INVENTARIO!C226)),"PVC",
IF(ISNUMBER(SEARCH("PAPEL",INVENTARIO!C226)),"PAP",
IF(ISNUMBER(SEARCH("TELA",INVENTARIO!C226)),"TEL",
IF(ISNUMBER(SEARCH("CARTULINA",INVENTARIO!C226)),"CAR",
IF(OR(ISNUMBER(SEARCH("LAMINA",INVENTARIO!C226)),ISNUMBER(SEARCH("LÁMINA",INVENTARIO!C226)),ISNUMBER(SEARCH("LAMPARAS",INVENTARIO!C226))),"LAM",
IF(ISNUMBER(SEARCH("ESTIRENO",INVENTARIO!C226)),"EST",
IF(ISNUMBER(SEARCH("FOAMBOARD",INVENTARIO!C226)),"FOA",
IF(ISNUMBER(SEARCH("SOLVENTE",INVENTARIO!C226)),"SOL",
IF(ISNUMBER(SEARCH("TINTA",INVENTARIO!C226)),"TIN",
IF(ISNUMBER(SEARCH("ACRILICO",INVENTARIO!C226)),"ACR",
IF(ISNUMBER(SEARCH("MICROLED",INVENTARIO!C226)),"MIC",
IF(ISNUMBER(SEARCH("LED",INVENTARIO!C226)),"LED",
IF(ISNUMBER(SEARCH("FUENTE DE PODER",INVENTARIO!C226)),"FUE-POD",
IF(ISNUMBER(SEARCH("PETG",INVENTARIO!C226)),"PET",
IF(ISNUMBER(SEARCH("ALUMINIO",INVENTARIO!C226)),"ALU",
IF(ISNUMBER(SEARCH("CANAL",INVENTARIO!C226)),"CAN",
IF(ISNUMBER(SEARCH("ESCUADRA",INVENTARIO!C226)),"ESC",
IF(ISNUMBER(SEARCH("SOPORTE",INVENTARIO!C226)),"SOP","OTR")
))))))))))))))))))))))))))))))</f>
        <v>PAN-ALU</v>
      </c>
      <c r="B226" t="str">
        <f>IF(ISNUMBER(SEARCH("CORTE",INVENTARIO!C226)),"COR",
IF(ISNUMBER(SEARCH("CITYLIGHT",INVENTARIO!C226)),"CIT",
IF(ISNUMBER(SEARCH("LINO",INVENTARIO!C226)),"LIN",
IF(ISNUMBER(SEARCH("FABRIANO",INVENTARIO!C226)),"FAB",
IF(ISNUMBER(SEARCH("SUNDANCE",INVENTARIO!C226)),"SUN",
IF(ISNUMBER(SEARCH("SINTETICA",INVENTARIO!C226)),"SIN",
IF(ISNUMBER(SEARCH("CONTROL",INVENTARIO!C226)),"CON",
IF(ISNUMBER(SEARCH("TERMICO",INVENTARIO!C226)),"TER",
IF(ISNUMBER(SEARCH("C-15",INVENTARIO!C226)),"C15",
IF(ISNUMBER(SEARCH("C-20",INVENTARIO!C226)),"C20",
IF(ISNUMBER(SEARCH("C-30",INVENTARIO!C226)),"C30",
IF(ISNUMBER(SEARCH("C-40",INVENTARIO!C226)),"C40",
IF(ISNUMBER(SEARCH("C-60",INVENTARIO!C226)),"C60",
IF(ISNUMBER(SEARCH("C-80",INVENTARIO!C226)),"C80",
IF(ISNUMBER(SEARCH("EQUIPO",INVENTARIO!C226)),"EQU",
IF(ISNUMBER(SEARCH("FLOOR",INVENTARIO!C226)),"FLO",
IF(ISNUMBER(SEARCH("CRISTAL",INVENTARIO!C226)),"CRI",
IF(ISNUMBER(SEARCH(" SULFATADA",INVENTARIO!C237)),"SUL",
IF(ISNUMBER(SEARCH("OPALINA",INVENTARIO!C226)),"OPA",
IF(ISNUMBER(SEARCH("ADHERIBLE",INVENTARIO!C226)),"ADH",
IF(ISNUMBER(SEARCH("MICRO",INVENTARIO!C226)),"MIC","")))))))))))))))))))))</f>
        <v/>
      </c>
      <c r="C226" t="str">
        <f>IF(ISNUMBER(SEARCH("PARED",INVENTARIO!C226)),"PAR",
IF(ISNUMBER(SEARCH("FRONT",INVENTARIO!C226)),"FRO",
IF(ISNUMBER(SEARCH("ALTA RESISTENCIA",INVENTARIO!C226)),
"ALT-RES",IF(ISNUMBER(SEARCH("BACKLITE",INVENTARIO!C226)),"BAC",
IF(ISNUMBER(SEARCH("MATE",INVENTARIO!C226)),"MAT",
IF(ISNUMBER(SEARCH("MESH",INVENTARIO!C226)),"MES",
IF(ISNUMBER(SEARCH("BRILLANTE",INVENTARIO!C226)),"BRI",
IF(ISNUMBER(SEARCH("DELGADA",INVENTARIO!C226)),"DEL",
IF(ISNUMBER(SEARCH("GRUESA",INVENTARIO!C226)),"GRU",
IF(ISNUMBER(SEARCH("ESTATICO",INVENTARIO!C226)),"EST",
IF(ISNUMBER(SEARCH("REFLECTIVO",INVENTARIO!C226)),"REF",
IF(ISNUMBER(SEARCH("LX700",INVENTARIO!C226)),"LX7",
IF(ISNUMBER(SEARCH("GRANDO",INVENTARIO!C226)),"GRA",
IF(ISNUMBER(SEARCH("FB700",INVENTARIO!C226)),"FB7",
IF(ISNUMBER(SEARCH("LX360",INVENTARIO!C226)),"LX3",
IF(ISNUMBER(SEARCH("XEROX",INVENTARIO!C226)),"XER",
IF(ISNUMBER(SEARCH("CEPILLADO",INVENTARIO!C226)),"CEP",
IF(ISNUMBER(SEARCH("ESPEJO",INVENTARIO!C226)),"ESP",
IF(ISNUMBER(SEARCH("10 PTS",INVENTARIO!C226)),"10PT",
IF(ISNUMBER(SEARCH("12 PTS",INVENTARIO!C226)),"12PT",
IF(ISNUMBER(SEARCH("14 PTS",INVENTARIO!C226)),"14PT",
IF(ISNUMBER(SEARCH("CLASICO",INVENTARIO!C226)),"CLA",
""))))))))))))))))))))))</f>
        <v>CEP</v>
      </c>
      <c r="D226" t="str">
        <f>IF(ISNUMBER(SEARCH("GRAN FORMATO",INVENTARIO!C226)),"GRA-FOR",
IF(ISNUMBER(SEARCH("CAMA PLANA",INVENTARIO!C226)),"CAM-PLA",
IF(ISNUMBER(SEARCH("GRADO INGENIERIA",INVENTARIO!C226)),"GRA-ING",
IF(ISNUMBER(SEARCH("130 GRS",INVENTARIO!C226)),"130GR",
IF(ISNUMBER(SEARCH("150 GRS",INVENTARIO!C226)),"150GR",
IF(ISNUMBER(SEARCH("185 GRS",INVENTARIO!C226)),"185GR",
IF(ISNUMBER(SEARCH("200 GRS",INVENTARIO!C226)),"200GR",
IF(ISNUMBER(SEARCH("250 GRS",INVENTARIO!C226)),"250GR",
IF(ISNUMBER(SEARCH("300 GRS",INVENTARIO!C226)),"300GR",
IF(ISNUMBER(SEARCH("350 GRS",INVENTARIO!C226)),"350GR",
IF(ISNUMBER(SEARCH("18 OZ",INVENTARIO!C226)),"18OZ",
IF(ISNUMBER(SEARCH("15 OZ",INVENTARIO!C226)),"15OZ",
IF(OR(ISNUMBER(SEARCH("13 OZ",INVENTARIO!C226)),ISNUMBER(SEARCH("13 ONZAS",INVENTARIO!C226))),"13OZ",
IF(OR(ISNUMBER(SEARCH("9 OZ",INVENTARIO!C226)),ISNUMBER(SEARCH("9 ONZAS",INVENTARIO!C226))),"09OZ",
IF(ISNUMBER(SEARCH("DOBLE CARA",INVENTARIO!C226)),"DOB-CAR",
"")))))))))))))))</f>
        <v/>
      </c>
      <c r="E226" t="str">
        <f>IF(OR(ISNUMBER(SEARCH("TRANSPARENTE",INVENTARIO!C226)),ISNUMBER(SEARCH("TRANSPARENTES",INVENTARIO!C226))),"TRA",
IF(OR(ISNUMBER(SEARCH("BLANCO",INVENTARIO!C226)),ISNUMBER(SEARCH("BCO",INVENTARIO!C226))),"BLA",
IF(ISNUMBER(SEARCH("FOTOGRAFICO",INVENTARIO!C226)),"FOT",
IF(ISNUMBER(SEARCH("MARFIL",INVENTARIO!C226)),"MAR",
IF(ISNUMBER(SEARCH("VERDE",INVENTARIO!C226)),"VER",
IF(ISNUMBER(SEARCH("MORADO",INVENTARIO!C226)),"MOR",
IF(ISNUMBER(SEARCH("PLATA",INVENTARIO!C226)),"PLA",
IF(ISNUMBER(SEARCH("ORO",INVENTARIO!C226)),"ORO",
IF(ISNUMBER(SEARCH("AMARILLO",INVENTARIO!C226)),"AMA",
IF(ISNUMBER(SEARCH("NARANJA",INVENTARIO!C226)),"NAR",
IF(ISNUMBER(SEARCH("NEGRO",INVENTARIO!C226)),"NEG",
IF(ISNUMBER(SEARCH("ROJO",INVENTARIO!C226)),"ROJ",
IF(ISNUMBER(SEARCH("AZUL",INVENTARIO!C226)),"AZU","")))))))))))))</f>
        <v>PLA</v>
      </c>
      <c r="F226" t="str">
        <f>IF(ISNUMBER(SEARCH("ARLON",INVENTARIO!C226)),"ARL",
IF(ISNUMBER(SEARCH("SUNTHINKS",INVENTARIO!C226)),"SUN",
IF(ISNUMBER(SEARCH("FRIO",INVENTARIO!C226)),"FRI",
IF(ISNUMBER(SEARCH("CALIDO",INVENTARIO!C226)),"CAL",
IF(ISNUMBER(SEARCH("CEPILLADO",INVENTARIO!C226)),"CEP",
IF(ISNUMBER(SEARCH("ESPEJO",INVENTARIO!C226)),"ESP",
""))))))</f>
        <v>CEP</v>
      </c>
      <c r="G226" t="str">
        <f>IF(ISNUMBER(SEARCH("LATEX",INVENTARIO!C226)),"LAT",
IF(ISNUMBER(SEARCH("RESP. NEGRO",INVENTARIO!C226)),"RES-NEG",
IF(ISNUMBER(SEARCH("RESPALDO CAFE",INVENTARIO!C226)),"RES-CAF",
IF(ISNUMBER(SEARCH("RESPALDO GRIS",INVENTARIO!C226)),"RES-GRI",
IF(ISNUMBER(SEARCH("OPTICO",INVENTARIO!C226)),"OPT",
IF(ISNUMBER(SEARCH("1,2 MM",INVENTARIO!C226)),"1MM2",
IF(ISNUMBER(SEARCH("2 MM",INVENTARIO!C226)),"2MM",
IF(ISNUMBER(SEARCH("3 MM",INVENTARIO!C226)),"3MM",
IF(ISNUMBER(SEARCH("4 MM",INVENTARIO!C226)),"4MM",
IF(ISNUMBER(SEARCH("5 MM",INVENTARIO!C226)),"5MM",
IF(ISNUMBER(SEARCH("6 MM",INVENTARIO!C226)),"6MM",
IF(ISNUMBER(SEARCH("9 MM",INVENTARIO!C226)),"9MM",
IF(ISNUMBER(SEARCH("10 MM",INVENTARIO!C226)),"10MM","")))))))))))))</f>
        <v>3MM</v>
      </c>
      <c r="H226" t="str">
        <f>IF(ISNUMBER(SEARCH("GAMA BAJA",INVENTARIO!C226)),"GAM-BAJ",
IF(ISNUMBER(SEARCH("OPTIMIZADOR",INVENTARIO!C226)),"OPT",
IF(ISNUMBER(SEARCH("OVERCOAT",INVENTARIO!C226)),"OVE",
IF(ISNUMBER(SEARCH("WHITE",INVENTARIO!C226)),"WHI",
IF(ISNUMBER(SEARCH("LIGHT CYAN",INVENTARIO!C226)),"LIG-CYA",
IF(ISNUMBER(SEARCH("CYAN",INVENTARIO!C226)),"CYA",
IF(ISNUMBER(SEARCH("LIGHT MAGENTA",INVENTARIO!C226)),"LIG-MAG",
IF(ISNUMBER(SEARCH("MAGENTA",INVENTARIO!C226)),"MAG",
IF(ISNUMBER(SEARCH("BLACK",INVENTARIO!C226)),"BLA",
IF(ISNUMBER(SEARCH("YELLOW",INVENTARIO!C226)),"YEL",
IF(ISNUMBER(SEARCH("2 DIODOS",INVENTARIO!C226)),"2DI",
IF(ISNUMBER(SEARCH("3 DIODOS",INVENTARIO!C226)),"3DI",
IF(OR(ISNUMBER(SEARCH("TRASLUCIDO",INVENTARIO!C226)),ISNUMBER(SEARCH("TRANSLUCIDO",INVENTARIO!C226))),"TRA",
"")))))))))))))</f>
        <v/>
      </c>
      <c r="I22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7" spans="1:9">
      <c r="A227" t="str">
        <f>IF(ISNUMBER(SEARCH("LONA",INVENTARIO!C227)),"LON",
IF(ISNUMBER(SEARCH("VINIL",INVENTARIO!C227)),"VIN",
IF(ISNUMBER(SEARCH("KROMACOTE",INVENTARIO!C227)),"KRO",
IF(ISNUMBER(SEARCH("STARDREAM",INVENTARIO!C227)),"STA",
IF(ISNUMBER(SEARCH("DISPLAY",INVENTARIO!C227)),"DIS",
IF(ISNUMBER(SEARCH("ROLL UP",INVENTARIO!C227)),"ROL-UP",
IF(ISNUMBER(SEARCH("TRANSFER DE PAPEL",INVENTARIO!C227)),"TRA-PAP",
IF(ISNUMBER(SEARCH("TRANSFER",INVENTARIO!C227)),"TRA",IF(ISNUMBER(SEARCH("KOLA LOKA",INVENTARIO!C227)),"KOL-LOK",
IF(ISNUMBER(SEARCH("PETG",INVENTARIO!C227)),"PET",
IF(ISNUMBER(SEARCH("OJILLO",INVENTARIO!C227)),"OJI",
IF(ISNUMBER(SEARCH("COUCHE",INVENTARIO!C227)),"COU",
IF(ISNUMBER(SEARCH("PANEL DE ALUMINIO",INVENTARIO!C227)),"PAN-ALU",
IF(ISNUMBER(SEARCH("PVC",INVENTARIO!C227)),"PVC",
IF(ISNUMBER(SEARCH("PAPEL",INVENTARIO!C227)),"PAP",
IF(ISNUMBER(SEARCH("TELA",INVENTARIO!C227)),"TEL",
IF(ISNUMBER(SEARCH("CARTULINA",INVENTARIO!C227)),"CAR",
IF(OR(ISNUMBER(SEARCH("LAMINA",INVENTARIO!C227)),ISNUMBER(SEARCH("LÁMINA",INVENTARIO!C227)),ISNUMBER(SEARCH("LAMPARAS",INVENTARIO!C227))),"LAM",
IF(ISNUMBER(SEARCH("ESTIRENO",INVENTARIO!C227)),"EST",
IF(ISNUMBER(SEARCH("FOAMBOARD",INVENTARIO!C227)),"FOA",
IF(ISNUMBER(SEARCH("SOLVENTE",INVENTARIO!C227)),"SOL",
IF(ISNUMBER(SEARCH("TINTA",INVENTARIO!C227)),"TIN",
IF(ISNUMBER(SEARCH("ACRILICO",INVENTARIO!C227)),"ACR",
IF(ISNUMBER(SEARCH("MICROLED",INVENTARIO!C227)),"MIC",
IF(ISNUMBER(SEARCH("LED",INVENTARIO!C227)),"LED",
IF(ISNUMBER(SEARCH("FUENTE DE PODER",INVENTARIO!C227)),"FUE-POD",
IF(ISNUMBER(SEARCH("PETG",INVENTARIO!C227)),"PET",
IF(ISNUMBER(SEARCH("ALUMINIO",INVENTARIO!C227)),"ALU",
IF(ISNUMBER(SEARCH("CANAL",INVENTARIO!C227)),"CAN",
IF(ISNUMBER(SEARCH("ESCUADRA",INVENTARIO!C227)),"ESC",
IF(ISNUMBER(SEARCH("SOPORTE",INVENTARIO!C227)),"SOP","OTR")
))))))))))))))))))))))))))))))</f>
        <v>PVC</v>
      </c>
      <c r="B227" t="str">
        <f>IF(ISNUMBER(SEARCH("CORTE",INVENTARIO!C227)),"COR",
IF(ISNUMBER(SEARCH("CITYLIGHT",INVENTARIO!C227)),"CIT",
IF(ISNUMBER(SEARCH("LINO",INVENTARIO!C227)),"LIN",
IF(ISNUMBER(SEARCH("FABRIANO",INVENTARIO!C227)),"FAB",
IF(ISNUMBER(SEARCH("SUNDANCE",INVENTARIO!C227)),"SUN",
IF(ISNUMBER(SEARCH("SINTETICA",INVENTARIO!C227)),"SIN",
IF(ISNUMBER(SEARCH("CONTROL",INVENTARIO!C227)),"CON",
IF(ISNUMBER(SEARCH("TERMICO",INVENTARIO!C227)),"TER",
IF(ISNUMBER(SEARCH("C-15",INVENTARIO!C227)),"C15",
IF(ISNUMBER(SEARCH("C-20",INVENTARIO!C227)),"C20",
IF(ISNUMBER(SEARCH("C-30",INVENTARIO!C227)),"C30",
IF(ISNUMBER(SEARCH("C-40",INVENTARIO!C227)),"C40",
IF(ISNUMBER(SEARCH("C-60",INVENTARIO!C227)),"C60",
IF(ISNUMBER(SEARCH("C-80",INVENTARIO!C227)),"C80",
IF(ISNUMBER(SEARCH("EQUIPO",INVENTARIO!C227)),"EQU",
IF(ISNUMBER(SEARCH("FLOOR",INVENTARIO!C227)),"FLO",
IF(ISNUMBER(SEARCH("CRISTAL",INVENTARIO!C227)),"CRI",
IF(ISNUMBER(SEARCH(" SULFATADA",INVENTARIO!C238)),"SUL",
IF(ISNUMBER(SEARCH("OPALINA",INVENTARIO!C227)),"OPA",
IF(ISNUMBER(SEARCH("ADHERIBLE",INVENTARIO!C227)),"ADH",
IF(ISNUMBER(SEARCH("MICRO",INVENTARIO!C227)),"MIC","")))))))))))))))))))))</f>
        <v/>
      </c>
      <c r="C227" t="str">
        <f>IF(ISNUMBER(SEARCH("PARED",INVENTARIO!C227)),"PAR",
IF(ISNUMBER(SEARCH("FRONT",INVENTARIO!C227)),"FRO",
IF(ISNUMBER(SEARCH("ALTA RESISTENCIA",INVENTARIO!C227)),
"ALT-RES",IF(ISNUMBER(SEARCH("BACKLITE",INVENTARIO!C227)),"BAC",
IF(ISNUMBER(SEARCH("MATE",INVENTARIO!C227)),"MAT",
IF(ISNUMBER(SEARCH("MESH",INVENTARIO!C227)),"MES",
IF(ISNUMBER(SEARCH("BRILLANTE",INVENTARIO!C227)),"BRI",
IF(ISNUMBER(SEARCH("DELGADA",INVENTARIO!C227)),"DEL",
IF(ISNUMBER(SEARCH("GRUESA",INVENTARIO!C227)),"GRU",
IF(ISNUMBER(SEARCH("ESTATICO",INVENTARIO!C227)),"EST",
IF(ISNUMBER(SEARCH("REFLECTIVO",INVENTARIO!C227)),"REF",
IF(ISNUMBER(SEARCH("LX700",INVENTARIO!C227)),"LX7",
IF(ISNUMBER(SEARCH("GRANDO",INVENTARIO!C227)),"GRA",
IF(ISNUMBER(SEARCH("FB700",INVENTARIO!C227)),"FB7",
IF(ISNUMBER(SEARCH("LX360",INVENTARIO!C227)),"LX3",
IF(ISNUMBER(SEARCH("XEROX",INVENTARIO!C227)),"XER",
IF(ISNUMBER(SEARCH("CEPILLADO",INVENTARIO!C227)),"CEP",
IF(ISNUMBER(SEARCH("ESPEJO",INVENTARIO!C227)),"ESP",
IF(ISNUMBER(SEARCH("10 PTS",INVENTARIO!C227)),"10PT",
IF(ISNUMBER(SEARCH("12 PTS",INVENTARIO!C227)),"12PT",
IF(ISNUMBER(SEARCH("14 PTS",INVENTARIO!C227)),"14PT",
IF(ISNUMBER(SEARCH("CLASICO",INVENTARIO!C227)),"CLA",
""))))))))))))))))))))))</f>
        <v/>
      </c>
      <c r="D227" t="str">
        <f>IF(ISNUMBER(SEARCH("GRAN FORMATO",INVENTARIO!C227)),"GRA-FOR",
IF(ISNUMBER(SEARCH("CAMA PLANA",INVENTARIO!C227)),"CAM-PLA",
IF(ISNUMBER(SEARCH("GRADO INGENIERIA",INVENTARIO!C227)),"GRA-ING",
IF(ISNUMBER(SEARCH("130 GRS",INVENTARIO!C227)),"130GR",
IF(ISNUMBER(SEARCH("150 GRS",INVENTARIO!C227)),"150GR",
IF(ISNUMBER(SEARCH("185 GRS",INVENTARIO!C227)),"185GR",
IF(ISNUMBER(SEARCH("200 GRS",INVENTARIO!C227)),"200GR",
IF(ISNUMBER(SEARCH("250 GRS",INVENTARIO!C227)),"250GR",
IF(ISNUMBER(SEARCH("300 GRS",INVENTARIO!C227)),"300GR",
IF(ISNUMBER(SEARCH("350 GRS",INVENTARIO!C227)),"350GR",
IF(ISNUMBER(SEARCH("18 OZ",INVENTARIO!C227)),"18OZ",
IF(ISNUMBER(SEARCH("15 OZ",INVENTARIO!C227)),"15OZ",
IF(OR(ISNUMBER(SEARCH("13 OZ",INVENTARIO!C227)),ISNUMBER(SEARCH("13 ONZAS",INVENTARIO!C227))),"13OZ",
IF(OR(ISNUMBER(SEARCH("9 OZ",INVENTARIO!C227)),ISNUMBER(SEARCH("9 ONZAS",INVENTARIO!C227))),"09OZ",
IF(ISNUMBER(SEARCH("DOBLE CARA",INVENTARIO!C227)),"DOB-CAR",
"")))))))))))))))</f>
        <v/>
      </c>
      <c r="E227" t="str">
        <f>IF(OR(ISNUMBER(SEARCH("TRANSPARENTE",INVENTARIO!C227)),ISNUMBER(SEARCH("TRANSPARENTES",INVENTARIO!C227))),"TRA",
IF(OR(ISNUMBER(SEARCH("BLANCO",INVENTARIO!C227)),ISNUMBER(SEARCH("BCO",INVENTARIO!C227))),"BLA",
IF(ISNUMBER(SEARCH("FOTOGRAFICO",INVENTARIO!C227)),"FOT",
IF(ISNUMBER(SEARCH("MARFIL",INVENTARIO!C227)),"MAR",
IF(ISNUMBER(SEARCH("VERDE",INVENTARIO!C227)),"VER",
IF(ISNUMBER(SEARCH("MORADO",INVENTARIO!C227)),"MOR",
IF(ISNUMBER(SEARCH("PLATA",INVENTARIO!C227)),"PLA",
IF(ISNUMBER(SEARCH("ORO",INVENTARIO!C227)),"ORO",
IF(ISNUMBER(SEARCH("AMARILLO",INVENTARIO!C227)),"AMA",
IF(ISNUMBER(SEARCH("NARANJA",INVENTARIO!C227)),"NAR",
IF(ISNUMBER(SEARCH("NEGRO",INVENTARIO!C227)),"NEG",
IF(ISNUMBER(SEARCH("ROJO",INVENTARIO!C227)),"ROJ",
IF(ISNUMBER(SEARCH("AZUL",INVENTARIO!C227)),"AZU","")))))))))))))</f>
        <v>NAR</v>
      </c>
      <c r="F227" t="str">
        <f>IF(ISNUMBER(SEARCH("ARLON",INVENTARIO!C227)),"ARL",
IF(ISNUMBER(SEARCH("SUNTHINKS",INVENTARIO!C227)),"SUN",
IF(ISNUMBER(SEARCH("FRIO",INVENTARIO!C227)),"FRI",
IF(ISNUMBER(SEARCH("CALIDO",INVENTARIO!C227)),"CAL",
IF(ISNUMBER(SEARCH("CEPILLADO",INVENTARIO!C227)),"CEP",
IF(ISNUMBER(SEARCH("ESPEJO",INVENTARIO!C227)),"ESP",
""))))))</f>
        <v/>
      </c>
      <c r="G227" t="str">
        <f>IF(ISNUMBER(SEARCH("LATEX",INVENTARIO!C227)),"LAT",
IF(ISNUMBER(SEARCH("RESP. NEGRO",INVENTARIO!C227)),"RES-NEG",
IF(ISNUMBER(SEARCH("RESPALDO CAFE",INVENTARIO!C227)),"RES-CAF",
IF(ISNUMBER(SEARCH("RESPALDO GRIS",INVENTARIO!C227)),"RES-GRI",
IF(ISNUMBER(SEARCH("OPTICO",INVENTARIO!C227)),"OPT",
IF(ISNUMBER(SEARCH("1,2 MM",INVENTARIO!C227)),"1MM2",
IF(ISNUMBER(SEARCH("2 MM",INVENTARIO!C227)),"2MM",
IF(ISNUMBER(SEARCH("3 MM",INVENTARIO!C227)),"3MM",
IF(ISNUMBER(SEARCH("4 MM",INVENTARIO!C227)),"4MM",
IF(ISNUMBER(SEARCH("5 MM",INVENTARIO!C227)),"5MM",
IF(ISNUMBER(SEARCH("6 MM",INVENTARIO!C227)),"6MM",
IF(ISNUMBER(SEARCH("9 MM",INVENTARIO!C227)),"9MM",
IF(ISNUMBER(SEARCH("10 MM",INVENTARIO!C227)),"10MM","")))))))))))))</f>
        <v>3MM</v>
      </c>
      <c r="H227" t="str">
        <f>IF(ISNUMBER(SEARCH("GAMA BAJA",INVENTARIO!C227)),"GAM-BAJ",
IF(ISNUMBER(SEARCH("OPTIMIZADOR",INVENTARIO!C227)),"OPT",
IF(ISNUMBER(SEARCH("OVERCOAT",INVENTARIO!C227)),"OVE",
IF(ISNUMBER(SEARCH("WHITE",INVENTARIO!C227)),"WHI",
IF(ISNUMBER(SEARCH("LIGHT CYAN",INVENTARIO!C227)),"LIG-CYA",
IF(ISNUMBER(SEARCH("CYAN",INVENTARIO!C227)),"CYA",
IF(ISNUMBER(SEARCH("LIGHT MAGENTA",INVENTARIO!C227)),"LIG-MAG",
IF(ISNUMBER(SEARCH("MAGENTA",INVENTARIO!C227)),"MAG",
IF(ISNUMBER(SEARCH("BLACK",INVENTARIO!C227)),"BLA",
IF(ISNUMBER(SEARCH("YELLOW",INVENTARIO!C227)),"YEL",
IF(ISNUMBER(SEARCH("2 DIODOS",INVENTARIO!C227)),"2DI",
IF(ISNUMBER(SEARCH("3 DIODOS",INVENTARIO!C227)),"3DI",
IF(OR(ISNUMBER(SEARCH("TRASLUCIDO",INVENTARIO!C227)),ISNUMBER(SEARCH("TRANSLUCIDO",INVENTARIO!C227))),"TRA",
"")))))))))))))</f>
        <v/>
      </c>
      <c r="I22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8" spans="1:9">
      <c r="A228" t="str">
        <f>IF(ISNUMBER(SEARCH("LONA",INVENTARIO!C228)),"LON",
IF(ISNUMBER(SEARCH("VINIL",INVENTARIO!C228)),"VIN",
IF(ISNUMBER(SEARCH("KROMACOTE",INVENTARIO!C228)),"KRO",
IF(ISNUMBER(SEARCH("STARDREAM",INVENTARIO!C228)),"STA",
IF(ISNUMBER(SEARCH("DISPLAY",INVENTARIO!C228)),"DIS",
IF(ISNUMBER(SEARCH("ROLL UP",INVENTARIO!C228)),"ROL-UP",
IF(ISNUMBER(SEARCH("TRANSFER DE PAPEL",INVENTARIO!C228)),"TRA-PAP",
IF(ISNUMBER(SEARCH("TRANSFER",INVENTARIO!C228)),"TRA",IF(ISNUMBER(SEARCH("KOLA LOKA",INVENTARIO!C228)),"KOL-LOK",
IF(ISNUMBER(SEARCH("PETG",INVENTARIO!C228)),"PET",
IF(ISNUMBER(SEARCH("OJILLO",INVENTARIO!C228)),"OJI",
IF(ISNUMBER(SEARCH("COUCHE",INVENTARIO!C228)),"COU",
IF(ISNUMBER(SEARCH("PANEL DE ALUMINIO",INVENTARIO!C228)),"PAN-ALU",
IF(ISNUMBER(SEARCH("PVC",INVENTARIO!C228)),"PVC",
IF(ISNUMBER(SEARCH("PAPEL",INVENTARIO!C228)),"PAP",
IF(ISNUMBER(SEARCH("TELA",INVENTARIO!C228)),"TEL",
IF(ISNUMBER(SEARCH("CARTULINA",INVENTARIO!C228)),"CAR",
IF(OR(ISNUMBER(SEARCH("LAMINA",INVENTARIO!C228)),ISNUMBER(SEARCH("LÁMINA",INVENTARIO!C228)),ISNUMBER(SEARCH("LAMPARAS",INVENTARIO!C228))),"LAM",
IF(ISNUMBER(SEARCH("ESTIRENO",INVENTARIO!C228)),"EST",
IF(ISNUMBER(SEARCH("FOAMBOARD",INVENTARIO!C228)),"FOA",
IF(ISNUMBER(SEARCH("SOLVENTE",INVENTARIO!C228)),"SOL",
IF(ISNUMBER(SEARCH("TINTA",INVENTARIO!C228)),"TIN",
IF(ISNUMBER(SEARCH("ACRILICO",INVENTARIO!C228)),"ACR",
IF(ISNUMBER(SEARCH("MICROLED",INVENTARIO!C228)),"MIC",
IF(ISNUMBER(SEARCH("LED",INVENTARIO!C228)),"LED",
IF(ISNUMBER(SEARCH("FUENTE DE PODER",INVENTARIO!C228)),"FUE-POD",
IF(ISNUMBER(SEARCH("PETG",INVENTARIO!C228)),"PET",
IF(ISNUMBER(SEARCH("ALUMINIO",INVENTARIO!C228)),"ALU",
IF(ISNUMBER(SEARCH("CANAL",INVENTARIO!C228)),"CAN",
IF(ISNUMBER(SEARCH("ESCUADRA",INVENTARIO!C228)),"ESC",
IF(ISNUMBER(SEARCH("SOPORTE",INVENTARIO!C228)),"SOP","OTR")
))))))))))))))))))))))))))))))</f>
        <v>PVC</v>
      </c>
      <c r="B228" t="str">
        <f>IF(ISNUMBER(SEARCH("CORTE",INVENTARIO!C228)),"COR",
IF(ISNUMBER(SEARCH("CITYLIGHT",INVENTARIO!C228)),"CIT",
IF(ISNUMBER(SEARCH("LINO",INVENTARIO!C228)),"LIN",
IF(ISNUMBER(SEARCH("FABRIANO",INVENTARIO!C228)),"FAB",
IF(ISNUMBER(SEARCH("SUNDANCE",INVENTARIO!C228)),"SUN",
IF(ISNUMBER(SEARCH("SINTETICA",INVENTARIO!C228)),"SIN",
IF(ISNUMBER(SEARCH("CONTROL",INVENTARIO!C228)),"CON",
IF(ISNUMBER(SEARCH("TERMICO",INVENTARIO!C228)),"TER",
IF(ISNUMBER(SEARCH("C-15",INVENTARIO!C228)),"C15",
IF(ISNUMBER(SEARCH("C-20",INVENTARIO!C228)),"C20",
IF(ISNUMBER(SEARCH("C-30",INVENTARIO!C228)),"C30",
IF(ISNUMBER(SEARCH("C-40",INVENTARIO!C228)),"C40",
IF(ISNUMBER(SEARCH("C-60",INVENTARIO!C228)),"C60",
IF(ISNUMBER(SEARCH("C-80",INVENTARIO!C228)),"C80",
IF(ISNUMBER(SEARCH("EQUIPO",INVENTARIO!C228)),"EQU",
IF(ISNUMBER(SEARCH("FLOOR",INVENTARIO!C228)),"FLO",
IF(ISNUMBER(SEARCH("CRISTAL",INVENTARIO!C228)),"CRI",
IF(ISNUMBER(SEARCH(" SULFATADA",INVENTARIO!C239)),"SUL",
IF(ISNUMBER(SEARCH("OPALINA",INVENTARIO!C228)),"OPA",
IF(ISNUMBER(SEARCH("ADHERIBLE",INVENTARIO!C228)),"ADH",
IF(ISNUMBER(SEARCH("MICRO",INVENTARIO!C228)),"MIC","")))))))))))))))))))))</f>
        <v/>
      </c>
      <c r="C228" t="str">
        <f>IF(ISNUMBER(SEARCH("PARED",INVENTARIO!C228)),"PAR",
IF(ISNUMBER(SEARCH("FRONT",INVENTARIO!C228)),"FRO",
IF(ISNUMBER(SEARCH("ALTA RESISTENCIA",INVENTARIO!C228)),
"ALT-RES",IF(ISNUMBER(SEARCH("BACKLITE",INVENTARIO!C228)),"BAC",
IF(ISNUMBER(SEARCH("MATE",INVENTARIO!C228)),"MAT",
IF(ISNUMBER(SEARCH("MESH",INVENTARIO!C228)),"MES",
IF(ISNUMBER(SEARCH("BRILLANTE",INVENTARIO!C228)),"BRI",
IF(ISNUMBER(SEARCH("DELGADA",INVENTARIO!C228)),"DEL",
IF(ISNUMBER(SEARCH("GRUESA",INVENTARIO!C228)),"GRU",
IF(ISNUMBER(SEARCH("ESTATICO",INVENTARIO!C228)),"EST",
IF(ISNUMBER(SEARCH("REFLECTIVO",INVENTARIO!C228)),"REF",
IF(ISNUMBER(SEARCH("LX700",INVENTARIO!C228)),"LX7",
IF(ISNUMBER(SEARCH("GRANDO",INVENTARIO!C228)),"GRA",
IF(ISNUMBER(SEARCH("FB700",INVENTARIO!C228)),"FB7",
IF(ISNUMBER(SEARCH("LX360",INVENTARIO!C228)),"LX3",
IF(ISNUMBER(SEARCH("XEROX",INVENTARIO!C228)),"XER",
IF(ISNUMBER(SEARCH("CEPILLADO",INVENTARIO!C228)),"CEP",
IF(ISNUMBER(SEARCH("ESPEJO",INVENTARIO!C228)),"ESP",
IF(ISNUMBER(SEARCH("10 PTS",INVENTARIO!C228)),"10PT",
IF(ISNUMBER(SEARCH("12 PTS",INVENTARIO!C228)),"12PT",
IF(ISNUMBER(SEARCH("14 PTS",INVENTARIO!C228)),"14PT",
IF(ISNUMBER(SEARCH("CLASICO",INVENTARIO!C228)),"CLA",
""))))))))))))))))))))))</f>
        <v/>
      </c>
      <c r="D228" t="str">
        <f>IF(ISNUMBER(SEARCH("GRAN FORMATO",INVENTARIO!C228)),"GRA-FOR",
IF(ISNUMBER(SEARCH("CAMA PLANA",INVENTARIO!C228)),"CAM-PLA",
IF(ISNUMBER(SEARCH("GRADO INGENIERIA",INVENTARIO!C228)),"GRA-ING",
IF(ISNUMBER(SEARCH("130 GRS",INVENTARIO!C228)),"130GR",
IF(ISNUMBER(SEARCH("150 GRS",INVENTARIO!C228)),"150GR",
IF(ISNUMBER(SEARCH("185 GRS",INVENTARIO!C228)),"185GR",
IF(ISNUMBER(SEARCH("200 GRS",INVENTARIO!C228)),"200GR",
IF(ISNUMBER(SEARCH("250 GRS",INVENTARIO!C228)),"250GR",
IF(ISNUMBER(SEARCH("300 GRS",INVENTARIO!C228)),"300GR",
IF(ISNUMBER(SEARCH("350 GRS",INVENTARIO!C228)),"350GR",
IF(ISNUMBER(SEARCH("18 OZ",INVENTARIO!C228)),"18OZ",
IF(ISNUMBER(SEARCH("15 OZ",INVENTARIO!C228)),"15OZ",
IF(OR(ISNUMBER(SEARCH("13 OZ",INVENTARIO!C228)),ISNUMBER(SEARCH("13 ONZAS",INVENTARIO!C228))),"13OZ",
IF(OR(ISNUMBER(SEARCH("9 OZ",INVENTARIO!C228)),ISNUMBER(SEARCH("9 ONZAS",INVENTARIO!C228))),"09OZ",
IF(ISNUMBER(SEARCH("DOBLE CARA",INVENTARIO!C228)),"DOB-CAR",
"")))))))))))))))</f>
        <v/>
      </c>
      <c r="E228" t="str">
        <f>IF(OR(ISNUMBER(SEARCH("TRANSPARENTE",INVENTARIO!C228)),ISNUMBER(SEARCH("TRANSPARENTES",INVENTARIO!C228))),"TRA",
IF(OR(ISNUMBER(SEARCH("BLANCO",INVENTARIO!C228)),ISNUMBER(SEARCH("BCO",INVENTARIO!C228))),"BLA",
IF(ISNUMBER(SEARCH("FOTOGRAFICO",INVENTARIO!C228)),"FOT",
IF(ISNUMBER(SEARCH("MARFIL",INVENTARIO!C228)),"MAR",
IF(ISNUMBER(SEARCH("VERDE",INVENTARIO!C228)),"VER",
IF(ISNUMBER(SEARCH("MORADO",INVENTARIO!C228)),"MOR",
IF(ISNUMBER(SEARCH("PLATA",INVENTARIO!C228)),"PLA",
IF(ISNUMBER(SEARCH("ORO",INVENTARIO!C228)),"ORO",
IF(ISNUMBER(SEARCH("AMARILLO",INVENTARIO!C228)),"AMA",
IF(ISNUMBER(SEARCH("NARANJA",INVENTARIO!C228)),"NAR",
IF(ISNUMBER(SEARCH("NEGRO",INVENTARIO!C228)),"NEG",
IF(ISNUMBER(SEARCH("ROJO",INVENTARIO!C228)),"ROJ",
IF(ISNUMBER(SEARCH("AZUL",INVENTARIO!C228)),"AZU","")))))))))))))</f>
        <v>AZU</v>
      </c>
      <c r="F228" t="str">
        <f>IF(ISNUMBER(SEARCH("ARLON",INVENTARIO!C228)),"ARL",
IF(ISNUMBER(SEARCH("SUNTHINKS",INVENTARIO!C228)),"SUN",
IF(ISNUMBER(SEARCH("FRIO",INVENTARIO!C228)),"FRI",
IF(ISNUMBER(SEARCH("CALIDO",INVENTARIO!C228)),"CAL",
IF(ISNUMBER(SEARCH("CEPILLADO",INVENTARIO!C228)),"CEP",
IF(ISNUMBER(SEARCH("ESPEJO",INVENTARIO!C228)),"ESP",
""))))))</f>
        <v/>
      </c>
      <c r="G228" t="str">
        <f>IF(ISNUMBER(SEARCH("LATEX",INVENTARIO!C228)),"LAT",
IF(ISNUMBER(SEARCH("RESP. NEGRO",INVENTARIO!C228)),"RES-NEG",
IF(ISNUMBER(SEARCH("RESPALDO CAFE",INVENTARIO!C228)),"RES-CAF",
IF(ISNUMBER(SEARCH("RESPALDO GRIS",INVENTARIO!C228)),"RES-GRI",
IF(ISNUMBER(SEARCH("OPTICO",INVENTARIO!C228)),"OPT",
IF(ISNUMBER(SEARCH("1,2 MM",INVENTARIO!C228)),"1MM2",
IF(ISNUMBER(SEARCH("2 MM",INVENTARIO!C228)),"2MM",
IF(ISNUMBER(SEARCH("3 MM",INVENTARIO!C228)),"3MM",
IF(ISNUMBER(SEARCH("4 MM",INVENTARIO!C228)),"4MM",
IF(ISNUMBER(SEARCH("5 MM",INVENTARIO!C228)),"5MM",
IF(ISNUMBER(SEARCH("6 MM",INVENTARIO!C228)),"6MM",
IF(ISNUMBER(SEARCH("9 MM",INVENTARIO!C228)),"9MM",
IF(ISNUMBER(SEARCH("10 MM",INVENTARIO!C228)),"10MM","")))))))))))))</f>
        <v>3MM</v>
      </c>
      <c r="H228" t="str">
        <f>IF(ISNUMBER(SEARCH("GAMA BAJA",INVENTARIO!C228)),"GAM-BAJ",
IF(ISNUMBER(SEARCH("OPTIMIZADOR",INVENTARIO!C228)),"OPT",
IF(ISNUMBER(SEARCH("OVERCOAT",INVENTARIO!C228)),"OVE",
IF(ISNUMBER(SEARCH("WHITE",INVENTARIO!C228)),"WHI",
IF(ISNUMBER(SEARCH("LIGHT CYAN",INVENTARIO!C228)),"LIG-CYA",
IF(ISNUMBER(SEARCH("CYAN",INVENTARIO!C228)),"CYA",
IF(ISNUMBER(SEARCH("LIGHT MAGENTA",INVENTARIO!C228)),"LIG-MAG",
IF(ISNUMBER(SEARCH("MAGENTA",INVENTARIO!C228)),"MAG",
IF(ISNUMBER(SEARCH("BLACK",INVENTARIO!C228)),"BLA",
IF(ISNUMBER(SEARCH("YELLOW",INVENTARIO!C228)),"YEL",
IF(ISNUMBER(SEARCH("2 DIODOS",INVENTARIO!C228)),"2DI",
IF(ISNUMBER(SEARCH("3 DIODOS",INVENTARIO!C228)),"3DI",
IF(OR(ISNUMBER(SEARCH("TRASLUCIDO",INVENTARIO!C228)),ISNUMBER(SEARCH("TRANSLUCIDO",INVENTARIO!C228))),"TRA",
"")))))))))))))</f>
        <v/>
      </c>
      <c r="I22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29" spans="1:9">
      <c r="A229" t="str">
        <f>IF(ISNUMBER(SEARCH("LONA",INVENTARIO!C229)),"LON",
IF(ISNUMBER(SEARCH("VINIL",INVENTARIO!C229)),"VIN",
IF(ISNUMBER(SEARCH("KROMACOTE",INVENTARIO!C229)),"KRO",
IF(ISNUMBER(SEARCH("STARDREAM",INVENTARIO!C229)),"STA",
IF(ISNUMBER(SEARCH("DISPLAY",INVENTARIO!C229)),"DIS",
IF(ISNUMBER(SEARCH("ROLL UP",INVENTARIO!C229)),"ROL-UP",
IF(ISNUMBER(SEARCH("TRANSFER DE PAPEL",INVENTARIO!C229)),"TRA-PAP",
IF(ISNUMBER(SEARCH("TRANSFER",INVENTARIO!C229)),"TRA",IF(ISNUMBER(SEARCH("KOLA LOKA",INVENTARIO!C229)),"KOL-LOK",
IF(ISNUMBER(SEARCH("PETG",INVENTARIO!C229)),"PET",
IF(ISNUMBER(SEARCH("OJILLO",INVENTARIO!C229)),"OJI",
IF(ISNUMBER(SEARCH("COUCHE",INVENTARIO!C229)),"COU",
IF(ISNUMBER(SEARCH("PANEL DE ALUMINIO",INVENTARIO!C229)),"PAN-ALU",
IF(ISNUMBER(SEARCH("PVC",INVENTARIO!C229)),"PVC",
IF(ISNUMBER(SEARCH("PAPEL",INVENTARIO!C229)),"PAP",
IF(ISNUMBER(SEARCH("TELA",INVENTARIO!C229)),"TEL",
IF(ISNUMBER(SEARCH("CARTULINA",INVENTARIO!C229)),"CAR",
IF(OR(ISNUMBER(SEARCH("LAMINA",INVENTARIO!C229)),ISNUMBER(SEARCH("LÁMINA",INVENTARIO!C229)),ISNUMBER(SEARCH("LAMPARAS",INVENTARIO!C229))),"LAM",
IF(ISNUMBER(SEARCH("ESTIRENO",INVENTARIO!C229)),"EST",
IF(ISNUMBER(SEARCH("FOAMBOARD",INVENTARIO!C229)),"FOA",
IF(ISNUMBER(SEARCH("SOLVENTE",INVENTARIO!C229)),"SOL",
IF(ISNUMBER(SEARCH("TINTA",INVENTARIO!C229)),"TIN",
IF(ISNUMBER(SEARCH("ACRILICO",INVENTARIO!C229)),"ACR",
IF(ISNUMBER(SEARCH("MICROLED",INVENTARIO!C229)),"MIC",
IF(ISNUMBER(SEARCH("LED",INVENTARIO!C229)),"LED",
IF(ISNUMBER(SEARCH("FUENTE DE PODER",INVENTARIO!C229)),"FUE-POD",
IF(ISNUMBER(SEARCH("PETG",INVENTARIO!C229)),"PET",
IF(ISNUMBER(SEARCH("ALUMINIO",INVENTARIO!C229)),"ALU",
IF(ISNUMBER(SEARCH("CANAL",INVENTARIO!C229)),"CAN",
IF(ISNUMBER(SEARCH("ESCUADRA",INVENTARIO!C229)),"ESC",
IF(ISNUMBER(SEARCH("SOPORTE",INVENTARIO!C229)),"SOP","OTR")
))))))))))))))))))))))))))))))</f>
        <v>PVC</v>
      </c>
      <c r="B229" t="str">
        <f>IF(ISNUMBER(SEARCH("CORTE",INVENTARIO!C229)),"COR",
IF(ISNUMBER(SEARCH("CITYLIGHT",INVENTARIO!C229)),"CIT",
IF(ISNUMBER(SEARCH("LINO",INVENTARIO!C229)),"LIN",
IF(ISNUMBER(SEARCH("FABRIANO",INVENTARIO!C229)),"FAB",
IF(ISNUMBER(SEARCH("SUNDANCE",INVENTARIO!C229)),"SUN",
IF(ISNUMBER(SEARCH("SINTETICA",INVENTARIO!C229)),"SIN",
IF(ISNUMBER(SEARCH("CONTROL",INVENTARIO!C229)),"CON",
IF(ISNUMBER(SEARCH("TERMICO",INVENTARIO!C229)),"TER",
IF(ISNUMBER(SEARCH("C-15",INVENTARIO!C229)),"C15",
IF(ISNUMBER(SEARCH("C-20",INVENTARIO!C229)),"C20",
IF(ISNUMBER(SEARCH("C-30",INVENTARIO!C229)),"C30",
IF(ISNUMBER(SEARCH("C-40",INVENTARIO!C229)),"C40",
IF(ISNUMBER(SEARCH("C-60",INVENTARIO!C229)),"C60",
IF(ISNUMBER(SEARCH("C-80",INVENTARIO!C229)),"C80",
IF(ISNUMBER(SEARCH("EQUIPO",INVENTARIO!C229)),"EQU",
IF(ISNUMBER(SEARCH("FLOOR",INVENTARIO!C229)),"FLO",
IF(ISNUMBER(SEARCH("CRISTAL",INVENTARIO!C229)),"CRI",
IF(ISNUMBER(SEARCH(" SULFATADA",INVENTARIO!C240)),"SUL",
IF(ISNUMBER(SEARCH("OPALINA",INVENTARIO!C229)),"OPA",
IF(ISNUMBER(SEARCH("ADHERIBLE",INVENTARIO!C229)),"ADH",
IF(ISNUMBER(SEARCH("MICRO",INVENTARIO!C229)),"MIC","")))))))))))))))))))))</f>
        <v/>
      </c>
      <c r="C229" t="str">
        <f>IF(ISNUMBER(SEARCH("PARED",INVENTARIO!C229)),"PAR",
IF(ISNUMBER(SEARCH("FRONT",INVENTARIO!C229)),"FRO",
IF(ISNUMBER(SEARCH("ALTA RESISTENCIA",INVENTARIO!C229)),
"ALT-RES",IF(ISNUMBER(SEARCH("BACKLITE",INVENTARIO!C229)),"BAC",
IF(ISNUMBER(SEARCH("MATE",INVENTARIO!C229)),"MAT",
IF(ISNUMBER(SEARCH("MESH",INVENTARIO!C229)),"MES",
IF(ISNUMBER(SEARCH("BRILLANTE",INVENTARIO!C229)),"BRI",
IF(ISNUMBER(SEARCH("DELGADA",INVENTARIO!C229)),"DEL",
IF(ISNUMBER(SEARCH("GRUESA",INVENTARIO!C229)),"GRU",
IF(ISNUMBER(SEARCH("ESTATICO",INVENTARIO!C229)),"EST",
IF(ISNUMBER(SEARCH("REFLECTIVO",INVENTARIO!C229)),"REF",
IF(ISNUMBER(SEARCH("LX700",INVENTARIO!C229)),"LX7",
IF(ISNUMBER(SEARCH("GRANDO",INVENTARIO!C229)),"GRA",
IF(ISNUMBER(SEARCH("FB700",INVENTARIO!C229)),"FB7",
IF(ISNUMBER(SEARCH("LX360",INVENTARIO!C229)),"LX3",
IF(ISNUMBER(SEARCH("XEROX",INVENTARIO!C229)),"XER",
IF(ISNUMBER(SEARCH("CEPILLADO",INVENTARIO!C229)),"CEP",
IF(ISNUMBER(SEARCH("ESPEJO",INVENTARIO!C229)),"ESP",
IF(ISNUMBER(SEARCH("10 PTS",INVENTARIO!C229)),"10PT",
IF(ISNUMBER(SEARCH("12 PTS",INVENTARIO!C229)),"12PT",
IF(ISNUMBER(SEARCH("14 PTS",INVENTARIO!C229)),"14PT",
IF(ISNUMBER(SEARCH("CLASICO",INVENTARIO!C229)),"CLA",
""))))))))))))))))))))))</f>
        <v/>
      </c>
      <c r="D229" t="str">
        <f>IF(ISNUMBER(SEARCH("GRAN FORMATO",INVENTARIO!C229)),"GRA-FOR",
IF(ISNUMBER(SEARCH("CAMA PLANA",INVENTARIO!C229)),"CAM-PLA",
IF(ISNUMBER(SEARCH("GRADO INGENIERIA",INVENTARIO!C229)),"GRA-ING",
IF(ISNUMBER(SEARCH("130 GRS",INVENTARIO!C229)),"130GR",
IF(ISNUMBER(SEARCH("150 GRS",INVENTARIO!C229)),"150GR",
IF(ISNUMBER(SEARCH("185 GRS",INVENTARIO!C229)),"185GR",
IF(ISNUMBER(SEARCH("200 GRS",INVENTARIO!C229)),"200GR",
IF(ISNUMBER(SEARCH("250 GRS",INVENTARIO!C229)),"250GR",
IF(ISNUMBER(SEARCH("300 GRS",INVENTARIO!C229)),"300GR",
IF(ISNUMBER(SEARCH("350 GRS",INVENTARIO!C229)),"350GR",
IF(ISNUMBER(SEARCH("18 OZ",INVENTARIO!C229)),"18OZ",
IF(ISNUMBER(SEARCH("15 OZ",INVENTARIO!C229)),"15OZ",
IF(OR(ISNUMBER(SEARCH("13 OZ",INVENTARIO!C229)),ISNUMBER(SEARCH("13 ONZAS",INVENTARIO!C229))),"13OZ",
IF(OR(ISNUMBER(SEARCH("9 OZ",INVENTARIO!C229)),ISNUMBER(SEARCH("9 ONZAS",INVENTARIO!C229))),"09OZ",
IF(ISNUMBER(SEARCH("DOBLE CARA",INVENTARIO!C229)),"DOB-CAR",
"")))))))))))))))</f>
        <v/>
      </c>
      <c r="E229" t="str">
        <f>IF(OR(ISNUMBER(SEARCH("TRANSPARENTE",INVENTARIO!C229)),ISNUMBER(SEARCH("TRANSPARENTES",INVENTARIO!C229))),"TRA",
IF(OR(ISNUMBER(SEARCH("BLANCO",INVENTARIO!C229)),ISNUMBER(SEARCH("BCO",INVENTARIO!C229))),"BLA",
IF(ISNUMBER(SEARCH("FOTOGRAFICO",INVENTARIO!C229)),"FOT",
IF(ISNUMBER(SEARCH("MARFIL",INVENTARIO!C229)),"MAR",
IF(ISNUMBER(SEARCH("VERDE",INVENTARIO!C229)),"VER",
IF(ISNUMBER(SEARCH("MORADO",INVENTARIO!C229)),"MOR",
IF(ISNUMBER(SEARCH("PLATA",INVENTARIO!C229)),"PLA",
IF(ISNUMBER(SEARCH("ORO",INVENTARIO!C229)),"ORO",
IF(ISNUMBER(SEARCH("AMARILLO",INVENTARIO!C229)),"AMA",
IF(ISNUMBER(SEARCH("NARANJA",INVENTARIO!C229)),"NAR",
IF(ISNUMBER(SEARCH("NEGRO",INVENTARIO!C229)),"NEG",
IF(ISNUMBER(SEARCH("ROJO",INVENTARIO!C229)),"ROJ",
IF(ISNUMBER(SEARCH("AZUL",INVENTARIO!C229)),"AZU","")))))))))))))</f>
        <v>NEG</v>
      </c>
      <c r="F229" t="str">
        <f>IF(ISNUMBER(SEARCH("ARLON",INVENTARIO!C229)),"ARL",
IF(ISNUMBER(SEARCH("SUNTHINKS",INVENTARIO!C229)),"SUN",
IF(ISNUMBER(SEARCH("FRIO",INVENTARIO!C229)),"FRI",
IF(ISNUMBER(SEARCH("CALIDO",INVENTARIO!C229)),"CAL",
IF(ISNUMBER(SEARCH("CEPILLADO",INVENTARIO!C229)),"CEP",
IF(ISNUMBER(SEARCH("ESPEJO",INVENTARIO!C229)),"ESP",
""))))))</f>
        <v/>
      </c>
      <c r="G229" t="str">
        <f>IF(ISNUMBER(SEARCH("LATEX",INVENTARIO!C229)),"LAT",
IF(ISNUMBER(SEARCH("RESP. NEGRO",INVENTARIO!C229)),"RES-NEG",
IF(ISNUMBER(SEARCH("RESPALDO CAFE",INVENTARIO!C229)),"RES-CAF",
IF(ISNUMBER(SEARCH("RESPALDO GRIS",INVENTARIO!C229)),"RES-GRI",
IF(ISNUMBER(SEARCH("OPTICO",INVENTARIO!C229)),"OPT",
IF(ISNUMBER(SEARCH("1,2 MM",INVENTARIO!C229)),"1MM2",
IF(ISNUMBER(SEARCH("2 MM",INVENTARIO!C229)),"2MM",
IF(ISNUMBER(SEARCH("3 MM",INVENTARIO!C229)),"3MM",
IF(ISNUMBER(SEARCH("4 MM",INVENTARIO!C229)),"4MM",
IF(ISNUMBER(SEARCH("5 MM",INVENTARIO!C229)),"5MM",
IF(ISNUMBER(SEARCH("6 MM",INVENTARIO!C229)),"6MM",
IF(ISNUMBER(SEARCH("9 MM",INVENTARIO!C229)),"9MM",
IF(ISNUMBER(SEARCH("10 MM",INVENTARIO!C229)),"10MM","")))))))))))))</f>
        <v>3MM</v>
      </c>
      <c r="H229" t="str">
        <f>IF(ISNUMBER(SEARCH("GAMA BAJA",INVENTARIO!C229)),"GAM-BAJ",
IF(ISNUMBER(SEARCH("OPTIMIZADOR",INVENTARIO!C229)),"OPT",
IF(ISNUMBER(SEARCH("OVERCOAT",INVENTARIO!C229)),"OVE",
IF(ISNUMBER(SEARCH("WHITE",INVENTARIO!C229)),"WHI",
IF(ISNUMBER(SEARCH("LIGHT CYAN",INVENTARIO!C229)),"LIG-CYA",
IF(ISNUMBER(SEARCH("CYAN",INVENTARIO!C229)),"CYA",
IF(ISNUMBER(SEARCH("LIGHT MAGENTA",INVENTARIO!C229)),"LIG-MAG",
IF(ISNUMBER(SEARCH("MAGENTA",INVENTARIO!C229)),"MAG",
IF(ISNUMBER(SEARCH("BLACK",INVENTARIO!C229)),"BLA",
IF(ISNUMBER(SEARCH("YELLOW",INVENTARIO!C229)),"YEL",
IF(ISNUMBER(SEARCH("2 DIODOS",INVENTARIO!C229)),"2DI",
IF(ISNUMBER(SEARCH("3 DIODOS",INVENTARIO!C229)),"3DI",
IF(OR(ISNUMBER(SEARCH("TRASLUCIDO",INVENTARIO!C229)),ISNUMBER(SEARCH("TRANSLUCIDO",INVENTARIO!C229))),"TRA",
"")))))))))))))</f>
        <v/>
      </c>
      <c r="I22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0" spans="1:9">
      <c r="A230" t="str">
        <f>IF(ISNUMBER(SEARCH("LONA",INVENTARIO!C230)),"LON",
IF(ISNUMBER(SEARCH("VINIL",INVENTARIO!C230)),"VIN",
IF(ISNUMBER(SEARCH("KROMACOTE",INVENTARIO!C230)),"KRO",
IF(ISNUMBER(SEARCH("STARDREAM",INVENTARIO!C230)),"STA",
IF(ISNUMBER(SEARCH("DISPLAY",INVENTARIO!C230)),"DIS",
IF(ISNUMBER(SEARCH("ROLL UP",INVENTARIO!C230)),"ROL-UP",
IF(ISNUMBER(SEARCH("TRANSFER DE PAPEL",INVENTARIO!C230)),"TRA-PAP",
IF(ISNUMBER(SEARCH("TRANSFER",INVENTARIO!C230)),"TRA",IF(ISNUMBER(SEARCH("KOLA LOKA",INVENTARIO!C230)),"KOL-LOK",
IF(ISNUMBER(SEARCH("PETG",INVENTARIO!C230)),"PET",
IF(ISNUMBER(SEARCH("OJILLO",INVENTARIO!C230)),"OJI",
IF(ISNUMBER(SEARCH("COUCHE",INVENTARIO!C230)),"COU",
IF(ISNUMBER(SEARCH("PANEL DE ALUMINIO",INVENTARIO!C230)),"PAN-ALU",
IF(ISNUMBER(SEARCH("PVC",INVENTARIO!C230)),"PVC",
IF(ISNUMBER(SEARCH("PAPEL",INVENTARIO!C230)),"PAP",
IF(ISNUMBER(SEARCH("TELA",INVENTARIO!C230)),"TEL",
IF(ISNUMBER(SEARCH("CARTULINA",INVENTARIO!C230)),"CAR",
IF(OR(ISNUMBER(SEARCH("LAMINA",INVENTARIO!C230)),ISNUMBER(SEARCH("LÁMINA",INVENTARIO!C230)),ISNUMBER(SEARCH("LAMPARAS",INVENTARIO!C230))),"LAM",
IF(ISNUMBER(SEARCH("ESTIRENO",INVENTARIO!C230)),"EST",
IF(ISNUMBER(SEARCH("FOAMBOARD",INVENTARIO!C230)),"FOA",
IF(ISNUMBER(SEARCH("SOLVENTE",INVENTARIO!C230)),"SOL",
IF(ISNUMBER(SEARCH("TINTA",INVENTARIO!C230)),"TIN",
IF(ISNUMBER(SEARCH("ACRILICO",INVENTARIO!C230)),"ACR",
IF(ISNUMBER(SEARCH("MICROLED",INVENTARIO!C230)),"MIC",
IF(ISNUMBER(SEARCH("LED",INVENTARIO!C230)),"LED",
IF(ISNUMBER(SEARCH("FUENTE DE PODER",INVENTARIO!C230)),"FUE-POD",
IF(ISNUMBER(SEARCH("PETG",INVENTARIO!C230)),"PET",
IF(ISNUMBER(SEARCH("ALUMINIO",INVENTARIO!C230)),"ALU",
IF(ISNUMBER(SEARCH("CANAL",INVENTARIO!C230)),"CAN",
IF(ISNUMBER(SEARCH("ESCUADRA",INVENTARIO!C230)),"ESC",
IF(ISNUMBER(SEARCH("SOPORTE",INVENTARIO!C230)),"SOP","OTR")
))))))))))))))))))))))))))))))</f>
        <v>PVC</v>
      </c>
      <c r="B230" t="str">
        <f>IF(ISNUMBER(SEARCH("CORTE",INVENTARIO!C230)),"COR",
IF(ISNUMBER(SEARCH("CITYLIGHT",INVENTARIO!C230)),"CIT",
IF(ISNUMBER(SEARCH("LINO",INVENTARIO!C230)),"LIN",
IF(ISNUMBER(SEARCH("FABRIANO",INVENTARIO!C230)),"FAB",
IF(ISNUMBER(SEARCH("SUNDANCE",INVENTARIO!C230)),"SUN",
IF(ISNUMBER(SEARCH("SINTETICA",INVENTARIO!C230)),"SIN",
IF(ISNUMBER(SEARCH("CONTROL",INVENTARIO!C230)),"CON",
IF(ISNUMBER(SEARCH("TERMICO",INVENTARIO!C230)),"TER",
IF(ISNUMBER(SEARCH("C-15",INVENTARIO!C230)),"C15",
IF(ISNUMBER(SEARCH("C-20",INVENTARIO!C230)),"C20",
IF(ISNUMBER(SEARCH("C-30",INVENTARIO!C230)),"C30",
IF(ISNUMBER(SEARCH("C-40",INVENTARIO!C230)),"C40",
IF(ISNUMBER(SEARCH("C-60",INVENTARIO!C230)),"C60",
IF(ISNUMBER(SEARCH("C-80",INVENTARIO!C230)),"C80",
IF(ISNUMBER(SEARCH("EQUIPO",INVENTARIO!C230)),"EQU",
IF(ISNUMBER(SEARCH("FLOOR",INVENTARIO!C230)),"FLO",
IF(ISNUMBER(SEARCH("CRISTAL",INVENTARIO!C230)),"CRI",
IF(ISNUMBER(SEARCH(" SULFATADA",INVENTARIO!C241)),"SUL",
IF(ISNUMBER(SEARCH("OPALINA",INVENTARIO!C230)),"OPA",
IF(ISNUMBER(SEARCH("ADHERIBLE",INVENTARIO!C230)),"ADH",
IF(ISNUMBER(SEARCH("MICRO",INVENTARIO!C230)),"MIC","")))))))))))))))))))))</f>
        <v/>
      </c>
      <c r="C230" t="str">
        <f>IF(ISNUMBER(SEARCH("PARED",INVENTARIO!C230)),"PAR",
IF(ISNUMBER(SEARCH("FRONT",INVENTARIO!C230)),"FRO",
IF(ISNUMBER(SEARCH("ALTA RESISTENCIA",INVENTARIO!C230)),
"ALT-RES",IF(ISNUMBER(SEARCH("BACKLITE",INVENTARIO!C230)),"BAC",
IF(ISNUMBER(SEARCH("MATE",INVENTARIO!C230)),"MAT",
IF(ISNUMBER(SEARCH("MESH",INVENTARIO!C230)),"MES",
IF(ISNUMBER(SEARCH("BRILLANTE",INVENTARIO!C230)),"BRI",
IF(ISNUMBER(SEARCH("DELGADA",INVENTARIO!C230)),"DEL",
IF(ISNUMBER(SEARCH("GRUESA",INVENTARIO!C230)),"GRU",
IF(ISNUMBER(SEARCH("ESTATICO",INVENTARIO!C230)),"EST",
IF(ISNUMBER(SEARCH("REFLECTIVO",INVENTARIO!C230)),"REF",
IF(ISNUMBER(SEARCH("LX700",INVENTARIO!C230)),"LX7",
IF(ISNUMBER(SEARCH("GRANDO",INVENTARIO!C230)),"GRA",
IF(ISNUMBER(SEARCH("FB700",INVENTARIO!C230)),"FB7",
IF(ISNUMBER(SEARCH("LX360",INVENTARIO!C230)),"LX3",
IF(ISNUMBER(SEARCH("XEROX",INVENTARIO!C230)),"XER",
IF(ISNUMBER(SEARCH("CEPILLADO",INVENTARIO!C230)),"CEP",
IF(ISNUMBER(SEARCH("ESPEJO",INVENTARIO!C230)),"ESP",
IF(ISNUMBER(SEARCH("10 PTS",INVENTARIO!C230)),"10PT",
IF(ISNUMBER(SEARCH("12 PTS",INVENTARIO!C230)),"12PT",
IF(ISNUMBER(SEARCH("14 PTS",INVENTARIO!C230)),"14PT",
IF(ISNUMBER(SEARCH("CLASICO",INVENTARIO!C230)),"CLA",
""))))))))))))))))))))))</f>
        <v/>
      </c>
      <c r="D230" t="str">
        <f>IF(ISNUMBER(SEARCH("GRAN FORMATO",INVENTARIO!C230)),"GRA-FOR",
IF(ISNUMBER(SEARCH("CAMA PLANA",INVENTARIO!C230)),"CAM-PLA",
IF(ISNUMBER(SEARCH("GRADO INGENIERIA",INVENTARIO!C230)),"GRA-ING",
IF(ISNUMBER(SEARCH("130 GRS",INVENTARIO!C230)),"130GR",
IF(ISNUMBER(SEARCH("150 GRS",INVENTARIO!C230)),"150GR",
IF(ISNUMBER(SEARCH("185 GRS",INVENTARIO!C230)),"185GR",
IF(ISNUMBER(SEARCH("200 GRS",INVENTARIO!C230)),"200GR",
IF(ISNUMBER(SEARCH("250 GRS",INVENTARIO!C230)),"250GR",
IF(ISNUMBER(SEARCH("300 GRS",INVENTARIO!C230)),"300GR",
IF(ISNUMBER(SEARCH("350 GRS",INVENTARIO!C230)),"350GR",
IF(ISNUMBER(SEARCH("18 OZ",INVENTARIO!C230)),"18OZ",
IF(ISNUMBER(SEARCH("15 OZ",INVENTARIO!C230)),"15OZ",
IF(OR(ISNUMBER(SEARCH("13 OZ",INVENTARIO!C230)),ISNUMBER(SEARCH("13 ONZAS",INVENTARIO!C230))),"13OZ",
IF(OR(ISNUMBER(SEARCH("9 OZ",INVENTARIO!C230)),ISNUMBER(SEARCH("9 ONZAS",INVENTARIO!C230))),"09OZ",
IF(ISNUMBER(SEARCH("DOBLE CARA",INVENTARIO!C230)),"DOB-CAR",
"")))))))))))))))</f>
        <v/>
      </c>
      <c r="E230" t="str">
        <f>IF(OR(ISNUMBER(SEARCH("TRANSPARENTE",INVENTARIO!C230)),ISNUMBER(SEARCH("TRANSPARENTES",INVENTARIO!C230))),"TRA",
IF(OR(ISNUMBER(SEARCH("BLANCO",INVENTARIO!C230)),ISNUMBER(SEARCH("BCO",INVENTARIO!C230))),"BLA",
IF(ISNUMBER(SEARCH("FOTOGRAFICO",INVENTARIO!C230)),"FOT",
IF(ISNUMBER(SEARCH("MARFIL",INVENTARIO!C230)),"MAR",
IF(ISNUMBER(SEARCH("VERDE",INVENTARIO!C230)),"VER",
IF(ISNUMBER(SEARCH("MORADO",INVENTARIO!C230)),"MOR",
IF(ISNUMBER(SEARCH("PLATA",INVENTARIO!C230)),"PLA",
IF(ISNUMBER(SEARCH("ORO",INVENTARIO!C230)),"ORO",
IF(ISNUMBER(SEARCH("AMARILLO",INVENTARIO!C230)),"AMA",
IF(ISNUMBER(SEARCH("NARANJA",INVENTARIO!C230)),"NAR",
IF(ISNUMBER(SEARCH("NEGRO",INVENTARIO!C230)),"NEG",
IF(ISNUMBER(SEARCH("ROJO",INVENTARIO!C230)),"ROJ",
IF(ISNUMBER(SEARCH("AZUL",INVENTARIO!C230)),"AZU","")))))))))))))</f>
        <v>NEG</v>
      </c>
      <c r="F230" t="str">
        <f>IF(ISNUMBER(SEARCH("ARLON",INVENTARIO!C230)),"ARL",
IF(ISNUMBER(SEARCH("SUNTHINKS",INVENTARIO!C230)),"SUN",
IF(ISNUMBER(SEARCH("FRIO",INVENTARIO!C230)),"FRI",
IF(ISNUMBER(SEARCH("CALIDO",INVENTARIO!C230)),"CAL",
IF(ISNUMBER(SEARCH("CEPILLADO",INVENTARIO!C230)),"CEP",
IF(ISNUMBER(SEARCH("ESPEJO",INVENTARIO!C230)),"ESP",
""))))))</f>
        <v/>
      </c>
      <c r="G230" t="str">
        <f>IF(ISNUMBER(SEARCH("LATEX",INVENTARIO!C230)),"LAT",
IF(ISNUMBER(SEARCH("RESP. NEGRO",INVENTARIO!C230)),"RES-NEG",
IF(ISNUMBER(SEARCH("RESPALDO CAFE",INVENTARIO!C230)),"RES-CAF",
IF(ISNUMBER(SEARCH("RESPALDO GRIS",INVENTARIO!C230)),"RES-GRI",
IF(ISNUMBER(SEARCH("OPTICO",INVENTARIO!C230)),"OPT",
IF(ISNUMBER(SEARCH("1,2 MM",INVENTARIO!C230)),"1MM2",
IF(ISNUMBER(SEARCH("2 MM",INVENTARIO!C230)),"2MM",
IF(ISNUMBER(SEARCH("3 MM",INVENTARIO!C230)),"3MM",
IF(ISNUMBER(SEARCH("4 MM",INVENTARIO!C230)),"4MM",
IF(ISNUMBER(SEARCH("5 MM",INVENTARIO!C230)),"5MM",
IF(ISNUMBER(SEARCH("6 MM",INVENTARIO!C230)),"6MM",
IF(ISNUMBER(SEARCH("9 MM",INVENTARIO!C230)),"9MM",
IF(ISNUMBER(SEARCH("10 MM",INVENTARIO!C230)),"10MM","")))))))))))))</f>
        <v>6MM</v>
      </c>
      <c r="H230" t="str">
        <f>IF(ISNUMBER(SEARCH("GAMA BAJA",INVENTARIO!C230)),"GAM-BAJ",
IF(ISNUMBER(SEARCH("OPTIMIZADOR",INVENTARIO!C230)),"OPT",
IF(ISNUMBER(SEARCH("OVERCOAT",INVENTARIO!C230)),"OVE",
IF(ISNUMBER(SEARCH("WHITE",INVENTARIO!C230)),"WHI",
IF(ISNUMBER(SEARCH("LIGHT CYAN",INVENTARIO!C230)),"LIG-CYA",
IF(ISNUMBER(SEARCH("CYAN",INVENTARIO!C230)),"CYA",
IF(ISNUMBER(SEARCH("LIGHT MAGENTA",INVENTARIO!C230)),"LIG-MAG",
IF(ISNUMBER(SEARCH("MAGENTA",INVENTARIO!C230)),"MAG",
IF(ISNUMBER(SEARCH("BLACK",INVENTARIO!C230)),"BLA",
IF(ISNUMBER(SEARCH("YELLOW",INVENTARIO!C230)),"YEL",
IF(ISNUMBER(SEARCH("2 DIODOS",INVENTARIO!C230)),"2DI",
IF(ISNUMBER(SEARCH("3 DIODOS",INVENTARIO!C230)),"3DI",
IF(OR(ISNUMBER(SEARCH("TRASLUCIDO",INVENTARIO!C230)),ISNUMBER(SEARCH("TRANSLUCIDO",INVENTARIO!C230))),"TRA",
"")))))))))))))</f>
        <v/>
      </c>
      <c r="I23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1" spans="1:9">
      <c r="A231" t="str">
        <f>IF(ISNUMBER(SEARCH("LONA",INVENTARIO!C231)),"LON",
IF(ISNUMBER(SEARCH("VINIL",INVENTARIO!C231)),"VIN",
IF(ISNUMBER(SEARCH("KROMACOTE",INVENTARIO!C231)),"KRO",
IF(ISNUMBER(SEARCH("STARDREAM",INVENTARIO!C231)),"STA",
IF(ISNUMBER(SEARCH("DISPLAY",INVENTARIO!C231)),"DIS",
IF(ISNUMBER(SEARCH("ROLL UP",INVENTARIO!C231)),"ROL-UP",
IF(ISNUMBER(SEARCH("TRANSFER DE PAPEL",INVENTARIO!C231)),"TRA-PAP",
IF(ISNUMBER(SEARCH("TRANSFER",INVENTARIO!C231)),"TRA",IF(ISNUMBER(SEARCH("KOLA LOKA",INVENTARIO!C231)),"KOL-LOK",
IF(ISNUMBER(SEARCH("PETG",INVENTARIO!C231)),"PET",
IF(ISNUMBER(SEARCH("OJILLO",INVENTARIO!C231)),"OJI",
IF(ISNUMBER(SEARCH("COUCHE",INVENTARIO!C231)),"COU",
IF(ISNUMBER(SEARCH("PANEL DE ALUMINIO",INVENTARIO!C231)),"PAN-ALU",
IF(ISNUMBER(SEARCH("PVC",INVENTARIO!C231)),"PVC",
IF(ISNUMBER(SEARCH("PAPEL",INVENTARIO!C231)),"PAP",
IF(ISNUMBER(SEARCH("TELA",INVENTARIO!C231)),"TEL",
IF(ISNUMBER(SEARCH("CARTULINA",INVENTARIO!C231)),"CAR",
IF(OR(ISNUMBER(SEARCH("LAMINA",INVENTARIO!C231)),ISNUMBER(SEARCH("LÁMINA",INVENTARIO!C231)),ISNUMBER(SEARCH("LAMPARAS",INVENTARIO!C231))),"LAM",
IF(ISNUMBER(SEARCH("ESTIRENO",INVENTARIO!C231)),"EST",
IF(ISNUMBER(SEARCH("FOAMBOARD",INVENTARIO!C231)),"FOA",
IF(ISNUMBER(SEARCH("SOLVENTE",INVENTARIO!C231)),"SOL",
IF(ISNUMBER(SEARCH("TINTA",INVENTARIO!C231)),"TIN",
IF(ISNUMBER(SEARCH("ACRILICO",INVENTARIO!C231)),"ACR",
IF(ISNUMBER(SEARCH("MICROLED",INVENTARIO!C231)),"MIC",
IF(ISNUMBER(SEARCH("LED",INVENTARIO!C231)),"LED",
IF(ISNUMBER(SEARCH("FUENTE DE PODER",INVENTARIO!C231)),"FUE-POD",
IF(ISNUMBER(SEARCH("PETG",INVENTARIO!C231)),"PET",
IF(ISNUMBER(SEARCH("ALUMINIO",INVENTARIO!C231)),"ALU",
IF(ISNUMBER(SEARCH("CANAL",INVENTARIO!C231)),"CAN",
IF(ISNUMBER(SEARCH("ESCUADRA",INVENTARIO!C231)),"ESC",
IF(ISNUMBER(SEARCH("SOPORTE",INVENTARIO!C231)),"SOP","OTR")
))))))))))))))))))))))))))))))</f>
        <v>PVC</v>
      </c>
      <c r="B231" t="str">
        <f>IF(ISNUMBER(SEARCH("CORTE",INVENTARIO!C231)),"COR",
IF(ISNUMBER(SEARCH("CITYLIGHT",INVENTARIO!C231)),"CIT",
IF(ISNUMBER(SEARCH("LINO",INVENTARIO!C231)),"LIN",
IF(ISNUMBER(SEARCH("FABRIANO",INVENTARIO!C231)),"FAB",
IF(ISNUMBER(SEARCH("SUNDANCE",INVENTARIO!C231)),"SUN",
IF(ISNUMBER(SEARCH("SINTETICA",INVENTARIO!C231)),"SIN",
IF(ISNUMBER(SEARCH("CONTROL",INVENTARIO!C231)),"CON",
IF(ISNUMBER(SEARCH("TERMICO",INVENTARIO!C231)),"TER",
IF(ISNUMBER(SEARCH("C-15",INVENTARIO!C231)),"C15",
IF(ISNUMBER(SEARCH("C-20",INVENTARIO!C231)),"C20",
IF(ISNUMBER(SEARCH("C-30",INVENTARIO!C231)),"C30",
IF(ISNUMBER(SEARCH("C-40",INVENTARIO!C231)),"C40",
IF(ISNUMBER(SEARCH("C-60",INVENTARIO!C231)),"C60",
IF(ISNUMBER(SEARCH("C-80",INVENTARIO!C231)),"C80",
IF(ISNUMBER(SEARCH("EQUIPO",INVENTARIO!C231)),"EQU",
IF(ISNUMBER(SEARCH("FLOOR",INVENTARIO!C231)),"FLO",
IF(ISNUMBER(SEARCH("CRISTAL",INVENTARIO!C231)),"CRI",
IF(ISNUMBER(SEARCH(" SULFATADA",INVENTARIO!C242)),"SUL",
IF(ISNUMBER(SEARCH("OPALINA",INVENTARIO!C231)),"OPA",
IF(ISNUMBER(SEARCH("ADHERIBLE",INVENTARIO!C231)),"ADH",
IF(ISNUMBER(SEARCH("MICRO",INVENTARIO!C231)),"MIC","")))))))))))))))))))))</f>
        <v/>
      </c>
      <c r="C231" t="str">
        <f>IF(ISNUMBER(SEARCH("PARED",INVENTARIO!C231)),"PAR",
IF(ISNUMBER(SEARCH("FRONT",INVENTARIO!C231)),"FRO",
IF(ISNUMBER(SEARCH("ALTA RESISTENCIA",INVENTARIO!C231)),
"ALT-RES",IF(ISNUMBER(SEARCH("BACKLITE",INVENTARIO!C231)),"BAC",
IF(ISNUMBER(SEARCH("MATE",INVENTARIO!C231)),"MAT",
IF(ISNUMBER(SEARCH("MESH",INVENTARIO!C231)),"MES",
IF(ISNUMBER(SEARCH("BRILLANTE",INVENTARIO!C231)),"BRI",
IF(ISNUMBER(SEARCH("DELGADA",INVENTARIO!C231)),"DEL",
IF(ISNUMBER(SEARCH("GRUESA",INVENTARIO!C231)),"GRU",
IF(ISNUMBER(SEARCH("ESTATICO",INVENTARIO!C231)),"EST",
IF(ISNUMBER(SEARCH("REFLECTIVO",INVENTARIO!C231)),"REF",
IF(ISNUMBER(SEARCH("LX700",INVENTARIO!C231)),"LX7",
IF(ISNUMBER(SEARCH("GRANDO",INVENTARIO!C231)),"GRA",
IF(ISNUMBER(SEARCH("FB700",INVENTARIO!C231)),"FB7",
IF(ISNUMBER(SEARCH("LX360",INVENTARIO!C231)),"LX3",
IF(ISNUMBER(SEARCH("XEROX",INVENTARIO!C231)),"XER",
IF(ISNUMBER(SEARCH("CEPILLADO",INVENTARIO!C231)),"CEP",
IF(ISNUMBER(SEARCH("ESPEJO",INVENTARIO!C231)),"ESP",
IF(ISNUMBER(SEARCH("10 PTS",INVENTARIO!C231)),"10PT",
IF(ISNUMBER(SEARCH("12 PTS",INVENTARIO!C231)),"12PT",
IF(ISNUMBER(SEARCH("14 PTS",INVENTARIO!C231)),"14PT",
IF(ISNUMBER(SEARCH("CLASICO",INVENTARIO!C231)),"CLA",
""))))))))))))))))))))))</f>
        <v/>
      </c>
      <c r="D231" t="str">
        <f>IF(ISNUMBER(SEARCH("GRAN FORMATO",INVENTARIO!C231)),"GRA-FOR",
IF(ISNUMBER(SEARCH("CAMA PLANA",INVENTARIO!C231)),"CAM-PLA",
IF(ISNUMBER(SEARCH("GRADO INGENIERIA",INVENTARIO!C231)),"GRA-ING",
IF(ISNUMBER(SEARCH("130 GRS",INVENTARIO!C231)),"130GR",
IF(ISNUMBER(SEARCH("150 GRS",INVENTARIO!C231)),"150GR",
IF(ISNUMBER(SEARCH("185 GRS",INVENTARIO!C231)),"185GR",
IF(ISNUMBER(SEARCH("200 GRS",INVENTARIO!C231)),"200GR",
IF(ISNUMBER(SEARCH("250 GRS",INVENTARIO!C231)),"250GR",
IF(ISNUMBER(SEARCH("300 GRS",INVENTARIO!C231)),"300GR",
IF(ISNUMBER(SEARCH("350 GRS",INVENTARIO!C231)),"350GR",
IF(ISNUMBER(SEARCH("18 OZ",INVENTARIO!C231)),"18OZ",
IF(ISNUMBER(SEARCH("15 OZ",INVENTARIO!C231)),"15OZ",
IF(OR(ISNUMBER(SEARCH("13 OZ",INVENTARIO!C231)),ISNUMBER(SEARCH("13 ONZAS",INVENTARIO!C231))),"13OZ",
IF(OR(ISNUMBER(SEARCH("9 OZ",INVENTARIO!C231)),ISNUMBER(SEARCH("9 ONZAS",INVENTARIO!C231))),"09OZ",
IF(ISNUMBER(SEARCH("DOBLE CARA",INVENTARIO!C231)),"DOB-CAR",
"")))))))))))))))</f>
        <v/>
      </c>
      <c r="E231" t="str">
        <f>IF(OR(ISNUMBER(SEARCH("TRANSPARENTE",INVENTARIO!C231)),ISNUMBER(SEARCH("TRANSPARENTES",INVENTARIO!C231))),"TRA",
IF(OR(ISNUMBER(SEARCH("BLANCO",INVENTARIO!C231)),ISNUMBER(SEARCH("BCO",INVENTARIO!C231))),"BLA",
IF(ISNUMBER(SEARCH("FOTOGRAFICO",INVENTARIO!C231)),"FOT",
IF(ISNUMBER(SEARCH("MARFIL",INVENTARIO!C231)),"MAR",
IF(ISNUMBER(SEARCH("VERDE",INVENTARIO!C231)),"VER",
IF(ISNUMBER(SEARCH("MORADO",INVENTARIO!C231)),"MOR",
IF(ISNUMBER(SEARCH("PLATA",INVENTARIO!C231)),"PLA",
IF(ISNUMBER(SEARCH("ORO",INVENTARIO!C231)),"ORO",
IF(ISNUMBER(SEARCH("AMARILLO",INVENTARIO!C231)),"AMA",
IF(ISNUMBER(SEARCH("NARANJA",INVENTARIO!C231)),"NAR",
IF(ISNUMBER(SEARCH("NEGRO",INVENTARIO!C231)),"NEG",
IF(ISNUMBER(SEARCH("ROJO",INVENTARIO!C231)),"ROJ",
IF(ISNUMBER(SEARCH("AZUL",INVENTARIO!C231)),"AZU","")))))))))))))</f>
        <v>NEG</v>
      </c>
      <c r="F231" t="str">
        <f>IF(ISNUMBER(SEARCH("ARLON",INVENTARIO!C231)),"ARL",
IF(ISNUMBER(SEARCH("SUNTHINKS",INVENTARIO!C231)),"SUN",
IF(ISNUMBER(SEARCH("FRIO",INVENTARIO!C231)),"FRI",
IF(ISNUMBER(SEARCH("CALIDO",INVENTARIO!C231)),"CAL",
IF(ISNUMBER(SEARCH("CEPILLADO",INVENTARIO!C231)),"CEP",
IF(ISNUMBER(SEARCH("ESPEJO",INVENTARIO!C231)),"ESP",
""))))))</f>
        <v/>
      </c>
      <c r="G231" t="str">
        <f>IF(ISNUMBER(SEARCH("LATEX",INVENTARIO!C231)),"LAT",
IF(ISNUMBER(SEARCH("RESP. NEGRO",INVENTARIO!C231)),"RES-NEG",
IF(ISNUMBER(SEARCH("RESPALDO CAFE",INVENTARIO!C231)),"RES-CAF",
IF(ISNUMBER(SEARCH("RESPALDO GRIS",INVENTARIO!C231)),"RES-GRI",
IF(ISNUMBER(SEARCH("OPTICO",INVENTARIO!C231)),"OPT",
IF(ISNUMBER(SEARCH("1,2 MM",INVENTARIO!C231)),"1MM2",
IF(ISNUMBER(SEARCH("2 MM",INVENTARIO!C231)),"2MM",
IF(ISNUMBER(SEARCH("3 MM",INVENTARIO!C231)),"3MM",
IF(ISNUMBER(SEARCH("4 MM",INVENTARIO!C231)),"4MM",
IF(ISNUMBER(SEARCH("5 MM",INVENTARIO!C231)),"5MM",
IF(ISNUMBER(SEARCH("6 MM",INVENTARIO!C231)),"6MM",
IF(ISNUMBER(SEARCH("9 MM",INVENTARIO!C231)),"9MM",
IF(ISNUMBER(SEARCH("10 MM",INVENTARIO!C231)),"10MM","")))))))))))))</f>
        <v>6MM</v>
      </c>
      <c r="H231" t="str">
        <f>IF(ISNUMBER(SEARCH("GAMA BAJA",INVENTARIO!C231)),"GAM-BAJ",
IF(ISNUMBER(SEARCH("OPTIMIZADOR",INVENTARIO!C231)),"OPT",
IF(ISNUMBER(SEARCH("OVERCOAT",INVENTARIO!C231)),"OVE",
IF(ISNUMBER(SEARCH("WHITE",INVENTARIO!C231)),"WHI",
IF(ISNUMBER(SEARCH("LIGHT CYAN",INVENTARIO!C231)),"LIG-CYA",
IF(ISNUMBER(SEARCH("CYAN",INVENTARIO!C231)),"CYA",
IF(ISNUMBER(SEARCH("LIGHT MAGENTA",INVENTARIO!C231)),"LIG-MAG",
IF(ISNUMBER(SEARCH("MAGENTA",INVENTARIO!C231)),"MAG",
IF(ISNUMBER(SEARCH("BLACK",INVENTARIO!C231)),"BLA",
IF(ISNUMBER(SEARCH("YELLOW",INVENTARIO!C231)),"YEL",
IF(ISNUMBER(SEARCH("2 DIODOS",INVENTARIO!C231)),"2DI",
IF(ISNUMBER(SEARCH("3 DIODOS",INVENTARIO!C231)),"3DI",
IF(OR(ISNUMBER(SEARCH("TRASLUCIDO",INVENTARIO!C231)),ISNUMBER(SEARCH("TRANSLUCIDO",INVENTARIO!C231))),"TRA",
"")))))))))))))</f>
        <v/>
      </c>
      <c r="I23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2" spans="1:9">
      <c r="A232" t="str">
        <f>IF(ISNUMBER(SEARCH("LONA",INVENTARIO!C232)),"LON",
IF(ISNUMBER(SEARCH("VINIL",INVENTARIO!C232)),"VIN",
IF(ISNUMBER(SEARCH("KROMACOTE",INVENTARIO!C232)),"KRO",
IF(ISNUMBER(SEARCH("STARDREAM",INVENTARIO!C232)),"STA",
IF(ISNUMBER(SEARCH("DISPLAY",INVENTARIO!C232)),"DIS",
IF(ISNUMBER(SEARCH("ROLL UP",INVENTARIO!C232)),"ROL-UP",
IF(ISNUMBER(SEARCH("TRANSFER DE PAPEL",INVENTARIO!C232)),"TRA-PAP",
IF(ISNUMBER(SEARCH("TRANSFER",INVENTARIO!C232)),"TRA",IF(ISNUMBER(SEARCH("KOLA LOKA",INVENTARIO!C232)),"KOL-LOK",
IF(ISNUMBER(SEARCH("PETG",INVENTARIO!C232)),"PET",
IF(ISNUMBER(SEARCH("OJILLO",INVENTARIO!C232)),"OJI",
IF(ISNUMBER(SEARCH("COUCHE",INVENTARIO!C232)),"COU",
IF(ISNUMBER(SEARCH("PANEL DE ALUMINIO",INVENTARIO!C232)),"PAN-ALU",
IF(ISNUMBER(SEARCH("PVC",INVENTARIO!C232)),"PVC",
IF(ISNUMBER(SEARCH("PAPEL",INVENTARIO!C232)),"PAP",
IF(ISNUMBER(SEARCH("TELA",INVENTARIO!C232)),"TEL",
IF(ISNUMBER(SEARCH("CARTULINA",INVENTARIO!C232)),"CAR",
IF(OR(ISNUMBER(SEARCH("LAMINA",INVENTARIO!C232)),ISNUMBER(SEARCH("LÁMINA",INVENTARIO!C232)),ISNUMBER(SEARCH("LAMPARAS",INVENTARIO!C232))),"LAM",
IF(ISNUMBER(SEARCH("ESTIRENO",INVENTARIO!C232)),"EST",
IF(ISNUMBER(SEARCH("FOAMBOARD",INVENTARIO!C232)),"FOA",
IF(ISNUMBER(SEARCH("SOLVENTE",INVENTARIO!C232)),"SOL",
IF(ISNUMBER(SEARCH("TINTA",INVENTARIO!C232)),"TIN",
IF(ISNUMBER(SEARCH("ACRILICO",INVENTARIO!C232)),"ACR",
IF(ISNUMBER(SEARCH("MICROLED",INVENTARIO!C232)),"MIC",
IF(ISNUMBER(SEARCH("LED",INVENTARIO!C232)),"LED",
IF(ISNUMBER(SEARCH("FUENTE DE PODER",INVENTARIO!C232)),"FUE-POD",
IF(ISNUMBER(SEARCH("PETG",INVENTARIO!C232)),"PET",
IF(ISNUMBER(SEARCH("ALUMINIO",INVENTARIO!C232)),"ALU",
IF(ISNUMBER(SEARCH("CANAL",INVENTARIO!C232)),"CAN",
IF(ISNUMBER(SEARCH("ESCUADRA",INVENTARIO!C232)),"ESC",
IF(ISNUMBER(SEARCH("SOPORTE",INVENTARIO!C232)),"SOP","OTR")
))))))))))))))))))))))))))))))</f>
        <v>PVC</v>
      </c>
      <c r="B232" t="str">
        <f>IF(ISNUMBER(SEARCH("CORTE",INVENTARIO!C232)),"COR",
IF(ISNUMBER(SEARCH("CITYLIGHT",INVENTARIO!C232)),"CIT",
IF(ISNUMBER(SEARCH("LINO",INVENTARIO!C232)),"LIN",
IF(ISNUMBER(SEARCH("FABRIANO",INVENTARIO!C232)),"FAB",
IF(ISNUMBER(SEARCH("SUNDANCE",INVENTARIO!C232)),"SUN",
IF(ISNUMBER(SEARCH("SINTETICA",INVENTARIO!C232)),"SIN",
IF(ISNUMBER(SEARCH("CONTROL",INVENTARIO!C232)),"CON",
IF(ISNUMBER(SEARCH("TERMICO",INVENTARIO!C232)),"TER",
IF(ISNUMBER(SEARCH("C-15",INVENTARIO!C232)),"C15",
IF(ISNUMBER(SEARCH("C-20",INVENTARIO!C232)),"C20",
IF(ISNUMBER(SEARCH("C-30",INVENTARIO!C232)),"C30",
IF(ISNUMBER(SEARCH("C-40",INVENTARIO!C232)),"C40",
IF(ISNUMBER(SEARCH("C-60",INVENTARIO!C232)),"C60",
IF(ISNUMBER(SEARCH("C-80",INVENTARIO!C232)),"C80",
IF(ISNUMBER(SEARCH("EQUIPO",INVENTARIO!C232)),"EQU",
IF(ISNUMBER(SEARCH("FLOOR",INVENTARIO!C232)),"FLO",
IF(ISNUMBER(SEARCH("CRISTAL",INVENTARIO!C232)),"CRI",
IF(ISNUMBER(SEARCH(" SULFATADA",INVENTARIO!C243)),"SUL",
IF(ISNUMBER(SEARCH("OPALINA",INVENTARIO!C232)),"OPA",
IF(ISNUMBER(SEARCH("ADHERIBLE",INVENTARIO!C232)),"ADH",
IF(ISNUMBER(SEARCH("MICRO",INVENTARIO!C232)),"MIC","")))))))))))))))))))))</f>
        <v/>
      </c>
      <c r="C232" t="str">
        <f>IF(ISNUMBER(SEARCH("PARED",INVENTARIO!C232)),"PAR",
IF(ISNUMBER(SEARCH("FRONT",INVENTARIO!C232)),"FRO",
IF(ISNUMBER(SEARCH("ALTA RESISTENCIA",INVENTARIO!C232)),
"ALT-RES",IF(ISNUMBER(SEARCH("BACKLITE",INVENTARIO!C232)),"BAC",
IF(ISNUMBER(SEARCH("MATE",INVENTARIO!C232)),"MAT",
IF(ISNUMBER(SEARCH("MESH",INVENTARIO!C232)),"MES",
IF(ISNUMBER(SEARCH("BRILLANTE",INVENTARIO!C232)),"BRI",
IF(ISNUMBER(SEARCH("DELGADA",INVENTARIO!C232)),"DEL",
IF(ISNUMBER(SEARCH("GRUESA",INVENTARIO!C232)),"GRU",
IF(ISNUMBER(SEARCH("ESTATICO",INVENTARIO!C232)),"EST",
IF(ISNUMBER(SEARCH("REFLECTIVO",INVENTARIO!C232)),"REF",
IF(ISNUMBER(SEARCH("LX700",INVENTARIO!C232)),"LX7",
IF(ISNUMBER(SEARCH("GRANDO",INVENTARIO!C232)),"GRA",
IF(ISNUMBER(SEARCH("FB700",INVENTARIO!C232)),"FB7",
IF(ISNUMBER(SEARCH("LX360",INVENTARIO!C232)),"LX3",
IF(ISNUMBER(SEARCH("XEROX",INVENTARIO!C232)),"XER",
IF(ISNUMBER(SEARCH("CEPILLADO",INVENTARIO!C232)),"CEP",
IF(ISNUMBER(SEARCH("ESPEJO",INVENTARIO!C232)),"ESP",
IF(ISNUMBER(SEARCH("10 PTS",INVENTARIO!C232)),"10PT",
IF(ISNUMBER(SEARCH("12 PTS",INVENTARIO!C232)),"12PT",
IF(ISNUMBER(SEARCH("14 PTS",INVENTARIO!C232)),"14PT",
IF(ISNUMBER(SEARCH("CLASICO",INVENTARIO!C232)),"CLA",
""))))))))))))))))))))))</f>
        <v/>
      </c>
      <c r="D232" t="str">
        <f>IF(ISNUMBER(SEARCH("GRAN FORMATO",INVENTARIO!C232)),"GRA-FOR",
IF(ISNUMBER(SEARCH("CAMA PLANA",INVENTARIO!C232)),"CAM-PLA",
IF(ISNUMBER(SEARCH("GRADO INGENIERIA",INVENTARIO!C232)),"GRA-ING",
IF(ISNUMBER(SEARCH("130 GRS",INVENTARIO!C232)),"130GR",
IF(ISNUMBER(SEARCH("150 GRS",INVENTARIO!C232)),"150GR",
IF(ISNUMBER(SEARCH("185 GRS",INVENTARIO!C232)),"185GR",
IF(ISNUMBER(SEARCH("200 GRS",INVENTARIO!C232)),"200GR",
IF(ISNUMBER(SEARCH("250 GRS",INVENTARIO!C232)),"250GR",
IF(ISNUMBER(SEARCH("300 GRS",INVENTARIO!C232)),"300GR",
IF(ISNUMBER(SEARCH("350 GRS",INVENTARIO!C232)),"350GR",
IF(ISNUMBER(SEARCH("18 OZ",INVENTARIO!C232)),"18OZ",
IF(ISNUMBER(SEARCH("15 OZ",INVENTARIO!C232)),"15OZ",
IF(OR(ISNUMBER(SEARCH("13 OZ",INVENTARIO!C232)),ISNUMBER(SEARCH("13 ONZAS",INVENTARIO!C232))),"13OZ",
IF(OR(ISNUMBER(SEARCH("9 OZ",INVENTARIO!C232)),ISNUMBER(SEARCH("9 ONZAS",INVENTARIO!C232))),"09OZ",
IF(ISNUMBER(SEARCH("DOBLE CARA",INVENTARIO!C232)),"DOB-CAR",
"")))))))))))))))</f>
        <v/>
      </c>
      <c r="E232" t="str">
        <f>IF(OR(ISNUMBER(SEARCH("TRANSPARENTE",INVENTARIO!C232)),ISNUMBER(SEARCH("TRANSPARENTES",INVENTARIO!C232))),"TRA",
IF(OR(ISNUMBER(SEARCH("BLANCO",INVENTARIO!C232)),ISNUMBER(SEARCH("BCO",INVENTARIO!C232))),"BLA",
IF(ISNUMBER(SEARCH("FOTOGRAFICO",INVENTARIO!C232)),"FOT",
IF(ISNUMBER(SEARCH("MARFIL",INVENTARIO!C232)),"MAR",
IF(ISNUMBER(SEARCH("VERDE",INVENTARIO!C232)),"VER",
IF(ISNUMBER(SEARCH("MORADO",INVENTARIO!C232)),"MOR",
IF(ISNUMBER(SEARCH("PLATA",INVENTARIO!C232)),"PLA",
IF(ISNUMBER(SEARCH("ORO",INVENTARIO!C232)),"ORO",
IF(ISNUMBER(SEARCH("AMARILLO",INVENTARIO!C232)),"AMA",
IF(ISNUMBER(SEARCH("NARANJA",INVENTARIO!C232)),"NAR",
IF(ISNUMBER(SEARCH("NEGRO",INVENTARIO!C232)),"NEG",
IF(ISNUMBER(SEARCH("ROJO",INVENTARIO!C232)),"ROJ",
IF(ISNUMBER(SEARCH("AZUL",INVENTARIO!C232)),"AZU","")))))))))))))</f>
        <v/>
      </c>
      <c r="F232" t="str">
        <f>IF(ISNUMBER(SEARCH("ARLON",INVENTARIO!C232)),"ARL",
IF(ISNUMBER(SEARCH("SUNTHINKS",INVENTARIO!C232)),"SUN",
IF(ISNUMBER(SEARCH("FRIO",INVENTARIO!C232)),"FRI",
IF(ISNUMBER(SEARCH("CALIDO",INVENTARIO!C232)),"CAL",
IF(ISNUMBER(SEARCH("CEPILLADO",INVENTARIO!C232)),"CEP",
IF(ISNUMBER(SEARCH("ESPEJO",INVENTARIO!C232)),"ESP",
""))))))</f>
        <v/>
      </c>
      <c r="G232" t="str">
        <f>IF(ISNUMBER(SEARCH("LATEX",INVENTARIO!C232)),"LAT",
IF(ISNUMBER(SEARCH("RESP. NEGRO",INVENTARIO!C232)),"RES-NEG",
IF(ISNUMBER(SEARCH("RESPALDO CAFE",INVENTARIO!C232)),"RES-CAF",
IF(ISNUMBER(SEARCH("RESPALDO GRIS",INVENTARIO!C232)),"RES-GRI",
IF(ISNUMBER(SEARCH("OPTICO",INVENTARIO!C232)),"OPT",
IF(ISNUMBER(SEARCH("1,2 MM",INVENTARIO!C232)),"1MM2",
IF(ISNUMBER(SEARCH("2 MM",INVENTARIO!C232)),"2MM",
IF(ISNUMBER(SEARCH("3 MM",INVENTARIO!C232)),"3MM",
IF(ISNUMBER(SEARCH("4 MM",INVENTARIO!C232)),"4MM",
IF(ISNUMBER(SEARCH("5 MM",INVENTARIO!C232)),"5MM",
IF(ISNUMBER(SEARCH("6 MM",INVENTARIO!C232)),"6MM",
IF(ISNUMBER(SEARCH("9 MM",INVENTARIO!C232)),"9MM",
IF(ISNUMBER(SEARCH("10 MM",INVENTARIO!C232)),"10MM","")))))))))))))</f>
        <v>3MM</v>
      </c>
      <c r="H232" t="str">
        <f>IF(ISNUMBER(SEARCH("GAMA BAJA",INVENTARIO!C232)),"GAM-BAJ",
IF(ISNUMBER(SEARCH("OPTIMIZADOR",INVENTARIO!C232)),"OPT",
IF(ISNUMBER(SEARCH("OVERCOAT",INVENTARIO!C232)),"OVE",
IF(ISNUMBER(SEARCH("WHITE",INVENTARIO!C232)),"WHI",
IF(ISNUMBER(SEARCH("LIGHT CYAN",INVENTARIO!C232)),"LIG-CYA",
IF(ISNUMBER(SEARCH("CYAN",INVENTARIO!C232)),"CYA",
IF(ISNUMBER(SEARCH("LIGHT MAGENTA",INVENTARIO!C232)),"LIG-MAG",
IF(ISNUMBER(SEARCH("MAGENTA",INVENTARIO!C232)),"MAG",
IF(ISNUMBER(SEARCH("BLACK",INVENTARIO!C232)),"BLA",
IF(ISNUMBER(SEARCH("YELLOW",INVENTARIO!C232)),"YEL",
IF(ISNUMBER(SEARCH("2 DIODOS",INVENTARIO!C232)),"2DI",
IF(ISNUMBER(SEARCH("3 DIODOS",INVENTARIO!C232)),"3DI",
IF(OR(ISNUMBER(SEARCH("TRASLUCIDO",INVENTARIO!C232)),ISNUMBER(SEARCH("TRANSLUCIDO",INVENTARIO!C232))),"TRA",
"")))))))))))))</f>
        <v/>
      </c>
      <c r="I23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3" spans="1:9">
      <c r="A233" t="str">
        <f>IF(ISNUMBER(SEARCH("LONA",INVENTARIO!C233)),"LON",
IF(ISNUMBER(SEARCH("VINIL",INVENTARIO!C233)),"VIN",
IF(ISNUMBER(SEARCH("KROMACOTE",INVENTARIO!C233)),"KRO",
IF(ISNUMBER(SEARCH("STARDREAM",INVENTARIO!C233)),"STA",
IF(ISNUMBER(SEARCH("DISPLAY",INVENTARIO!C233)),"DIS",
IF(ISNUMBER(SEARCH("ROLL UP",INVENTARIO!C233)),"ROL-UP",
IF(ISNUMBER(SEARCH("TRANSFER DE PAPEL",INVENTARIO!C233)),"TRA-PAP",
IF(ISNUMBER(SEARCH("TRANSFER",INVENTARIO!C233)),"TRA",IF(ISNUMBER(SEARCH("KOLA LOKA",INVENTARIO!C233)),"KOL-LOK",
IF(ISNUMBER(SEARCH("PETG",INVENTARIO!C233)),"PET",
IF(ISNUMBER(SEARCH("OJILLO",INVENTARIO!C233)),"OJI",
IF(ISNUMBER(SEARCH("COUCHE",INVENTARIO!C233)),"COU",
IF(ISNUMBER(SEARCH("PANEL DE ALUMINIO",INVENTARIO!C233)),"PAN-ALU",
IF(ISNUMBER(SEARCH("PVC",INVENTARIO!C233)),"PVC",
IF(ISNUMBER(SEARCH("PAPEL",INVENTARIO!C233)),"PAP",
IF(ISNUMBER(SEARCH("TELA",INVENTARIO!C233)),"TEL",
IF(ISNUMBER(SEARCH("CARTULINA",INVENTARIO!C233)),"CAR",
IF(OR(ISNUMBER(SEARCH("LAMINA",INVENTARIO!C233)),ISNUMBER(SEARCH("LÁMINA",INVENTARIO!C233)),ISNUMBER(SEARCH("LAMPARAS",INVENTARIO!C233))),"LAM",
IF(ISNUMBER(SEARCH("ESTIRENO",INVENTARIO!C233)),"EST",
IF(ISNUMBER(SEARCH("FOAMBOARD",INVENTARIO!C233)),"FOA",
IF(ISNUMBER(SEARCH("SOLVENTE",INVENTARIO!C233)),"SOL",
IF(ISNUMBER(SEARCH("TINTA",INVENTARIO!C233)),"TIN",
IF(ISNUMBER(SEARCH("ACRILICO",INVENTARIO!C233)),"ACR",
IF(ISNUMBER(SEARCH("MICROLED",INVENTARIO!C233)),"MIC",
IF(ISNUMBER(SEARCH("LED",INVENTARIO!C233)),"LED",
IF(ISNUMBER(SEARCH("FUENTE DE PODER",INVENTARIO!C233)),"FUE-POD",
IF(ISNUMBER(SEARCH("PETG",INVENTARIO!C233)),"PET",
IF(ISNUMBER(SEARCH("ALUMINIO",INVENTARIO!C233)),"ALU",
IF(ISNUMBER(SEARCH("CANAL",INVENTARIO!C233)),"CAN",
IF(ISNUMBER(SEARCH("ESCUADRA",INVENTARIO!C233)),"ESC",
IF(ISNUMBER(SEARCH("SOPORTE",INVENTARIO!C233)),"SOP","OTR")
))))))))))))))))))))))))))))))</f>
        <v>PVC</v>
      </c>
      <c r="B233" t="str">
        <f>IF(ISNUMBER(SEARCH("CORTE",INVENTARIO!C233)),"COR",
IF(ISNUMBER(SEARCH("CITYLIGHT",INVENTARIO!C233)),"CIT",
IF(ISNUMBER(SEARCH("LINO",INVENTARIO!C233)),"LIN",
IF(ISNUMBER(SEARCH("FABRIANO",INVENTARIO!C233)),"FAB",
IF(ISNUMBER(SEARCH("SUNDANCE",INVENTARIO!C233)),"SUN",
IF(ISNUMBER(SEARCH("SINTETICA",INVENTARIO!C233)),"SIN",
IF(ISNUMBER(SEARCH("CONTROL",INVENTARIO!C233)),"CON",
IF(ISNUMBER(SEARCH("TERMICO",INVENTARIO!C233)),"TER",
IF(ISNUMBER(SEARCH("C-15",INVENTARIO!C233)),"C15",
IF(ISNUMBER(SEARCH("C-20",INVENTARIO!C233)),"C20",
IF(ISNUMBER(SEARCH("C-30",INVENTARIO!C233)),"C30",
IF(ISNUMBER(SEARCH("C-40",INVENTARIO!C233)),"C40",
IF(ISNUMBER(SEARCH("C-60",INVENTARIO!C233)),"C60",
IF(ISNUMBER(SEARCH("C-80",INVENTARIO!C233)),"C80",
IF(ISNUMBER(SEARCH("EQUIPO",INVENTARIO!C233)),"EQU",
IF(ISNUMBER(SEARCH("FLOOR",INVENTARIO!C233)),"FLO",
IF(ISNUMBER(SEARCH("CRISTAL",INVENTARIO!C233)),"CRI",
IF(ISNUMBER(SEARCH(" SULFATADA",INVENTARIO!C244)),"SUL",
IF(ISNUMBER(SEARCH("OPALINA",INVENTARIO!C233)),"OPA",
IF(ISNUMBER(SEARCH("ADHERIBLE",INVENTARIO!C233)),"ADH",
IF(ISNUMBER(SEARCH("MICRO",INVENTARIO!C233)),"MIC","")))))))))))))))))))))</f>
        <v/>
      </c>
      <c r="C233" t="str">
        <f>IF(ISNUMBER(SEARCH("PARED",INVENTARIO!C233)),"PAR",
IF(ISNUMBER(SEARCH("FRONT",INVENTARIO!C233)),"FRO",
IF(ISNUMBER(SEARCH("ALTA RESISTENCIA",INVENTARIO!C233)),
"ALT-RES",IF(ISNUMBER(SEARCH("BACKLITE",INVENTARIO!C233)),"BAC",
IF(ISNUMBER(SEARCH("MATE",INVENTARIO!C233)),"MAT",
IF(ISNUMBER(SEARCH("MESH",INVENTARIO!C233)),"MES",
IF(ISNUMBER(SEARCH("BRILLANTE",INVENTARIO!C233)),"BRI",
IF(ISNUMBER(SEARCH("DELGADA",INVENTARIO!C233)),"DEL",
IF(ISNUMBER(SEARCH("GRUESA",INVENTARIO!C233)),"GRU",
IF(ISNUMBER(SEARCH("ESTATICO",INVENTARIO!C233)),"EST",
IF(ISNUMBER(SEARCH("REFLECTIVO",INVENTARIO!C233)),"REF",
IF(ISNUMBER(SEARCH("LX700",INVENTARIO!C233)),"LX7",
IF(ISNUMBER(SEARCH("GRANDO",INVENTARIO!C233)),"GRA",
IF(ISNUMBER(SEARCH("FB700",INVENTARIO!C233)),"FB7",
IF(ISNUMBER(SEARCH("LX360",INVENTARIO!C233)),"LX3",
IF(ISNUMBER(SEARCH("XEROX",INVENTARIO!C233)),"XER",
IF(ISNUMBER(SEARCH("CEPILLADO",INVENTARIO!C233)),"CEP",
IF(ISNUMBER(SEARCH("ESPEJO",INVENTARIO!C233)),"ESP",
IF(ISNUMBER(SEARCH("10 PTS",INVENTARIO!C233)),"10PT",
IF(ISNUMBER(SEARCH("12 PTS",INVENTARIO!C233)),"12PT",
IF(ISNUMBER(SEARCH("14 PTS",INVENTARIO!C233)),"14PT",
IF(ISNUMBER(SEARCH("CLASICO",INVENTARIO!C233)),"CLA",
""))))))))))))))))))))))</f>
        <v/>
      </c>
      <c r="D233" t="str">
        <f>IF(ISNUMBER(SEARCH("GRAN FORMATO",INVENTARIO!C233)),"GRA-FOR",
IF(ISNUMBER(SEARCH("CAMA PLANA",INVENTARIO!C233)),"CAM-PLA",
IF(ISNUMBER(SEARCH("GRADO INGENIERIA",INVENTARIO!C233)),"GRA-ING",
IF(ISNUMBER(SEARCH("130 GRS",INVENTARIO!C233)),"130GR",
IF(ISNUMBER(SEARCH("150 GRS",INVENTARIO!C233)),"150GR",
IF(ISNUMBER(SEARCH("185 GRS",INVENTARIO!C233)),"185GR",
IF(ISNUMBER(SEARCH("200 GRS",INVENTARIO!C233)),"200GR",
IF(ISNUMBER(SEARCH("250 GRS",INVENTARIO!C233)),"250GR",
IF(ISNUMBER(SEARCH("300 GRS",INVENTARIO!C233)),"300GR",
IF(ISNUMBER(SEARCH("350 GRS",INVENTARIO!C233)),"350GR",
IF(ISNUMBER(SEARCH("18 OZ",INVENTARIO!C233)),"18OZ",
IF(ISNUMBER(SEARCH("15 OZ",INVENTARIO!C233)),"15OZ",
IF(OR(ISNUMBER(SEARCH("13 OZ",INVENTARIO!C233)),ISNUMBER(SEARCH("13 ONZAS",INVENTARIO!C233))),"13OZ",
IF(OR(ISNUMBER(SEARCH("9 OZ",INVENTARIO!C233)),ISNUMBER(SEARCH("9 ONZAS",INVENTARIO!C233))),"09OZ",
IF(ISNUMBER(SEARCH("DOBLE CARA",INVENTARIO!C233)),"DOB-CAR",
"")))))))))))))))</f>
        <v/>
      </c>
      <c r="E233" t="str">
        <f>IF(OR(ISNUMBER(SEARCH("TRANSPARENTE",INVENTARIO!C233)),ISNUMBER(SEARCH("TRANSPARENTES",INVENTARIO!C233))),"TRA",
IF(OR(ISNUMBER(SEARCH("BLANCO",INVENTARIO!C233)),ISNUMBER(SEARCH("BCO",INVENTARIO!C233))),"BLA",
IF(ISNUMBER(SEARCH("FOTOGRAFICO",INVENTARIO!C233)),"FOT",
IF(ISNUMBER(SEARCH("MARFIL",INVENTARIO!C233)),"MAR",
IF(ISNUMBER(SEARCH("VERDE",INVENTARIO!C233)),"VER",
IF(ISNUMBER(SEARCH("MORADO",INVENTARIO!C233)),"MOR",
IF(ISNUMBER(SEARCH("PLATA",INVENTARIO!C233)),"PLA",
IF(ISNUMBER(SEARCH("ORO",INVENTARIO!C233)),"ORO",
IF(ISNUMBER(SEARCH("AMARILLO",INVENTARIO!C233)),"AMA",
IF(ISNUMBER(SEARCH("NARANJA",INVENTARIO!C233)),"NAR",
IF(ISNUMBER(SEARCH("NEGRO",INVENTARIO!C233)),"NEG",
IF(ISNUMBER(SEARCH("ROJO",INVENTARIO!C233)),"ROJ",
IF(ISNUMBER(SEARCH("AZUL",INVENTARIO!C233)),"AZU","")))))))))))))</f>
        <v/>
      </c>
      <c r="F233" t="str">
        <f>IF(ISNUMBER(SEARCH("ARLON",INVENTARIO!C233)),"ARL",
IF(ISNUMBER(SEARCH("SUNTHINKS",INVENTARIO!C233)),"SUN",
IF(ISNUMBER(SEARCH("FRIO",INVENTARIO!C233)),"FRI",
IF(ISNUMBER(SEARCH("CALIDO",INVENTARIO!C233)),"CAL",
IF(ISNUMBER(SEARCH("CEPILLADO",INVENTARIO!C233)),"CEP",
IF(ISNUMBER(SEARCH("ESPEJO",INVENTARIO!C233)),"ESP",
""))))))</f>
        <v/>
      </c>
      <c r="G233" t="str">
        <f>IF(ISNUMBER(SEARCH("LATEX",INVENTARIO!C233)),"LAT",
IF(ISNUMBER(SEARCH("RESP. NEGRO",INVENTARIO!C233)),"RES-NEG",
IF(ISNUMBER(SEARCH("RESPALDO CAFE",INVENTARIO!C233)),"RES-CAF",
IF(ISNUMBER(SEARCH("RESPALDO GRIS",INVENTARIO!C233)),"RES-GRI",
IF(ISNUMBER(SEARCH("OPTICO",INVENTARIO!C233)),"OPT",
IF(ISNUMBER(SEARCH("1,2 MM",INVENTARIO!C233)),"1MM2",
IF(ISNUMBER(SEARCH("2 MM",INVENTARIO!C233)),"2MM",
IF(ISNUMBER(SEARCH("3 MM",INVENTARIO!C233)),"3MM",
IF(ISNUMBER(SEARCH("4 MM",INVENTARIO!C233)),"4MM",
IF(ISNUMBER(SEARCH("5 MM",INVENTARIO!C233)),"5MM",
IF(ISNUMBER(SEARCH("6 MM",INVENTARIO!C233)),"6MM",
IF(ISNUMBER(SEARCH("9 MM",INVENTARIO!C233)),"9MM",
IF(ISNUMBER(SEARCH("10 MM",INVENTARIO!C233)),"10MM","")))))))))))))</f>
        <v>6MM</v>
      </c>
      <c r="H233" t="str">
        <f>IF(ISNUMBER(SEARCH("GAMA BAJA",INVENTARIO!C233)),"GAM-BAJ",
IF(ISNUMBER(SEARCH("OPTIMIZADOR",INVENTARIO!C233)),"OPT",
IF(ISNUMBER(SEARCH("OVERCOAT",INVENTARIO!C233)),"OVE",
IF(ISNUMBER(SEARCH("WHITE",INVENTARIO!C233)),"WHI",
IF(ISNUMBER(SEARCH("LIGHT CYAN",INVENTARIO!C233)),"LIG-CYA",
IF(ISNUMBER(SEARCH("CYAN",INVENTARIO!C233)),"CYA",
IF(ISNUMBER(SEARCH("LIGHT MAGENTA",INVENTARIO!C233)),"LIG-MAG",
IF(ISNUMBER(SEARCH("MAGENTA",INVENTARIO!C233)),"MAG",
IF(ISNUMBER(SEARCH("BLACK",INVENTARIO!C233)),"BLA",
IF(ISNUMBER(SEARCH("YELLOW",INVENTARIO!C233)),"YEL",
IF(ISNUMBER(SEARCH("2 DIODOS",INVENTARIO!C233)),"2DI",
IF(ISNUMBER(SEARCH("3 DIODOS",INVENTARIO!C233)),"3DI",
IF(OR(ISNUMBER(SEARCH("TRASLUCIDO",INVENTARIO!C233)),ISNUMBER(SEARCH("TRANSLUCIDO",INVENTARIO!C233))),"TRA",
"")))))))))))))</f>
        <v/>
      </c>
      <c r="I23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4" spans="1:9">
      <c r="A234" t="str">
        <f>IF(ISNUMBER(SEARCH("LONA",INVENTARIO!C234)),"LON",
IF(ISNUMBER(SEARCH("VINIL",INVENTARIO!C234)),"VIN",
IF(ISNUMBER(SEARCH("KROMACOTE",INVENTARIO!C234)),"KRO",
IF(ISNUMBER(SEARCH("STARDREAM",INVENTARIO!C234)),"STA",
IF(ISNUMBER(SEARCH("DISPLAY",INVENTARIO!C234)),"DIS",
IF(ISNUMBER(SEARCH("ROLL UP",INVENTARIO!C234)),"ROL-UP",
IF(ISNUMBER(SEARCH("TRANSFER DE PAPEL",INVENTARIO!C234)),"TRA-PAP",
IF(ISNUMBER(SEARCH("TRANSFER",INVENTARIO!C234)),"TRA",IF(ISNUMBER(SEARCH("KOLA LOKA",INVENTARIO!C234)),"KOL-LOK",
IF(ISNUMBER(SEARCH("PETG",INVENTARIO!C234)),"PET",
IF(ISNUMBER(SEARCH("OJILLO",INVENTARIO!C234)),"OJI",
IF(ISNUMBER(SEARCH("COUCHE",INVENTARIO!C234)),"COU",
IF(ISNUMBER(SEARCH("PANEL DE ALUMINIO",INVENTARIO!C234)),"PAN-ALU",
IF(ISNUMBER(SEARCH("PVC",INVENTARIO!C234)),"PVC",
IF(ISNUMBER(SEARCH("PAPEL",INVENTARIO!C234)),"PAP",
IF(ISNUMBER(SEARCH("TELA",INVENTARIO!C234)),"TEL",
IF(ISNUMBER(SEARCH("CARTULINA",INVENTARIO!C234)),"CAR",
IF(OR(ISNUMBER(SEARCH("LAMINA",INVENTARIO!C234)),ISNUMBER(SEARCH("LÁMINA",INVENTARIO!C234)),ISNUMBER(SEARCH("LAMPARAS",INVENTARIO!C234))),"LAM",
IF(ISNUMBER(SEARCH("ESTIRENO",INVENTARIO!C234)),"EST",
IF(ISNUMBER(SEARCH("FOAMBOARD",INVENTARIO!C234)),"FOA",
IF(ISNUMBER(SEARCH("SOLVENTE",INVENTARIO!C234)),"SOL",
IF(ISNUMBER(SEARCH("TINTA",INVENTARIO!C234)),"TIN",
IF(ISNUMBER(SEARCH("ACRILICO",INVENTARIO!C234)),"ACR",
IF(ISNUMBER(SEARCH("MICROLED",INVENTARIO!C234)),"MIC",
IF(ISNUMBER(SEARCH("LED",INVENTARIO!C234)),"LED",
IF(ISNUMBER(SEARCH("FUENTE DE PODER",INVENTARIO!C234)),"FUE-POD",
IF(ISNUMBER(SEARCH("PETG",INVENTARIO!C234)),"PET",
IF(ISNUMBER(SEARCH("ALUMINIO",INVENTARIO!C234)),"ALU",
IF(ISNUMBER(SEARCH("CANAL",INVENTARIO!C234)),"CAN",
IF(ISNUMBER(SEARCH("ESCUADRA",INVENTARIO!C234)),"ESC",
IF(ISNUMBER(SEARCH("SOPORTE",INVENTARIO!C234)),"SOP","OTR")
))))))))))))))))))))))))))))))</f>
        <v>LED</v>
      </c>
      <c r="B234" t="str">
        <f>IF(ISNUMBER(SEARCH("CORTE",INVENTARIO!C234)),"COR",
IF(ISNUMBER(SEARCH("CITYLIGHT",INVENTARIO!C234)),"CIT",
IF(ISNUMBER(SEARCH("LINO",INVENTARIO!C234)),"LIN",
IF(ISNUMBER(SEARCH("FABRIANO",INVENTARIO!C234)),"FAB",
IF(ISNUMBER(SEARCH("SUNDANCE",INVENTARIO!C234)),"SUN",
IF(ISNUMBER(SEARCH("SINTETICA",INVENTARIO!C234)),"SIN",
IF(ISNUMBER(SEARCH("CONTROL",INVENTARIO!C234)),"CON",
IF(ISNUMBER(SEARCH("TERMICO",INVENTARIO!C234)),"TER",
IF(ISNUMBER(SEARCH("C-15",INVENTARIO!C234)),"C15",
IF(ISNUMBER(SEARCH("C-20",INVENTARIO!C234)),"C20",
IF(ISNUMBER(SEARCH("C-30",INVENTARIO!C234)),"C30",
IF(ISNUMBER(SEARCH("C-40",INVENTARIO!C234)),"C40",
IF(ISNUMBER(SEARCH("C-60",INVENTARIO!C234)),"C60",
IF(ISNUMBER(SEARCH("C-80",INVENTARIO!C234)),"C80",
IF(ISNUMBER(SEARCH("EQUIPO",INVENTARIO!C234)),"EQU",
IF(ISNUMBER(SEARCH("FLOOR",INVENTARIO!C234)),"FLO",
IF(ISNUMBER(SEARCH("CRISTAL",INVENTARIO!C234)),"CRI",
IF(ISNUMBER(SEARCH(" SULFATADA",INVENTARIO!C245)),"SUL",
IF(ISNUMBER(SEARCH("OPALINA",INVENTARIO!C234)),"OPA",
IF(ISNUMBER(SEARCH("ADHERIBLE",INVENTARIO!C234)),"ADH",
IF(ISNUMBER(SEARCH("MICRO",INVENTARIO!C234)),"MIC","")))))))))))))))))))))</f>
        <v/>
      </c>
      <c r="C234" t="str">
        <f>IF(ISNUMBER(SEARCH("PARED",INVENTARIO!C234)),"PAR",
IF(ISNUMBER(SEARCH("FRONT",INVENTARIO!C234)),"FRO",
IF(ISNUMBER(SEARCH("ALTA RESISTENCIA",INVENTARIO!C234)),
"ALT-RES",IF(ISNUMBER(SEARCH("BACKLITE",INVENTARIO!C234)),"BAC",
IF(ISNUMBER(SEARCH("MATE",INVENTARIO!C234)),"MAT",
IF(ISNUMBER(SEARCH("MESH",INVENTARIO!C234)),"MES",
IF(ISNUMBER(SEARCH("BRILLANTE",INVENTARIO!C234)),"BRI",
IF(ISNUMBER(SEARCH("DELGADA",INVENTARIO!C234)),"DEL",
IF(ISNUMBER(SEARCH("GRUESA",INVENTARIO!C234)),"GRU",
IF(ISNUMBER(SEARCH("ESTATICO",INVENTARIO!C234)),"EST",
IF(ISNUMBER(SEARCH("REFLECTIVO",INVENTARIO!C234)),"REF",
IF(ISNUMBER(SEARCH("LX700",INVENTARIO!C234)),"LX7",
IF(ISNUMBER(SEARCH("GRANDO",INVENTARIO!C234)),"GRA",
IF(ISNUMBER(SEARCH("FB700",INVENTARIO!C234)),"FB7",
IF(ISNUMBER(SEARCH("LX360",INVENTARIO!C234)),"LX3",
IF(ISNUMBER(SEARCH("XEROX",INVENTARIO!C234)),"XER",
IF(ISNUMBER(SEARCH("CEPILLADO",INVENTARIO!C234)),"CEP",
IF(ISNUMBER(SEARCH("ESPEJO",INVENTARIO!C234)),"ESP",
IF(ISNUMBER(SEARCH("10 PTS",INVENTARIO!C234)),"10PT",
IF(ISNUMBER(SEARCH("12 PTS",INVENTARIO!C234)),"12PT",
IF(ISNUMBER(SEARCH("14 PTS",INVENTARIO!C234)),"14PT",
IF(ISNUMBER(SEARCH("CLASICO",INVENTARIO!C234)),"CLA",
""))))))))))))))))))))))</f>
        <v/>
      </c>
      <c r="D234" t="str">
        <f>IF(ISNUMBER(SEARCH("GRAN FORMATO",INVENTARIO!C234)),"GRA-FOR",
IF(ISNUMBER(SEARCH("CAMA PLANA",INVENTARIO!C234)),"CAM-PLA",
IF(ISNUMBER(SEARCH("GRADO INGENIERIA",INVENTARIO!C234)),"GRA-ING",
IF(ISNUMBER(SEARCH("130 GRS",INVENTARIO!C234)),"130GR",
IF(ISNUMBER(SEARCH("150 GRS",INVENTARIO!C234)),"150GR",
IF(ISNUMBER(SEARCH("185 GRS",INVENTARIO!C234)),"185GR",
IF(ISNUMBER(SEARCH("200 GRS",INVENTARIO!C234)),"200GR",
IF(ISNUMBER(SEARCH("250 GRS",INVENTARIO!C234)),"250GR",
IF(ISNUMBER(SEARCH("300 GRS",INVENTARIO!C234)),"300GR",
IF(ISNUMBER(SEARCH("350 GRS",INVENTARIO!C234)),"350GR",
IF(ISNUMBER(SEARCH("18 OZ",INVENTARIO!C234)),"18OZ",
IF(ISNUMBER(SEARCH("15 OZ",INVENTARIO!C234)),"15OZ",
IF(OR(ISNUMBER(SEARCH("13 OZ",INVENTARIO!C234)),ISNUMBER(SEARCH("13 ONZAS",INVENTARIO!C234))),"13OZ",
IF(OR(ISNUMBER(SEARCH("9 OZ",INVENTARIO!C234)),ISNUMBER(SEARCH("9 ONZAS",INVENTARIO!C234))),"09OZ",
IF(ISNUMBER(SEARCH("DOBLE CARA",INVENTARIO!C234)),"DOB-CAR",
"")))))))))))))))</f>
        <v/>
      </c>
      <c r="E234" t="str">
        <f>IF(OR(ISNUMBER(SEARCH("TRANSPARENTE",INVENTARIO!C234)),ISNUMBER(SEARCH("TRANSPARENTES",INVENTARIO!C234))),"TRA",
IF(OR(ISNUMBER(SEARCH("BLANCO",INVENTARIO!C234)),ISNUMBER(SEARCH("BCO",INVENTARIO!C234))),"BLA",
IF(ISNUMBER(SEARCH("FOTOGRAFICO",INVENTARIO!C234)),"FOT",
IF(ISNUMBER(SEARCH("MARFIL",INVENTARIO!C234)),"MAR",
IF(ISNUMBER(SEARCH("VERDE",INVENTARIO!C234)),"VER",
IF(ISNUMBER(SEARCH("MORADO",INVENTARIO!C234)),"MOR",
IF(ISNUMBER(SEARCH("PLATA",INVENTARIO!C234)),"PLA",
IF(ISNUMBER(SEARCH("ORO",INVENTARIO!C234)),"ORO",
IF(ISNUMBER(SEARCH("AMARILLO",INVENTARIO!C234)),"AMA",
IF(ISNUMBER(SEARCH("NARANJA",INVENTARIO!C234)),"NAR",
IF(ISNUMBER(SEARCH("NEGRO",INVENTARIO!C234)),"NEG",
IF(ISNUMBER(SEARCH("ROJO",INVENTARIO!C234)),"ROJ",
IF(ISNUMBER(SEARCH("AZUL",INVENTARIO!C234)),"AZU","")))))))))))))</f>
        <v>BLA</v>
      </c>
      <c r="F234" t="str">
        <f>IF(ISNUMBER(SEARCH("ARLON",INVENTARIO!C234)),"ARL",
IF(ISNUMBER(SEARCH("SUNTHINKS",INVENTARIO!C234)),"SUN",
IF(ISNUMBER(SEARCH("FRIO",INVENTARIO!C234)),"FRI",
IF(ISNUMBER(SEARCH("CALIDO",INVENTARIO!C234)),"CAL",
IF(ISNUMBER(SEARCH("CEPILLADO",INVENTARIO!C234)),"CEP",
IF(ISNUMBER(SEARCH("ESPEJO",INVENTARIO!C234)),"ESP",
""))))))</f>
        <v>CAL</v>
      </c>
      <c r="G234" t="str">
        <f>IF(ISNUMBER(SEARCH("LATEX",INVENTARIO!C234)),"LAT",
IF(ISNUMBER(SEARCH("RESP. NEGRO",INVENTARIO!C234)),"RES-NEG",
IF(ISNUMBER(SEARCH("RESPALDO CAFE",INVENTARIO!C234)),"RES-CAF",
IF(ISNUMBER(SEARCH("RESPALDO GRIS",INVENTARIO!C234)),"RES-GRI",
IF(ISNUMBER(SEARCH("OPTICO",INVENTARIO!C234)),"OPT",
IF(ISNUMBER(SEARCH("1,2 MM",INVENTARIO!C234)),"1MM2",
IF(ISNUMBER(SEARCH("2 MM",INVENTARIO!C234)),"2MM",
IF(ISNUMBER(SEARCH("3 MM",INVENTARIO!C234)),"3MM",
IF(ISNUMBER(SEARCH("4 MM",INVENTARIO!C234)),"4MM",
IF(ISNUMBER(SEARCH("5 MM",INVENTARIO!C234)),"5MM",
IF(ISNUMBER(SEARCH("6 MM",INVENTARIO!C234)),"6MM",
IF(ISNUMBER(SEARCH("9 MM",INVENTARIO!C234)),"9MM",
IF(ISNUMBER(SEARCH("10 MM",INVENTARIO!C234)),"10MM","")))))))))))))</f>
        <v/>
      </c>
      <c r="H234" t="str">
        <f>IF(ISNUMBER(SEARCH("GAMA BAJA",INVENTARIO!C234)),"GAM-BAJ",
IF(ISNUMBER(SEARCH("OPTIMIZADOR",INVENTARIO!C234)),"OPT",
IF(ISNUMBER(SEARCH("OVERCOAT",INVENTARIO!C234)),"OVE",
IF(ISNUMBER(SEARCH("WHITE",INVENTARIO!C234)),"WHI",
IF(ISNUMBER(SEARCH("LIGHT CYAN",INVENTARIO!C234)),"LIG-CYA",
IF(ISNUMBER(SEARCH("CYAN",INVENTARIO!C234)),"CYA",
IF(ISNUMBER(SEARCH("LIGHT MAGENTA",INVENTARIO!C234)),"LIG-MAG",
IF(ISNUMBER(SEARCH("MAGENTA",INVENTARIO!C234)),"MAG",
IF(ISNUMBER(SEARCH("BLACK",INVENTARIO!C234)),"BLA",
IF(ISNUMBER(SEARCH("YELLOW",INVENTARIO!C234)),"YEL",
IF(ISNUMBER(SEARCH("2 DIODOS",INVENTARIO!C234)),"2DI",
IF(ISNUMBER(SEARCH("3 DIODOS",INVENTARIO!C234)),"3DI",
IF(OR(ISNUMBER(SEARCH("TRASLUCIDO",INVENTARIO!C234)),ISNUMBER(SEARCH("TRANSLUCIDO",INVENTARIO!C234))),"TRA",
"")))))))))))))</f>
        <v>3DI</v>
      </c>
      <c r="I23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5" spans="1:9">
      <c r="A235" t="str">
        <f>IF(ISNUMBER(SEARCH("LONA",INVENTARIO!C235)),"LON",
IF(ISNUMBER(SEARCH("VINIL",INVENTARIO!C235)),"VIN",
IF(ISNUMBER(SEARCH("KROMACOTE",INVENTARIO!C235)),"KRO",
IF(ISNUMBER(SEARCH("STARDREAM",INVENTARIO!C235)),"STA",
IF(ISNUMBER(SEARCH("DISPLAY",INVENTARIO!C235)),"DIS",
IF(ISNUMBER(SEARCH("ROLL UP",INVENTARIO!C235)),"ROL-UP",
IF(ISNUMBER(SEARCH("TRANSFER DE PAPEL",INVENTARIO!C235)),"TRA-PAP",
IF(ISNUMBER(SEARCH("TRANSFER",INVENTARIO!C235)),"TRA",IF(ISNUMBER(SEARCH("KOLA LOKA",INVENTARIO!C235)),"KOL-LOK",
IF(ISNUMBER(SEARCH("PETG",INVENTARIO!C235)),"PET",
IF(ISNUMBER(SEARCH("OJILLO",INVENTARIO!C235)),"OJI",
IF(ISNUMBER(SEARCH("COUCHE",INVENTARIO!C235)),"COU",
IF(ISNUMBER(SEARCH("PANEL DE ALUMINIO",INVENTARIO!C235)),"PAN-ALU",
IF(ISNUMBER(SEARCH("PVC",INVENTARIO!C235)),"PVC",
IF(ISNUMBER(SEARCH("PAPEL",INVENTARIO!C235)),"PAP",
IF(ISNUMBER(SEARCH("TELA",INVENTARIO!C235)),"TEL",
IF(ISNUMBER(SEARCH("CARTULINA",INVENTARIO!C235)),"CAR",
IF(OR(ISNUMBER(SEARCH("LAMINA",INVENTARIO!C235)),ISNUMBER(SEARCH("LÁMINA",INVENTARIO!C235)),ISNUMBER(SEARCH("LAMPARAS",INVENTARIO!C235))),"LAM",
IF(ISNUMBER(SEARCH("ESTIRENO",INVENTARIO!C235)),"EST",
IF(ISNUMBER(SEARCH("FOAMBOARD",INVENTARIO!C235)),"FOA",
IF(ISNUMBER(SEARCH("SOLVENTE",INVENTARIO!C235)),"SOL",
IF(ISNUMBER(SEARCH("TINTA",INVENTARIO!C235)),"TIN",
IF(ISNUMBER(SEARCH("ACRILICO",INVENTARIO!C235)),"ACR",
IF(ISNUMBER(SEARCH("MICROLED",INVENTARIO!C235)),"MIC",
IF(ISNUMBER(SEARCH("LED",INVENTARIO!C235)),"LED",
IF(ISNUMBER(SEARCH("FUENTE DE PODER",INVENTARIO!C235)),"FUE-POD",
IF(ISNUMBER(SEARCH("PETG",INVENTARIO!C235)),"PET",
IF(ISNUMBER(SEARCH("ALUMINIO",INVENTARIO!C235)),"ALU",
IF(ISNUMBER(SEARCH("CANAL",INVENTARIO!C235)),"CAN",
IF(ISNUMBER(SEARCH("ESCUADRA",INVENTARIO!C235)),"ESC",
IF(ISNUMBER(SEARCH("SOPORTE",INVENTARIO!C235)),"SOP","OTR")
))))))))))))))))))))))))))))))</f>
        <v>LED</v>
      </c>
      <c r="B235" t="str">
        <f>IF(ISNUMBER(SEARCH("CORTE",INVENTARIO!C235)),"COR",
IF(ISNUMBER(SEARCH("CITYLIGHT",INVENTARIO!C235)),"CIT",
IF(ISNUMBER(SEARCH("LINO",INVENTARIO!C235)),"LIN",
IF(ISNUMBER(SEARCH("FABRIANO",INVENTARIO!C235)),"FAB",
IF(ISNUMBER(SEARCH("SUNDANCE",INVENTARIO!C235)),"SUN",
IF(ISNUMBER(SEARCH("SINTETICA",INVENTARIO!C235)),"SIN",
IF(ISNUMBER(SEARCH("CONTROL",INVENTARIO!C235)),"CON",
IF(ISNUMBER(SEARCH("TERMICO",INVENTARIO!C235)),"TER",
IF(ISNUMBER(SEARCH("C-15",INVENTARIO!C235)),"C15",
IF(ISNUMBER(SEARCH("C-20",INVENTARIO!C235)),"C20",
IF(ISNUMBER(SEARCH("C-30",INVENTARIO!C235)),"C30",
IF(ISNUMBER(SEARCH("C-40",INVENTARIO!C235)),"C40",
IF(ISNUMBER(SEARCH("C-60",INVENTARIO!C235)),"C60",
IF(ISNUMBER(SEARCH("C-80",INVENTARIO!C235)),"C80",
IF(ISNUMBER(SEARCH("EQUIPO",INVENTARIO!C235)),"EQU",
IF(ISNUMBER(SEARCH("FLOOR",INVENTARIO!C235)),"FLO",
IF(ISNUMBER(SEARCH("CRISTAL",INVENTARIO!C235)),"CRI",
IF(ISNUMBER(SEARCH(" SULFATADA",INVENTARIO!C246)),"SUL",
IF(ISNUMBER(SEARCH("OPALINA",INVENTARIO!C235)),"OPA",
IF(ISNUMBER(SEARCH("ADHERIBLE",INVENTARIO!C235)),"ADH",
IF(ISNUMBER(SEARCH("MICRO",INVENTARIO!C235)),"MIC","")))))))))))))))))))))</f>
        <v/>
      </c>
      <c r="C235" t="str">
        <f>IF(ISNUMBER(SEARCH("PARED",INVENTARIO!C235)),"PAR",
IF(ISNUMBER(SEARCH("FRONT",INVENTARIO!C235)),"FRO",
IF(ISNUMBER(SEARCH("ALTA RESISTENCIA",INVENTARIO!C235)),
"ALT-RES",IF(ISNUMBER(SEARCH("BACKLITE",INVENTARIO!C235)),"BAC",
IF(ISNUMBER(SEARCH("MATE",INVENTARIO!C235)),"MAT",
IF(ISNUMBER(SEARCH("MESH",INVENTARIO!C235)),"MES",
IF(ISNUMBER(SEARCH("BRILLANTE",INVENTARIO!C235)),"BRI",
IF(ISNUMBER(SEARCH("DELGADA",INVENTARIO!C235)),"DEL",
IF(ISNUMBER(SEARCH("GRUESA",INVENTARIO!C235)),"GRU",
IF(ISNUMBER(SEARCH("ESTATICO",INVENTARIO!C235)),"EST",
IF(ISNUMBER(SEARCH("REFLECTIVO",INVENTARIO!C235)),"REF",
IF(ISNUMBER(SEARCH("LX700",INVENTARIO!C235)),"LX7",
IF(ISNUMBER(SEARCH("GRANDO",INVENTARIO!C235)),"GRA",
IF(ISNUMBER(SEARCH("FB700",INVENTARIO!C235)),"FB7",
IF(ISNUMBER(SEARCH("LX360",INVENTARIO!C235)),"LX3",
IF(ISNUMBER(SEARCH("XEROX",INVENTARIO!C235)),"XER",
IF(ISNUMBER(SEARCH("CEPILLADO",INVENTARIO!C235)),"CEP",
IF(ISNUMBER(SEARCH("ESPEJO",INVENTARIO!C235)),"ESP",
IF(ISNUMBER(SEARCH("10 PTS",INVENTARIO!C235)),"10PT",
IF(ISNUMBER(SEARCH("12 PTS",INVENTARIO!C235)),"12PT",
IF(ISNUMBER(SEARCH("14 PTS",INVENTARIO!C235)),"14PT",
IF(ISNUMBER(SEARCH("CLASICO",INVENTARIO!C235)),"CLA",
""))))))))))))))))))))))</f>
        <v/>
      </c>
      <c r="D235" t="str">
        <f>IF(ISNUMBER(SEARCH("GRAN FORMATO",INVENTARIO!C235)),"GRA-FOR",
IF(ISNUMBER(SEARCH("CAMA PLANA",INVENTARIO!C235)),"CAM-PLA",
IF(ISNUMBER(SEARCH("GRADO INGENIERIA",INVENTARIO!C235)),"GRA-ING",
IF(ISNUMBER(SEARCH("130 GRS",INVENTARIO!C235)),"130GR",
IF(ISNUMBER(SEARCH("150 GRS",INVENTARIO!C235)),"150GR",
IF(ISNUMBER(SEARCH("185 GRS",INVENTARIO!C235)),"185GR",
IF(ISNUMBER(SEARCH("200 GRS",INVENTARIO!C235)),"200GR",
IF(ISNUMBER(SEARCH("250 GRS",INVENTARIO!C235)),"250GR",
IF(ISNUMBER(SEARCH("300 GRS",INVENTARIO!C235)),"300GR",
IF(ISNUMBER(SEARCH("350 GRS",INVENTARIO!C235)),"350GR",
IF(ISNUMBER(SEARCH("18 OZ",INVENTARIO!C235)),"18OZ",
IF(ISNUMBER(SEARCH("15 OZ",INVENTARIO!C235)),"15OZ",
IF(OR(ISNUMBER(SEARCH("13 OZ",INVENTARIO!C235)),ISNUMBER(SEARCH("13 ONZAS",INVENTARIO!C235))),"13OZ",
IF(OR(ISNUMBER(SEARCH("9 OZ",INVENTARIO!C235)),ISNUMBER(SEARCH("9 ONZAS",INVENTARIO!C235))),"09OZ",
IF(ISNUMBER(SEARCH("DOBLE CARA",INVENTARIO!C235)),"DOB-CAR",
"")))))))))))))))</f>
        <v/>
      </c>
      <c r="E235" t="str">
        <f>IF(OR(ISNUMBER(SEARCH("TRANSPARENTE",INVENTARIO!C235)),ISNUMBER(SEARCH("TRANSPARENTES",INVENTARIO!C235))),"TRA",
IF(OR(ISNUMBER(SEARCH("BLANCO",INVENTARIO!C235)),ISNUMBER(SEARCH("BCO",INVENTARIO!C235))),"BLA",
IF(ISNUMBER(SEARCH("FOTOGRAFICO",INVENTARIO!C235)),"FOT",
IF(ISNUMBER(SEARCH("MARFIL",INVENTARIO!C235)),"MAR",
IF(ISNUMBER(SEARCH("VERDE",INVENTARIO!C235)),"VER",
IF(ISNUMBER(SEARCH("MORADO",INVENTARIO!C235)),"MOR",
IF(ISNUMBER(SEARCH("PLATA",INVENTARIO!C235)),"PLA",
IF(ISNUMBER(SEARCH("ORO",INVENTARIO!C235)),"ORO",
IF(ISNUMBER(SEARCH("AMARILLO",INVENTARIO!C235)),"AMA",
IF(ISNUMBER(SEARCH("NARANJA",INVENTARIO!C235)),"NAR",
IF(ISNUMBER(SEARCH("NEGRO",INVENTARIO!C235)),"NEG",
IF(ISNUMBER(SEARCH("ROJO",INVENTARIO!C235)),"ROJ",
IF(ISNUMBER(SEARCH("AZUL",INVENTARIO!C235)),"AZU","")))))))))))))</f>
        <v>BLA</v>
      </c>
      <c r="F235" t="str">
        <f>IF(ISNUMBER(SEARCH("ARLON",INVENTARIO!C235)),"ARL",
IF(ISNUMBER(SEARCH("SUNTHINKS",INVENTARIO!C235)),"SUN",
IF(ISNUMBER(SEARCH("FRIO",INVENTARIO!C235)),"FRI",
IF(ISNUMBER(SEARCH("CALIDO",INVENTARIO!C235)),"CAL",
IF(ISNUMBER(SEARCH("CEPILLADO",INVENTARIO!C235)),"CEP",
IF(ISNUMBER(SEARCH("ESPEJO",INVENTARIO!C235)),"ESP",
""))))))</f>
        <v>FRI</v>
      </c>
      <c r="G235" t="str">
        <f>IF(ISNUMBER(SEARCH("LATEX",INVENTARIO!C235)),"LAT",
IF(ISNUMBER(SEARCH("RESP. NEGRO",INVENTARIO!C235)),"RES-NEG",
IF(ISNUMBER(SEARCH("RESPALDO CAFE",INVENTARIO!C235)),"RES-CAF",
IF(ISNUMBER(SEARCH("RESPALDO GRIS",INVENTARIO!C235)),"RES-GRI",
IF(ISNUMBER(SEARCH("OPTICO",INVENTARIO!C235)),"OPT",
IF(ISNUMBER(SEARCH("1,2 MM",INVENTARIO!C235)),"1MM2",
IF(ISNUMBER(SEARCH("2 MM",INVENTARIO!C235)),"2MM",
IF(ISNUMBER(SEARCH("3 MM",INVENTARIO!C235)),"3MM",
IF(ISNUMBER(SEARCH("4 MM",INVENTARIO!C235)),"4MM",
IF(ISNUMBER(SEARCH("5 MM",INVENTARIO!C235)),"5MM",
IF(ISNUMBER(SEARCH("6 MM",INVENTARIO!C235)),"6MM",
IF(ISNUMBER(SEARCH("9 MM",INVENTARIO!C235)),"9MM",
IF(ISNUMBER(SEARCH("10 MM",INVENTARIO!C235)),"10MM","")))))))))))))</f>
        <v/>
      </c>
      <c r="H235" t="str">
        <f>IF(ISNUMBER(SEARCH("GAMA BAJA",INVENTARIO!C235)),"GAM-BAJ",
IF(ISNUMBER(SEARCH("OPTIMIZADOR",INVENTARIO!C235)),"OPT",
IF(ISNUMBER(SEARCH("OVERCOAT",INVENTARIO!C235)),"OVE",
IF(ISNUMBER(SEARCH("WHITE",INVENTARIO!C235)),"WHI",
IF(ISNUMBER(SEARCH("LIGHT CYAN",INVENTARIO!C235)),"LIG-CYA",
IF(ISNUMBER(SEARCH("CYAN",INVENTARIO!C235)),"CYA",
IF(ISNUMBER(SEARCH("LIGHT MAGENTA",INVENTARIO!C235)),"LIG-MAG",
IF(ISNUMBER(SEARCH("MAGENTA",INVENTARIO!C235)),"MAG",
IF(ISNUMBER(SEARCH("BLACK",INVENTARIO!C235)),"BLA",
IF(ISNUMBER(SEARCH("YELLOW",INVENTARIO!C235)),"YEL",
IF(ISNUMBER(SEARCH("2 DIODOS",INVENTARIO!C235)),"2DI",
IF(ISNUMBER(SEARCH("3 DIODOS",INVENTARIO!C235)),"3DI",
IF(OR(ISNUMBER(SEARCH("TRASLUCIDO",INVENTARIO!C235)),ISNUMBER(SEARCH("TRANSLUCIDO",INVENTARIO!C235))),"TRA",
"")))))))))))))</f>
        <v>3DI</v>
      </c>
      <c r="I23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6" spans="1:9">
      <c r="A236" t="str">
        <f>IF(ISNUMBER(SEARCH("LONA",INVENTARIO!C236)),"LON",
IF(ISNUMBER(SEARCH("VINIL",INVENTARIO!C236)),"VIN",
IF(ISNUMBER(SEARCH("KROMACOTE",INVENTARIO!C236)),"KRO",
IF(ISNUMBER(SEARCH("STARDREAM",INVENTARIO!C236)),"STA",
IF(ISNUMBER(SEARCH("DISPLAY",INVENTARIO!C236)),"DIS",
IF(ISNUMBER(SEARCH("ROLL UP",INVENTARIO!C236)),"ROL-UP",
IF(ISNUMBER(SEARCH("TRANSFER DE PAPEL",INVENTARIO!C236)),"TRA-PAP",
IF(ISNUMBER(SEARCH("TRANSFER",INVENTARIO!C236)),"TRA",IF(ISNUMBER(SEARCH("KOLA LOKA",INVENTARIO!C236)),"KOL-LOK",
IF(ISNUMBER(SEARCH("PETG",INVENTARIO!C236)),"PET",
IF(ISNUMBER(SEARCH("OJILLO",INVENTARIO!C236)),"OJI",
IF(ISNUMBER(SEARCH("COUCHE",INVENTARIO!C236)),"COU",
IF(ISNUMBER(SEARCH("PANEL DE ALUMINIO",INVENTARIO!C236)),"PAN-ALU",
IF(ISNUMBER(SEARCH("PVC",INVENTARIO!C236)),"PVC",
IF(ISNUMBER(SEARCH("PAPEL",INVENTARIO!C236)),"PAP",
IF(ISNUMBER(SEARCH("TELA",INVENTARIO!C236)),"TEL",
IF(ISNUMBER(SEARCH("CARTULINA",INVENTARIO!C236)),"CAR",
IF(OR(ISNUMBER(SEARCH("LAMINA",INVENTARIO!C236)),ISNUMBER(SEARCH("LÁMINA",INVENTARIO!C236)),ISNUMBER(SEARCH("LAMPARAS",INVENTARIO!C236))),"LAM",
IF(ISNUMBER(SEARCH("ESTIRENO",INVENTARIO!C236)),"EST",
IF(ISNUMBER(SEARCH("FOAMBOARD",INVENTARIO!C236)),"FOA",
IF(ISNUMBER(SEARCH("SOLVENTE",INVENTARIO!C236)),"SOL",
IF(ISNUMBER(SEARCH("TINTA",INVENTARIO!C236)),"TIN",
IF(ISNUMBER(SEARCH("ACRILICO",INVENTARIO!C236)),"ACR",
IF(ISNUMBER(SEARCH("MICROLED",INVENTARIO!C236)),"MIC",
IF(ISNUMBER(SEARCH("LED",INVENTARIO!C236)),"LED",
IF(ISNUMBER(SEARCH("FUENTE DE PODER",INVENTARIO!C236)),"FUE-POD",
IF(ISNUMBER(SEARCH("PETG",INVENTARIO!C236)),"PET",
IF(ISNUMBER(SEARCH("ALUMINIO",INVENTARIO!C236)),"ALU",
IF(ISNUMBER(SEARCH("CANAL",INVENTARIO!C236)),"CAN",
IF(ISNUMBER(SEARCH("ESCUADRA",INVENTARIO!C236)),"ESC",
IF(ISNUMBER(SEARCH("SOPORTE",INVENTARIO!C236)),"SOP","OTR")
))))))))))))))))))))))))))))))</f>
        <v>MIC</v>
      </c>
      <c r="B236" t="str">
        <f>IF(ISNUMBER(SEARCH("CORTE",INVENTARIO!C236)),"COR",
IF(ISNUMBER(SEARCH("CITYLIGHT",INVENTARIO!C236)),"CIT",
IF(ISNUMBER(SEARCH("LINO",INVENTARIO!C236)),"LIN",
IF(ISNUMBER(SEARCH("FABRIANO",INVENTARIO!C236)),"FAB",
IF(ISNUMBER(SEARCH("SUNDANCE",INVENTARIO!C236)),"SUN",
IF(ISNUMBER(SEARCH("SINTETICA",INVENTARIO!C236)),"SIN",
IF(ISNUMBER(SEARCH("CONTROL",INVENTARIO!C236)),"CON",
IF(ISNUMBER(SEARCH("TERMICO",INVENTARIO!C236)),"TER",
IF(ISNUMBER(SEARCH("C-15",INVENTARIO!C236)),"C15",
IF(ISNUMBER(SEARCH("C-20",INVENTARIO!C236)),"C20",
IF(ISNUMBER(SEARCH("C-30",INVENTARIO!C236)),"C30",
IF(ISNUMBER(SEARCH("C-40",INVENTARIO!C236)),"C40",
IF(ISNUMBER(SEARCH("C-60",INVENTARIO!C236)),"C60",
IF(ISNUMBER(SEARCH("C-80",INVENTARIO!C236)),"C80",
IF(ISNUMBER(SEARCH("EQUIPO",INVENTARIO!C236)),"EQU",
IF(ISNUMBER(SEARCH("FLOOR",INVENTARIO!C236)),"FLO",
IF(ISNUMBER(SEARCH("CRISTAL",INVENTARIO!C236)),"CRI",
IF(ISNUMBER(SEARCH(" SULFATADA",INVENTARIO!C247)),"SUL",
IF(ISNUMBER(SEARCH("OPALINA",INVENTARIO!C236)),"OPA",
IF(ISNUMBER(SEARCH("ADHERIBLE",INVENTARIO!C236)),"ADH",
IF(ISNUMBER(SEARCH("MICRO",INVENTARIO!C236)),"MIC","")))))))))))))))))))))</f>
        <v>MIC</v>
      </c>
      <c r="C236" t="str">
        <f>IF(ISNUMBER(SEARCH("PARED",INVENTARIO!C236)),"PAR",
IF(ISNUMBER(SEARCH("FRONT",INVENTARIO!C236)),"FRO",
IF(ISNUMBER(SEARCH("ALTA RESISTENCIA",INVENTARIO!C236)),
"ALT-RES",IF(ISNUMBER(SEARCH("BACKLITE",INVENTARIO!C236)),"BAC",
IF(ISNUMBER(SEARCH("MATE",INVENTARIO!C236)),"MAT",
IF(ISNUMBER(SEARCH("MESH",INVENTARIO!C236)),"MES",
IF(ISNUMBER(SEARCH("BRILLANTE",INVENTARIO!C236)),"BRI",
IF(ISNUMBER(SEARCH("DELGADA",INVENTARIO!C236)),"DEL",
IF(ISNUMBER(SEARCH("GRUESA",INVENTARIO!C236)),"GRU",
IF(ISNUMBER(SEARCH("ESTATICO",INVENTARIO!C236)),"EST",
IF(ISNUMBER(SEARCH("REFLECTIVO",INVENTARIO!C236)),"REF",
IF(ISNUMBER(SEARCH("LX700",INVENTARIO!C236)),"LX7",
IF(ISNUMBER(SEARCH("GRANDO",INVENTARIO!C236)),"GRA",
IF(ISNUMBER(SEARCH("FB700",INVENTARIO!C236)),"FB7",
IF(ISNUMBER(SEARCH("LX360",INVENTARIO!C236)),"LX3",
IF(ISNUMBER(SEARCH("XEROX",INVENTARIO!C236)),"XER",
IF(ISNUMBER(SEARCH("CEPILLADO",INVENTARIO!C236)),"CEP",
IF(ISNUMBER(SEARCH("ESPEJO",INVENTARIO!C236)),"ESP",
IF(ISNUMBER(SEARCH("10 PTS",INVENTARIO!C236)),"10PT",
IF(ISNUMBER(SEARCH("12 PTS",INVENTARIO!C236)),"12PT",
IF(ISNUMBER(SEARCH("14 PTS",INVENTARIO!C236)),"14PT",
IF(ISNUMBER(SEARCH("CLASICO",INVENTARIO!C236)),"CLA",
""))))))))))))))))))))))</f>
        <v/>
      </c>
      <c r="D236" t="str">
        <f>IF(ISNUMBER(SEARCH("GRAN FORMATO",INVENTARIO!C236)),"GRA-FOR",
IF(ISNUMBER(SEARCH("CAMA PLANA",INVENTARIO!C236)),"CAM-PLA",
IF(ISNUMBER(SEARCH("GRADO INGENIERIA",INVENTARIO!C236)),"GRA-ING",
IF(ISNUMBER(SEARCH("130 GRS",INVENTARIO!C236)),"130GR",
IF(ISNUMBER(SEARCH("150 GRS",INVENTARIO!C236)),"150GR",
IF(ISNUMBER(SEARCH("185 GRS",INVENTARIO!C236)),"185GR",
IF(ISNUMBER(SEARCH("200 GRS",INVENTARIO!C236)),"200GR",
IF(ISNUMBER(SEARCH("250 GRS",INVENTARIO!C236)),"250GR",
IF(ISNUMBER(SEARCH("300 GRS",INVENTARIO!C236)),"300GR",
IF(ISNUMBER(SEARCH("350 GRS",INVENTARIO!C236)),"350GR",
IF(ISNUMBER(SEARCH("18 OZ",INVENTARIO!C236)),"18OZ",
IF(ISNUMBER(SEARCH("15 OZ",INVENTARIO!C236)),"15OZ",
IF(OR(ISNUMBER(SEARCH("13 OZ",INVENTARIO!C236)),ISNUMBER(SEARCH("13 ONZAS",INVENTARIO!C236))),"13OZ",
IF(OR(ISNUMBER(SEARCH("9 OZ",INVENTARIO!C236)),ISNUMBER(SEARCH("9 ONZAS",INVENTARIO!C236))),"09OZ",
IF(ISNUMBER(SEARCH("DOBLE CARA",INVENTARIO!C236)),"DOB-CAR",
"")))))))))))))))</f>
        <v/>
      </c>
      <c r="E236" t="str">
        <f>IF(OR(ISNUMBER(SEARCH("TRANSPARENTE",INVENTARIO!C236)),ISNUMBER(SEARCH("TRANSPARENTES",INVENTARIO!C236))),"TRA",
IF(OR(ISNUMBER(SEARCH("BLANCO",INVENTARIO!C236)),ISNUMBER(SEARCH("BCO",INVENTARIO!C236))),"BLA",
IF(ISNUMBER(SEARCH("FOTOGRAFICO",INVENTARIO!C236)),"FOT",
IF(ISNUMBER(SEARCH("MARFIL",INVENTARIO!C236)),"MAR",
IF(ISNUMBER(SEARCH("VERDE",INVENTARIO!C236)),"VER",
IF(ISNUMBER(SEARCH("MORADO",INVENTARIO!C236)),"MOR",
IF(ISNUMBER(SEARCH("PLATA",INVENTARIO!C236)),"PLA",
IF(ISNUMBER(SEARCH("ORO",INVENTARIO!C236)),"ORO",
IF(ISNUMBER(SEARCH("AMARILLO",INVENTARIO!C236)),"AMA",
IF(ISNUMBER(SEARCH("NARANJA",INVENTARIO!C236)),"NAR",
IF(ISNUMBER(SEARCH("NEGRO",INVENTARIO!C236)),"NEG",
IF(ISNUMBER(SEARCH("ROJO",INVENTARIO!C236)),"ROJ",
IF(ISNUMBER(SEARCH("AZUL",INVENTARIO!C236)),"AZU","")))))))))))))</f>
        <v/>
      </c>
      <c r="F236" t="str">
        <f>IF(ISNUMBER(SEARCH("ARLON",INVENTARIO!C236)),"ARL",
IF(ISNUMBER(SEARCH("SUNTHINKS",INVENTARIO!C236)),"SUN",
IF(ISNUMBER(SEARCH("FRIO",INVENTARIO!C236)),"FRI",
IF(ISNUMBER(SEARCH("CALIDO",INVENTARIO!C236)),"CAL",
IF(ISNUMBER(SEARCH("CEPILLADO",INVENTARIO!C236)),"CEP",
IF(ISNUMBER(SEARCH("ESPEJO",INVENTARIO!C236)),"ESP",
""))))))</f>
        <v>CAL</v>
      </c>
      <c r="G236" t="str">
        <f>IF(ISNUMBER(SEARCH("LATEX",INVENTARIO!C236)),"LAT",
IF(ISNUMBER(SEARCH("RESP. NEGRO",INVENTARIO!C236)),"RES-NEG",
IF(ISNUMBER(SEARCH("RESPALDO CAFE",INVENTARIO!C236)),"RES-CAF",
IF(ISNUMBER(SEARCH("RESPALDO GRIS",INVENTARIO!C236)),"RES-GRI",
IF(ISNUMBER(SEARCH("OPTICO",INVENTARIO!C236)),"OPT",
IF(ISNUMBER(SEARCH("1,2 MM",INVENTARIO!C236)),"1MM2",
IF(ISNUMBER(SEARCH("2 MM",INVENTARIO!C236)),"2MM",
IF(ISNUMBER(SEARCH("3 MM",INVENTARIO!C236)),"3MM",
IF(ISNUMBER(SEARCH("4 MM",INVENTARIO!C236)),"4MM",
IF(ISNUMBER(SEARCH("5 MM",INVENTARIO!C236)),"5MM",
IF(ISNUMBER(SEARCH("6 MM",INVENTARIO!C236)),"6MM",
IF(ISNUMBER(SEARCH("9 MM",INVENTARIO!C236)),"9MM",
IF(ISNUMBER(SEARCH("10 MM",INVENTARIO!C236)),"10MM","")))))))))))))</f>
        <v/>
      </c>
      <c r="H236" t="str">
        <f>IF(ISNUMBER(SEARCH("GAMA BAJA",INVENTARIO!C236)),"GAM-BAJ",
IF(ISNUMBER(SEARCH("OPTIMIZADOR",INVENTARIO!C236)),"OPT",
IF(ISNUMBER(SEARCH("OVERCOAT",INVENTARIO!C236)),"OVE",
IF(ISNUMBER(SEARCH("WHITE",INVENTARIO!C236)),"WHI",
IF(ISNUMBER(SEARCH("LIGHT CYAN",INVENTARIO!C236)),"LIG-CYA",
IF(ISNUMBER(SEARCH("CYAN",INVENTARIO!C236)),"CYA",
IF(ISNUMBER(SEARCH("LIGHT MAGENTA",INVENTARIO!C236)),"LIG-MAG",
IF(ISNUMBER(SEARCH("MAGENTA",INVENTARIO!C236)),"MAG",
IF(ISNUMBER(SEARCH("BLACK",INVENTARIO!C236)),"BLA",
IF(ISNUMBER(SEARCH("YELLOW",INVENTARIO!C236)),"YEL",
IF(ISNUMBER(SEARCH("2 DIODOS",INVENTARIO!C236)),"2DI",
IF(ISNUMBER(SEARCH("3 DIODOS",INVENTARIO!C236)),"3DI",
IF(OR(ISNUMBER(SEARCH("TRASLUCIDO",INVENTARIO!C236)),ISNUMBER(SEARCH("TRANSLUCIDO",INVENTARIO!C236))),"TRA",
"")))))))))))))</f>
        <v>2DI</v>
      </c>
      <c r="I23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7" spans="1:9">
      <c r="A237" t="str">
        <f>IF(ISNUMBER(SEARCH("LONA",INVENTARIO!C237)),"LON",
IF(ISNUMBER(SEARCH("VINIL",INVENTARIO!C237)),"VIN",
IF(ISNUMBER(SEARCH("KROMACOTE",INVENTARIO!C237)),"KRO",
IF(ISNUMBER(SEARCH("STARDREAM",INVENTARIO!C237)),"STA",
IF(ISNUMBER(SEARCH("DISPLAY",INVENTARIO!C237)),"DIS",
IF(ISNUMBER(SEARCH("ROLL UP",INVENTARIO!C237)),"ROL-UP",
IF(ISNUMBER(SEARCH("TRANSFER DE PAPEL",INVENTARIO!C237)),"TRA-PAP",
IF(ISNUMBER(SEARCH("TRANSFER",INVENTARIO!C237)),"TRA",IF(ISNUMBER(SEARCH("KOLA LOKA",INVENTARIO!C237)),"KOL-LOK",
IF(ISNUMBER(SEARCH("PETG",INVENTARIO!C237)),"PET",
IF(ISNUMBER(SEARCH("OJILLO",INVENTARIO!C237)),"OJI",
IF(ISNUMBER(SEARCH("COUCHE",INVENTARIO!C237)),"COU",
IF(ISNUMBER(SEARCH("PANEL DE ALUMINIO",INVENTARIO!C237)),"PAN-ALU",
IF(ISNUMBER(SEARCH("PVC",INVENTARIO!C237)),"PVC",
IF(ISNUMBER(SEARCH("PAPEL",INVENTARIO!C237)),"PAP",
IF(ISNUMBER(SEARCH("TELA",INVENTARIO!C237)),"TEL",
IF(ISNUMBER(SEARCH("CARTULINA",INVENTARIO!C237)),"CAR",
IF(OR(ISNUMBER(SEARCH("LAMINA",INVENTARIO!C237)),ISNUMBER(SEARCH("LÁMINA",INVENTARIO!C237)),ISNUMBER(SEARCH("LAMPARAS",INVENTARIO!C237))),"LAM",
IF(ISNUMBER(SEARCH("ESTIRENO",INVENTARIO!C237)),"EST",
IF(ISNUMBER(SEARCH("FOAMBOARD",INVENTARIO!C237)),"FOA",
IF(ISNUMBER(SEARCH("SOLVENTE",INVENTARIO!C237)),"SOL",
IF(ISNUMBER(SEARCH("TINTA",INVENTARIO!C237)),"TIN",
IF(ISNUMBER(SEARCH("ACRILICO",INVENTARIO!C237)),"ACR",
IF(ISNUMBER(SEARCH("MICROLED",INVENTARIO!C237)),"MIC",
IF(ISNUMBER(SEARCH("LED",INVENTARIO!C237)),"LED",
IF(ISNUMBER(SEARCH("FUENTE DE PODER",INVENTARIO!C237)),"FUE-POD",
IF(ISNUMBER(SEARCH("PETG",INVENTARIO!C237)),"PET",
IF(ISNUMBER(SEARCH("ALUMINIO",INVENTARIO!C237)),"ALU",
IF(ISNUMBER(SEARCH("CANAL",INVENTARIO!C237)),"CAN",
IF(ISNUMBER(SEARCH("ESCUADRA",INVENTARIO!C237)),"ESC",
IF(ISNUMBER(SEARCH("SOPORTE",INVENTARIO!C237)),"SOP","OTR")
))))))))))))))))))))))))))))))</f>
        <v>MIC</v>
      </c>
      <c r="B237" t="str">
        <f>IF(ISNUMBER(SEARCH("CORTE",INVENTARIO!C237)),"COR",
IF(ISNUMBER(SEARCH("CITYLIGHT",INVENTARIO!C237)),"CIT",
IF(ISNUMBER(SEARCH("LINO",INVENTARIO!C237)),"LIN",
IF(ISNUMBER(SEARCH("FABRIANO",INVENTARIO!C237)),"FAB",
IF(ISNUMBER(SEARCH("SUNDANCE",INVENTARIO!C237)),"SUN",
IF(ISNUMBER(SEARCH("SINTETICA",INVENTARIO!C237)),"SIN",
IF(ISNUMBER(SEARCH("CONTROL",INVENTARIO!C237)),"CON",
IF(ISNUMBER(SEARCH("TERMICO",INVENTARIO!C237)),"TER",
IF(ISNUMBER(SEARCH("C-15",INVENTARIO!C237)),"C15",
IF(ISNUMBER(SEARCH("C-20",INVENTARIO!C237)),"C20",
IF(ISNUMBER(SEARCH("C-30",INVENTARIO!C237)),"C30",
IF(ISNUMBER(SEARCH("C-40",INVENTARIO!C237)),"C40",
IF(ISNUMBER(SEARCH("C-60",INVENTARIO!C237)),"C60",
IF(ISNUMBER(SEARCH("C-80",INVENTARIO!C237)),"C80",
IF(ISNUMBER(SEARCH("EQUIPO",INVENTARIO!C237)),"EQU",
IF(ISNUMBER(SEARCH("FLOOR",INVENTARIO!C237)),"FLO",
IF(ISNUMBER(SEARCH("CRISTAL",INVENTARIO!C237)),"CRI",
IF(ISNUMBER(SEARCH(" SULFATADA",INVENTARIO!C248)),"SUL",
IF(ISNUMBER(SEARCH("OPALINA",INVENTARIO!C237)),"OPA",
IF(ISNUMBER(SEARCH("ADHERIBLE",INVENTARIO!C237)),"ADH",
IF(ISNUMBER(SEARCH("MICRO",INVENTARIO!C237)),"MIC","")))))))))))))))))))))</f>
        <v>MIC</v>
      </c>
      <c r="C237" t="str">
        <f>IF(ISNUMBER(SEARCH("PARED",INVENTARIO!C237)),"PAR",
IF(ISNUMBER(SEARCH("FRONT",INVENTARIO!C237)),"FRO",
IF(ISNUMBER(SEARCH("ALTA RESISTENCIA",INVENTARIO!C237)),
"ALT-RES",IF(ISNUMBER(SEARCH("BACKLITE",INVENTARIO!C237)),"BAC",
IF(ISNUMBER(SEARCH("MATE",INVENTARIO!C237)),"MAT",
IF(ISNUMBER(SEARCH("MESH",INVENTARIO!C237)),"MES",
IF(ISNUMBER(SEARCH("BRILLANTE",INVENTARIO!C237)),"BRI",
IF(ISNUMBER(SEARCH("DELGADA",INVENTARIO!C237)),"DEL",
IF(ISNUMBER(SEARCH("GRUESA",INVENTARIO!C237)),"GRU",
IF(ISNUMBER(SEARCH("ESTATICO",INVENTARIO!C237)),"EST",
IF(ISNUMBER(SEARCH("REFLECTIVO",INVENTARIO!C237)),"REF",
IF(ISNUMBER(SEARCH("LX700",INVENTARIO!C237)),"LX7",
IF(ISNUMBER(SEARCH("GRANDO",INVENTARIO!C237)),"GRA",
IF(ISNUMBER(SEARCH("FB700",INVENTARIO!C237)),"FB7",
IF(ISNUMBER(SEARCH("LX360",INVENTARIO!C237)),"LX3",
IF(ISNUMBER(SEARCH("XEROX",INVENTARIO!C237)),"XER",
IF(ISNUMBER(SEARCH("CEPILLADO",INVENTARIO!C237)),"CEP",
IF(ISNUMBER(SEARCH("ESPEJO",INVENTARIO!C237)),"ESP",
IF(ISNUMBER(SEARCH("10 PTS",INVENTARIO!C237)),"10PT",
IF(ISNUMBER(SEARCH("12 PTS",INVENTARIO!C237)),"12PT",
IF(ISNUMBER(SEARCH("14 PTS",INVENTARIO!C237)),"14PT",
IF(ISNUMBER(SEARCH("CLASICO",INVENTARIO!C237)),"CLA",
""))))))))))))))))))))))</f>
        <v/>
      </c>
      <c r="D237" t="str">
        <f>IF(ISNUMBER(SEARCH("GRAN FORMATO",INVENTARIO!C237)),"GRA-FOR",
IF(ISNUMBER(SEARCH("CAMA PLANA",INVENTARIO!C237)),"CAM-PLA",
IF(ISNUMBER(SEARCH("GRADO INGENIERIA",INVENTARIO!C237)),"GRA-ING",
IF(ISNUMBER(SEARCH("130 GRS",INVENTARIO!C237)),"130GR",
IF(ISNUMBER(SEARCH("150 GRS",INVENTARIO!C237)),"150GR",
IF(ISNUMBER(SEARCH("185 GRS",INVENTARIO!C237)),"185GR",
IF(ISNUMBER(SEARCH("200 GRS",INVENTARIO!C237)),"200GR",
IF(ISNUMBER(SEARCH("250 GRS",INVENTARIO!C237)),"250GR",
IF(ISNUMBER(SEARCH("300 GRS",INVENTARIO!C237)),"300GR",
IF(ISNUMBER(SEARCH("350 GRS",INVENTARIO!C237)),"350GR",
IF(ISNUMBER(SEARCH("18 OZ",INVENTARIO!C237)),"18OZ",
IF(ISNUMBER(SEARCH("15 OZ",INVENTARIO!C237)),"15OZ",
IF(OR(ISNUMBER(SEARCH("13 OZ",INVENTARIO!C237)),ISNUMBER(SEARCH("13 ONZAS",INVENTARIO!C237))),"13OZ",
IF(OR(ISNUMBER(SEARCH("9 OZ",INVENTARIO!C237)),ISNUMBER(SEARCH("9 ONZAS",INVENTARIO!C237))),"09OZ",
IF(ISNUMBER(SEARCH("DOBLE CARA",INVENTARIO!C237)),"DOB-CAR",
"")))))))))))))))</f>
        <v/>
      </c>
      <c r="E237" t="str">
        <f>IF(OR(ISNUMBER(SEARCH("TRANSPARENTE",INVENTARIO!C237)),ISNUMBER(SEARCH("TRANSPARENTES",INVENTARIO!C237))),"TRA",
IF(OR(ISNUMBER(SEARCH("BLANCO",INVENTARIO!C237)),ISNUMBER(SEARCH("BCO",INVENTARIO!C237))),"BLA",
IF(ISNUMBER(SEARCH("FOTOGRAFICO",INVENTARIO!C237)),"FOT",
IF(ISNUMBER(SEARCH("MARFIL",INVENTARIO!C237)),"MAR",
IF(ISNUMBER(SEARCH("VERDE",INVENTARIO!C237)),"VER",
IF(ISNUMBER(SEARCH("MORADO",INVENTARIO!C237)),"MOR",
IF(ISNUMBER(SEARCH("PLATA",INVENTARIO!C237)),"PLA",
IF(ISNUMBER(SEARCH("ORO",INVENTARIO!C237)),"ORO",
IF(ISNUMBER(SEARCH("AMARILLO",INVENTARIO!C237)),"AMA",
IF(ISNUMBER(SEARCH("NARANJA",INVENTARIO!C237)),"NAR",
IF(ISNUMBER(SEARCH("NEGRO",INVENTARIO!C237)),"NEG",
IF(ISNUMBER(SEARCH("ROJO",INVENTARIO!C237)),"ROJ",
IF(ISNUMBER(SEARCH("AZUL",INVENTARIO!C237)),"AZU","")))))))))))))</f>
        <v/>
      </c>
      <c r="F237" t="str">
        <f>IF(ISNUMBER(SEARCH("ARLON",INVENTARIO!C237)),"ARL",
IF(ISNUMBER(SEARCH("SUNTHINKS",INVENTARIO!C237)),"SUN",
IF(ISNUMBER(SEARCH("FRIO",INVENTARIO!C237)),"FRI",
IF(ISNUMBER(SEARCH("CALIDO",INVENTARIO!C237)),"CAL",
IF(ISNUMBER(SEARCH("CEPILLADO",INVENTARIO!C237)),"CEP",
IF(ISNUMBER(SEARCH("ESPEJO",INVENTARIO!C237)),"ESP",
""))))))</f>
        <v>FRI</v>
      </c>
      <c r="G237" t="str">
        <f>IF(ISNUMBER(SEARCH("LATEX",INVENTARIO!C237)),"LAT",
IF(ISNUMBER(SEARCH("RESP. NEGRO",INVENTARIO!C237)),"RES-NEG",
IF(ISNUMBER(SEARCH("RESPALDO CAFE",INVENTARIO!C237)),"RES-CAF",
IF(ISNUMBER(SEARCH("RESPALDO GRIS",INVENTARIO!C237)),"RES-GRI",
IF(ISNUMBER(SEARCH("OPTICO",INVENTARIO!C237)),"OPT",
IF(ISNUMBER(SEARCH("1,2 MM",INVENTARIO!C237)),"1MM2",
IF(ISNUMBER(SEARCH("2 MM",INVENTARIO!C237)),"2MM",
IF(ISNUMBER(SEARCH("3 MM",INVENTARIO!C237)),"3MM",
IF(ISNUMBER(SEARCH("4 MM",INVENTARIO!C237)),"4MM",
IF(ISNUMBER(SEARCH("5 MM",INVENTARIO!C237)),"5MM",
IF(ISNUMBER(SEARCH("6 MM",INVENTARIO!C237)),"6MM",
IF(ISNUMBER(SEARCH("9 MM",INVENTARIO!C237)),"9MM",
IF(ISNUMBER(SEARCH("10 MM",INVENTARIO!C237)),"10MM","")))))))))))))</f>
        <v/>
      </c>
      <c r="H237" t="str">
        <f>IF(ISNUMBER(SEARCH("GAMA BAJA",INVENTARIO!C237)),"GAM-BAJ",
IF(ISNUMBER(SEARCH("OPTIMIZADOR",INVENTARIO!C237)),"OPT",
IF(ISNUMBER(SEARCH("OVERCOAT",INVENTARIO!C237)),"OVE",
IF(ISNUMBER(SEARCH("WHITE",INVENTARIO!C237)),"WHI",
IF(ISNUMBER(SEARCH("LIGHT CYAN",INVENTARIO!C237)),"LIG-CYA",
IF(ISNUMBER(SEARCH("CYAN",INVENTARIO!C237)),"CYA",
IF(ISNUMBER(SEARCH("LIGHT MAGENTA",INVENTARIO!C237)),"LIG-MAG",
IF(ISNUMBER(SEARCH("MAGENTA",INVENTARIO!C237)),"MAG",
IF(ISNUMBER(SEARCH("BLACK",INVENTARIO!C237)),"BLA",
IF(ISNUMBER(SEARCH("YELLOW",INVENTARIO!C237)),"YEL",
IF(ISNUMBER(SEARCH("2 DIODOS",INVENTARIO!C237)),"2DI",
IF(ISNUMBER(SEARCH("3 DIODOS",INVENTARIO!C237)),"3DI",
IF(OR(ISNUMBER(SEARCH("TRASLUCIDO",INVENTARIO!C237)),ISNUMBER(SEARCH("TRANSLUCIDO",INVENTARIO!C237))),"TRA",
"")))))))))))))</f>
        <v>2DI</v>
      </c>
      <c r="I23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8" spans="1:9">
      <c r="A238" t="str">
        <f>IF(ISNUMBER(SEARCH("LONA",INVENTARIO!C238)),"LON",
IF(ISNUMBER(SEARCH("VINIL",INVENTARIO!C238)),"VIN",
IF(ISNUMBER(SEARCH("KROMACOTE",INVENTARIO!C238)),"KRO",
IF(ISNUMBER(SEARCH("STARDREAM",INVENTARIO!C238)),"STA",
IF(ISNUMBER(SEARCH("DISPLAY",INVENTARIO!C238)),"DIS",
IF(ISNUMBER(SEARCH("ROLL UP",INVENTARIO!C238)),"ROL-UP",
IF(ISNUMBER(SEARCH("TRANSFER DE PAPEL",INVENTARIO!C238)),"TRA-PAP",
IF(ISNUMBER(SEARCH("TRANSFER",INVENTARIO!C238)),"TRA",IF(ISNUMBER(SEARCH("KOLA LOKA",INVENTARIO!C238)),"KOL-LOK",
IF(ISNUMBER(SEARCH("PETG",INVENTARIO!C238)),"PET",
IF(ISNUMBER(SEARCH("OJILLO",INVENTARIO!C238)),"OJI",
IF(ISNUMBER(SEARCH("COUCHE",INVENTARIO!C238)),"COU",
IF(ISNUMBER(SEARCH("PANEL DE ALUMINIO",INVENTARIO!C238)),"PAN-ALU",
IF(ISNUMBER(SEARCH("PVC",INVENTARIO!C238)),"PVC",
IF(ISNUMBER(SEARCH("PAPEL",INVENTARIO!C238)),"PAP",
IF(ISNUMBER(SEARCH("TELA",INVENTARIO!C238)),"TEL",
IF(ISNUMBER(SEARCH("CARTULINA",INVENTARIO!C238)),"CAR",
IF(OR(ISNUMBER(SEARCH("LAMINA",INVENTARIO!C238)),ISNUMBER(SEARCH("LÁMINA",INVENTARIO!C238)),ISNUMBER(SEARCH("LAMPARAS",INVENTARIO!C238))),"LAM",
IF(ISNUMBER(SEARCH("ESTIRENO",INVENTARIO!C238)),"EST",
IF(ISNUMBER(SEARCH("FOAMBOARD",INVENTARIO!C238)),"FOA",
IF(ISNUMBER(SEARCH("SOLVENTE",INVENTARIO!C238)),"SOL",
IF(ISNUMBER(SEARCH("TINTA",INVENTARIO!C238)),"TIN",
IF(ISNUMBER(SEARCH("ACRILICO",INVENTARIO!C238)),"ACR",
IF(ISNUMBER(SEARCH("MICROLED",INVENTARIO!C238)),"MIC",
IF(ISNUMBER(SEARCH("LED",INVENTARIO!C238)),"LED",
IF(ISNUMBER(SEARCH("FUENTE DE PODER",INVENTARIO!C238)),"FUE-POD",
IF(ISNUMBER(SEARCH("PETG",INVENTARIO!C238)),"PET",
IF(ISNUMBER(SEARCH("ALUMINIO",INVENTARIO!C238)),"ALU",
IF(ISNUMBER(SEARCH("CANAL",INVENTARIO!C238)),"CAN",
IF(ISNUMBER(SEARCH("ESCUADRA",INVENTARIO!C238)),"ESC",
IF(ISNUMBER(SEARCH("SOPORTE",INVENTARIO!C238)),"SOP","OTR")
))))))))))))))))))))))))))))))</f>
        <v>LED</v>
      </c>
      <c r="B238" t="str">
        <f>IF(ISNUMBER(SEARCH("CORTE",INVENTARIO!C238)),"COR",
IF(ISNUMBER(SEARCH("CITYLIGHT",INVENTARIO!C238)),"CIT",
IF(ISNUMBER(SEARCH("LINO",INVENTARIO!C238)),"LIN",
IF(ISNUMBER(SEARCH("FABRIANO",INVENTARIO!C238)),"FAB",
IF(ISNUMBER(SEARCH("SUNDANCE",INVENTARIO!C238)),"SUN",
IF(ISNUMBER(SEARCH("SINTETICA",INVENTARIO!C238)),"SIN",
IF(ISNUMBER(SEARCH("CONTROL",INVENTARIO!C238)),"CON",
IF(ISNUMBER(SEARCH("TERMICO",INVENTARIO!C238)),"TER",
IF(ISNUMBER(SEARCH("C-15",INVENTARIO!C238)),"C15",
IF(ISNUMBER(SEARCH("C-20",INVENTARIO!C238)),"C20",
IF(ISNUMBER(SEARCH("C-30",INVENTARIO!C238)),"C30",
IF(ISNUMBER(SEARCH("C-40",INVENTARIO!C238)),"C40",
IF(ISNUMBER(SEARCH("C-60",INVENTARIO!C238)),"C60",
IF(ISNUMBER(SEARCH("C-80",INVENTARIO!C238)),"C80",
IF(ISNUMBER(SEARCH("EQUIPO",INVENTARIO!C238)),"EQU",
IF(ISNUMBER(SEARCH("FLOOR",INVENTARIO!C238)),"FLO",
IF(ISNUMBER(SEARCH("CRISTAL",INVENTARIO!C238)),"CRI",
IF(ISNUMBER(SEARCH(" SULFATADA",INVENTARIO!C249)),"SUL",
IF(ISNUMBER(SEARCH("OPALINA",INVENTARIO!C238)),"OPA",
IF(ISNUMBER(SEARCH("ADHERIBLE",INVENTARIO!C238)),"ADH",
IF(ISNUMBER(SEARCH("MICRO",INVENTARIO!C238)),"MIC","")))))))))))))))))))))</f>
        <v/>
      </c>
      <c r="C238" t="str">
        <f>IF(ISNUMBER(SEARCH("PARED",INVENTARIO!C238)),"PAR",
IF(ISNUMBER(SEARCH("FRONT",INVENTARIO!C238)),"FRO",
IF(ISNUMBER(SEARCH("ALTA RESISTENCIA",INVENTARIO!C238)),
"ALT-RES",IF(ISNUMBER(SEARCH("BACKLITE",INVENTARIO!C238)),"BAC",
IF(ISNUMBER(SEARCH("MATE",INVENTARIO!C238)),"MAT",
IF(ISNUMBER(SEARCH("MESH",INVENTARIO!C238)),"MES",
IF(ISNUMBER(SEARCH("BRILLANTE",INVENTARIO!C238)),"BRI",
IF(ISNUMBER(SEARCH("DELGADA",INVENTARIO!C238)),"DEL",
IF(ISNUMBER(SEARCH("GRUESA",INVENTARIO!C238)),"GRU",
IF(ISNUMBER(SEARCH("ESTATICO",INVENTARIO!C238)),"EST",
IF(ISNUMBER(SEARCH("REFLECTIVO",INVENTARIO!C238)),"REF",
IF(ISNUMBER(SEARCH("LX700",INVENTARIO!C238)),"LX7",
IF(ISNUMBER(SEARCH("GRANDO",INVENTARIO!C238)),"GRA",
IF(ISNUMBER(SEARCH("FB700",INVENTARIO!C238)),"FB7",
IF(ISNUMBER(SEARCH("LX360",INVENTARIO!C238)),"LX3",
IF(ISNUMBER(SEARCH("XEROX",INVENTARIO!C238)),"XER",
IF(ISNUMBER(SEARCH("CEPILLADO",INVENTARIO!C238)),"CEP",
IF(ISNUMBER(SEARCH("ESPEJO",INVENTARIO!C238)),"ESP",
IF(ISNUMBER(SEARCH("10 PTS",INVENTARIO!C238)),"10PT",
IF(ISNUMBER(SEARCH("12 PTS",INVENTARIO!C238)),"12PT",
IF(ISNUMBER(SEARCH("14 PTS",INVENTARIO!C238)),"14PT",
IF(ISNUMBER(SEARCH("CLASICO",INVENTARIO!C238)),"CLA",
""))))))))))))))))))))))</f>
        <v/>
      </c>
      <c r="D238" t="str">
        <f>IF(ISNUMBER(SEARCH("GRAN FORMATO",INVENTARIO!C238)),"GRA-FOR",
IF(ISNUMBER(SEARCH("CAMA PLANA",INVENTARIO!C238)),"CAM-PLA",
IF(ISNUMBER(SEARCH("GRADO INGENIERIA",INVENTARIO!C238)),"GRA-ING",
IF(ISNUMBER(SEARCH("130 GRS",INVENTARIO!C238)),"130GR",
IF(ISNUMBER(SEARCH("150 GRS",INVENTARIO!C238)),"150GR",
IF(ISNUMBER(SEARCH("185 GRS",INVENTARIO!C238)),"185GR",
IF(ISNUMBER(SEARCH("200 GRS",INVENTARIO!C238)),"200GR",
IF(ISNUMBER(SEARCH("250 GRS",INVENTARIO!C238)),"250GR",
IF(ISNUMBER(SEARCH("300 GRS",INVENTARIO!C238)),"300GR",
IF(ISNUMBER(SEARCH("350 GRS",INVENTARIO!C238)),"350GR",
IF(ISNUMBER(SEARCH("18 OZ",INVENTARIO!C238)),"18OZ",
IF(ISNUMBER(SEARCH("15 OZ",INVENTARIO!C238)),"15OZ",
IF(OR(ISNUMBER(SEARCH("13 OZ",INVENTARIO!C238)),ISNUMBER(SEARCH("13 ONZAS",INVENTARIO!C238))),"13OZ",
IF(OR(ISNUMBER(SEARCH("9 OZ",INVENTARIO!C238)),ISNUMBER(SEARCH("9 ONZAS",INVENTARIO!C238))),"09OZ",
IF(ISNUMBER(SEARCH("DOBLE CARA",INVENTARIO!C238)),"DOB-CAR",
"")))))))))))))))</f>
        <v/>
      </c>
      <c r="E238" t="str">
        <f>IF(OR(ISNUMBER(SEARCH("TRANSPARENTE",INVENTARIO!C238)),ISNUMBER(SEARCH("TRANSPARENTES",INVENTARIO!C238))),"TRA",
IF(OR(ISNUMBER(SEARCH("BLANCO",INVENTARIO!C238)),ISNUMBER(SEARCH("BCO",INVENTARIO!C238))),"BLA",
IF(ISNUMBER(SEARCH("FOTOGRAFICO",INVENTARIO!C238)),"FOT",
IF(ISNUMBER(SEARCH("MARFIL",INVENTARIO!C238)),"MAR",
IF(ISNUMBER(SEARCH("VERDE",INVENTARIO!C238)),"VER",
IF(ISNUMBER(SEARCH("MORADO",INVENTARIO!C238)),"MOR",
IF(ISNUMBER(SEARCH("PLATA",INVENTARIO!C238)),"PLA",
IF(ISNUMBER(SEARCH("ORO",INVENTARIO!C238)),"ORO",
IF(ISNUMBER(SEARCH("AMARILLO",INVENTARIO!C238)),"AMA",
IF(ISNUMBER(SEARCH("NARANJA",INVENTARIO!C238)),"NAR",
IF(ISNUMBER(SEARCH("NEGRO",INVENTARIO!C238)),"NEG",
IF(ISNUMBER(SEARCH("ROJO",INVENTARIO!C238)),"ROJ",
IF(ISNUMBER(SEARCH("AZUL",INVENTARIO!C238)),"AZU","")))))))))))))</f>
        <v>BLA</v>
      </c>
      <c r="F238" t="str">
        <f>IF(ISNUMBER(SEARCH("ARLON",INVENTARIO!C238)),"ARL",
IF(ISNUMBER(SEARCH("SUNTHINKS",INVENTARIO!C238)),"SUN",
IF(ISNUMBER(SEARCH("FRIO",INVENTARIO!C238)),"FRI",
IF(ISNUMBER(SEARCH("CALIDO",INVENTARIO!C238)),"CAL",
IF(ISNUMBER(SEARCH("CEPILLADO",INVENTARIO!C238)),"CEP",
IF(ISNUMBER(SEARCH("ESPEJO",INVENTARIO!C238)),"ESP",
""))))))</f>
        <v>FRI</v>
      </c>
      <c r="G238" t="str">
        <f>IF(ISNUMBER(SEARCH("LATEX",INVENTARIO!C238)),"LAT",
IF(ISNUMBER(SEARCH("RESP. NEGRO",INVENTARIO!C238)),"RES-NEG",
IF(ISNUMBER(SEARCH("RESPALDO CAFE",INVENTARIO!C238)),"RES-CAF",
IF(ISNUMBER(SEARCH("RESPALDO GRIS",INVENTARIO!C238)),"RES-GRI",
IF(ISNUMBER(SEARCH("OPTICO",INVENTARIO!C238)),"OPT",
IF(ISNUMBER(SEARCH("1,2 MM",INVENTARIO!C238)),"1MM2",
IF(ISNUMBER(SEARCH("2 MM",INVENTARIO!C238)),"2MM",
IF(ISNUMBER(SEARCH("3 MM",INVENTARIO!C238)),"3MM",
IF(ISNUMBER(SEARCH("4 MM",INVENTARIO!C238)),"4MM",
IF(ISNUMBER(SEARCH("5 MM",INVENTARIO!C238)),"5MM",
IF(ISNUMBER(SEARCH("6 MM",INVENTARIO!C238)),"6MM",
IF(ISNUMBER(SEARCH("9 MM",INVENTARIO!C238)),"9MM",
IF(ISNUMBER(SEARCH("10 MM",INVENTARIO!C238)),"10MM","")))))))))))))</f>
        <v>OPT</v>
      </c>
      <c r="H238" t="str">
        <f>IF(ISNUMBER(SEARCH("GAMA BAJA",INVENTARIO!C238)),"GAM-BAJ",
IF(ISNUMBER(SEARCH("OPTIMIZADOR",INVENTARIO!C238)),"OPT",
IF(ISNUMBER(SEARCH("OVERCOAT",INVENTARIO!C238)),"OVE",
IF(ISNUMBER(SEARCH("WHITE",INVENTARIO!C238)),"WHI",
IF(ISNUMBER(SEARCH("LIGHT CYAN",INVENTARIO!C238)),"LIG-CYA",
IF(ISNUMBER(SEARCH("CYAN",INVENTARIO!C238)),"CYA",
IF(ISNUMBER(SEARCH("LIGHT MAGENTA",INVENTARIO!C238)),"LIG-MAG",
IF(ISNUMBER(SEARCH("MAGENTA",INVENTARIO!C238)),"MAG",
IF(ISNUMBER(SEARCH("BLACK",INVENTARIO!C238)),"BLA",
IF(ISNUMBER(SEARCH("YELLOW",INVENTARIO!C238)),"YEL",
IF(ISNUMBER(SEARCH("2 DIODOS",INVENTARIO!C238)),"2DI",
IF(ISNUMBER(SEARCH("3 DIODOS",INVENTARIO!C238)),"3DI",
IF(OR(ISNUMBER(SEARCH("TRASLUCIDO",INVENTARIO!C238)),ISNUMBER(SEARCH("TRANSLUCIDO",INVENTARIO!C238))),"TRA",
"")))))))))))))</f>
        <v>3DI</v>
      </c>
      <c r="I23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39" spans="1:9">
      <c r="A239" t="str">
        <f>IF(ISNUMBER(SEARCH("LONA",INVENTARIO!C239)),"LON",
IF(ISNUMBER(SEARCH("VINIL",INVENTARIO!C239)),"VIN",
IF(ISNUMBER(SEARCH("KROMACOTE",INVENTARIO!C239)),"KRO",
IF(ISNUMBER(SEARCH("STARDREAM",INVENTARIO!C239)),"STA",
IF(ISNUMBER(SEARCH("DISPLAY",INVENTARIO!C239)),"DIS",
IF(ISNUMBER(SEARCH("ROLL UP",INVENTARIO!C239)),"ROL-UP",
IF(ISNUMBER(SEARCH("TRANSFER DE PAPEL",INVENTARIO!C239)),"TRA-PAP",
IF(ISNUMBER(SEARCH("TRANSFER",INVENTARIO!C239)),"TRA",IF(ISNUMBER(SEARCH("KOLA LOKA",INVENTARIO!C239)),"KOL-LOK",
IF(ISNUMBER(SEARCH("PETG",INVENTARIO!C239)),"PET",
IF(ISNUMBER(SEARCH("OJILLO",INVENTARIO!C239)),"OJI",
IF(ISNUMBER(SEARCH("COUCHE",INVENTARIO!C239)),"COU",
IF(ISNUMBER(SEARCH("PANEL DE ALUMINIO",INVENTARIO!C239)),"PAN-ALU",
IF(ISNUMBER(SEARCH("PVC",INVENTARIO!C239)),"PVC",
IF(ISNUMBER(SEARCH("PAPEL",INVENTARIO!C239)),"PAP",
IF(ISNUMBER(SEARCH("TELA",INVENTARIO!C239)),"TEL",
IF(ISNUMBER(SEARCH("CARTULINA",INVENTARIO!C239)),"CAR",
IF(OR(ISNUMBER(SEARCH("LAMINA",INVENTARIO!C239)),ISNUMBER(SEARCH("LÁMINA",INVENTARIO!C239)),ISNUMBER(SEARCH("LAMPARAS",INVENTARIO!C239))),"LAM",
IF(ISNUMBER(SEARCH("ESTIRENO",INVENTARIO!C239)),"EST",
IF(ISNUMBER(SEARCH("FOAMBOARD",INVENTARIO!C239)),"FOA",
IF(ISNUMBER(SEARCH("SOLVENTE",INVENTARIO!C239)),"SOL",
IF(ISNUMBER(SEARCH("TINTA",INVENTARIO!C239)),"TIN",
IF(ISNUMBER(SEARCH("ACRILICO",INVENTARIO!C239)),"ACR",
IF(ISNUMBER(SEARCH("MICROLED",INVENTARIO!C239)),"MIC",
IF(ISNUMBER(SEARCH("LED",INVENTARIO!C239)),"LED",
IF(ISNUMBER(SEARCH("FUENTE DE PODER",INVENTARIO!C239)),"FUE-POD",
IF(ISNUMBER(SEARCH("PETG",INVENTARIO!C239)),"PET",
IF(ISNUMBER(SEARCH("ALUMINIO",INVENTARIO!C239)),"ALU",
IF(ISNUMBER(SEARCH("CANAL",INVENTARIO!C239)),"CAN",
IF(ISNUMBER(SEARCH("ESCUADRA",INVENTARIO!C239)),"ESC",
IF(ISNUMBER(SEARCH("SOPORTE",INVENTARIO!C239)),"SOP","OTR")
))))))))))))))))))))))))))))))</f>
        <v>LED</v>
      </c>
      <c r="B239" t="str">
        <f>IF(ISNUMBER(SEARCH("CORTE",INVENTARIO!C239)),"COR",
IF(ISNUMBER(SEARCH("CITYLIGHT",INVENTARIO!C239)),"CIT",
IF(ISNUMBER(SEARCH("LINO",INVENTARIO!C239)),"LIN",
IF(ISNUMBER(SEARCH("FABRIANO",INVENTARIO!C239)),"FAB",
IF(ISNUMBER(SEARCH("SUNDANCE",INVENTARIO!C239)),"SUN",
IF(ISNUMBER(SEARCH("SINTETICA",INVENTARIO!C239)),"SIN",
IF(ISNUMBER(SEARCH("CONTROL",INVENTARIO!C239)),"CON",
IF(ISNUMBER(SEARCH("TERMICO",INVENTARIO!C239)),"TER",
IF(ISNUMBER(SEARCH("C-15",INVENTARIO!C239)),"C15",
IF(ISNUMBER(SEARCH("C-20",INVENTARIO!C239)),"C20",
IF(ISNUMBER(SEARCH("C-30",INVENTARIO!C239)),"C30",
IF(ISNUMBER(SEARCH("C-40",INVENTARIO!C239)),"C40",
IF(ISNUMBER(SEARCH("C-60",INVENTARIO!C239)),"C60",
IF(ISNUMBER(SEARCH("C-80",INVENTARIO!C239)),"C80",
IF(ISNUMBER(SEARCH("EQUIPO",INVENTARIO!C239)),"EQU",
IF(ISNUMBER(SEARCH("FLOOR",INVENTARIO!C239)),"FLO",
IF(ISNUMBER(SEARCH("CRISTAL",INVENTARIO!C239)),"CRI",
IF(ISNUMBER(SEARCH(" SULFATADA",INVENTARIO!C250)),"SUL",
IF(ISNUMBER(SEARCH("OPALINA",INVENTARIO!C239)),"OPA",
IF(ISNUMBER(SEARCH("ADHERIBLE",INVENTARIO!C239)),"ADH",
IF(ISNUMBER(SEARCH("MICRO",INVENTARIO!C239)),"MIC","")))))))))))))))))))))</f>
        <v/>
      </c>
      <c r="C239" t="str">
        <f>IF(ISNUMBER(SEARCH("PARED",INVENTARIO!C239)),"PAR",
IF(ISNUMBER(SEARCH("FRONT",INVENTARIO!C239)),"FRO",
IF(ISNUMBER(SEARCH("ALTA RESISTENCIA",INVENTARIO!C239)),
"ALT-RES",IF(ISNUMBER(SEARCH("BACKLITE",INVENTARIO!C239)),"BAC",
IF(ISNUMBER(SEARCH("MATE",INVENTARIO!C239)),"MAT",
IF(ISNUMBER(SEARCH("MESH",INVENTARIO!C239)),"MES",
IF(ISNUMBER(SEARCH("BRILLANTE",INVENTARIO!C239)),"BRI",
IF(ISNUMBER(SEARCH("DELGADA",INVENTARIO!C239)),"DEL",
IF(ISNUMBER(SEARCH("GRUESA",INVENTARIO!C239)),"GRU",
IF(ISNUMBER(SEARCH("ESTATICO",INVENTARIO!C239)),"EST",
IF(ISNUMBER(SEARCH("REFLECTIVO",INVENTARIO!C239)),"REF",
IF(ISNUMBER(SEARCH("LX700",INVENTARIO!C239)),"LX7",
IF(ISNUMBER(SEARCH("GRANDO",INVENTARIO!C239)),"GRA",
IF(ISNUMBER(SEARCH("FB700",INVENTARIO!C239)),"FB7",
IF(ISNUMBER(SEARCH("LX360",INVENTARIO!C239)),"LX3",
IF(ISNUMBER(SEARCH("XEROX",INVENTARIO!C239)),"XER",
IF(ISNUMBER(SEARCH("CEPILLADO",INVENTARIO!C239)),"CEP",
IF(ISNUMBER(SEARCH("ESPEJO",INVENTARIO!C239)),"ESP",
IF(ISNUMBER(SEARCH("10 PTS",INVENTARIO!C239)),"10PT",
IF(ISNUMBER(SEARCH("12 PTS",INVENTARIO!C239)),"12PT",
IF(ISNUMBER(SEARCH("14 PTS",INVENTARIO!C239)),"14PT",
IF(ISNUMBER(SEARCH("CLASICO",INVENTARIO!C239)),"CLA",
""))))))))))))))))))))))</f>
        <v/>
      </c>
      <c r="D239" t="str">
        <f>IF(ISNUMBER(SEARCH("GRAN FORMATO",INVENTARIO!C239)),"GRA-FOR",
IF(ISNUMBER(SEARCH("CAMA PLANA",INVENTARIO!C239)),"CAM-PLA",
IF(ISNUMBER(SEARCH("GRADO INGENIERIA",INVENTARIO!C239)),"GRA-ING",
IF(ISNUMBER(SEARCH("130 GRS",INVENTARIO!C239)),"130GR",
IF(ISNUMBER(SEARCH("150 GRS",INVENTARIO!C239)),"150GR",
IF(ISNUMBER(SEARCH("185 GRS",INVENTARIO!C239)),"185GR",
IF(ISNUMBER(SEARCH("200 GRS",INVENTARIO!C239)),"200GR",
IF(ISNUMBER(SEARCH("250 GRS",INVENTARIO!C239)),"250GR",
IF(ISNUMBER(SEARCH("300 GRS",INVENTARIO!C239)),"300GR",
IF(ISNUMBER(SEARCH("350 GRS",INVENTARIO!C239)),"350GR",
IF(ISNUMBER(SEARCH("18 OZ",INVENTARIO!C239)),"18OZ",
IF(ISNUMBER(SEARCH("15 OZ",INVENTARIO!C239)),"15OZ",
IF(OR(ISNUMBER(SEARCH("13 OZ",INVENTARIO!C239)),ISNUMBER(SEARCH("13 ONZAS",INVENTARIO!C239))),"13OZ",
IF(OR(ISNUMBER(SEARCH("9 OZ",INVENTARIO!C239)),ISNUMBER(SEARCH("9 ONZAS",INVENTARIO!C239))),"09OZ",
IF(ISNUMBER(SEARCH("DOBLE CARA",INVENTARIO!C239)),"DOB-CAR",
"")))))))))))))))</f>
        <v/>
      </c>
      <c r="E239" t="str">
        <f>IF(OR(ISNUMBER(SEARCH("TRANSPARENTE",INVENTARIO!C239)),ISNUMBER(SEARCH("TRANSPARENTES",INVENTARIO!C239))),"TRA",
IF(OR(ISNUMBER(SEARCH("BLANCO",INVENTARIO!C239)),ISNUMBER(SEARCH("BCO",INVENTARIO!C239))),"BLA",
IF(ISNUMBER(SEARCH("FOTOGRAFICO",INVENTARIO!C239)),"FOT",
IF(ISNUMBER(SEARCH("MARFIL",INVENTARIO!C239)),"MAR",
IF(ISNUMBER(SEARCH("VERDE",INVENTARIO!C239)),"VER",
IF(ISNUMBER(SEARCH("MORADO",INVENTARIO!C239)),"MOR",
IF(ISNUMBER(SEARCH("PLATA",INVENTARIO!C239)),"PLA",
IF(ISNUMBER(SEARCH("ORO",INVENTARIO!C239)),"ORO",
IF(ISNUMBER(SEARCH("AMARILLO",INVENTARIO!C239)),"AMA",
IF(ISNUMBER(SEARCH("NARANJA",INVENTARIO!C239)),"NAR",
IF(ISNUMBER(SEARCH("NEGRO",INVENTARIO!C239)),"NEG",
IF(ISNUMBER(SEARCH("ROJO",INVENTARIO!C239)),"ROJ",
IF(ISNUMBER(SEARCH("AZUL",INVENTARIO!C239)),"AZU","")))))))))))))</f>
        <v>BLA</v>
      </c>
      <c r="F239" t="str">
        <f>IF(ISNUMBER(SEARCH("ARLON",INVENTARIO!C239)),"ARL",
IF(ISNUMBER(SEARCH("SUNTHINKS",INVENTARIO!C239)),"SUN",
IF(ISNUMBER(SEARCH("FRIO",INVENTARIO!C239)),"FRI",
IF(ISNUMBER(SEARCH("CALIDO",INVENTARIO!C239)),"CAL",
IF(ISNUMBER(SEARCH("CEPILLADO",INVENTARIO!C239)),"CEP",
IF(ISNUMBER(SEARCH("ESPEJO",INVENTARIO!C239)),"ESP",
""))))))</f>
        <v>CAL</v>
      </c>
      <c r="G239" t="str">
        <f>IF(ISNUMBER(SEARCH("LATEX",INVENTARIO!C239)),"LAT",
IF(ISNUMBER(SEARCH("RESP. NEGRO",INVENTARIO!C239)),"RES-NEG",
IF(ISNUMBER(SEARCH("RESPALDO CAFE",INVENTARIO!C239)),"RES-CAF",
IF(ISNUMBER(SEARCH("RESPALDO GRIS",INVENTARIO!C239)),"RES-GRI",
IF(ISNUMBER(SEARCH("OPTICO",INVENTARIO!C239)),"OPT",
IF(ISNUMBER(SEARCH("1,2 MM",INVENTARIO!C239)),"1MM2",
IF(ISNUMBER(SEARCH("2 MM",INVENTARIO!C239)),"2MM",
IF(ISNUMBER(SEARCH("3 MM",INVENTARIO!C239)),"3MM",
IF(ISNUMBER(SEARCH("4 MM",INVENTARIO!C239)),"4MM",
IF(ISNUMBER(SEARCH("5 MM",INVENTARIO!C239)),"5MM",
IF(ISNUMBER(SEARCH("6 MM",INVENTARIO!C239)),"6MM",
IF(ISNUMBER(SEARCH("9 MM",INVENTARIO!C239)),"9MM",
IF(ISNUMBER(SEARCH("10 MM",INVENTARIO!C239)),"10MM","")))))))))))))</f>
        <v>OPT</v>
      </c>
      <c r="H239" t="str">
        <f>IF(ISNUMBER(SEARCH("GAMA BAJA",INVENTARIO!C239)),"GAM-BAJ",
IF(ISNUMBER(SEARCH("OPTIMIZADOR",INVENTARIO!C239)),"OPT",
IF(ISNUMBER(SEARCH("OVERCOAT",INVENTARIO!C239)),"OVE",
IF(ISNUMBER(SEARCH("WHITE",INVENTARIO!C239)),"WHI",
IF(ISNUMBER(SEARCH("LIGHT CYAN",INVENTARIO!C239)),"LIG-CYA",
IF(ISNUMBER(SEARCH("CYAN",INVENTARIO!C239)),"CYA",
IF(ISNUMBER(SEARCH("LIGHT MAGENTA",INVENTARIO!C239)),"LIG-MAG",
IF(ISNUMBER(SEARCH("MAGENTA",INVENTARIO!C239)),"MAG",
IF(ISNUMBER(SEARCH("BLACK",INVENTARIO!C239)),"BLA",
IF(ISNUMBER(SEARCH("YELLOW",INVENTARIO!C239)),"YEL",
IF(ISNUMBER(SEARCH("2 DIODOS",INVENTARIO!C239)),"2DI",
IF(ISNUMBER(SEARCH("3 DIODOS",INVENTARIO!C239)),"3DI",
IF(OR(ISNUMBER(SEARCH("TRASLUCIDO",INVENTARIO!C239)),ISNUMBER(SEARCH("TRANSLUCIDO",INVENTARIO!C239))),"TRA",
"")))))))))))))</f>
        <v>3DI</v>
      </c>
      <c r="I23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0" spans="1:9">
      <c r="A240" t="str">
        <f>IF(ISNUMBER(SEARCH("LONA",INVENTARIO!C240)),"LON",
IF(ISNUMBER(SEARCH("VINIL",INVENTARIO!C240)),"VIN",
IF(ISNUMBER(SEARCH("KROMACOTE",INVENTARIO!C240)),"KRO",
IF(ISNUMBER(SEARCH("STARDREAM",INVENTARIO!C240)),"STA",
IF(ISNUMBER(SEARCH("DISPLAY",INVENTARIO!C240)),"DIS",
IF(ISNUMBER(SEARCH("ROLL UP",INVENTARIO!C240)),"ROL-UP",
IF(ISNUMBER(SEARCH("TRANSFER DE PAPEL",INVENTARIO!C240)),"TRA-PAP",
IF(ISNUMBER(SEARCH("TRANSFER",INVENTARIO!C240)),"TRA",IF(ISNUMBER(SEARCH("KOLA LOKA",INVENTARIO!C240)),"KOL-LOK",
IF(ISNUMBER(SEARCH("PETG",INVENTARIO!C240)),"PET",
IF(ISNUMBER(SEARCH("OJILLO",INVENTARIO!C240)),"OJI",
IF(ISNUMBER(SEARCH("COUCHE",INVENTARIO!C240)),"COU",
IF(ISNUMBER(SEARCH("PANEL DE ALUMINIO",INVENTARIO!C240)),"PAN-ALU",
IF(ISNUMBER(SEARCH("PVC",INVENTARIO!C240)),"PVC",
IF(ISNUMBER(SEARCH("PAPEL",INVENTARIO!C240)),"PAP",
IF(ISNUMBER(SEARCH("TELA",INVENTARIO!C240)),"TEL",
IF(ISNUMBER(SEARCH("CARTULINA",INVENTARIO!C240)),"CAR",
IF(OR(ISNUMBER(SEARCH("LAMINA",INVENTARIO!C240)),ISNUMBER(SEARCH("LÁMINA",INVENTARIO!C240)),ISNUMBER(SEARCH("LAMPARAS",INVENTARIO!C240))),"LAM",
IF(ISNUMBER(SEARCH("ESTIRENO",INVENTARIO!C240)),"EST",
IF(ISNUMBER(SEARCH("FOAMBOARD",INVENTARIO!C240)),"FOA",
IF(ISNUMBER(SEARCH("SOLVENTE",INVENTARIO!C240)),"SOL",
IF(ISNUMBER(SEARCH("TINTA",INVENTARIO!C240)),"TIN",
IF(ISNUMBER(SEARCH("ACRILICO",INVENTARIO!C240)),"ACR",
IF(ISNUMBER(SEARCH("MICROLED",INVENTARIO!C240)),"MIC",
IF(ISNUMBER(SEARCH("LED",INVENTARIO!C240)),"LED",
IF(ISNUMBER(SEARCH("FUENTE DE PODER",INVENTARIO!C240)),"FUE-POD",
IF(ISNUMBER(SEARCH("PETG",INVENTARIO!C240)),"PET",
IF(ISNUMBER(SEARCH("ALUMINIO",INVENTARIO!C240)),"ALU",
IF(ISNUMBER(SEARCH("CANAL",INVENTARIO!C240)),"CAN",
IF(ISNUMBER(SEARCH("ESCUADRA",INVENTARIO!C240)),"ESC",
IF(ISNUMBER(SEARCH("SOPORTE",INVENTARIO!C240)),"SOP","OTR")
))))))))))))))))))))))))))))))</f>
        <v>LED</v>
      </c>
      <c r="B240" t="str">
        <f>IF(ISNUMBER(SEARCH("CORTE",INVENTARIO!C240)),"COR",
IF(ISNUMBER(SEARCH("CITYLIGHT",INVENTARIO!C240)),"CIT",
IF(ISNUMBER(SEARCH("LINO",INVENTARIO!C240)),"LIN",
IF(ISNUMBER(SEARCH("FABRIANO",INVENTARIO!C240)),"FAB",
IF(ISNUMBER(SEARCH("SUNDANCE",INVENTARIO!C240)),"SUN",
IF(ISNUMBER(SEARCH("SINTETICA",INVENTARIO!C240)),"SIN",
IF(ISNUMBER(SEARCH("CONTROL",INVENTARIO!C240)),"CON",
IF(ISNUMBER(SEARCH("TERMICO",INVENTARIO!C240)),"TER",
IF(ISNUMBER(SEARCH("C-15",INVENTARIO!C240)),"C15",
IF(ISNUMBER(SEARCH("C-20",INVENTARIO!C240)),"C20",
IF(ISNUMBER(SEARCH("C-30",INVENTARIO!C240)),"C30",
IF(ISNUMBER(SEARCH("C-40",INVENTARIO!C240)),"C40",
IF(ISNUMBER(SEARCH("C-60",INVENTARIO!C240)),"C60",
IF(ISNUMBER(SEARCH("C-80",INVENTARIO!C240)),"C80",
IF(ISNUMBER(SEARCH("EQUIPO",INVENTARIO!C240)),"EQU",
IF(ISNUMBER(SEARCH("FLOOR",INVENTARIO!C240)),"FLO",
IF(ISNUMBER(SEARCH("CRISTAL",INVENTARIO!C240)),"CRI",
IF(ISNUMBER(SEARCH(" SULFATADA",INVENTARIO!C251)),"SUL",
IF(ISNUMBER(SEARCH("OPALINA",INVENTARIO!C240)),"OPA",
IF(ISNUMBER(SEARCH("ADHERIBLE",INVENTARIO!C240)),"ADH",
IF(ISNUMBER(SEARCH("MICRO",INVENTARIO!C240)),"MIC","")))))))))))))))))))))</f>
        <v/>
      </c>
      <c r="C240" t="str">
        <f>IF(ISNUMBER(SEARCH("PARED",INVENTARIO!C240)),"PAR",
IF(ISNUMBER(SEARCH("FRONT",INVENTARIO!C240)),"FRO",
IF(ISNUMBER(SEARCH("ALTA RESISTENCIA",INVENTARIO!C240)),
"ALT-RES",IF(ISNUMBER(SEARCH("BACKLITE",INVENTARIO!C240)),"BAC",
IF(ISNUMBER(SEARCH("MATE",INVENTARIO!C240)),"MAT",
IF(ISNUMBER(SEARCH("MESH",INVENTARIO!C240)),"MES",
IF(ISNUMBER(SEARCH("BRILLANTE",INVENTARIO!C240)),"BRI",
IF(ISNUMBER(SEARCH("DELGADA",INVENTARIO!C240)),"DEL",
IF(ISNUMBER(SEARCH("GRUESA",INVENTARIO!C240)),"GRU",
IF(ISNUMBER(SEARCH("ESTATICO",INVENTARIO!C240)),"EST",
IF(ISNUMBER(SEARCH("REFLECTIVO",INVENTARIO!C240)),"REF",
IF(ISNUMBER(SEARCH("LX700",INVENTARIO!C240)),"LX7",
IF(ISNUMBER(SEARCH("GRANDO",INVENTARIO!C240)),"GRA",
IF(ISNUMBER(SEARCH("FB700",INVENTARIO!C240)),"FB7",
IF(ISNUMBER(SEARCH("LX360",INVENTARIO!C240)),"LX3",
IF(ISNUMBER(SEARCH("XEROX",INVENTARIO!C240)),"XER",
IF(ISNUMBER(SEARCH("CEPILLADO",INVENTARIO!C240)),"CEP",
IF(ISNUMBER(SEARCH("ESPEJO",INVENTARIO!C240)),"ESP",
IF(ISNUMBER(SEARCH("10 PTS",INVENTARIO!C240)),"10PT",
IF(ISNUMBER(SEARCH("12 PTS",INVENTARIO!C240)),"12PT",
IF(ISNUMBER(SEARCH("14 PTS",INVENTARIO!C240)),"14PT",
IF(ISNUMBER(SEARCH("CLASICO",INVENTARIO!C240)),"CLA",
""))))))))))))))))))))))</f>
        <v/>
      </c>
      <c r="D240" t="str">
        <f>IF(ISNUMBER(SEARCH("GRAN FORMATO",INVENTARIO!C240)),"GRA-FOR",
IF(ISNUMBER(SEARCH("CAMA PLANA",INVENTARIO!C240)),"CAM-PLA",
IF(ISNUMBER(SEARCH("GRADO INGENIERIA",INVENTARIO!C240)),"GRA-ING",
IF(ISNUMBER(SEARCH("130 GRS",INVENTARIO!C240)),"130GR",
IF(ISNUMBER(SEARCH("150 GRS",INVENTARIO!C240)),"150GR",
IF(ISNUMBER(SEARCH("185 GRS",INVENTARIO!C240)),"185GR",
IF(ISNUMBER(SEARCH("200 GRS",INVENTARIO!C240)),"200GR",
IF(ISNUMBER(SEARCH("250 GRS",INVENTARIO!C240)),"250GR",
IF(ISNUMBER(SEARCH("300 GRS",INVENTARIO!C240)),"300GR",
IF(ISNUMBER(SEARCH("350 GRS",INVENTARIO!C240)),"350GR",
IF(ISNUMBER(SEARCH("18 OZ",INVENTARIO!C240)),"18OZ",
IF(ISNUMBER(SEARCH("15 OZ",INVENTARIO!C240)),"15OZ",
IF(OR(ISNUMBER(SEARCH("13 OZ",INVENTARIO!C240)),ISNUMBER(SEARCH("13 ONZAS",INVENTARIO!C240))),"13OZ",
IF(OR(ISNUMBER(SEARCH("9 OZ",INVENTARIO!C240)),ISNUMBER(SEARCH("9 ONZAS",INVENTARIO!C240))),"09OZ",
IF(ISNUMBER(SEARCH("DOBLE CARA",INVENTARIO!C240)),"DOB-CAR",
"")))))))))))))))</f>
        <v/>
      </c>
      <c r="E240" t="str">
        <f>IF(OR(ISNUMBER(SEARCH("TRANSPARENTE",INVENTARIO!C240)),ISNUMBER(SEARCH("TRANSPARENTES",INVENTARIO!C240))),"TRA",
IF(OR(ISNUMBER(SEARCH("BLANCO",INVENTARIO!C240)),ISNUMBER(SEARCH("BCO",INVENTARIO!C240))),"BLA",
IF(ISNUMBER(SEARCH("FOTOGRAFICO",INVENTARIO!C240)),"FOT",
IF(ISNUMBER(SEARCH("MARFIL",INVENTARIO!C240)),"MAR",
IF(ISNUMBER(SEARCH("VERDE",INVENTARIO!C240)),"VER",
IF(ISNUMBER(SEARCH("MORADO",INVENTARIO!C240)),"MOR",
IF(ISNUMBER(SEARCH("PLATA",INVENTARIO!C240)),"PLA",
IF(ISNUMBER(SEARCH("ORO",INVENTARIO!C240)),"ORO",
IF(ISNUMBER(SEARCH("AMARILLO",INVENTARIO!C240)),"AMA",
IF(ISNUMBER(SEARCH("NARANJA",INVENTARIO!C240)),"NAR",
IF(ISNUMBER(SEARCH("NEGRO",INVENTARIO!C240)),"NEG",
IF(ISNUMBER(SEARCH("ROJO",INVENTARIO!C240)),"ROJ",
IF(ISNUMBER(SEARCH("AZUL",INVENTARIO!C240)),"AZU","")))))))))))))</f>
        <v>ROJ</v>
      </c>
      <c r="F240" t="str">
        <f>IF(ISNUMBER(SEARCH("ARLON",INVENTARIO!C240)),"ARL",
IF(ISNUMBER(SEARCH("SUNTHINKS",INVENTARIO!C240)),"SUN",
IF(ISNUMBER(SEARCH("FRIO",INVENTARIO!C240)),"FRI",
IF(ISNUMBER(SEARCH("CALIDO",INVENTARIO!C240)),"CAL",
IF(ISNUMBER(SEARCH("CEPILLADO",INVENTARIO!C240)),"CEP",
IF(ISNUMBER(SEARCH("ESPEJO",INVENTARIO!C240)),"ESP",
""))))))</f>
        <v/>
      </c>
      <c r="G240" t="str">
        <f>IF(ISNUMBER(SEARCH("LATEX",INVENTARIO!C240)),"LAT",
IF(ISNUMBER(SEARCH("RESP. NEGRO",INVENTARIO!C240)),"RES-NEG",
IF(ISNUMBER(SEARCH("RESPALDO CAFE",INVENTARIO!C240)),"RES-CAF",
IF(ISNUMBER(SEARCH("RESPALDO GRIS",INVENTARIO!C240)),"RES-GRI",
IF(ISNUMBER(SEARCH("OPTICO",INVENTARIO!C240)),"OPT",
IF(ISNUMBER(SEARCH("1,2 MM",INVENTARIO!C240)),"1MM2",
IF(ISNUMBER(SEARCH("2 MM",INVENTARIO!C240)),"2MM",
IF(ISNUMBER(SEARCH("3 MM",INVENTARIO!C240)),"3MM",
IF(ISNUMBER(SEARCH("4 MM",INVENTARIO!C240)),"4MM",
IF(ISNUMBER(SEARCH("5 MM",INVENTARIO!C240)),"5MM",
IF(ISNUMBER(SEARCH("6 MM",INVENTARIO!C240)),"6MM",
IF(ISNUMBER(SEARCH("9 MM",INVENTARIO!C240)),"9MM",
IF(ISNUMBER(SEARCH("10 MM",INVENTARIO!C240)),"10MM","")))))))))))))</f>
        <v>OPT</v>
      </c>
      <c r="H240" t="str">
        <f>IF(ISNUMBER(SEARCH("GAMA BAJA",INVENTARIO!C240)),"GAM-BAJ",
IF(ISNUMBER(SEARCH("OPTIMIZADOR",INVENTARIO!C240)),"OPT",
IF(ISNUMBER(SEARCH("OVERCOAT",INVENTARIO!C240)),"OVE",
IF(ISNUMBER(SEARCH("WHITE",INVENTARIO!C240)),"WHI",
IF(ISNUMBER(SEARCH("LIGHT CYAN",INVENTARIO!C240)),"LIG-CYA",
IF(ISNUMBER(SEARCH("CYAN",INVENTARIO!C240)),"CYA",
IF(ISNUMBER(SEARCH("LIGHT MAGENTA",INVENTARIO!C240)),"LIG-MAG",
IF(ISNUMBER(SEARCH("MAGENTA",INVENTARIO!C240)),"MAG",
IF(ISNUMBER(SEARCH("BLACK",INVENTARIO!C240)),"BLA",
IF(ISNUMBER(SEARCH("YELLOW",INVENTARIO!C240)),"YEL",
IF(ISNUMBER(SEARCH("2 DIODOS",INVENTARIO!C240)),"2DI",
IF(ISNUMBER(SEARCH("3 DIODOS",INVENTARIO!C240)),"3DI",
IF(OR(ISNUMBER(SEARCH("TRASLUCIDO",INVENTARIO!C240)),ISNUMBER(SEARCH("TRANSLUCIDO",INVENTARIO!C240))),"TRA",
"")))))))))))))</f>
        <v>3DI</v>
      </c>
      <c r="I24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1" spans="1:9">
      <c r="A241" t="str">
        <f>IF(ISNUMBER(SEARCH("LONA",INVENTARIO!C241)),"LON",
IF(ISNUMBER(SEARCH("VINIL",INVENTARIO!C241)),"VIN",
IF(ISNUMBER(SEARCH("KROMACOTE",INVENTARIO!C241)),"KRO",
IF(ISNUMBER(SEARCH("STARDREAM",INVENTARIO!C241)),"STA",
IF(ISNUMBER(SEARCH("DISPLAY",INVENTARIO!C241)),"DIS",
IF(ISNUMBER(SEARCH("ROLL UP",INVENTARIO!C241)),"ROL-UP",
IF(ISNUMBER(SEARCH("TRANSFER DE PAPEL",INVENTARIO!C241)),"TRA-PAP",
IF(ISNUMBER(SEARCH("TRANSFER",INVENTARIO!C241)),"TRA",IF(ISNUMBER(SEARCH("KOLA LOKA",INVENTARIO!C241)),"KOL-LOK",
IF(ISNUMBER(SEARCH("PETG",INVENTARIO!C241)),"PET",
IF(ISNUMBER(SEARCH("OJILLO",INVENTARIO!C241)),"OJI",
IF(ISNUMBER(SEARCH("COUCHE",INVENTARIO!C241)),"COU",
IF(ISNUMBER(SEARCH("PANEL DE ALUMINIO",INVENTARIO!C241)),"PAN-ALU",
IF(ISNUMBER(SEARCH("PVC",INVENTARIO!C241)),"PVC",
IF(ISNUMBER(SEARCH("PAPEL",INVENTARIO!C241)),"PAP",
IF(ISNUMBER(SEARCH("TELA",INVENTARIO!C241)),"TEL",
IF(ISNUMBER(SEARCH("CARTULINA",INVENTARIO!C241)),"CAR",
IF(OR(ISNUMBER(SEARCH("LAMINA",INVENTARIO!C241)),ISNUMBER(SEARCH("LÁMINA",INVENTARIO!C241)),ISNUMBER(SEARCH("LAMPARAS",INVENTARIO!C241))),"LAM",
IF(ISNUMBER(SEARCH("ESTIRENO",INVENTARIO!C241)),"EST",
IF(ISNUMBER(SEARCH("FOAMBOARD",INVENTARIO!C241)),"FOA",
IF(ISNUMBER(SEARCH("SOLVENTE",INVENTARIO!C241)),"SOL",
IF(ISNUMBER(SEARCH("TINTA",INVENTARIO!C241)),"TIN",
IF(ISNUMBER(SEARCH("ACRILICO",INVENTARIO!C241)),"ACR",
IF(ISNUMBER(SEARCH("MICROLED",INVENTARIO!C241)),"MIC",
IF(ISNUMBER(SEARCH("LED",INVENTARIO!C241)),"LED",
IF(ISNUMBER(SEARCH("FUENTE DE PODER",INVENTARIO!C241)),"FUE-POD",
IF(ISNUMBER(SEARCH("PETG",INVENTARIO!C241)),"PET",
IF(ISNUMBER(SEARCH("ALUMINIO",INVENTARIO!C241)),"ALU",
IF(ISNUMBER(SEARCH("CANAL",INVENTARIO!C241)),"CAN",
IF(ISNUMBER(SEARCH("ESCUADRA",INVENTARIO!C241)),"ESC",
IF(ISNUMBER(SEARCH("SOPORTE",INVENTARIO!C241)),"SOP","OTR")
))))))))))))))))))))))))))))))</f>
        <v>FUE-POD</v>
      </c>
      <c r="B241" t="str">
        <f>IF(ISNUMBER(SEARCH("CORTE",INVENTARIO!C241)),"COR",
IF(ISNUMBER(SEARCH("CITYLIGHT",INVENTARIO!C241)),"CIT",
IF(ISNUMBER(SEARCH("LINO",INVENTARIO!C241)),"LIN",
IF(ISNUMBER(SEARCH("FABRIANO",INVENTARIO!C241)),"FAB",
IF(ISNUMBER(SEARCH("SUNDANCE",INVENTARIO!C241)),"SUN",
IF(ISNUMBER(SEARCH("SINTETICA",INVENTARIO!C241)),"SIN",
IF(ISNUMBER(SEARCH("CONTROL",INVENTARIO!C241)),"CON",
IF(ISNUMBER(SEARCH("TERMICO",INVENTARIO!C241)),"TER",
IF(ISNUMBER(SEARCH("C-15",INVENTARIO!C241)),"C15",
IF(ISNUMBER(SEARCH("C-20",INVENTARIO!C241)),"C20",
IF(ISNUMBER(SEARCH("C-30",INVENTARIO!C241)),"C30",
IF(ISNUMBER(SEARCH("C-40",INVENTARIO!C241)),"C40",
IF(ISNUMBER(SEARCH("C-60",INVENTARIO!C241)),"C60",
IF(ISNUMBER(SEARCH("C-80",INVENTARIO!C241)),"C80",
IF(ISNUMBER(SEARCH("EQUIPO",INVENTARIO!C241)),"EQU",
IF(ISNUMBER(SEARCH("FLOOR",INVENTARIO!C241)),"FLO",
IF(ISNUMBER(SEARCH("CRISTAL",INVENTARIO!C241)),"CRI",
IF(ISNUMBER(SEARCH(" SULFATADA",INVENTARIO!C252)),"SUL",
IF(ISNUMBER(SEARCH("OPALINA",INVENTARIO!C241)),"OPA",
IF(ISNUMBER(SEARCH("ADHERIBLE",INVENTARIO!C241)),"ADH",
IF(ISNUMBER(SEARCH("MICRO",INVENTARIO!C241)),"MIC","")))))))))))))))))))))</f>
        <v/>
      </c>
      <c r="C241" t="str">
        <f>IF(ISNUMBER(SEARCH("PARED",INVENTARIO!C241)),"PAR",
IF(ISNUMBER(SEARCH("FRONT",INVENTARIO!C241)),"FRO",
IF(ISNUMBER(SEARCH("ALTA RESISTENCIA",INVENTARIO!C241)),
"ALT-RES",IF(ISNUMBER(SEARCH("BACKLITE",INVENTARIO!C241)),"BAC",
IF(ISNUMBER(SEARCH("MATE",INVENTARIO!C241)),"MAT",
IF(ISNUMBER(SEARCH("MESH",INVENTARIO!C241)),"MES",
IF(ISNUMBER(SEARCH("BRILLANTE",INVENTARIO!C241)),"BRI",
IF(ISNUMBER(SEARCH("DELGADA",INVENTARIO!C241)),"DEL",
IF(ISNUMBER(SEARCH("GRUESA",INVENTARIO!C241)),"GRU",
IF(ISNUMBER(SEARCH("ESTATICO",INVENTARIO!C241)),"EST",
IF(ISNUMBER(SEARCH("REFLECTIVO",INVENTARIO!C241)),"REF",
IF(ISNUMBER(SEARCH("LX700",INVENTARIO!C241)),"LX7",
IF(ISNUMBER(SEARCH("GRANDO",INVENTARIO!C241)),"GRA",
IF(ISNUMBER(SEARCH("FB700",INVENTARIO!C241)),"FB7",
IF(ISNUMBER(SEARCH("LX360",INVENTARIO!C241)),"LX3",
IF(ISNUMBER(SEARCH("XEROX",INVENTARIO!C241)),"XER",
IF(ISNUMBER(SEARCH("CEPILLADO",INVENTARIO!C241)),"CEP",
IF(ISNUMBER(SEARCH("ESPEJO",INVENTARIO!C241)),"ESP",
IF(ISNUMBER(SEARCH("10 PTS",INVENTARIO!C241)),"10PT",
IF(ISNUMBER(SEARCH("12 PTS",INVENTARIO!C241)),"12PT",
IF(ISNUMBER(SEARCH("14 PTS",INVENTARIO!C241)),"14PT",
IF(ISNUMBER(SEARCH("CLASICO",INVENTARIO!C241)),"CLA",
""))))))))))))))))))))))</f>
        <v/>
      </c>
      <c r="D241" t="str">
        <f>IF(ISNUMBER(SEARCH("GRAN FORMATO",INVENTARIO!C241)),"GRA-FOR",
IF(ISNUMBER(SEARCH("CAMA PLANA",INVENTARIO!C241)),"CAM-PLA",
IF(ISNUMBER(SEARCH("GRADO INGENIERIA",INVENTARIO!C241)),"GRA-ING",
IF(ISNUMBER(SEARCH("130 GRS",INVENTARIO!C241)),"130GR",
IF(ISNUMBER(SEARCH("150 GRS",INVENTARIO!C241)),"150GR",
IF(ISNUMBER(SEARCH("185 GRS",INVENTARIO!C241)),"185GR",
IF(ISNUMBER(SEARCH("200 GRS",INVENTARIO!C241)),"200GR",
IF(ISNUMBER(SEARCH("250 GRS",INVENTARIO!C241)),"250GR",
IF(ISNUMBER(SEARCH("300 GRS",INVENTARIO!C241)),"300GR",
IF(ISNUMBER(SEARCH("350 GRS",INVENTARIO!C241)),"350GR",
IF(ISNUMBER(SEARCH("18 OZ",INVENTARIO!C241)),"18OZ",
IF(ISNUMBER(SEARCH("15 OZ",INVENTARIO!C241)),"15OZ",
IF(OR(ISNUMBER(SEARCH("13 OZ",INVENTARIO!C241)),ISNUMBER(SEARCH("13 ONZAS",INVENTARIO!C241))),"13OZ",
IF(OR(ISNUMBER(SEARCH("9 OZ",INVENTARIO!C241)),ISNUMBER(SEARCH("9 ONZAS",INVENTARIO!C241))),"09OZ",
IF(ISNUMBER(SEARCH("DOBLE CARA",INVENTARIO!C241)),"DOB-CAR",
"")))))))))))))))</f>
        <v/>
      </c>
      <c r="E241" t="str">
        <f>IF(OR(ISNUMBER(SEARCH("TRANSPARENTE",INVENTARIO!C241)),ISNUMBER(SEARCH("TRANSPARENTES",INVENTARIO!C241))),"TRA",
IF(OR(ISNUMBER(SEARCH("BLANCO",INVENTARIO!C241)),ISNUMBER(SEARCH("BCO",INVENTARIO!C241))),"BLA",
IF(ISNUMBER(SEARCH("FOTOGRAFICO",INVENTARIO!C241)),"FOT",
IF(ISNUMBER(SEARCH("MARFIL",INVENTARIO!C241)),"MAR",
IF(ISNUMBER(SEARCH("VERDE",INVENTARIO!C241)),"VER",
IF(ISNUMBER(SEARCH("MORADO",INVENTARIO!C241)),"MOR",
IF(ISNUMBER(SEARCH("PLATA",INVENTARIO!C241)),"PLA",
IF(ISNUMBER(SEARCH("ORO",INVENTARIO!C241)),"ORO",
IF(ISNUMBER(SEARCH("AMARILLO",INVENTARIO!C241)),"AMA",
IF(ISNUMBER(SEARCH("NARANJA",INVENTARIO!C241)),"NAR",
IF(ISNUMBER(SEARCH("NEGRO",INVENTARIO!C241)),"NEG",
IF(ISNUMBER(SEARCH("ROJO",INVENTARIO!C241)),"ROJ",
IF(ISNUMBER(SEARCH("AZUL",INVENTARIO!C241)),"AZU","")))))))))))))</f>
        <v/>
      </c>
      <c r="F241" t="str">
        <f>IF(ISNUMBER(SEARCH("ARLON",INVENTARIO!C241)),"ARL",
IF(ISNUMBER(SEARCH("SUNTHINKS",INVENTARIO!C241)),"SUN",
IF(ISNUMBER(SEARCH("FRIO",INVENTARIO!C241)),"FRI",
IF(ISNUMBER(SEARCH("CALIDO",INVENTARIO!C241)),"CAL",
IF(ISNUMBER(SEARCH("CEPILLADO",INVENTARIO!C241)),"CEP",
IF(ISNUMBER(SEARCH("ESPEJO",INVENTARIO!C241)),"ESP",
""))))))</f>
        <v/>
      </c>
      <c r="G241" t="str">
        <f>IF(ISNUMBER(SEARCH("LATEX",INVENTARIO!C241)),"LAT",
IF(ISNUMBER(SEARCH("RESP. NEGRO",INVENTARIO!C241)),"RES-NEG",
IF(ISNUMBER(SEARCH("RESPALDO CAFE",INVENTARIO!C241)),"RES-CAF",
IF(ISNUMBER(SEARCH("RESPALDO GRIS",INVENTARIO!C241)),"RES-GRI",
IF(ISNUMBER(SEARCH("OPTICO",INVENTARIO!C241)),"OPT",
IF(ISNUMBER(SEARCH("1,2 MM",INVENTARIO!C241)),"1MM2",
IF(ISNUMBER(SEARCH("2 MM",INVENTARIO!C241)),"2MM",
IF(ISNUMBER(SEARCH("3 MM",INVENTARIO!C241)),"3MM",
IF(ISNUMBER(SEARCH("4 MM",INVENTARIO!C241)),"4MM",
IF(ISNUMBER(SEARCH("5 MM",INVENTARIO!C241)),"5MM",
IF(ISNUMBER(SEARCH("6 MM",INVENTARIO!C241)),"6MM",
IF(ISNUMBER(SEARCH("9 MM",INVENTARIO!C241)),"9MM",
IF(ISNUMBER(SEARCH("10 MM",INVENTARIO!C241)),"10MM","")))))))))))))</f>
        <v/>
      </c>
      <c r="H241" t="str">
        <f>IF(ISNUMBER(SEARCH("GAMA BAJA",INVENTARIO!C241)),"GAM-BAJ",
IF(ISNUMBER(SEARCH("OPTIMIZADOR",INVENTARIO!C241)),"OPT",
IF(ISNUMBER(SEARCH("OVERCOAT",INVENTARIO!C241)),"OVE",
IF(ISNUMBER(SEARCH("WHITE",INVENTARIO!C241)),"WHI",
IF(ISNUMBER(SEARCH("LIGHT CYAN",INVENTARIO!C241)),"LIG-CYA",
IF(ISNUMBER(SEARCH("CYAN",INVENTARIO!C241)),"CYA",
IF(ISNUMBER(SEARCH("LIGHT MAGENTA",INVENTARIO!C241)),"LIG-MAG",
IF(ISNUMBER(SEARCH("MAGENTA",INVENTARIO!C241)),"MAG",
IF(ISNUMBER(SEARCH("BLACK",INVENTARIO!C241)),"BLA",
IF(ISNUMBER(SEARCH("YELLOW",INVENTARIO!C241)),"YEL",
IF(ISNUMBER(SEARCH("2 DIODOS",INVENTARIO!C241)),"2DI",
IF(ISNUMBER(SEARCH("3 DIODOS",INVENTARIO!C241)),"3DI",
IF(OR(ISNUMBER(SEARCH("TRASLUCIDO",INVENTARIO!C241)),ISNUMBER(SEARCH("TRANSLUCIDO",INVENTARIO!C241))),"TRA",
"")))))))))))))</f>
        <v/>
      </c>
      <c r="I24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2" spans="1:9">
      <c r="A242" t="str">
        <f>IF(ISNUMBER(SEARCH("LONA",INVENTARIO!C242)),"LON",
IF(ISNUMBER(SEARCH("VINIL",INVENTARIO!C242)),"VIN",
IF(ISNUMBER(SEARCH("KROMACOTE",INVENTARIO!C242)),"KRO",
IF(ISNUMBER(SEARCH("STARDREAM",INVENTARIO!C242)),"STA",
IF(ISNUMBER(SEARCH("DISPLAY",INVENTARIO!C242)),"DIS",
IF(ISNUMBER(SEARCH("ROLL UP",INVENTARIO!C242)),"ROL-UP",
IF(ISNUMBER(SEARCH("TRANSFER DE PAPEL",INVENTARIO!C242)),"TRA-PAP",
IF(ISNUMBER(SEARCH("TRANSFER",INVENTARIO!C242)),"TRA",IF(ISNUMBER(SEARCH("KOLA LOKA",INVENTARIO!C242)),"KOL-LOK",
IF(ISNUMBER(SEARCH("PETG",INVENTARIO!C242)),"PET",
IF(ISNUMBER(SEARCH("OJILLO",INVENTARIO!C242)),"OJI",
IF(ISNUMBER(SEARCH("COUCHE",INVENTARIO!C242)),"COU",
IF(ISNUMBER(SEARCH("PANEL DE ALUMINIO",INVENTARIO!C242)),"PAN-ALU",
IF(ISNUMBER(SEARCH("PVC",INVENTARIO!C242)),"PVC",
IF(ISNUMBER(SEARCH("PAPEL",INVENTARIO!C242)),"PAP",
IF(ISNUMBER(SEARCH("TELA",INVENTARIO!C242)),"TEL",
IF(ISNUMBER(SEARCH("CARTULINA",INVENTARIO!C242)),"CAR",
IF(OR(ISNUMBER(SEARCH("LAMINA",INVENTARIO!C242)),ISNUMBER(SEARCH("LÁMINA",INVENTARIO!C242)),ISNUMBER(SEARCH("LAMPARAS",INVENTARIO!C242))),"LAM",
IF(ISNUMBER(SEARCH("ESTIRENO",INVENTARIO!C242)),"EST",
IF(ISNUMBER(SEARCH("FOAMBOARD",INVENTARIO!C242)),"FOA",
IF(ISNUMBER(SEARCH("SOLVENTE",INVENTARIO!C242)),"SOL",
IF(ISNUMBER(SEARCH("TINTA",INVENTARIO!C242)),"TIN",
IF(ISNUMBER(SEARCH("ACRILICO",INVENTARIO!C242)),"ACR",
IF(ISNUMBER(SEARCH("MICROLED",INVENTARIO!C242)),"MIC",
IF(ISNUMBER(SEARCH("LED",INVENTARIO!C242)),"LED",
IF(ISNUMBER(SEARCH("FUENTE DE PODER",INVENTARIO!C242)),"FUE-POD",
IF(ISNUMBER(SEARCH("PETG",INVENTARIO!C242)),"PET",
IF(ISNUMBER(SEARCH("ALUMINIO",INVENTARIO!C242)),"ALU",
IF(ISNUMBER(SEARCH("CANAL",INVENTARIO!C242)),"CAN",
IF(ISNUMBER(SEARCH("ESCUADRA",INVENTARIO!C242)),"ESC",
IF(ISNUMBER(SEARCH("SOPORTE",INVENTARIO!C242)),"SOP","OTR")
))))))))))))))))))))))))))))))</f>
        <v>FUE-POD</v>
      </c>
      <c r="B242" t="str">
        <f>IF(ISNUMBER(SEARCH("CORTE",INVENTARIO!C242)),"COR",
IF(ISNUMBER(SEARCH("CITYLIGHT",INVENTARIO!C242)),"CIT",
IF(ISNUMBER(SEARCH("LINO",INVENTARIO!C242)),"LIN",
IF(ISNUMBER(SEARCH("FABRIANO",INVENTARIO!C242)),"FAB",
IF(ISNUMBER(SEARCH("SUNDANCE",INVENTARIO!C242)),"SUN",
IF(ISNUMBER(SEARCH("SINTETICA",INVENTARIO!C242)),"SIN",
IF(ISNUMBER(SEARCH("CONTROL",INVENTARIO!C242)),"CON",
IF(ISNUMBER(SEARCH("TERMICO",INVENTARIO!C242)),"TER",
IF(ISNUMBER(SEARCH("C-15",INVENTARIO!C242)),"C15",
IF(ISNUMBER(SEARCH("C-20",INVENTARIO!C242)),"C20",
IF(ISNUMBER(SEARCH("C-30",INVENTARIO!C242)),"C30",
IF(ISNUMBER(SEARCH("C-40",INVENTARIO!C242)),"C40",
IF(ISNUMBER(SEARCH("C-60",INVENTARIO!C242)),"C60",
IF(ISNUMBER(SEARCH("C-80",INVENTARIO!C242)),"C80",
IF(ISNUMBER(SEARCH("EQUIPO",INVENTARIO!C242)),"EQU",
IF(ISNUMBER(SEARCH("FLOOR",INVENTARIO!C242)),"FLO",
IF(ISNUMBER(SEARCH("CRISTAL",INVENTARIO!C242)),"CRI",
IF(ISNUMBER(SEARCH(" SULFATADA",INVENTARIO!C253)),"SUL",
IF(ISNUMBER(SEARCH("OPALINA",INVENTARIO!C242)),"OPA",
IF(ISNUMBER(SEARCH("ADHERIBLE",INVENTARIO!C242)),"ADH",
IF(ISNUMBER(SEARCH("MICRO",INVENTARIO!C242)),"MIC","")))))))))))))))))))))</f>
        <v/>
      </c>
      <c r="C242" t="str">
        <f>IF(ISNUMBER(SEARCH("PARED",INVENTARIO!C242)),"PAR",
IF(ISNUMBER(SEARCH("FRONT",INVENTARIO!C242)),"FRO",
IF(ISNUMBER(SEARCH("ALTA RESISTENCIA",INVENTARIO!C242)),
"ALT-RES",IF(ISNUMBER(SEARCH("BACKLITE",INVENTARIO!C242)),"BAC",
IF(ISNUMBER(SEARCH("MATE",INVENTARIO!C242)),"MAT",
IF(ISNUMBER(SEARCH("MESH",INVENTARIO!C242)),"MES",
IF(ISNUMBER(SEARCH("BRILLANTE",INVENTARIO!C242)),"BRI",
IF(ISNUMBER(SEARCH("DELGADA",INVENTARIO!C242)),"DEL",
IF(ISNUMBER(SEARCH("GRUESA",INVENTARIO!C242)),"GRU",
IF(ISNUMBER(SEARCH("ESTATICO",INVENTARIO!C242)),"EST",
IF(ISNUMBER(SEARCH("REFLECTIVO",INVENTARIO!C242)),"REF",
IF(ISNUMBER(SEARCH("LX700",INVENTARIO!C242)),"LX7",
IF(ISNUMBER(SEARCH("GRANDO",INVENTARIO!C242)),"GRA",
IF(ISNUMBER(SEARCH("FB700",INVENTARIO!C242)),"FB7",
IF(ISNUMBER(SEARCH("LX360",INVENTARIO!C242)),"LX3",
IF(ISNUMBER(SEARCH("XEROX",INVENTARIO!C242)),"XER",
IF(ISNUMBER(SEARCH("CEPILLADO",INVENTARIO!C242)),"CEP",
IF(ISNUMBER(SEARCH("ESPEJO",INVENTARIO!C242)),"ESP",
IF(ISNUMBER(SEARCH("10 PTS",INVENTARIO!C242)),"10PT",
IF(ISNUMBER(SEARCH("12 PTS",INVENTARIO!C242)),"12PT",
IF(ISNUMBER(SEARCH("14 PTS",INVENTARIO!C242)),"14PT",
IF(ISNUMBER(SEARCH("CLASICO",INVENTARIO!C242)),"CLA",
""))))))))))))))))))))))</f>
        <v/>
      </c>
      <c r="D242" t="str">
        <f>IF(ISNUMBER(SEARCH("GRAN FORMATO",INVENTARIO!C242)),"GRA-FOR",
IF(ISNUMBER(SEARCH("CAMA PLANA",INVENTARIO!C242)),"CAM-PLA",
IF(ISNUMBER(SEARCH("GRADO INGENIERIA",INVENTARIO!C242)),"GRA-ING",
IF(ISNUMBER(SEARCH("130 GRS",INVENTARIO!C242)),"130GR",
IF(ISNUMBER(SEARCH("150 GRS",INVENTARIO!C242)),"150GR",
IF(ISNUMBER(SEARCH("185 GRS",INVENTARIO!C242)),"185GR",
IF(ISNUMBER(SEARCH("200 GRS",INVENTARIO!C242)),"200GR",
IF(ISNUMBER(SEARCH("250 GRS",INVENTARIO!C242)),"250GR",
IF(ISNUMBER(SEARCH("300 GRS",INVENTARIO!C242)),"300GR",
IF(ISNUMBER(SEARCH("350 GRS",INVENTARIO!C242)),"350GR",
IF(ISNUMBER(SEARCH("18 OZ",INVENTARIO!C242)),"18OZ",
IF(ISNUMBER(SEARCH("15 OZ",INVENTARIO!C242)),"15OZ",
IF(OR(ISNUMBER(SEARCH("13 OZ",INVENTARIO!C242)),ISNUMBER(SEARCH("13 ONZAS",INVENTARIO!C242))),"13OZ",
IF(OR(ISNUMBER(SEARCH("9 OZ",INVENTARIO!C242)),ISNUMBER(SEARCH("9 ONZAS",INVENTARIO!C242))),"09OZ",
IF(ISNUMBER(SEARCH("DOBLE CARA",INVENTARIO!C242)),"DOB-CAR",
"")))))))))))))))</f>
        <v/>
      </c>
      <c r="E242" t="str">
        <f>IF(OR(ISNUMBER(SEARCH("TRANSPARENTE",INVENTARIO!C242)),ISNUMBER(SEARCH("TRANSPARENTES",INVENTARIO!C242))),"TRA",
IF(OR(ISNUMBER(SEARCH("BLANCO",INVENTARIO!C242)),ISNUMBER(SEARCH("BCO",INVENTARIO!C242))),"BLA",
IF(ISNUMBER(SEARCH("FOTOGRAFICO",INVENTARIO!C242)),"FOT",
IF(ISNUMBER(SEARCH("MARFIL",INVENTARIO!C242)),"MAR",
IF(ISNUMBER(SEARCH("VERDE",INVENTARIO!C242)),"VER",
IF(ISNUMBER(SEARCH("MORADO",INVENTARIO!C242)),"MOR",
IF(ISNUMBER(SEARCH("PLATA",INVENTARIO!C242)),"PLA",
IF(ISNUMBER(SEARCH("ORO",INVENTARIO!C242)),"ORO",
IF(ISNUMBER(SEARCH("AMARILLO",INVENTARIO!C242)),"AMA",
IF(ISNUMBER(SEARCH("NARANJA",INVENTARIO!C242)),"NAR",
IF(ISNUMBER(SEARCH("NEGRO",INVENTARIO!C242)),"NEG",
IF(ISNUMBER(SEARCH("ROJO",INVENTARIO!C242)),"ROJ",
IF(ISNUMBER(SEARCH("AZUL",INVENTARIO!C242)),"AZU","")))))))))))))</f>
        <v/>
      </c>
      <c r="F242" t="str">
        <f>IF(ISNUMBER(SEARCH("ARLON",INVENTARIO!C242)),"ARL",
IF(ISNUMBER(SEARCH("SUNTHINKS",INVENTARIO!C242)),"SUN",
IF(ISNUMBER(SEARCH("FRIO",INVENTARIO!C242)),"FRI",
IF(ISNUMBER(SEARCH("CALIDO",INVENTARIO!C242)),"CAL",
IF(ISNUMBER(SEARCH("CEPILLADO",INVENTARIO!C242)),"CEP",
IF(ISNUMBER(SEARCH("ESPEJO",INVENTARIO!C242)),"ESP",
""))))))</f>
        <v/>
      </c>
      <c r="G242" t="str">
        <f>IF(ISNUMBER(SEARCH("LATEX",INVENTARIO!C242)),"LAT",
IF(ISNUMBER(SEARCH("RESP. NEGRO",INVENTARIO!C242)),"RES-NEG",
IF(ISNUMBER(SEARCH("RESPALDO CAFE",INVENTARIO!C242)),"RES-CAF",
IF(ISNUMBER(SEARCH("RESPALDO GRIS",INVENTARIO!C242)),"RES-GRI",
IF(ISNUMBER(SEARCH("OPTICO",INVENTARIO!C242)),"OPT",
IF(ISNUMBER(SEARCH("1,2 MM",INVENTARIO!C242)),"1MM2",
IF(ISNUMBER(SEARCH("2 MM",INVENTARIO!C242)),"2MM",
IF(ISNUMBER(SEARCH("3 MM",INVENTARIO!C242)),"3MM",
IF(ISNUMBER(SEARCH("4 MM",INVENTARIO!C242)),"4MM",
IF(ISNUMBER(SEARCH("5 MM",INVENTARIO!C242)),"5MM",
IF(ISNUMBER(SEARCH("6 MM",INVENTARIO!C242)),"6MM",
IF(ISNUMBER(SEARCH("9 MM",INVENTARIO!C242)),"9MM",
IF(ISNUMBER(SEARCH("10 MM",INVENTARIO!C242)),"10MM","")))))))))))))</f>
        <v/>
      </c>
      <c r="H242" t="str">
        <f>IF(ISNUMBER(SEARCH("GAMA BAJA",INVENTARIO!C242)),"GAM-BAJ",
IF(ISNUMBER(SEARCH("OPTIMIZADOR",INVENTARIO!C242)),"OPT",
IF(ISNUMBER(SEARCH("OVERCOAT",INVENTARIO!C242)),"OVE",
IF(ISNUMBER(SEARCH("WHITE",INVENTARIO!C242)),"WHI",
IF(ISNUMBER(SEARCH("LIGHT CYAN",INVENTARIO!C242)),"LIG-CYA",
IF(ISNUMBER(SEARCH("CYAN",INVENTARIO!C242)),"CYA",
IF(ISNUMBER(SEARCH("LIGHT MAGENTA",INVENTARIO!C242)),"LIG-MAG",
IF(ISNUMBER(SEARCH("MAGENTA",INVENTARIO!C242)),"MAG",
IF(ISNUMBER(SEARCH("BLACK",INVENTARIO!C242)),"BLA",
IF(ISNUMBER(SEARCH("YELLOW",INVENTARIO!C242)),"YEL",
IF(ISNUMBER(SEARCH("2 DIODOS",INVENTARIO!C242)),"2DI",
IF(ISNUMBER(SEARCH("3 DIODOS",INVENTARIO!C242)),"3DI",
IF(OR(ISNUMBER(SEARCH("TRASLUCIDO",INVENTARIO!C242)),ISNUMBER(SEARCH("TRANSLUCIDO",INVENTARIO!C242))),"TRA",
"")))))))))))))</f>
        <v/>
      </c>
      <c r="I24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3" spans="1:9">
      <c r="A243" t="str">
        <f>IF(ISNUMBER(SEARCH("LONA",INVENTARIO!C243)),"LON",
IF(ISNUMBER(SEARCH("VINIL",INVENTARIO!C243)),"VIN",
IF(ISNUMBER(SEARCH("KROMACOTE",INVENTARIO!C243)),"KRO",
IF(ISNUMBER(SEARCH("STARDREAM",INVENTARIO!C243)),"STA",
IF(ISNUMBER(SEARCH("DISPLAY",INVENTARIO!C243)),"DIS",
IF(ISNUMBER(SEARCH("ROLL UP",INVENTARIO!C243)),"ROL-UP",
IF(ISNUMBER(SEARCH("TRANSFER DE PAPEL",INVENTARIO!C243)),"TRA-PAP",
IF(ISNUMBER(SEARCH("TRANSFER",INVENTARIO!C243)),"TRA",IF(ISNUMBER(SEARCH("KOLA LOKA",INVENTARIO!C243)),"KOL-LOK",
IF(ISNUMBER(SEARCH("PETG",INVENTARIO!C243)),"PET",
IF(ISNUMBER(SEARCH("OJILLO",INVENTARIO!C243)),"OJI",
IF(ISNUMBER(SEARCH("COUCHE",INVENTARIO!C243)),"COU",
IF(ISNUMBER(SEARCH("PANEL DE ALUMINIO",INVENTARIO!C243)),"PAN-ALU",
IF(ISNUMBER(SEARCH("PVC",INVENTARIO!C243)),"PVC",
IF(ISNUMBER(SEARCH("PAPEL",INVENTARIO!C243)),"PAP",
IF(ISNUMBER(SEARCH("TELA",INVENTARIO!C243)),"TEL",
IF(ISNUMBER(SEARCH("CARTULINA",INVENTARIO!C243)),"CAR",
IF(OR(ISNUMBER(SEARCH("LAMINA",INVENTARIO!C243)),ISNUMBER(SEARCH("LÁMINA",INVENTARIO!C243)),ISNUMBER(SEARCH("LAMPARAS",INVENTARIO!C243))),"LAM",
IF(ISNUMBER(SEARCH("ESTIRENO",INVENTARIO!C243)),"EST",
IF(ISNUMBER(SEARCH("FOAMBOARD",INVENTARIO!C243)),"FOA",
IF(ISNUMBER(SEARCH("SOLVENTE",INVENTARIO!C243)),"SOL",
IF(ISNUMBER(SEARCH("TINTA",INVENTARIO!C243)),"TIN",
IF(ISNUMBER(SEARCH("ACRILICO",INVENTARIO!C243)),"ACR",
IF(ISNUMBER(SEARCH("MICROLED",INVENTARIO!C243)),"MIC",
IF(ISNUMBER(SEARCH("LED",INVENTARIO!C243)),"LED",
IF(ISNUMBER(SEARCH("FUENTE DE PODER",INVENTARIO!C243)),"FUE-POD",
IF(ISNUMBER(SEARCH("PETG",INVENTARIO!C243)),"PET",
IF(ISNUMBER(SEARCH("ALUMINIO",INVENTARIO!C243)),"ALU",
IF(ISNUMBER(SEARCH("CANAL",INVENTARIO!C243)),"CAN",
IF(ISNUMBER(SEARCH("ESCUADRA",INVENTARIO!C243)),"ESC",
IF(ISNUMBER(SEARCH("SOPORTE",INVENTARIO!C243)),"SOP","OTR")
))))))))))))))))))))))))))))))</f>
        <v>FUE-POD</v>
      </c>
      <c r="B243" t="str">
        <f>IF(ISNUMBER(SEARCH("CORTE",INVENTARIO!C243)),"COR",
IF(ISNUMBER(SEARCH("CITYLIGHT",INVENTARIO!C243)),"CIT",
IF(ISNUMBER(SEARCH("LINO",INVENTARIO!C243)),"LIN",
IF(ISNUMBER(SEARCH("FABRIANO",INVENTARIO!C243)),"FAB",
IF(ISNUMBER(SEARCH("SUNDANCE",INVENTARIO!C243)),"SUN",
IF(ISNUMBER(SEARCH("SINTETICA",INVENTARIO!C243)),"SIN",
IF(ISNUMBER(SEARCH("CONTROL",INVENTARIO!C243)),"CON",
IF(ISNUMBER(SEARCH("TERMICO",INVENTARIO!C243)),"TER",
IF(ISNUMBER(SEARCH("C-15",INVENTARIO!C243)),"C15",
IF(ISNUMBER(SEARCH("C-20",INVENTARIO!C243)),"C20",
IF(ISNUMBER(SEARCH("C-30",INVENTARIO!C243)),"C30",
IF(ISNUMBER(SEARCH("C-40",INVENTARIO!C243)),"C40",
IF(ISNUMBER(SEARCH("C-60",INVENTARIO!C243)),"C60",
IF(ISNUMBER(SEARCH("C-80",INVENTARIO!C243)),"C80",
IF(ISNUMBER(SEARCH("EQUIPO",INVENTARIO!C243)),"EQU",
IF(ISNUMBER(SEARCH("FLOOR",INVENTARIO!C243)),"FLO",
IF(ISNUMBER(SEARCH("CRISTAL",INVENTARIO!C243)),"CRI",
IF(ISNUMBER(SEARCH(" SULFATADA",INVENTARIO!C254)),"SUL",
IF(ISNUMBER(SEARCH("OPALINA",INVENTARIO!C243)),"OPA",
IF(ISNUMBER(SEARCH("ADHERIBLE",INVENTARIO!C243)),"ADH",
IF(ISNUMBER(SEARCH("MICRO",INVENTARIO!C243)),"MIC","")))))))))))))))))))))</f>
        <v/>
      </c>
      <c r="C243" t="str">
        <f>IF(ISNUMBER(SEARCH("PARED",INVENTARIO!C243)),"PAR",
IF(ISNUMBER(SEARCH("FRONT",INVENTARIO!C243)),"FRO",
IF(ISNUMBER(SEARCH("ALTA RESISTENCIA",INVENTARIO!C243)),
"ALT-RES",IF(ISNUMBER(SEARCH("BACKLITE",INVENTARIO!C243)),"BAC",
IF(ISNUMBER(SEARCH("MATE",INVENTARIO!C243)),"MAT",
IF(ISNUMBER(SEARCH("MESH",INVENTARIO!C243)),"MES",
IF(ISNUMBER(SEARCH("BRILLANTE",INVENTARIO!C243)),"BRI",
IF(ISNUMBER(SEARCH("DELGADA",INVENTARIO!C243)),"DEL",
IF(ISNUMBER(SEARCH("GRUESA",INVENTARIO!C243)),"GRU",
IF(ISNUMBER(SEARCH("ESTATICO",INVENTARIO!C243)),"EST",
IF(ISNUMBER(SEARCH("REFLECTIVO",INVENTARIO!C243)),"REF",
IF(ISNUMBER(SEARCH("LX700",INVENTARIO!C243)),"LX7",
IF(ISNUMBER(SEARCH("GRANDO",INVENTARIO!C243)),"GRA",
IF(ISNUMBER(SEARCH("FB700",INVENTARIO!C243)),"FB7",
IF(ISNUMBER(SEARCH("LX360",INVENTARIO!C243)),"LX3",
IF(ISNUMBER(SEARCH("XEROX",INVENTARIO!C243)),"XER",
IF(ISNUMBER(SEARCH("CEPILLADO",INVENTARIO!C243)),"CEP",
IF(ISNUMBER(SEARCH("ESPEJO",INVENTARIO!C243)),"ESP",
IF(ISNUMBER(SEARCH("10 PTS",INVENTARIO!C243)),"10PT",
IF(ISNUMBER(SEARCH("12 PTS",INVENTARIO!C243)),"12PT",
IF(ISNUMBER(SEARCH("14 PTS",INVENTARIO!C243)),"14PT",
IF(ISNUMBER(SEARCH("CLASICO",INVENTARIO!C243)),"CLA",
""))))))))))))))))))))))</f>
        <v/>
      </c>
      <c r="D243" t="str">
        <f>IF(ISNUMBER(SEARCH("GRAN FORMATO",INVENTARIO!C243)),"GRA-FOR",
IF(ISNUMBER(SEARCH("CAMA PLANA",INVENTARIO!C243)),"CAM-PLA",
IF(ISNUMBER(SEARCH("GRADO INGENIERIA",INVENTARIO!C243)),"GRA-ING",
IF(ISNUMBER(SEARCH("130 GRS",INVENTARIO!C243)),"130GR",
IF(ISNUMBER(SEARCH("150 GRS",INVENTARIO!C243)),"150GR",
IF(ISNUMBER(SEARCH("185 GRS",INVENTARIO!C243)),"185GR",
IF(ISNUMBER(SEARCH("200 GRS",INVENTARIO!C243)),"200GR",
IF(ISNUMBER(SEARCH("250 GRS",INVENTARIO!C243)),"250GR",
IF(ISNUMBER(SEARCH("300 GRS",INVENTARIO!C243)),"300GR",
IF(ISNUMBER(SEARCH("350 GRS",INVENTARIO!C243)),"350GR",
IF(ISNUMBER(SEARCH("18 OZ",INVENTARIO!C243)),"18OZ",
IF(ISNUMBER(SEARCH("15 OZ",INVENTARIO!C243)),"15OZ",
IF(OR(ISNUMBER(SEARCH("13 OZ",INVENTARIO!C243)),ISNUMBER(SEARCH("13 ONZAS",INVENTARIO!C243))),"13OZ",
IF(OR(ISNUMBER(SEARCH("9 OZ",INVENTARIO!C243)),ISNUMBER(SEARCH("9 ONZAS",INVENTARIO!C243))),"09OZ",
IF(ISNUMBER(SEARCH("DOBLE CARA",INVENTARIO!C243)),"DOB-CAR",
"")))))))))))))))</f>
        <v/>
      </c>
      <c r="E243" t="str">
        <f>IF(OR(ISNUMBER(SEARCH("TRANSPARENTE",INVENTARIO!C243)),ISNUMBER(SEARCH("TRANSPARENTES",INVENTARIO!C243))),"TRA",
IF(OR(ISNUMBER(SEARCH("BLANCO",INVENTARIO!C243)),ISNUMBER(SEARCH("BCO",INVENTARIO!C243))),"BLA",
IF(ISNUMBER(SEARCH("FOTOGRAFICO",INVENTARIO!C243)),"FOT",
IF(ISNUMBER(SEARCH("MARFIL",INVENTARIO!C243)),"MAR",
IF(ISNUMBER(SEARCH("VERDE",INVENTARIO!C243)),"VER",
IF(ISNUMBER(SEARCH("MORADO",INVENTARIO!C243)),"MOR",
IF(ISNUMBER(SEARCH("PLATA",INVENTARIO!C243)),"PLA",
IF(ISNUMBER(SEARCH("ORO",INVENTARIO!C243)),"ORO",
IF(ISNUMBER(SEARCH("AMARILLO",INVENTARIO!C243)),"AMA",
IF(ISNUMBER(SEARCH("NARANJA",INVENTARIO!C243)),"NAR",
IF(ISNUMBER(SEARCH("NEGRO",INVENTARIO!C243)),"NEG",
IF(ISNUMBER(SEARCH("ROJO",INVENTARIO!C243)),"ROJ",
IF(ISNUMBER(SEARCH("AZUL",INVENTARIO!C243)),"AZU","")))))))))))))</f>
        <v/>
      </c>
      <c r="F243" t="str">
        <f>IF(ISNUMBER(SEARCH("ARLON",INVENTARIO!C243)),"ARL",
IF(ISNUMBER(SEARCH("SUNTHINKS",INVENTARIO!C243)),"SUN",
IF(ISNUMBER(SEARCH("FRIO",INVENTARIO!C243)),"FRI",
IF(ISNUMBER(SEARCH("CALIDO",INVENTARIO!C243)),"CAL",
IF(ISNUMBER(SEARCH("CEPILLADO",INVENTARIO!C243)),"CEP",
IF(ISNUMBER(SEARCH("ESPEJO",INVENTARIO!C243)),"ESP",
""))))))</f>
        <v/>
      </c>
      <c r="G243" t="str">
        <f>IF(ISNUMBER(SEARCH("LATEX",INVENTARIO!C243)),"LAT",
IF(ISNUMBER(SEARCH("RESP. NEGRO",INVENTARIO!C243)),"RES-NEG",
IF(ISNUMBER(SEARCH("RESPALDO CAFE",INVENTARIO!C243)),"RES-CAF",
IF(ISNUMBER(SEARCH("RESPALDO GRIS",INVENTARIO!C243)),"RES-GRI",
IF(ISNUMBER(SEARCH("OPTICO",INVENTARIO!C243)),"OPT",
IF(ISNUMBER(SEARCH("1,2 MM",INVENTARIO!C243)),"1MM2",
IF(ISNUMBER(SEARCH("2 MM",INVENTARIO!C243)),"2MM",
IF(ISNUMBER(SEARCH("3 MM",INVENTARIO!C243)),"3MM",
IF(ISNUMBER(SEARCH("4 MM",INVENTARIO!C243)),"4MM",
IF(ISNUMBER(SEARCH("5 MM",INVENTARIO!C243)),"5MM",
IF(ISNUMBER(SEARCH("6 MM",INVENTARIO!C243)),"6MM",
IF(ISNUMBER(SEARCH("9 MM",INVENTARIO!C243)),"9MM",
IF(ISNUMBER(SEARCH("10 MM",INVENTARIO!C243)),"10MM","")))))))))))))</f>
        <v/>
      </c>
      <c r="H243" t="str">
        <f>IF(ISNUMBER(SEARCH("GAMA BAJA",INVENTARIO!C243)),"GAM-BAJ",
IF(ISNUMBER(SEARCH("OPTIMIZADOR",INVENTARIO!C243)),"OPT",
IF(ISNUMBER(SEARCH("OVERCOAT",INVENTARIO!C243)),"OVE",
IF(ISNUMBER(SEARCH("WHITE",INVENTARIO!C243)),"WHI",
IF(ISNUMBER(SEARCH("LIGHT CYAN",INVENTARIO!C243)),"LIG-CYA",
IF(ISNUMBER(SEARCH("CYAN",INVENTARIO!C243)),"CYA",
IF(ISNUMBER(SEARCH("LIGHT MAGENTA",INVENTARIO!C243)),"LIG-MAG",
IF(ISNUMBER(SEARCH("MAGENTA",INVENTARIO!C243)),"MAG",
IF(ISNUMBER(SEARCH("BLACK",INVENTARIO!C243)),"BLA",
IF(ISNUMBER(SEARCH("YELLOW",INVENTARIO!C243)),"YEL",
IF(ISNUMBER(SEARCH("2 DIODOS",INVENTARIO!C243)),"2DI",
IF(ISNUMBER(SEARCH("3 DIODOS",INVENTARIO!C243)),"3DI",
IF(OR(ISNUMBER(SEARCH("TRASLUCIDO",INVENTARIO!C243)),ISNUMBER(SEARCH("TRANSLUCIDO",INVENTARIO!C243))),"TRA",
"")))))))))))))</f>
        <v/>
      </c>
      <c r="I24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4" spans="1:9">
      <c r="A244" t="str">
        <f>IF(ISNUMBER(SEARCH("LONA",INVENTARIO!C244)),"LON",
IF(ISNUMBER(SEARCH("VINIL",INVENTARIO!C244)),"VIN",
IF(ISNUMBER(SEARCH("KROMACOTE",INVENTARIO!C244)),"KRO",
IF(ISNUMBER(SEARCH("STARDREAM",INVENTARIO!C244)),"STA",
IF(ISNUMBER(SEARCH("DISPLAY",INVENTARIO!C244)),"DIS",
IF(ISNUMBER(SEARCH("ROLL UP",INVENTARIO!C244)),"ROL-UP",
IF(ISNUMBER(SEARCH("TRANSFER DE PAPEL",INVENTARIO!C244)),"TRA-PAP",
IF(ISNUMBER(SEARCH("TRANSFER",INVENTARIO!C244)),"TRA",IF(ISNUMBER(SEARCH("KOLA LOKA",INVENTARIO!C244)),"KOL-LOK",
IF(ISNUMBER(SEARCH("PETG",INVENTARIO!C244)),"PET",
IF(ISNUMBER(SEARCH("OJILLO",INVENTARIO!C244)),"OJI",
IF(ISNUMBER(SEARCH("COUCHE",INVENTARIO!C244)),"COU",
IF(ISNUMBER(SEARCH("PANEL DE ALUMINIO",INVENTARIO!C244)),"PAN-ALU",
IF(ISNUMBER(SEARCH("PVC",INVENTARIO!C244)),"PVC",
IF(ISNUMBER(SEARCH("PAPEL",INVENTARIO!C244)),"PAP",
IF(ISNUMBER(SEARCH("TELA",INVENTARIO!C244)),"TEL",
IF(ISNUMBER(SEARCH("CARTULINA",INVENTARIO!C244)),"CAR",
IF(OR(ISNUMBER(SEARCH("LAMINA",INVENTARIO!C244)),ISNUMBER(SEARCH("LÁMINA",INVENTARIO!C244)),ISNUMBER(SEARCH("LAMPARAS",INVENTARIO!C244))),"LAM",
IF(ISNUMBER(SEARCH("ESTIRENO",INVENTARIO!C244)),"EST",
IF(ISNUMBER(SEARCH("FOAMBOARD",INVENTARIO!C244)),"FOA",
IF(ISNUMBER(SEARCH("SOLVENTE",INVENTARIO!C244)),"SOL",
IF(ISNUMBER(SEARCH("TINTA",INVENTARIO!C244)),"TIN",
IF(ISNUMBER(SEARCH("ACRILICO",INVENTARIO!C244)),"ACR",
IF(ISNUMBER(SEARCH("MICROLED",INVENTARIO!C244)),"MIC",
IF(ISNUMBER(SEARCH("LED",INVENTARIO!C244)),"LED",
IF(ISNUMBER(SEARCH("FUENTE DE PODER",INVENTARIO!C244)),"FUE-POD",
IF(ISNUMBER(SEARCH("PETG",INVENTARIO!C244)),"PET",
IF(ISNUMBER(SEARCH("ALUMINIO",INVENTARIO!C244)),"ALU",
IF(ISNUMBER(SEARCH("CANAL",INVENTARIO!C244)),"CAN",
IF(ISNUMBER(SEARCH("ESCUADRA",INVENTARIO!C244)),"ESC",
IF(ISNUMBER(SEARCH("SOPORTE",INVENTARIO!C244)),"SOP","OTR")
))))))))))))))))))))))))))))))</f>
        <v>FUE-POD</v>
      </c>
      <c r="B244" t="str">
        <f>IF(ISNUMBER(SEARCH("CORTE",INVENTARIO!C244)),"COR",
IF(ISNUMBER(SEARCH("CITYLIGHT",INVENTARIO!C244)),"CIT",
IF(ISNUMBER(SEARCH("LINO",INVENTARIO!C244)),"LIN",
IF(ISNUMBER(SEARCH("FABRIANO",INVENTARIO!C244)),"FAB",
IF(ISNUMBER(SEARCH("SUNDANCE",INVENTARIO!C244)),"SUN",
IF(ISNUMBER(SEARCH("SINTETICA",INVENTARIO!C244)),"SIN",
IF(ISNUMBER(SEARCH("CONTROL",INVENTARIO!C244)),"CON",
IF(ISNUMBER(SEARCH("TERMICO",INVENTARIO!C244)),"TER",
IF(ISNUMBER(SEARCH("C-15",INVENTARIO!C244)),"C15",
IF(ISNUMBER(SEARCH("C-20",INVENTARIO!C244)),"C20",
IF(ISNUMBER(SEARCH("C-30",INVENTARIO!C244)),"C30",
IF(ISNUMBER(SEARCH("C-40",INVENTARIO!C244)),"C40",
IF(ISNUMBER(SEARCH("C-60",INVENTARIO!C244)),"C60",
IF(ISNUMBER(SEARCH("C-80",INVENTARIO!C244)),"C80",
IF(ISNUMBER(SEARCH("EQUIPO",INVENTARIO!C244)),"EQU",
IF(ISNUMBER(SEARCH("FLOOR",INVENTARIO!C244)),"FLO",
IF(ISNUMBER(SEARCH("CRISTAL",INVENTARIO!C244)),"CRI",
IF(ISNUMBER(SEARCH(" SULFATADA",INVENTARIO!C255)),"SUL",
IF(ISNUMBER(SEARCH("OPALINA",INVENTARIO!C244)),"OPA",
IF(ISNUMBER(SEARCH("ADHERIBLE",INVENTARIO!C244)),"ADH",
IF(ISNUMBER(SEARCH("MICRO",INVENTARIO!C244)),"MIC","")))))))))))))))))))))</f>
        <v/>
      </c>
      <c r="C244" t="str">
        <f>IF(ISNUMBER(SEARCH("PARED",INVENTARIO!C244)),"PAR",
IF(ISNUMBER(SEARCH("FRONT",INVENTARIO!C244)),"FRO",
IF(ISNUMBER(SEARCH("ALTA RESISTENCIA",INVENTARIO!C244)),
"ALT-RES",IF(ISNUMBER(SEARCH("BACKLITE",INVENTARIO!C244)),"BAC",
IF(ISNUMBER(SEARCH("MATE",INVENTARIO!C244)),"MAT",
IF(ISNUMBER(SEARCH("MESH",INVENTARIO!C244)),"MES",
IF(ISNUMBER(SEARCH("BRILLANTE",INVENTARIO!C244)),"BRI",
IF(ISNUMBER(SEARCH("DELGADA",INVENTARIO!C244)),"DEL",
IF(ISNUMBER(SEARCH("GRUESA",INVENTARIO!C244)),"GRU",
IF(ISNUMBER(SEARCH("ESTATICO",INVENTARIO!C244)),"EST",
IF(ISNUMBER(SEARCH("REFLECTIVO",INVENTARIO!C244)),"REF",
IF(ISNUMBER(SEARCH("LX700",INVENTARIO!C244)),"LX7",
IF(ISNUMBER(SEARCH("GRANDO",INVENTARIO!C244)),"GRA",
IF(ISNUMBER(SEARCH("FB700",INVENTARIO!C244)),"FB7",
IF(ISNUMBER(SEARCH("LX360",INVENTARIO!C244)),"LX3",
IF(ISNUMBER(SEARCH("XEROX",INVENTARIO!C244)),"XER",
IF(ISNUMBER(SEARCH("CEPILLADO",INVENTARIO!C244)),"CEP",
IF(ISNUMBER(SEARCH("ESPEJO",INVENTARIO!C244)),"ESP",
IF(ISNUMBER(SEARCH("10 PTS",INVENTARIO!C244)),"10PT",
IF(ISNUMBER(SEARCH("12 PTS",INVENTARIO!C244)),"12PT",
IF(ISNUMBER(SEARCH("14 PTS",INVENTARIO!C244)),"14PT",
IF(ISNUMBER(SEARCH("CLASICO",INVENTARIO!C244)),"CLA",
""))))))))))))))))))))))</f>
        <v/>
      </c>
      <c r="D244" t="str">
        <f>IF(ISNUMBER(SEARCH("GRAN FORMATO",INVENTARIO!C244)),"GRA-FOR",
IF(ISNUMBER(SEARCH("CAMA PLANA",INVENTARIO!C244)),"CAM-PLA",
IF(ISNUMBER(SEARCH("GRADO INGENIERIA",INVENTARIO!C244)),"GRA-ING",
IF(ISNUMBER(SEARCH("130 GRS",INVENTARIO!C244)),"130GR",
IF(ISNUMBER(SEARCH("150 GRS",INVENTARIO!C244)),"150GR",
IF(ISNUMBER(SEARCH("185 GRS",INVENTARIO!C244)),"185GR",
IF(ISNUMBER(SEARCH("200 GRS",INVENTARIO!C244)),"200GR",
IF(ISNUMBER(SEARCH("250 GRS",INVENTARIO!C244)),"250GR",
IF(ISNUMBER(SEARCH("300 GRS",INVENTARIO!C244)),"300GR",
IF(ISNUMBER(SEARCH("350 GRS",INVENTARIO!C244)),"350GR",
IF(ISNUMBER(SEARCH("18 OZ",INVENTARIO!C244)),"18OZ",
IF(ISNUMBER(SEARCH("15 OZ",INVENTARIO!C244)),"15OZ",
IF(OR(ISNUMBER(SEARCH("13 OZ",INVENTARIO!C244)),ISNUMBER(SEARCH("13 ONZAS",INVENTARIO!C244))),"13OZ",
IF(OR(ISNUMBER(SEARCH("9 OZ",INVENTARIO!C244)),ISNUMBER(SEARCH("9 ONZAS",INVENTARIO!C244))),"09OZ",
IF(ISNUMBER(SEARCH("DOBLE CARA",INVENTARIO!C244)),"DOB-CAR",
"")))))))))))))))</f>
        <v/>
      </c>
      <c r="E244" t="str">
        <f>IF(OR(ISNUMBER(SEARCH("TRANSPARENTE",INVENTARIO!C244)),ISNUMBER(SEARCH("TRANSPARENTES",INVENTARIO!C244))),"TRA",
IF(OR(ISNUMBER(SEARCH("BLANCO",INVENTARIO!C244)),ISNUMBER(SEARCH("BCO",INVENTARIO!C244))),"BLA",
IF(ISNUMBER(SEARCH("FOTOGRAFICO",INVENTARIO!C244)),"FOT",
IF(ISNUMBER(SEARCH("MARFIL",INVENTARIO!C244)),"MAR",
IF(ISNUMBER(SEARCH("VERDE",INVENTARIO!C244)),"VER",
IF(ISNUMBER(SEARCH("MORADO",INVENTARIO!C244)),"MOR",
IF(ISNUMBER(SEARCH("PLATA",INVENTARIO!C244)),"PLA",
IF(ISNUMBER(SEARCH("ORO",INVENTARIO!C244)),"ORO",
IF(ISNUMBER(SEARCH("AMARILLO",INVENTARIO!C244)),"AMA",
IF(ISNUMBER(SEARCH("NARANJA",INVENTARIO!C244)),"NAR",
IF(ISNUMBER(SEARCH("NEGRO",INVENTARIO!C244)),"NEG",
IF(ISNUMBER(SEARCH("ROJO",INVENTARIO!C244)),"ROJ",
IF(ISNUMBER(SEARCH("AZUL",INVENTARIO!C244)),"AZU","")))))))))))))</f>
        <v/>
      </c>
      <c r="F244" t="str">
        <f>IF(ISNUMBER(SEARCH("ARLON",INVENTARIO!C244)),"ARL",
IF(ISNUMBER(SEARCH("SUNTHINKS",INVENTARIO!C244)),"SUN",
IF(ISNUMBER(SEARCH("FRIO",INVENTARIO!C244)),"FRI",
IF(ISNUMBER(SEARCH("CALIDO",INVENTARIO!C244)),"CAL",
IF(ISNUMBER(SEARCH("CEPILLADO",INVENTARIO!C244)),"CEP",
IF(ISNUMBER(SEARCH("ESPEJO",INVENTARIO!C244)),"ESP",
""))))))</f>
        <v/>
      </c>
      <c r="G244" t="str">
        <f>IF(ISNUMBER(SEARCH("LATEX",INVENTARIO!C244)),"LAT",
IF(ISNUMBER(SEARCH("RESP. NEGRO",INVENTARIO!C244)),"RES-NEG",
IF(ISNUMBER(SEARCH("RESPALDO CAFE",INVENTARIO!C244)),"RES-CAF",
IF(ISNUMBER(SEARCH("RESPALDO GRIS",INVENTARIO!C244)),"RES-GRI",
IF(ISNUMBER(SEARCH("OPTICO",INVENTARIO!C244)),"OPT",
IF(ISNUMBER(SEARCH("1,2 MM",INVENTARIO!C244)),"1MM2",
IF(ISNUMBER(SEARCH("2 MM",INVENTARIO!C244)),"2MM",
IF(ISNUMBER(SEARCH("3 MM",INVENTARIO!C244)),"3MM",
IF(ISNUMBER(SEARCH("4 MM",INVENTARIO!C244)),"4MM",
IF(ISNUMBER(SEARCH("5 MM",INVENTARIO!C244)),"5MM",
IF(ISNUMBER(SEARCH("6 MM",INVENTARIO!C244)),"6MM",
IF(ISNUMBER(SEARCH("9 MM",INVENTARIO!C244)),"9MM",
IF(ISNUMBER(SEARCH("10 MM",INVENTARIO!C244)),"10MM","")))))))))))))</f>
        <v/>
      </c>
      <c r="H244" t="str">
        <f>IF(ISNUMBER(SEARCH("GAMA BAJA",INVENTARIO!C244)),"GAM-BAJ",
IF(ISNUMBER(SEARCH("OPTIMIZADOR",INVENTARIO!C244)),"OPT",
IF(ISNUMBER(SEARCH("OVERCOAT",INVENTARIO!C244)),"OVE",
IF(ISNUMBER(SEARCH("WHITE",INVENTARIO!C244)),"WHI",
IF(ISNUMBER(SEARCH("LIGHT CYAN",INVENTARIO!C244)),"LIG-CYA",
IF(ISNUMBER(SEARCH("CYAN",INVENTARIO!C244)),"CYA",
IF(ISNUMBER(SEARCH("LIGHT MAGENTA",INVENTARIO!C244)),"LIG-MAG",
IF(ISNUMBER(SEARCH("MAGENTA",INVENTARIO!C244)),"MAG",
IF(ISNUMBER(SEARCH("BLACK",INVENTARIO!C244)),"BLA",
IF(ISNUMBER(SEARCH("YELLOW",INVENTARIO!C244)),"YEL",
IF(ISNUMBER(SEARCH("2 DIODOS",INVENTARIO!C244)),"2DI",
IF(ISNUMBER(SEARCH("3 DIODOS",INVENTARIO!C244)),"3DI",
IF(OR(ISNUMBER(SEARCH("TRASLUCIDO",INVENTARIO!C244)),ISNUMBER(SEARCH("TRANSLUCIDO",INVENTARIO!C244))),"TRA",
"")))))))))))))</f>
        <v/>
      </c>
      <c r="I24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5" spans="1:9">
      <c r="A245" t="str">
        <f>IF(ISNUMBER(SEARCH("LONA",INVENTARIO!C245)),"LON",
IF(ISNUMBER(SEARCH("VINIL",INVENTARIO!C245)),"VIN",
IF(ISNUMBER(SEARCH("KROMACOTE",INVENTARIO!C245)),"KRO",
IF(ISNUMBER(SEARCH("STARDREAM",INVENTARIO!C245)),"STA",
IF(ISNUMBER(SEARCH("DISPLAY",INVENTARIO!C245)),"DIS",
IF(ISNUMBER(SEARCH("ROLL UP",INVENTARIO!C245)),"ROL-UP",
IF(ISNUMBER(SEARCH("TRANSFER DE PAPEL",INVENTARIO!C245)),"TRA-PAP",
IF(ISNUMBER(SEARCH("TRANSFER",INVENTARIO!C245)),"TRA",IF(ISNUMBER(SEARCH("KOLA LOKA",INVENTARIO!C245)),"KOL-LOK",
IF(ISNUMBER(SEARCH("PETG",INVENTARIO!C245)),"PET",
IF(ISNUMBER(SEARCH("OJILLO",INVENTARIO!C245)),"OJI",
IF(ISNUMBER(SEARCH("COUCHE",INVENTARIO!C245)),"COU",
IF(ISNUMBER(SEARCH("PANEL DE ALUMINIO",INVENTARIO!C245)),"PAN-ALU",
IF(ISNUMBER(SEARCH("PVC",INVENTARIO!C245)),"PVC",
IF(ISNUMBER(SEARCH("PAPEL",INVENTARIO!C245)),"PAP",
IF(ISNUMBER(SEARCH("TELA",INVENTARIO!C245)),"TEL",
IF(ISNUMBER(SEARCH("CARTULINA",INVENTARIO!C245)),"CAR",
IF(OR(ISNUMBER(SEARCH("LAMINA",INVENTARIO!C245)),ISNUMBER(SEARCH("LÁMINA",INVENTARIO!C245)),ISNUMBER(SEARCH("LAMPARAS",INVENTARIO!C245))),"LAM",
IF(ISNUMBER(SEARCH("ESTIRENO",INVENTARIO!C245)),"EST",
IF(ISNUMBER(SEARCH("FOAMBOARD",INVENTARIO!C245)),"FOA",
IF(ISNUMBER(SEARCH("SOLVENTE",INVENTARIO!C245)),"SOL",
IF(ISNUMBER(SEARCH("TINTA",INVENTARIO!C245)),"TIN",
IF(ISNUMBER(SEARCH("ACRILICO",INVENTARIO!C245)),"ACR",
IF(ISNUMBER(SEARCH("MICROLED",INVENTARIO!C245)),"MIC",
IF(ISNUMBER(SEARCH("LED",INVENTARIO!C245)),"LED",
IF(ISNUMBER(SEARCH("FUENTE DE PODER",INVENTARIO!C245)),"FUE-POD",
IF(ISNUMBER(SEARCH("PETG",INVENTARIO!C245)),"PET",
IF(ISNUMBER(SEARCH("ALUMINIO",INVENTARIO!C245)),"ALU",
IF(ISNUMBER(SEARCH("CANAL",INVENTARIO!C245)),"CAN",
IF(ISNUMBER(SEARCH("ESCUADRA",INVENTARIO!C245)),"ESC",
IF(ISNUMBER(SEARCH("SOPORTE",INVENTARIO!C245)),"SOP","OTR")
))))))))))))))))))))))))))))))</f>
        <v>FUE-POD</v>
      </c>
      <c r="B245" t="str">
        <f>IF(ISNUMBER(SEARCH("CORTE",INVENTARIO!C245)),"COR",
IF(ISNUMBER(SEARCH("CITYLIGHT",INVENTARIO!C245)),"CIT",
IF(ISNUMBER(SEARCH("LINO",INVENTARIO!C245)),"LIN",
IF(ISNUMBER(SEARCH("FABRIANO",INVENTARIO!C245)),"FAB",
IF(ISNUMBER(SEARCH("SUNDANCE",INVENTARIO!C245)),"SUN",
IF(ISNUMBER(SEARCH("SINTETICA",INVENTARIO!C245)),"SIN",
IF(ISNUMBER(SEARCH("CONTROL",INVENTARIO!C245)),"CON",
IF(ISNUMBER(SEARCH("TERMICO",INVENTARIO!C245)),"TER",
IF(ISNUMBER(SEARCH("C-15",INVENTARIO!C245)),"C15",
IF(ISNUMBER(SEARCH("C-20",INVENTARIO!C245)),"C20",
IF(ISNUMBER(SEARCH("C-30",INVENTARIO!C245)),"C30",
IF(ISNUMBER(SEARCH("C-40",INVENTARIO!C245)),"C40",
IF(ISNUMBER(SEARCH("C-60",INVENTARIO!C245)),"C60",
IF(ISNUMBER(SEARCH("C-80",INVENTARIO!C245)),"C80",
IF(ISNUMBER(SEARCH("EQUIPO",INVENTARIO!C245)),"EQU",
IF(ISNUMBER(SEARCH("FLOOR",INVENTARIO!C245)),"FLO",
IF(ISNUMBER(SEARCH("CRISTAL",INVENTARIO!C245)),"CRI",
IF(ISNUMBER(SEARCH(" SULFATADA",INVENTARIO!C256)),"SUL",
IF(ISNUMBER(SEARCH("OPALINA",INVENTARIO!C245)),"OPA",
IF(ISNUMBER(SEARCH("ADHERIBLE",INVENTARIO!C245)),"ADH",
IF(ISNUMBER(SEARCH("MICRO",INVENTARIO!C245)),"MIC","")))))))))))))))))))))</f>
        <v/>
      </c>
      <c r="C245" t="str">
        <f>IF(ISNUMBER(SEARCH("PARED",INVENTARIO!C245)),"PAR",
IF(ISNUMBER(SEARCH("FRONT",INVENTARIO!C245)),"FRO",
IF(ISNUMBER(SEARCH("ALTA RESISTENCIA",INVENTARIO!C245)),
"ALT-RES",IF(ISNUMBER(SEARCH("BACKLITE",INVENTARIO!C245)),"BAC",
IF(ISNUMBER(SEARCH("MATE",INVENTARIO!C245)),"MAT",
IF(ISNUMBER(SEARCH("MESH",INVENTARIO!C245)),"MES",
IF(ISNUMBER(SEARCH("BRILLANTE",INVENTARIO!C245)),"BRI",
IF(ISNUMBER(SEARCH("DELGADA",INVENTARIO!C245)),"DEL",
IF(ISNUMBER(SEARCH("GRUESA",INVENTARIO!C245)),"GRU",
IF(ISNUMBER(SEARCH("ESTATICO",INVENTARIO!C245)),"EST",
IF(ISNUMBER(SEARCH("REFLECTIVO",INVENTARIO!C245)),"REF",
IF(ISNUMBER(SEARCH("LX700",INVENTARIO!C245)),"LX7",
IF(ISNUMBER(SEARCH("GRANDO",INVENTARIO!C245)),"GRA",
IF(ISNUMBER(SEARCH("FB700",INVENTARIO!C245)),"FB7",
IF(ISNUMBER(SEARCH("LX360",INVENTARIO!C245)),"LX3",
IF(ISNUMBER(SEARCH("XEROX",INVENTARIO!C245)),"XER",
IF(ISNUMBER(SEARCH("CEPILLADO",INVENTARIO!C245)),"CEP",
IF(ISNUMBER(SEARCH("ESPEJO",INVENTARIO!C245)),"ESP",
IF(ISNUMBER(SEARCH("10 PTS",INVENTARIO!C245)),"10PT",
IF(ISNUMBER(SEARCH("12 PTS",INVENTARIO!C245)),"12PT",
IF(ISNUMBER(SEARCH("14 PTS",INVENTARIO!C245)),"14PT",
IF(ISNUMBER(SEARCH("CLASICO",INVENTARIO!C245)),"CLA",
""))))))))))))))))))))))</f>
        <v/>
      </c>
      <c r="D245" t="str">
        <f>IF(ISNUMBER(SEARCH("GRAN FORMATO",INVENTARIO!C245)),"GRA-FOR",
IF(ISNUMBER(SEARCH("CAMA PLANA",INVENTARIO!C245)),"CAM-PLA",
IF(ISNUMBER(SEARCH("GRADO INGENIERIA",INVENTARIO!C245)),"GRA-ING",
IF(ISNUMBER(SEARCH("130 GRS",INVENTARIO!C245)),"130GR",
IF(ISNUMBER(SEARCH("150 GRS",INVENTARIO!C245)),"150GR",
IF(ISNUMBER(SEARCH("185 GRS",INVENTARIO!C245)),"185GR",
IF(ISNUMBER(SEARCH("200 GRS",INVENTARIO!C245)),"200GR",
IF(ISNUMBER(SEARCH("250 GRS",INVENTARIO!C245)),"250GR",
IF(ISNUMBER(SEARCH("300 GRS",INVENTARIO!C245)),"300GR",
IF(ISNUMBER(SEARCH("350 GRS",INVENTARIO!C245)),"350GR",
IF(ISNUMBER(SEARCH("18 OZ",INVENTARIO!C245)),"18OZ",
IF(ISNUMBER(SEARCH("15 OZ",INVENTARIO!C245)),"15OZ",
IF(OR(ISNUMBER(SEARCH("13 OZ",INVENTARIO!C245)),ISNUMBER(SEARCH("13 ONZAS",INVENTARIO!C245))),"13OZ",
IF(OR(ISNUMBER(SEARCH("9 OZ",INVENTARIO!C245)),ISNUMBER(SEARCH("9 ONZAS",INVENTARIO!C245))),"09OZ",
IF(ISNUMBER(SEARCH("DOBLE CARA",INVENTARIO!C245)),"DOB-CAR",
"")))))))))))))))</f>
        <v/>
      </c>
      <c r="E245" t="str">
        <f>IF(OR(ISNUMBER(SEARCH("TRANSPARENTE",INVENTARIO!C245)),ISNUMBER(SEARCH("TRANSPARENTES",INVENTARIO!C245))),"TRA",
IF(OR(ISNUMBER(SEARCH("BLANCO",INVENTARIO!C245)),ISNUMBER(SEARCH("BCO",INVENTARIO!C245))),"BLA",
IF(ISNUMBER(SEARCH("FOTOGRAFICO",INVENTARIO!C245)),"FOT",
IF(ISNUMBER(SEARCH("MARFIL",INVENTARIO!C245)),"MAR",
IF(ISNUMBER(SEARCH("VERDE",INVENTARIO!C245)),"VER",
IF(ISNUMBER(SEARCH("MORADO",INVENTARIO!C245)),"MOR",
IF(ISNUMBER(SEARCH("PLATA",INVENTARIO!C245)),"PLA",
IF(ISNUMBER(SEARCH("ORO",INVENTARIO!C245)),"ORO",
IF(ISNUMBER(SEARCH("AMARILLO",INVENTARIO!C245)),"AMA",
IF(ISNUMBER(SEARCH("NARANJA",INVENTARIO!C245)),"NAR",
IF(ISNUMBER(SEARCH("NEGRO",INVENTARIO!C245)),"NEG",
IF(ISNUMBER(SEARCH("ROJO",INVENTARIO!C245)),"ROJ",
IF(ISNUMBER(SEARCH("AZUL",INVENTARIO!C245)),"AZU","")))))))))))))</f>
        <v/>
      </c>
      <c r="F245" t="str">
        <f>IF(ISNUMBER(SEARCH("ARLON",INVENTARIO!C245)),"ARL",
IF(ISNUMBER(SEARCH("SUNTHINKS",INVENTARIO!C245)),"SUN",
IF(ISNUMBER(SEARCH("FRIO",INVENTARIO!C245)),"FRI",
IF(ISNUMBER(SEARCH("CALIDO",INVENTARIO!C245)),"CAL",
IF(ISNUMBER(SEARCH("CEPILLADO",INVENTARIO!C245)),"CEP",
IF(ISNUMBER(SEARCH("ESPEJO",INVENTARIO!C245)),"ESP",
""))))))</f>
        <v/>
      </c>
      <c r="G245" t="str">
        <f>IF(ISNUMBER(SEARCH("LATEX",INVENTARIO!C245)),"LAT",
IF(ISNUMBER(SEARCH("RESP. NEGRO",INVENTARIO!C245)),"RES-NEG",
IF(ISNUMBER(SEARCH("RESPALDO CAFE",INVENTARIO!C245)),"RES-CAF",
IF(ISNUMBER(SEARCH("RESPALDO GRIS",INVENTARIO!C245)),"RES-GRI",
IF(ISNUMBER(SEARCH("OPTICO",INVENTARIO!C245)),"OPT",
IF(ISNUMBER(SEARCH("1,2 MM",INVENTARIO!C245)),"1MM2",
IF(ISNUMBER(SEARCH("2 MM",INVENTARIO!C245)),"2MM",
IF(ISNUMBER(SEARCH("3 MM",INVENTARIO!C245)),"3MM",
IF(ISNUMBER(SEARCH("4 MM",INVENTARIO!C245)),"4MM",
IF(ISNUMBER(SEARCH("5 MM",INVENTARIO!C245)),"5MM",
IF(ISNUMBER(SEARCH("6 MM",INVENTARIO!C245)),"6MM",
IF(ISNUMBER(SEARCH("9 MM",INVENTARIO!C245)),"9MM",
IF(ISNUMBER(SEARCH("10 MM",INVENTARIO!C245)),"10MM","")))))))))))))</f>
        <v/>
      </c>
      <c r="H245" t="str">
        <f>IF(ISNUMBER(SEARCH("GAMA BAJA",INVENTARIO!C245)),"GAM-BAJ",
IF(ISNUMBER(SEARCH("OPTIMIZADOR",INVENTARIO!C245)),"OPT",
IF(ISNUMBER(SEARCH("OVERCOAT",INVENTARIO!C245)),"OVE",
IF(ISNUMBER(SEARCH("WHITE",INVENTARIO!C245)),"WHI",
IF(ISNUMBER(SEARCH("LIGHT CYAN",INVENTARIO!C245)),"LIG-CYA",
IF(ISNUMBER(SEARCH("CYAN",INVENTARIO!C245)),"CYA",
IF(ISNUMBER(SEARCH("LIGHT MAGENTA",INVENTARIO!C245)),"LIG-MAG",
IF(ISNUMBER(SEARCH("MAGENTA",INVENTARIO!C245)),"MAG",
IF(ISNUMBER(SEARCH("BLACK",INVENTARIO!C245)),"BLA",
IF(ISNUMBER(SEARCH("YELLOW",INVENTARIO!C245)),"YEL",
IF(ISNUMBER(SEARCH("2 DIODOS",INVENTARIO!C245)),"2DI",
IF(ISNUMBER(SEARCH("3 DIODOS",INVENTARIO!C245)),"3DI",
IF(OR(ISNUMBER(SEARCH("TRASLUCIDO",INVENTARIO!C245)),ISNUMBER(SEARCH("TRANSLUCIDO",INVENTARIO!C245))),"TRA",
"")))))))))))))</f>
        <v/>
      </c>
      <c r="I24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6" spans="1:9">
      <c r="A246" t="str">
        <f>IF(ISNUMBER(SEARCH("LONA",INVENTARIO!C246)),"LON",
IF(ISNUMBER(SEARCH("VINIL",INVENTARIO!C246)),"VIN",
IF(ISNUMBER(SEARCH("KROMACOTE",INVENTARIO!C246)),"KRO",
IF(ISNUMBER(SEARCH("STARDREAM",INVENTARIO!C246)),"STA",
IF(ISNUMBER(SEARCH("DISPLAY",INVENTARIO!C246)),"DIS",
IF(ISNUMBER(SEARCH("ROLL UP",INVENTARIO!C246)),"ROL-UP",
IF(ISNUMBER(SEARCH("TRANSFER DE PAPEL",INVENTARIO!C246)),"TRA-PAP",
IF(ISNUMBER(SEARCH("TRANSFER",INVENTARIO!C246)),"TRA",IF(ISNUMBER(SEARCH("KOLA LOKA",INVENTARIO!C246)),"KOL-LOK",
IF(ISNUMBER(SEARCH("PETG",INVENTARIO!C246)),"PET",
IF(ISNUMBER(SEARCH("OJILLO",INVENTARIO!C246)),"OJI",
IF(ISNUMBER(SEARCH("COUCHE",INVENTARIO!C246)),"COU",
IF(ISNUMBER(SEARCH("PANEL DE ALUMINIO",INVENTARIO!C246)),"PAN-ALU",
IF(ISNUMBER(SEARCH("PVC",INVENTARIO!C246)),"PVC",
IF(ISNUMBER(SEARCH("PAPEL",INVENTARIO!C246)),"PAP",
IF(ISNUMBER(SEARCH("TELA",INVENTARIO!C246)),"TEL",
IF(ISNUMBER(SEARCH("CARTULINA",INVENTARIO!C246)),"CAR",
IF(OR(ISNUMBER(SEARCH("LAMINA",INVENTARIO!C246)),ISNUMBER(SEARCH("LÁMINA",INVENTARIO!C246)),ISNUMBER(SEARCH("LAMPARAS",INVENTARIO!C246))),"LAM",
IF(ISNUMBER(SEARCH("ESTIRENO",INVENTARIO!C246)),"EST",
IF(ISNUMBER(SEARCH("FOAMBOARD",INVENTARIO!C246)),"FOA",
IF(ISNUMBER(SEARCH("SOLVENTE",INVENTARIO!C246)),"SOL",
IF(ISNUMBER(SEARCH("TINTA",INVENTARIO!C246)),"TIN",
IF(ISNUMBER(SEARCH("ACRILICO",INVENTARIO!C246)),"ACR",
IF(ISNUMBER(SEARCH("MICROLED",INVENTARIO!C246)),"MIC",
IF(ISNUMBER(SEARCH("LED",INVENTARIO!C246)),"LED",
IF(ISNUMBER(SEARCH("FUENTE DE PODER",INVENTARIO!C246)),"FUE-POD",
IF(ISNUMBER(SEARCH("PETG",INVENTARIO!C246)),"PET",
IF(ISNUMBER(SEARCH("ALUMINIO",INVENTARIO!C246)),"ALU",
IF(ISNUMBER(SEARCH("CANAL",INVENTARIO!C246)),"CAN",
IF(ISNUMBER(SEARCH("ESCUADRA",INVENTARIO!C246)),"ESC",
IF(ISNUMBER(SEARCH("SOPORTE",INVENTARIO!C246)),"SOP","OTR")
))))))))))))))))))))))))))))))</f>
        <v>FUE-POD</v>
      </c>
      <c r="B246" t="str">
        <f>IF(ISNUMBER(SEARCH("CORTE",INVENTARIO!C246)),"COR",
IF(ISNUMBER(SEARCH("CITYLIGHT",INVENTARIO!C246)),"CIT",
IF(ISNUMBER(SEARCH("LINO",INVENTARIO!C246)),"LIN",
IF(ISNUMBER(SEARCH("FABRIANO",INVENTARIO!C246)),"FAB",
IF(ISNUMBER(SEARCH("SUNDANCE",INVENTARIO!C246)),"SUN",
IF(ISNUMBER(SEARCH("SINTETICA",INVENTARIO!C246)),"SIN",
IF(ISNUMBER(SEARCH("CONTROL",INVENTARIO!C246)),"CON",
IF(ISNUMBER(SEARCH("TERMICO",INVENTARIO!C246)),"TER",
IF(ISNUMBER(SEARCH("C-15",INVENTARIO!C246)),"C15",
IF(ISNUMBER(SEARCH("C-20",INVENTARIO!C246)),"C20",
IF(ISNUMBER(SEARCH("C-30",INVENTARIO!C246)),"C30",
IF(ISNUMBER(SEARCH("C-40",INVENTARIO!C246)),"C40",
IF(ISNUMBER(SEARCH("C-60",INVENTARIO!C246)),"C60",
IF(ISNUMBER(SEARCH("C-80",INVENTARIO!C246)),"C80",
IF(ISNUMBER(SEARCH("EQUIPO",INVENTARIO!C246)),"EQU",
IF(ISNUMBER(SEARCH("FLOOR",INVENTARIO!C246)),"FLO",
IF(ISNUMBER(SEARCH("CRISTAL",INVENTARIO!C246)),"CRI",
IF(ISNUMBER(SEARCH(" SULFATADA",INVENTARIO!C257)),"SUL",
IF(ISNUMBER(SEARCH("OPALINA",INVENTARIO!C246)),"OPA",
IF(ISNUMBER(SEARCH("ADHERIBLE",INVENTARIO!C246)),"ADH",
IF(ISNUMBER(SEARCH("MICRO",INVENTARIO!C246)),"MIC","")))))))))))))))))))))</f>
        <v/>
      </c>
      <c r="C246" t="str">
        <f>IF(ISNUMBER(SEARCH("PARED",INVENTARIO!C246)),"PAR",
IF(ISNUMBER(SEARCH("FRONT",INVENTARIO!C246)),"FRO",
IF(ISNUMBER(SEARCH("ALTA RESISTENCIA",INVENTARIO!C246)),
"ALT-RES",IF(ISNUMBER(SEARCH("BACKLITE",INVENTARIO!C246)),"BAC",
IF(ISNUMBER(SEARCH("MATE",INVENTARIO!C246)),"MAT",
IF(ISNUMBER(SEARCH("MESH",INVENTARIO!C246)),"MES",
IF(ISNUMBER(SEARCH("BRILLANTE",INVENTARIO!C246)),"BRI",
IF(ISNUMBER(SEARCH("DELGADA",INVENTARIO!C246)),"DEL",
IF(ISNUMBER(SEARCH("GRUESA",INVENTARIO!C246)),"GRU",
IF(ISNUMBER(SEARCH("ESTATICO",INVENTARIO!C246)),"EST",
IF(ISNUMBER(SEARCH("REFLECTIVO",INVENTARIO!C246)),"REF",
IF(ISNUMBER(SEARCH("LX700",INVENTARIO!C246)),"LX7",
IF(ISNUMBER(SEARCH("GRANDO",INVENTARIO!C246)),"GRA",
IF(ISNUMBER(SEARCH("FB700",INVENTARIO!C246)),"FB7",
IF(ISNUMBER(SEARCH("LX360",INVENTARIO!C246)),"LX3",
IF(ISNUMBER(SEARCH("XEROX",INVENTARIO!C246)),"XER",
IF(ISNUMBER(SEARCH("CEPILLADO",INVENTARIO!C246)),"CEP",
IF(ISNUMBER(SEARCH("ESPEJO",INVENTARIO!C246)),"ESP",
IF(ISNUMBER(SEARCH("10 PTS",INVENTARIO!C246)),"10PT",
IF(ISNUMBER(SEARCH("12 PTS",INVENTARIO!C246)),"12PT",
IF(ISNUMBER(SEARCH("14 PTS",INVENTARIO!C246)),"14PT",
IF(ISNUMBER(SEARCH("CLASICO",INVENTARIO!C246)),"CLA",
""))))))))))))))))))))))</f>
        <v/>
      </c>
      <c r="D246" t="str">
        <f>IF(ISNUMBER(SEARCH("GRAN FORMATO",INVENTARIO!C246)),"GRA-FOR",
IF(ISNUMBER(SEARCH("CAMA PLANA",INVENTARIO!C246)),"CAM-PLA",
IF(ISNUMBER(SEARCH("GRADO INGENIERIA",INVENTARIO!C246)),"GRA-ING",
IF(ISNUMBER(SEARCH("130 GRS",INVENTARIO!C246)),"130GR",
IF(ISNUMBER(SEARCH("150 GRS",INVENTARIO!C246)),"150GR",
IF(ISNUMBER(SEARCH("185 GRS",INVENTARIO!C246)),"185GR",
IF(ISNUMBER(SEARCH("200 GRS",INVENTARIO!C246)),"200GR",
IF(ISNUMBER(SEARCH("250 GRS",INVENTARIO!C246)),"250GR",
IF(ISNUMBER(SEARCH("300 GRS",INVENTARIO!C246)),"300GR",
IF(ISNUMBER(SEARCH("350 GRS",INVENTARIO!C246)),"350GR",
IF(ISNUMBER(SEARCH("18 OZ",INVENTARIO!C246)),"18OZ",
IF(ISNUMBER(SEARCH("15 OZ",INVENTARIO!C246)),"15OZ",
IF(OR(ISNUMBER(SEARCH("13 OZ",INVENTARIO!C246)),ISNUMBER(SEARCH("13 ONZAS",INVENTARIO!C246))),"13OZ",
IF(OR(ISNUMBER(SEARCH("9 OZ",INVENTARIO!C246)),ISNUMBER(SEARCH("9 ONZAS",INVENTARIO!C246))),"09OZ",
IF(ISNUMBER(SEARCH("DOBLE CARA",INVENTARIO!C246)),"DOB-CAR",
"")))))))))))))))</f>
        <v/>
      </c>
      <c r="E246" t="str">
        <f>IF(OR(ISNUMBER(SEARCH("TRANSPARENTE",INVENTARIO!C246)),ISNUMBER(SEARCH("TRANSPARENTES",INVENTARIO!C246))),"TRA",
IF(OR(ISNUMBER(SEARCH("BLANCO",INVENTARIO!C246)),ISNUMBER(SEARCH("BCO",INVENTARIO!C246))),"BLA",
IF(ISNUMBER(SEARCH("FOTOGRAFICO",INVENTARIO!C246)),"FOT",
IF(ISNUMBER(SEARCH("MARFIL",INVENTARIO!C246)),"MAR",
IF(ISNUMBER(SEARCH("VERDE",INVENTARIO!C246)),"VER",
IF(ISNUMBER(SEARCH("MORADO",INVENTARIO!C246)),"MOR",
IF(ISNUMBER(SEARCH("PLATA",INVENTARIO!C246)),"PLA",
IF(ISNUMBER(SEARCH("ORO",INVENTARIO!C246)),"ORO",
IF(ISNUMBER(SEARCH("AMARILLO",INVENTARIO!C246)),"AMA",
IF(ISNUMBER(SEARCH("NARANJA",INVENTARIO!C246)),"NAR",
IF(ISNUMBER(SEARCH("NEGRO",INVENTARIO!C246)),"NEG",
IF(ISNUMBER(SEARCH("ROJO",INVENTARIO!C246)),"ROJ",
IF(ISNUMBER(SEARCH("AZUL",INVENTARIO!C246)),"AZU","")))))))))))))</f>
        <v/>
      </c>
      <c r="F246" t="str">
        <f>IF(ISNUMBER(SEARCH("ARLON",INVENTARIO!C246)),"ARL",
IF(ISNUMBER(SEARCH("SUNTHINKS",INVENTARIO!C246)),"SUN",
IF(ISNUMBER(SEARCH("FRIO",INVENTARIO!C246)),"FRI",
IF(ISNUMBER(SEARCH("CALIDO",INVENTARIO!C246)),"CAL",
IF(ISNUMBER(SEARCH("CEPILLADO",INVENTARIO!C246)),"CEP",
IF(ISNUMBER(SEARCH("ESPEJO",INVENTARIO!C246)),"ESP",
""))))))</f>
        <v/>
      </c>
      <c r="G246" t="str">
        <f>IF(ISNUMBER(SEARCH("LATEX",INVENTARIO!C246)),"LAT",
IF(ISNUMBER(SEARCH("RESP. NEGRO",INVENTARIO!C246)),"RES-NEG",
IF(ISNUMBER(SEARCH("RESPALDO CAFE",INVENTARIO!C246)),"RES-CAF",
IF(ISNUMBER(SEARCH("RESPALDO GRIS",INVENTARIO!C246)),"RES-GRI",
IF(ISNUMBER(SEARCH("OPTICO",INVENTARIO!C246)),"OPT",
IF(ISNUMBER(SEARCH("1,2 MM",INVENTARIO!C246)),"1MM2",
IF(ISNUMBER(SEARCH("2 MM",INVENTARIO!C246)),"2MM",
IF(ISNUMBER(SEARCH("3 MM",INVENTARIO!C246)),"3MM",
IF(ISNUMBER(SEARCH("4 MM",INVENTARIO!C246)),"4MM",
IF(ISNUMBER(SEARCH("5 MM",INVENTARIO!C246)),"5MM",
IF(ISNUMBER(SEARCH("6 MM",INVENTARIO!C246)),"6MM",
IF(ISNUMBER(SEARCH("9 MM",INVENTARIO!C246)),"9MM",
IF(ISNUMBER(SEARCH("10 MM",INVENTARIO!C246)),"10MM","")))))))))))))</f>
        <v/>
      </c>
      <c r="H246" t="str">
        <f>IF(ISNUMBER(SEARCH("GAMA BAJA",INVENTARIO!C246)),"GAM-BAJ",
IF(ISNUMBER(SEARCH("OPTIMIZADOR",INVENTARIO!C246)),"OPT",
IF(ISNUMBER(SEARCH("OVERCOAT",INVENTARIO!C246)),"OVE",
IF(ISNUMBER(SEARCH("WHITE",INVENTARIO!C246)),"WHI",
IF(ISNUMBER(SEARCH("LIGHT CYAN",INVENTARIO!C246)),"LIG-CYA",
IF(ISNUMBER(SEARCH("CYAN",INVENTARIO!C246)),"CYA",
IF(ISNUMBER(SEARCH("LIGHT MAGENTA",INVENTARIO!C246)),"LIG-MAG",
IF(ISNUMBER(SEARCH("MAGENTA",INVENTARIO!C246)),"MAG",
IF(ISNUMBER(SEARCH("BLACK",INVENTARIO!C246)),"BLA",
IF(ISNUMBER(SEARCH("YELLOW",INVENTARIO!C246)),"YEL",
IF(ISNUMBER(SEARCH("2 DIODOS",INVENTARIO!C246)),"2DI",
IF(ISNUMBER(SEARCH("3 DIODOS",INVENTARIO!C246)),"3DI",
IF(OR(ISNUMBER(SEARCH("TRASLUCIDO",INVENTARIO!C246)),ISNUMBER(SEARCH("TRANSLUCIDO",INVENTARIO!C246))),"TRA",
"")))))))))))))</f>
        <v/>
      </c>
      <c r="I24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7" spans="1:9">
      <c r="A247" t="str">
        <f>IF(ISNUMBER(SEARCH("LONA",INVENTARIO!C247)),"LON",
IF(ISNUMBER(SEARCH("VINIL",INVENTARIO!C247)),"VIN",
IF(ISNUMBER(SEARCH("KROMACOTE",INVENTARIO!C247)),"KRO",
IF(ISNUMBER(SEARCH("STARDREAM",INVENTARIO!C247)),"STA",
IF(ISNUMBER(SEARCH("DISPLAY",INVENTARIO!C247)),"DIS",
IF(ISNUMBER(SEARCH("ROLL UP",INVENTARIO!C247)),"ROL-UP",
IF(ISNUMBER(SEARCH("TRANSFER DE PAPEL",INVENTARIO!C247)),"TRA-PAP",
IF(ISNUMBER(SEARCH("TRANSFER",INVENTARIO!C247)),"TRA",IF(ISNUMBER(SEARCH("KOLA LOKA",INVENTARIO!C247)),"KOL-LOK",
IF(ISNUMBER(SEARCH("PETG",INVENTARIO!C247)),"PET",
IF(ISNUMBER(SEARCH("OJILLO",INVENTARIO!C247)),"OJI",
IF(ISNUMBER(SEARCH("COUCHE",INVENTARIO!C247)),"COU",
IF(ISNUMBER(SEARCH("PANEL DE ALUMINIO",INVENTARIO!C247)),"PAN-ALU",
IF(ISNUMBER(SEARCH("PVC",INVENTARIO!C247)),"PVC",
IF(ISNUMBER(SEARCH("PAPEL",INVENTARIO!C247)),"PAP",
IF(ISNUMBER(SEARCH("TELA",INVENTARIO!C247)),"TEL",
IF(ISNUMBER(SEARCH("CARTULINA",INVENTARIO!C247)),"CAR",
IF(OR(ISNUMBER(SEARCH("LAMINA",INVENTARIO!C247)),ISNUMBER(SEARCH("LÁMINA",INVENTARIO!C247)),ISNUMBER(SEARCH("LAMPARAS",INVENTARIO!C247))),"LAM",
IF(ISNUMBER(SEARCH("ESTIRENO",INVENTARIO!C247)),"EST",
IF(ISNUMBER(SEARCH("FOAMBOARD",INVENTARIO!C247)),"FOA",
IF(ISNUMBER(SEARCH("SOLVENTE",INVENTARIO!C247)),"SOL",
IF(ISNUMBER(SEARCH("TINTA",INVENTARIO!C247)),"TIN",
IF(ISNUMBER(SEARCH("ACRILICO",INVENTARIO!C247)),"ACR",
IF(ISNUMBER(SEARCH("MICROLED",INVENTARIO!C247)),"MIC",
IF(ISNUMBER(SEARCH("LED",INVENTARIO!C247)),"LED",
IF(ISNUMBER(SEARCH("FUENTE DE PODER",INVENTARIO!C247)),"FUE-POD",
IF(ISNUMBER(SEARCH("PETG",INVENTARIO!C247)),"PET",
IF(ISNUMBER(SEARCH("ALUMINIO",INVENTARIO!C247)),"ALU",
IF(ISNUMBER(SEARCH("CANAL",INVENTARIO!C247)),"CAN",
IF(ISNUMBER(SEARCH("ESCUADRA",INVENTARIO!C247)),"ESC",
IF(ISNUMBER(SEARCH("SOPORTE",INVENTARIO!C247)),"SOP","OTR")
))))))))))))))))))))))))))))))</f>
        <v>FUE-POD</v>
      </c>
      <c r="B247" t="str">
        <f>IF(ISNUMBER(SEARCH("CORTE",INVENTARIO!C247)),"COR",
IF(ISNUMBER(SEARCH("CITYLIGHT",INVENTARIO!C247)),"CIT",
IF(ISNUMBER(SEARCH("LINO",INVENTARIO!C247)),"LIN",
IF(ISNUMBER(SEARCH("FABRIANO",INVENTARIO!C247)),"FAB",
IF(ISNUMBER(SEARCH("SUNDANCE",INVENTARIO!C247)),"SUN",
IF(ISNUMBER(SEARCH("SINTETICA",INVENTARIO!C247)),"SIN",
IF(ISNUMBER(SEARCH("CONTROL",INVENTARIO!C247)),"CON",
IF(ISNUMBER(SEARCH("TERMICO",INVENTARIO!C247)),"TER",
IF(ISNUMBER(SEARCH("C-15",INVENTARIO!C247)),"C15",
IF(ISNUMBER(SEARCH("C-20",INVENTARIO!C247)),"C20",
IF(ISNUMBER(SEARCH("C-30",INVENTARIO!C247)),"C30",
IF(ISNUMBER(SEARCH("C-40",INVENTARIO!C247)),"C40",
IF(ISNUMBER(SEARCH("C-60",INVENTARIO!C247)),"C60",
IF(ISNUMBER(SEARCH("C-80",INVENTARIO!C247)),"C80",
IF(ISNUMBER(SEARCH("EQUIPO",INVENTARIO!C247)),"EQU",
IF(ISNUMBER(SEARCH("FLOOR",INVENTARIO!C247)),"FLO",
IF(ISNUMBER(SEARCH("CRISTAL",INVENTARIO!C247)),"CRI",
IF(ISNUMBER(SEARCH(" SULFATADA",INVENTARIO!C258)),"SUL",
IF(ISNUMBER(SEARCH("OPALINA",INVENTARIO!C247)),"OPA",
IF(ISNUMBER(SEARCH("ADHERIBLE",INVENTARIO!C247)),"ADH",
IF(ISNUMBER(SEARCH("MICRO",INVENTARIO!C247)),"MIC","")))))))))))))))))))))</f>
        <v/>
      </c>
      <c r="C247" t="str">
        <f>IF(ISNUMBER(SEARCH("PARED",INVENTARIO!C247)),"PAR",
IF(ISNUMBER(SEARCH("FRONT",INVENTARIO!C247)),"FRO",
IF(ISNUMBER(SEARCH("ALTA RESISTENCIA",INVENTARIO!C247)),
"ALT-RES",IF(ISNUMBER(SEARCH("BACKLITE",INVENTARIO!C247)),"BAC",
IF(ISNUMBER(SEARCH("MATE",INVENTARIO!C247)),"MAT",
IF(ISNUMBER(SEARCH("MESH",INVENTARIO!C247)),"MES",
IF(ISNUMBER(SEARCH("BRILLANTE",INVENTARIO!C247)),"BRI",
IF(ISNUMBER(SEARCH("DELGADA",INVENTARIO!C247)),"DEL",
IF(ISNUMBER(SEARCH("GRUESA",INVENTARIO!C247)),"GRU",
IF(ISNUMBER(SEARCH("ESTATICO",INVENTARIO!C247)),"EST",
IF(ISNUMBER(SEARCH("REFLECTIVO",INVENTARIO!C247)),"REF",
IF(ISNUMBER(SEARCH("LX700",INVENTARIO!C247)),"LX7",
IF(ISNUMBER(SEARCH("GRANDO",INVENTARIO!C247)),"GRA",
IF(ISNUMBER(SEARCH("FB700",INVENTARIO!C247)),"FB7",
IF(ISNUMBER(SEARCH("LX360",INVENTARIO!C247)),"LX3",
IF(ISNUMBER(SEARCH("XEROX",INVENTARIO!C247)),"XER",
IF(ISNUMBER(SEARCH("CEPILLADO",INVENTARIO!C247)),"CEP",
IF(ISNUMBER(SEARCH("ESPEJO",INVENTARIO!C247)),"ESP",
IF(ISNUMBER(SEARCH("10 PTS",INVENTARIO!C247)),"10PT",
IF(ISNUMBER(SEARCH("12 PTS",INVENTARIO!C247)),"12PT",
IF(ISNUMBER(SEARCH("14 PTS",INVENTARIO!C247)),"14PT",
IF(ISNUMBER(SEARCH("CLASICO",INVENTARIO!C247)),"CLA",
""))))))))))))))))))))))</f>
        <v/>
      </c>
      <c r="D247" t="str">
        <f>IF(ISNUMBER(SEARCH("GRAN FORMATO",INVENTARIO!C247)),"GRA-FOR",
IF(ISNUMBER(SEARCH("CAMA PLANA",INVENTARIO!C247)),"CAM-PLA",
IF(ISNUMBER(SEARCH("GRADO INGENIERIA",INVENTARIO!C247)),"GRA-ING",
IF(ISNUMBER(SEARCH("130 GRS",INVENTARIO!C247)),"130GR",
IF(ISNUMBER(SEARCH("150 GRS",INVENTARIO!C247)),"150GR",
IF(ISNUMBER(SEARCH("185 GRS",INVENTARIO!C247)),"185GR",
IF(ISNUMBER(SEARCH("200 GRS",INVENTARIO!C247)),"200GR",
IF(ISNUMBER(SEARCH("250 GRS",INVENTARIO!C247)),"250GR",
IF(ISNUMBER(SEARCH("300 GRS",INVENTARIO!C247)),"300GR",
IF(ISNUMBER(SEARCH("350 GRS",INVENTARIO!C247)),"350GR",
IF(ISNUMBER(SEARCH("18 OZ",INVENTARIO!C247)),"18OZ",
IF(ISNUMBER(SEARCH("15 OZ",INVENTARIO!C247)),"15OZ",
IF(OR(ISNUMBER(SEARCH("13 OZ",INVENTARIO!C247)),ISNUMBER(SEARCH("13 ONZAS",INVENTARIO!C247))),"13OZ",
IF(OR(ISNUMBER(SEARCH("9 OZ",INVENTARIO!C247)),ISNUMBER(SEARCH("9 ONZAS",INVENTARIO!C247))),"09OZ",
IF(ISNUMBER(SEARCH("DOBLE CARA",INVENTARIO!C247)),"DOB-CAR",
"")))))))))))))))</f>
        <v/>
      </c>
      <c r="E247" t="str">
        <f>IF(OR(ISNUMBER(SEARCH("TRANSPARENTE",INVENTARIO!C247)),ISNUMBER(SEARCH("TRANSPARENTES",INVENTARIO!C247))),"TRA",
IF(OR(ISNUMBER(SEARCH("BLANCO",INVENTARIO!C247)),ISNUMBER(SEARCH("BCO",INVENTARIO!C247))),"BLA",
IF(ISNUMBER(SEARCH("FOTOGRAFICO",INVENTARIO!C247)),"FOT",
IF(ISNUMBER(SEARCH("MARFIL",INVENTARIO!C247)),"MAR",
IF(ISNUMBER(SEARCH("VERDE",INVENTARIO!C247)),"VER",
IF(ISNUMBER(SEARCH("MORADO",INVENTARIO!C247)),"MOR",
IF(ISNUMBER(SEARCH("PLATA",INVENTARIO!C247)),"PLA",
IF(ISNUMBER(SEARCH("ORO",INVENTARIO!C247)),"ORO",
IF(ISNUMBER(SEARCH("AMARILLO",INVENTARIO!C247)),"AMA",
IF(ISNUMBER(SEARCH("NARANJA",INVENTARIO!C247)),"NAR",
IF(ISNUMBER(SEARCH("NEGRO",INVENTARIO!C247)),"NEG",
IF(ISNUMBER(SEARCH("ROJO",INVENTARIO!C247)),"ROJ",
IF(ISNUMBER(SEARCH("AZUL",INVENTARIO!C247)),"AZU","")))))))))))))</f>
        <v/>
      </c>
      <c r="F247" t="str">
        <f>IF(ISNUMBER(SEARCH("ARLON",INVENTARIO!C247)),"ARL",
IF(ISNUMBER(SEARCH("SUNTHINKS",INVENTARIO!C247)),"SUN",
IF(ISNUMBER(SEARCH("FRIO",INVENTARIO!C247)),"FRI",
IF(ISNUMBER(SEARCH("CALIDO",INVENTARIO!C247)),"CAL",
IF(ISNUMBER(SEARCH("CEPILLADO",INVENTARIO!C247)),"CEP",
IF(ISNUMBER(SEARCH("ESPEJO",INVENTARIO!C247)),"ESP",
""))))))</f>
        <v/>
      </c>
      <c r="G247" t="str">
        <f>IF(ISNUMBER(SEARCH("LATEX",INVENTARIO!C247)),"LAT",
IF(ISNUMBER(SEARCH("RESP. NEGRO",INVENTARIO!C247)),"RES-NEG",
IF(ISNUMBER(SEARCH("RESPALDO CAFE",INVENTARIO!C247)),"RES-CAF",
IF(ISNUMBER(SEARCH("RESPALDO GRIS",INVENTARIO!C247)),"RES-GRI",
IF(ISNUMBER(SEARCH("OPTICO",INVENTARIO!C247)),"OPT",
IF(ISNUMBER(SEARCH("1,2 MM",INVENTARIO!C247)),"1MM2",
IF(ISNUMBER(SEARCH("2 MM",INVENTARIO!C247)),"2MM",
IF(ISNUMBER(SEARCH("3 MM",INVENTARIO!C247)),"3MM",
IF(ISNUMBER(SEARCH("4 MM",INVENTARIO!C247)),"4MM",
IF(ISNUMBER(SEARCH("5 MM",INVENTARIO!C247)),"5MM",
IF(ISNUMBER(SEARCH("6 MM",INVENTARIO!C247)),"6MM",
IF(ISNUMBER(SEARCH("9 MM",INVENTARIO!C247)),"9MM",
IF(ISNUMBER(SEARCH("10 MM",INVENTARIO!C247)),"10MM","")))))))))))))</f>
        <v/>
      </c>
      <c r="H247" t="str">
        <f>IF(ISNUMBER(SEARCH("GAMA BAJA",INVENTARIO!C247)),"GAM-BAJ",
IF(ISNUMBER(SEARCH("OPTIMIZADOR",INVENTARIO!C247)),"OPT",
IF(ISNUMBER(SEARCH("OVERCOAT",INVENTARIO!C247)),"OVE",
IF(ISNUMBER(SEARCH("WHITE",INVENTARIO!C247)),"WHI",
IF(ISNUMBER(SEARCH("LIGHT CYAN",INVENTARIO!C247)),"LIG-CYA",
IF(ISNUMBER(SEARCH("CYAN",INVENTARIO!C247)),"CYA",
IF(ISNUMBER(SEARCH("LIGHT MAGENTA",INVENTARIO!C247)),"LIG-MAG",
IF(ISNUMBER(SEARCH("MAGENTA",INVENTARIO!C247)),"MAG",
IF(ISNUMBER(SEARCH("BLACK",INVENTARIO!C247)),"BLA",
IF(ISNUMBER(SEARCH("YELLOW",INVENTARIO!C247)),"YEL",
IF(ISNUMBER(SEARCH("2 DIODOS",INVENTARIO!C247)),"2DI",
IF(ISNUMBER(SEARCH("3 DIODOS",INVENTARIO!C247)),"3DI",
IF(OR(ISNUMBER(SEARCH("TRASLUCIDO",INVENTARIO!C247)),ISNUMBER(SEARCH("TRANSLUCIDO",INVENTARIO!C247))),"TRA",
"")))))))))))))</f>
        <v/>
      </c>
      <c r="I24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8" spans="1:9">
      <c r="A248" t="str">
        <f>IF(ISNUMBER(SEARCH("LONA",INVENTARIO!C248)),"LON",
IF(ISNUMBER(SEARCH("VINIL",INVENTARIO!C248)),"VIN",
IF(ISNUMBER(SEARCH("KROMACOTE",INVENTARIO!C248)),"KRO",
IF(ISNUMBER(SEARCH("STARDREAM",INVENTARIO!C248)),"STA",
IF(ISNUMBER(SEARCH("DISPLAY",INVENTARIO!C248)),"DIS",
IF(ISNUMBER(SEARCH("ROLL UP",INVENTARIO!C248)),"ROL-UP",
IF(ISNUMBER(SEARCH("TRANSFER DE PAPEL",INVENTARIO!C248)),"TRA-PAP",
IF(ISNUMBER(SEARCH("TRANSFER",INVENTARIO!C248)),"TRA",IF(ISNUMBER(SEARCH("KOLA LOKA",INVENTARIO!C248)),"KOL-LOK",
IF(ISNUMBER(SEARCH("PETG",INVENTARIO!C248)),"PET",
IF(ISNUMBER(SEARCH("OJILLO",INVENTARIO!C248)),"OJI",
IF(ISNUMBER(SEARCH("COUCHE",INVENTARIO!C248)),"COU",
IF(ISNUMBER(SEARCH("PANEL DE ALUMINIO",INVENTARIO!C248)),"PAN-ALU",
IF(ISNUMBER(SEARCH("PVC",INVENTARIO!C248)),"PVC",
IF(ISNUMBER(SEARCH("PAPEL",INVENTARIO!C248)),"PAP",
IF(ISNUMBER(SEARCH("TELA",INVENTARIO!C248)),"TEL",
IF(ISNUMBER(SEARCH("CARTULINA",INVENTARIO!C248)),"CAR",
IF(OR(ISNUMBER(SEARCH("LAMINA",INVENTARIO!C248)),ISNUMBER(SEARCH("LÁMINA",INVENTARIO!C248)),ISNUMBER(SEARCH("LAMPARAS",INVENTARIO!C248))),"LAM",
IF(ISNUMBER(SEARCH("ESTIRENO",INVENTARIO!C248)),"EST",
IF(ISNUMBER(SEARCH("FOAMBOARD",INVENTARIO!C248)),"FOA",
IF(ISNUMBER(SEARCH("SOLVENTE",INVENTARIO!C248)),"SOL",
IF(ISNUMBER(SEARCH("TINTA",INVENTARIO!C248)),"TIN",
IF(ISNUMBER(SEARCH("ACRILICO",INVENTARIO!C248)),"ACR",
IF(ISNUMBER(SEARCH("MICROLED",INVENTARIO!C248)),"MIC",
IF(ISNUMBER(SEARCH("LED",INVENTARIO!C248)),"LED",
IF(ISNUMBER(SEARCH("FUENTE DE PODER",INVENTARIO!C248)),"FUE-POD",
IF(ISNUMBER(SEARCH("PETG",INVENTARIO!C248)),"PET",
IF(ISNUMBER(SEARCH("ALUMINIO",INVENTARIO!C248)),"ALU",
IF(ISNUMBER(SEARCH("CANAL",INVENTARIO!C248)),"CAN",
IF(ISNUMBER(SEARCH("ESCUADRA",INVENTARIO!C248)),"ESC",
IF(ISNUMBER(SEARCH("SOPORTE",INVENTARIO!C248)),"SOP","OTR")
))))))))))))))))))))))))))))))</f>
        <v>LAM</v>
      </c>
      <c r="B248" t="str">
        <f>IF(ISNUMBER(SEARCH("CORTE",INVENTARIO!C248)),"COR",
IF(ISNUMBER(SEARCH("CITYLIGHT",INVENTARIO!C248)),"CIT",
IF(ISNUMBER(SEARCH("LINO",INVENTARIO!C248)),"LIN",
IF(ISNUMBER(SEARCH("FABRIANO",INVENTARIO!C248)),"FAB",
IF(ISNUMBER(SEARCH("SUNDANCE",INVENTARIO!C248)),"SUN",
IF(ISNUMBER(SEARCH("SINTETICA",INVENTARIO!C248)),"SIN",
IF(ISNUMBER(SEARCH("CONTROL",INVENTARIO!C248)),"CON",
IF(ISNUMBER(SEARCH("TERMICO",INVENTARIO!C248)),"TER",
IF(ISNUMBER(SEARCH("C-15",INVENTARIO!C248)),"C15",
IF(ISNUMBER(SEARCH("C-20",INVENTARIO!C248)),"C20",
IF(ISNUMBER(SEARCH("C-30",INVENTARIO!C248)),"C30",
IF(ISNUMBER(SEARCH("C-40",INVENTARIO!C248)),"C40",
IF(ISNUMBER(SEARCH("C-60",INVENTARIO!C248)),"C60",
IF(ISNUMBER(SEARCH("C-80",INVENTARIO!C248)),"C80",
IF(ISNUMBER(SEARCH("EQUIPO",INVENTARIO!C248)),"EQU",
IF(ISNUMBER(SEARCH("FLOOR",INVENTARIO!C248)),"FLO",
IF(ISNUMBER(SEARCH("CRISTAL",INVENTARIO!C248)),"CRI",
IF(ISNUMBER(SEARCH(" SULFATADA",INVENTARIO!C259)),"SUL",
IF(ISNUMBER(SEARCH("OPALINA",INVENTARIO!C248)),"OPA",
IF(ISNUMBER(SEARCH("ADHERIBLE",INVENTARIO!C248)),"ADH",
IF(ISNUMBER(SEARCH("MICRO",INVENTARIO!C248)),"MIC","")))))))))))))))))))))</f>
        <v/>
      </c>
      <c r="C248" t="str">
        <f>IF(ISNUMBER(SEARCH("PARED",INVENTARIO!C248)),"PAR",
IF(ISNUMBER(SEARCH("FRONT",INVENTARIO!C248)),"FRO",
IF(ISNUMBER(SEARCH("ALTA RESISTENCIA",INVENTARIO!C248)),
"ALT-RES",IF(ISNUMBER(SEARCH("BACKLITE",INVENTARIO!C248)),"BAC",
IF(ISNUMBER(SEARCH("MATE",INVENTARIO!C248)),"MAT",
IF(ISNUMBER(SEARCH("MESH",INVENTARIO!C248)),"MES",
IF(ISNUMBER(SEARCH("BRILLANTE",INVENTARIO!C248)),"BRI",
IF(ISNUMBER(SEARCH("DELGADA",INVENTARIO!C248)),"DEL",
IF(ISNUMBER(SEARCH("GRUESA",INVENTARIO!C248)),"GRU",
IF(ISNUMBER(SEARCH("ESTATICO",INVENTARIO!C248)),"EST",
IF(ISNUMBER(SEARCH("REFLECTIVO",INVENTARIO!C248)),"REF",
IF(ISNUMBER(SEARCH("LX700",INVENTARIO!C248)),"LX7",
IF(ISNUMBER(SEARCH("GRANDO",INVENTARIO!C248)),"GRA",
IF(ISNUMBER(SEARCH("FB700",INVENTARIO!C248)),"FB7",
IF(ISNUMBER(SEARCH("LX360",INVENTARIO!C248)),"LX3",
IF(ISNUMBER(SEARCH("XEROX",INVENTARIO!C248)),"XER",
IF(ISNUMBER(SEARCH("CEPILLADO",INVENTARIO!C248)),"CEP",
IF(ISNUMBER(SEARCH("ESPEJO",INVENTARIO!C248)),"ESP",
IF(ISNUMBER(SEARCH("10 PTS",INVENTARIO!C248)),"10PT",
IF(ISNUMBER(SEARCH("12 PTS",INVENTARIO!C248)),"12PT",
IF(ISNUMBER(SEARCH("14 PTS",INVENTARIO!C248)),"14PT",
IF(ISNUMBER(SEARCH("CLASICO",INVENTARIO!C248)),"CLA",
""))))))))))))))))))))))</f>
        <v/>
      </c>
      <c r="D248" t="str">
        <f>IF(ISNUMBER(SEARCH("GRAN FORMATO",INVENTARIO!C248)),"GRA-FOR",
IF(ISNUMBER(SEARCH("CAMA PLANA",INVENTARIO!C248)),"CAM-PLA",
IF(ISNUMBER(SEARCH("GRADO INGENIERIA",INVENTARIO!C248)),"GRA-ING",
IF(ISNUMBER(SEARCH("130 GRS",INVENTARIO!C248)),"130GR",
IF(ISNUMBER(SEARCH("150 GRS",INVENTARIO!C248)),"150GR",
IF(ISNUMBER(SEARCH("185 GRS",INVENTARIO!C248)),"185GR",
IF(ISNUMBER(SEARCH("200 GRS",INVENTARIO!C248)),"200GR",
IF(ISNUMBER(SEARCH("250 GRS",INVENTARIO!C248)),"250GR",
IF(ISNUMBER(SEARCH("300 GRS",INVENTARIO!C248)),"300GR",
IF(ISNUMBER(SEARCH("350 GRS",INVENTARIO!C248)),"350GR",
IF(ISNUMBER(SEARCH("18 OZ",INVENTARIO!C248)),"18OZ",
IF(ISNUMBER(SEARCH("15 OZ",INVENTARIO!C248)),"15OZ",
IF(OR(ISNUMBER(SEARCH("13 OZ",INVENTARIO!C248)),ISNUMBER(SEARCH("13 ONZAS",INVENTARIO!C248))),"13OZ",
IF(OR(ISNUMBER(SEARCH("9 OZ",INVENTARIO!C248)),ISNUMBER(SEARCH("9 ONZAS",INVENTARIO!C248))),"09OZ",
IF(ISNUMBER(SEARCH("DOBLE CARA",INVENTARIO!C248)),"DOB-CAR",
"")))))))))))))))</f>
        <v/>
      </c>
      <c r="E248" t="str">
        <f>IF(OR(ISNUMBER(SEARCH("TRANSPARENTE",INVENTARIO!C248)),ISNUMBER(SEARCH("TRANSPARENTES",INVENTARIO!C248))),"TRA",
IF(OR(ISNUMBER(SEARCH("BLANCO",INVENTARIO!C248)),ISNUMBER(SEARCH("BCO",INVENTARIO!C248))),"BLA",
IF(ISNUMBER(SEARCH("FOTOGRAFICO",INVENTARIO!C248)),"FOT",
IF(ISNUMBER(SEARCH("MARFIL",INVENTARIO!C248)),"MAR",
IF(ISNUMBER(SEARCH("VERDE",INVENTARIO!C248)),"VER",
IF(ISNUMBER(SEARCH("MORADO",INVENTARIO!C248)),"MOR",
IF(ISNUMBER(SEARCH("PLATA",INVENTARIO!C248)),"PLA",
IF(ISNUMBER(SEARCH("ORO",INVENTARIO!C248)),"ORO",
IF(ISNUMBER(SEARCH("AMARILLO",INVENTARIO!C248)),"AMA",
IF(ISNUMBER(SEARCH("NARANJA",INVENTARIO!C248)),"NAR",
IF(ISNUMBER(SEARCH("NEGRO",INVENTARIO!C248)),"NEG",
IF(ISNUMBER(SEARCH("ROJO",INVENTARIO!C248)),"ROJ",
IF(ISNUMBER(SEARCH("AZUL",INVENTARIO!C248)),"AZU","")))))))))))))</f>
        <v/>
      </c>
      <c r="F248" t="str">
        <f>IF(ISNUMBER(SEARCH("ARLON",INVENTARIO!C248)),"ARL",
IF(ISNUMBER(SEARCH("SUNTHINKS",INVENTARIO!C248)),"SUN",
IF(ISNUMBER(SEARCH("FRIO",INVENTARIO!C248)),"FRI",
IF(ISNUMBER(SEARCH("CALIDO",INVENTARIO!C248)),"CAL",
IF(ISNUMBER(SEARCH("CEPILLADO",INVENTARIO!C248)),"CEP",
IF(ISNUMBER(SEARCH("ESPEJO",INVENTARIO!C248)),"ESP",
""))))))</f>
        <v/>
      </c>
      <c r="G248" t="str">
        <f>IF(ISNUMBER(SEARCH("LATEX",INVENTARIO!C248)),"LAT",
IF(ISNUMBER(SEARCH("RESP. NEGRO",INVENTARIO!C248)),"RES-NEG",
IF(ISNUMBER(SEARCH("RESPALDO CAFE",INVENTARIO!C248)),"RES-CAF",
IF(ISNUMBER(SEARCH("RESPALDO GRIS",INVENTARIO!C248)),"RES-GRI",
IF(ISNUMBER(SEARCH("OPTICO",INVENTARIO!C248)),"OPT",
IF(ISNUMBER(SEARCH("1,2 MM",INVENTARIO!C248)),"1MM2",
IF(ISNUMBER(SEARCH("2 MM",INVENTARIO!C248)),"2MM",
IF(ISNUMBER(SEARCH("3 MM",INVENTARIO!C248)),"3MM",
IF(ISNUMBER(SEARCH("4 MM",INVENTARIO!C248)),"4MM",
IF(ISNUMBER(SEARCH("5 MM",INVENTARIO!C248)),"5MM",
IF(ISNUMBER(SEARCH("6 MM",INVENTARIO!C248)),"6MM",
IF(ISNUMBER(SEARCH("9 MM",INVENTARIO!C248)),"9MM",
IF(ISNUMBER(SEARCH("10 MM",INVENTARIO!C248)),"10MM","")))))))))))))</f>
        <v/>
      </c>
      <c r="H248" t="str">
        <f>IF(ISNUMBER(SEARCH("GAMA BAJA",INVENTARIO!C248)),"GAM-BAJ",
IF(ISNUMBER(SEARCH("OPTIMIZADOR",INVENTARIO!C248)),"OPT",
IF(ISNUMBER(SEARCH("OVERCOAT",INVENTARIO!C248)),"OVE",
IF(ISNUMBER(SEARCH("WHITE",INVENTARIO!C248)),"WHI",
IF(ISNUMBER(SEARCH("LIGHT CYAN",INVENTARIO!C248)),"LIG-CYA",
IF(ISNUMBER(SEARCH("CYAN",INVENTARIO!C248)),"CYA",
IF(ISNUMBER(SEARCH("LIGHT MAGENTA",INVENTARIO!C248)),"LIG-MAG",
IF(ISNUMBER(SEARCH("MAGENTA",INVENTARIO!C248)),"MAG",
IF(ISNUMBER(SEARCH("BLACK",INVENTARIO!C248)),"BLA",
IF(ISNUMBER(SEARCH("YELLOW",INVENTARIO!C248)),"YEL",
IF(ISNUMBER(SEARCH("2 DIODOS",INVENTARIO!C248)),"2DI",
IF(ISNUMBER(SEARCH("3 DIODOS",INVENTARIO!C248)),"3DI",
IF(OR(ISNUMBER(SEARCH("TRASLUCIDO",INVENTARIO!C248)),ISNUMBER(SEARCH("TRANSLUCIDO",INVENTARIO!C248))),"TRA",
"")))))))))))))</f>
        <v/>
      </c>
      <c r="I24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49" spans="1:9">
      <c r="A249" t="str">
        <f>IF(ISNUMBER(SEARCH("LONA",INVENTARIO!C249)),"LON",
IF(ISNUMBER(SEARCH("VINIL",INVENTARIO!C249)),"VIN",
IF(ISNUMBER(SEARCH("KROMACOTE",INVENTARIO!C249)),"KRO",
IF(ISNUMBER(SEARCH("STARDREAM",INVENTARIO!C249)),"STA",
IF(ISNUMBER(SEARCH("DISPLAY",INVENTARIO!C249)),"DIS",
IF(ISNUMBER(SEARCH("ROLL UP",INVENTARIO!C249)),"ROL-UP",
IF(ISNUMBER(SEARCH("TRANSFER DE PAPEL",INVENTARIO!C249)),"TRA-PAP",
IF(ISNUMBER(SEARCH("TRANSFER",INVENTARIO!C249)),"TRA",IF(ISNUMBER(SEARCH("KOLA LOKA",INVENTARIO!C249)),"KOL-LOK",
IF(ISNUMBER(SEARCH("PETG",INVENTARIO!C249)),"PET",
IF(ISNUMBER(SEARCH("OJILLO",INVENTARIO!C249)),"OJI",
IF(ISNUMBER(SEARCH("COUCHE",INVENTARIO!C249)),"COU",
IF(ISNUMBER(SEARCH("PANEL DE ALUMINIO",INVENTARIO!C249)),"PAN-ALU",
IF(ISNUMBER(SEARCH("PVC",INVENTARIO!C249)),"PVC",
IF(ISNUMBER(SEARCH("PAPEL",INVENTARIO!C249)),"PAP",
IF(ISNUMBER(SEARCH("TELA",INVENTARIO!C249)),"TEL",
IF(ISNUMBER(SEARCH("CARTULINA",INVENTARIO!C249)),"CAR",
IF(OR(ISNUMBER(SEARCH("LAMINA",INVENTARIO!C249)),ISNUMBER(SEARCH("LÁMINA",INVENTARIO!C249)),ISNUMBER(SEARCH("LAMPARAS",INVENTARIO!C249))),"LAM",
IF(ISNUMBER(SEARCH("ESTIRENO",INVENTARIO!C249)),"EST",
IF(ISNUMBER(SEARCH("FOAMBOARD",INVENTARIO!C249)),"FOA",
IF(ISNUMBER(SEARCH("SOLVENTE",INVENTARIO!C249)),"SOL",
IF(ISNUMBER(SEARCH("TINTA",INVENTARIO!C249)),"TIN",
IF(ISNUMBER(SEARCH("ACRILICO",INVENTARIO!C249)),"ACR",
IF(ISNUMBER(SEARCH("MICROLED",INVENTARIO!C249)),"MIC",
IF(ISNUMBER(SEARCH("LED",INVENTARIO!C249)),"LED",
IF(ISNUMBER(SEARCH("FUENTE DE PODER",INVENTARIO!C249)),"FUE-POD",
IF(ISNUMBER(SEARCH("PETG",INVENTARIO!C249)),"PET",
IF(ISNUMBER(SEARCH("ALUMINIO",INVENTARIO!C249)),"ALU",
IF(ISNUMBER(SEARCH("CANAL",INVENTARIO!C249)),"CAN",
IF(ISNUMBER(SEARCH("ESCUADRA",INVENTARIO!C249)),"ESC",
IF(ISNUMBER(SEARCH("SOPORTE",INVENTARIO!C249)),"SOP","OTR")
))))))))))))))))))))))))))))))</f>
        <v>OTR</v>
      </c>
      <c r="B249" t="str">
        <f>IF(ISNUMBER(SEARCH("CORTE",INVENTARIO!C249)),"COR",
IF(ISNUMBER(SEARCH("CITYLIGHT",INVENTARIO!C249)),"CIT",
IF(ISNUMBER(SEARCH("LINO",INVENTARIO!C249)),"LIN",
IF(ISNUMBER(SEARCH("FABRIANO",INVENTARIO!C249)),"FAB",
IF(ISNUMBER(SEARCH("SUNDANCE",INVENTARIO!C249)),"SUN",
IF(ISNUMBER(SEARCH("SINTETICA",INVENTARIO!C249)),"SIN",
IF(ISNUMBER(SEARCH("CONTROL",INVENTARIO!C249)),"CON",
IF(ISNUMBER(SEARCH("TERMICO",INVENTARIO!C249)),"TER",
IF(ISNUMBER(SEARCH("C-15",INVENTARIO!C249)),"C15",
IF(ISNUMBER(SEARCH("C-20",INVENTARIO!C249)),"C20",
IF(ISNUMBER(SEARCH("C-30",INVENTARIO!C249)),"C30",
IF(ISNUMBER(SEARCH("C-40",INVENTARIO!C249)),"C40",
IF(ISNUMBER(SEARCH("C-60",INVENTARIO!C249)),"C60",
IF(ISNUMBER(SEARCH("C-80",INVENTARIO!C249)),"C80",
IF(ISNUMBER(SEARCH("EQUIPO",INVENTARIO!C249)),"EQU",
IF(ISNUMBER(SEARCH("FLOOR",INVENTARIO!C249)),"FLO",
IF(ISNUMBER(SEARCH("CRISTAL",INVENTARIO!C249)),"CRI",
IF(ISNUMBER(SEARCH(" SULFATADA",INVENTARIO!C260)),"SUL",
IF(ISNUMBER(SEARCH("OPALINA",INVENTARIO!C249)),"OPA",
IF(ISNUMBER(SEARCH("ADHERIBLE",INVENTARIO!C249)),"ADH",
IF(ISNUMBER(SEARCH("MICRO",INVENTARIO!C249)),"MIC","")))))))))))))))))))))</f>
        <v/>
      </c>
      <c r="C249" t="str">
        <f>IF(ISNUMBER(SEARCH("PARED",INVENTARIO!C249)),"PAR",
IF(ISNUMBER(SEARCH("FRONT",INVENTARIO!C249)),"FRO",
IF(ISNUMBER(SEARCH("ALTA RESISTENCIA",INVENTARIO!C249)),
"ALT-RES",IF(ISNUMBER(SEARCH("BACKLITE",INVENTARIO!C249)),"BAC",
IF(ISNUMBER(SEARCH("MATE",INVENTARIO!C249)),"MAT",
IF(ISNUMBER(SEARCH("MESH",INVENTARIO!C249)),"MES",
IF(ISNUMBER(SEARCH("BRILLANTE",INVENTARIO!C249)),"BRI",
IF(ISNUMBER(SEARCH("DELGADA",INVENTARIO!C249)),"DEL",
IF(ISNUMBER(SEARCH("GRUESA",INVENTARIO!C249)),"GRU",
IF(ISNUMBER(SEARCH("ESTATICO",INVENTARIO!C249)),"EST",
IF(ISNUMBER(SEARCH("REFLECTIVO",INVENTARIO!C249)),"REF",
IF(ISNUMBER(SEARCH("LX700",INVENTARIO!C249)),"LX7",
IF(ISNUMBER(SEARCH("GRANDO",INVENTARIO!C249)),"GRA",
IF(ISNUMBER(SEARCH("FB700",INVENTARIO!C249)),"FB7",
IF(ISNUMBER(SEARCH("LX360",INVENTARIO!C249)),"LX3",
IF(ISNUMBER(SEARCH("XEROX",INVENTARIO!C249)),"XER",
IF(ISNUMBER(SEARCH("CEPILLADO",INVENTARIO!C249)),"CEP",
IF(ISNUMBER(SEARCH("ESPEJO",INVENTARIO!C249)),"ESP",
IF(ISNUMBER(SEARCH("10 PTS",INVENTARIO!C249)),"10PT",
IF(ISNUMBER(SEARCH("12 PTS",INVENTARIO!C249)),"12PT",
IF(ISNUMBER(SEARCH("14 PTS",INVENTARIO!C249)),"14PT",
IF(ISNUMBER(SEARCH("CLASICO",INVENTARIO!C249)),"CLA",
""))))))))))))))))))))))</f>
        <v/>
      </c>
      <c r="D249" t="str">
        <f>IF(ISNUMBER(SEARCH("GRAN FORMATO",INVENTARIO!C249)),"GRA-FOR",
IF(ISNUMBER(SEARCH("CAMA PLANA",INVENTARIO!C249)),"CAM-PLA",
IF(ISNUMBER(SEARCH("GRADO INGENIERIA",INVENTARIO!C249)),"GRA-ING",
IF(ISNUMBER(SEARCH("130 GRS",INVENTARIO!C249)),"130GR",
IF(ISNUMBER(SEARCH("150 GRS",INVENTARIO!C249)),"150GR",
IF(ISNUMBER(SEARCH("185 GRS",INVENTARIO!C249)),"185GR",
IF(ISNUMBER(SEARCH("200 GRS",INVENTARIO!C249)),"200GR",
IF(ISNUMBER(SEARCH("250 GRS",INVENTARIO!C249)),"250GR",
IF(ISNUMBER(SEARCH("300 GRS",INVENTARIO!C249)),"300GR",
IF(ISNUMBER(SEARCH("350 GRS",INVENTARIO!C249)),"350GR",
IF(ISNUMBER(SEARCH("18 OZ",INVENTARIO!C249)),"18OZ",
IF(ISNUMBER(SEARCH("15 OZ",INVENTARIO!C249)),"15OZ",
IF(OR(ISNUMBER(SEARCH("13 OZ",INVENTARIO!C249)),ISNUMBER(SEARCH("13 ONZAS",INVENTARIO!C249))),"13OZ",
IF(OR(ISNUMBER(SEARCH("9 OZ",INVENTARIO!C249)),ISNUMBER(SEARCH("9 ONZAS",INVENTARIO!C249))),"09OZ",
IF(ISNUMBER(SEARCH("DOBLE CARA",INVENTARIO!C249)),"DOB-CAR",
"")))))))))))))))</f>
        <v/>
      </c>
      <c r="E249" t="str">
        <f>IF(OR(ISNUMBER(SEARCH("TRANSPARENTE",INVENTARIO!C249)),ISNUMBER(SEARCH("TRANSPARENTES",INVENTARIO!C249))),"TRA",
IF(OR(ISNUMBER(SEARCH("BLANCO",INVENTARIO!C249)),ISNUMBER(SEARCH("BCO",INVENTARIO!C249))),"BLA",
IF(ISNUMBER(SEARCH("FOTOGRAFICO",INVENTARIO!C249)),"FOT",
IF(ISNUMBER(SEARCH("MARFIL",INVENTARIO!C249)),"MAR",
IF(ISNUMBER(SEARCH("VERDE",INVENTARIO!C249)),"VER",
IF(ISNUMBER(SEARCH("MORADO",INVENTARIO!C249)),"MOR",
IF(ISNUMBER(SEARCH("PLATA",INVENTARIO!C249)),"PLA",
IF(ISNUMBER(SEARCH("ORO",INVENTARIO!C249)),"ORO",
IF(ISNUMBER(SEARCH("AMARILLO",INVENTARIO!C249)),"AMA",
IF(ISNUMBER(SEARCH("NARANJA",INVENTARIO!C249)),"NAR",
IF(ISNUMBER(SEARCH("NEGRO",INVENTARIO!C249)),"NEG",
IF(ISNUMBER(SEARCH("ROJO",INVENTARIO!C249)),"ROJ",
IF(ISNUMBER(SEARCH("AZUL",INVENTARIO!C249)),"AZU","")))))))))))))</f>
        <v/>
      </c>
      <c r="F249" t="str">
        <f>IF(ISNUMBER(SEARCH("ARLON",INVENTARIO!C249)),"ARL",
IF(ISNUMBER(SEARCH("SUNTHINKS",INVENTARIO!C249)),"SUN",
IF(ISNUMBER(SEARCH("FRIO",INVENTARIO!C249)),"FRI",
IF(ISNUMBER(SEARCH("CALIDO",INVENTARIO!C249)),"CAL",
IF(ISNUMBER(SEARCH("CEPILLADO",INVENTARIO!C249)),"CEP",
IF(ISNUMBER(SEARCH("ESPEJO",INVENTARIO!C249)),"ESP",
""))))))</f>
        <v/>
      </c>
      <c r="G249" t="str">
        <f>IF(ISNUMBER(SEARCH("LATEX",INVENTARIO!C249)),"LAT",
IF(ISNUMBER(SEARCH("RESP. NEGRO",INVENTARIO!C249)),"RES-NEG",
IF(ISNUMBER(SEARCH("RESPALDO CAFE",INVENTARIO!C249)),"RES-CAF",
IF(ISNUMBER(SEARCH("RESPALDO GRIS",INVENTARIO!C249)),"RES-GRI",
IF(ISNUMBER(SEARCH("OPTICO",INVENTARIO!C249)),"OPT",
IF(ISNUMBER(SEARCH("1,2 MM",INVENTARIO!C249)),"1MM2",
IF(ISNUMBER(SEARCH("2 MM",INVENTARIO!C249)),"2MM",
IF(ISNUMBER(SEARCH("3 MM",INVENTARIO!C249)),"3MM",
IF(ISNUMBER(SEARCH("4 MM",INVENTARIO!C249)),"4MM",
IF(ISNUMBER(SEARCH("5 MM",INVENTARIO!C249)),"5MM",
IF(ISNUMBER(SEARCH("6 MM",INVENTARIO!C249)),"6MM",
IF(ISNUMBER(SEARCH("9 MM",INVENTARIO!C249)),"9MM",
IF(ISNUMBER(SEARCH("10 MM",INVENTARIO!C249)),"10MM","")))))))))))))</f>
        <v/>
      </c>
      <c r="H249" t="str">
        <f>IF(ISNUMBER(SEARCH("GAMA BAJA",INVENTARIO!C249)),"GAM-BAJ",
IF(ISNUMBER(SEARCH("OPTIMIZADOR",INVENTARIO!C249)),"OPT",
IF(ISNUMBER(SEARCH("OVERCOAT",INVENTARIO!C249)),"OVE",
IF(ISNUMBER(SEARCH("WHITE",INVENTARIO!C249)),"WHI",
IF(ISNUMBER(SEARCH("LIGHT CYAN",INVENTARIO!C249)),"LIG-CYA",
IF(ISNUMBER(SEARCH("CYAN",INVENTARIO!C249)),"CYA",
IF(ISNUMBER(SEARCH("LIGHT MAGENTA",INVENTARIO!C249)),"LIG-MAG",
IF(ISNUMBER(SEARCH("MAGENTA",INVENTARIO!C249)),"MAG",
IF(ISNUMBER(SEARCH("BLACK",INVENTARIO!C249)),"BLA",
IF(ISNUMBER(SEARCH("YELLOW",INVENTARIO!C249)),"YEL",
IF(ISNUMBER(SEARCH("2 DIODOS",INVENTARIO!C249)),"2DI",
IF(ISNUMBER(SEARCH("3 DIODOS",INVENTARIO!C249)),"3DI",
IF(OR(ISNUMBER(SEARCH("TRASLUCIDO",INVENTARIO!C249)),ISNUMBER(SEARCH("TRANSLUCIDO",INVENTARIO!C249))),"TRA",
"")))))))))))))</f>
        <v/>
      </c>
      <c r="I24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50" spans="1:9">
      <c r="A250" t="str">
        <f>IF(ISNUMBER(SEARCH("LONA",INVENTARIO!C250)),"LON",
IF(ISNUMBER(SEARCH("VINIL",INVENTARIO!C250)),"VIN",
IF(ISNUMBER(SEARCH("KROMACOTE",INVENTARIO!C250)),"KRO",
IF(ISNUMBER(SEARCH("STARDREAM",INVENTARIO!C250)),"STA",
IF(ISNUMBER(SEARCH("DISPLAY",INVENTARIO!C250)),"DIS",
IF(ISNUMBER(SEARCH("ROLL UP",INVENTARIO!C250)),"ROL-UP",
IF(ISNUMBER(SEARCH("TRANSFER DE PAPEL",INVENTARIO!C250)),"TRA-PAP",
IF(ISNUMBER(SEARCH("TRANSFER",INVENTARIO!C250)),"TRA",IF(ISNUMBER(SEARCH("KOLA LOKA",INVENTARIO!C250)),"KOL-LOK",
IF(ISNUMBER(SEARCH("PETG",INVENTARIO!C250)),"PET",
IF(ISNUMBER(SEARCH("OJILLO",INVENTARIO!C250)),"OJI",
IF(ISNUMBER(SEARCH("COUCHE",INVENTARIO!C250)),"COU",
IF(ISNUMBER(SEARCH("PANEL DE ALUMINIO",INVENTARIO!C250)),"PAN-ALU",
IF(ISNUMBER(SEARCH("PVC",INVENTARIO!C250)),"PVC",
IF(ISNUMBER(SEARCH("PAPEL",INVENTARIO!C250)),"PAP",
IF(ISNUMBER(SEARCH("TELA",INVENTARIO!C250)),"TEL",
IF(ISNUMBER(SEARCH("CARTULINA",INVENTARIO!C250)),"CAR",
IF(OR(ISNUMBER(SEARCH("LAMINA",INVENTARIO!C250)),ISNUMBER(SEARCH("LÁMINA",INVENTARIO!C250)),ISNUMBER(SEARCH("LAMPARAS",INVENTARIO!C250))),"LAM",
IF(ISNUMBER(SEARCH("ESTIRENO",INVENTARIO!C250)),"EST",
IF(ISNUMBER(SEARCH("FOAMBOARD",INVENTARIO!C250)),"FOA",
IF(ISNUMBER(SEARCH("SOLVENTE",INVENTARIO!C250)),"SOL",
IF(ISNUMBER(SEARCH("TINTA",INVENTARIO!C250)),"TIN",
IF(ISNUMBER(SEARCH("ACRILICO",INVENTARIO!C250)),"ACR",
IF(ISNUMBER(SEARCH("MICROLED",INVENTARIO!C250)),"MIC",
IF(ISNUMBER(SEARCH("LED",INVENTARIO!C250)),"LED",
IF(ISNUMBER(SEARCH("FUENTE DE PODER",INVENTARIO!C250)),"FUE-POD",
IF(ISNUMBER(SEARCH("PETG",INVENTARIO!C250)),"PET",
IF(ISNUMBER(SEARCH("ALUMINIO",INVENTARIO!C250)),"ALU",
IF(ISNUMBER(SEARCH("CANAL",INVENTARIO!C250)),"CAN",
IF(ISNUMBER(SEARCH("ESCUADRA",INVENTARIO!C250)),"ESC",
IF(ISNUMBER(SEARCH("SOPORTE",INVENTARIO!C250)),"SOP","OTR")
))))))))))))))))))))))))))))))</f>
        <v>OTR</v>
      </c>
      <c r="B250" t="str">
        <f>IF(ISNUMBER(SEARCH("CORTE",INVENTARIO!C250)),"COR",
IF(ISNUMBER(SEARCH("CITYLIGHT",INVENTARIO!C250)),"CIT",
IF(ISNUMBER(SEARCH("LINO",INVENTARIO!C250)),"LIN",
IF(ISNUMBER(SEARCH("FABRIANO",INVENTARIO!C250)),"FAB",
IF(ISNUMBER(SEARCH("SUNDANCE",INVENTARIO!C250)),"SUN",
IF(ISNUMBER(SEARCH("SINTETICA",INVENTARIO!C250)),"SIN",
IF(ISNUMBER(SEARCH("CONTROL",INVENTARIO!C250)),"CON",
IF(ISNUMBER(SEARCH("TERMICO",INVENTARIO!C250)),"TER",
IF(ISNUMBER(SEARCH("C-15",INVENTARIO!C250)),"C15",
IF(ISNUMBER(SEARCH("C-20",INVENTARIO!C250)),"C20",
IF(ISNUMBER(SEARCH("C-30",INVENTARIO!C250)),"C30",
IF(ISNUMBER(SEARCH("C-40",INVENTARIO!C250)),"C40",
IF(ISNUMBER(SEARCH("C-60",INVENTARIO!C250)),"C60",
IF(ISNUMBER(SEARCH("C-80",INVENTARIO!C250)),"C80",
IF(ISNUMBER(SEARCH("EQUIPO",INVENTARIO!C250)),"EQU",
IF(ISNUMBER(SEARCH("FLOOR",INVENTARIO!C250)),"FLO",
IF(ISNUMBER(SEARCH("CRISTAL",INVENTARIO!C250)),"CRI",
IF(ISNUMBER(SEARCH(" SULFATADA",INVENTARIO!C261)),"SUL",
IF(ISNUMBER(SEARCH("OPALINA",INVENTARIO!C250)),"OPA",
IF(ISNUMBER(SEARCH("ADHERIBLE",INVENTARIO!C250)),"ADH",
IF(ISNUMBER(SEARCH("MICRO",INVENTARIO!C250)),"MIC","")))))))))))))))))))))</f>
        <v/>
      </c>
      <c r="C250" t="str">
        <f>IF(ISNUMBER(SEARCH("PARED",INVENTARIO!C250)),"PAR",
IF(ISNUMBER(SEARCH("FRONT",INVENTARIO!C250)),"FRO",
IF(ISNUMBER(SEARCH("ALTA RESISTENCIA",INVENTARIO!C250)),
"ALT-RES",IF(ISNUMBER(SEARCH("BACKLITE",INVENTARIO!C250)),"BAC",
IF(ISNUMBER(SEARCH("MATE",INVENTARIO!C250)),"MAT",
IF(ISNUMBER(SEARCH("MESH",INVENTARIO!C250)),"MES",
IF(ISNUMBER(SEARCH("BRILLANTE",INVENTARIO!C250)),"BRI",
IF(ISNUMBER(SEARCH("DELGADA",INVENTARIO!C250)),"DEL",
IF(ISNUMBER(SEARCH("GRUESA",INVENTARIO!C250)),"GRU",
IF(ISNUMBER(SEARCH("ESTATICO",INVENTARIO!C250)),"EST",
IF(ISNUMBER(SEARCH("REFLECTIVO",INVENTARIO!C250)),"REF",
IF(ISNUMBER(SEARCH("LX700",INVENTARIO!C250)),"LX7",
IF(ISNUMBER(SEARCH("GRANDO",INVENTARIO!C250)),"GRA",
IF(ISNUMBER(SEARCH("FB700",INVENTARIO!C250)),"FB7",
IF(ISNUMBER(SEARCH("LX360",INVENTARIO!C250)),"LX3",
IF(ISNUMBER(SEARCH("XEROX",INVENTARIO!C250)),"XER",
IF(ISNUMBER(SEARCH("CEPILLADO",INVENTARIO!C250)),"CEP",
IF(ISNUMBER(SEARCH("ESPEJO",INVENTARIO!C250)),"ESP",
IF(ISNUMBER(SEARCH("10 PTS",INVENTARIO!C250)),"10PT",
IF(ISNUMBER(SEARCH("12 PTS",INVENTARIO!C250)),"12PT",
IF(ISNUMBER(SEARCH("14 PTS",INVENTARIO!C250)),"14PT",
IF(ISNUMBER(SEARCH("CLASICO",INVENTARIO!C250)),"CLA",
""))))))))))))))))))))))</f>
        <v/>
      </c>
      <c r="D250" t="str">
        <f>IF(ISNUMBER(SEARCH("GRAN FORMATO",INVENTARIO!C250)),"GRA-FOR",
IF(ISNUMBER(SEARCH("CAMA PLANA",INVENTARIO!C250)),"CAM-PLA",
IF(ISNUMBER(SEARCH("GRADO INGENIERIA",INVENTARIO!C250)),"GRA-ING",
IF(ISNUMBER(SEARCH("130 GRS",INVENTARIO!C250)),"130GR",
IF(ISNUMBER(SEARCH("150 GRS",INVENTARIO!C250)),"150GR",
IF(ISNUMBER(SEARCH("185 GRS",INVENTARIO!C250)),"185GR",
IF(ISNUMBER(SEARCH("200 GRS",INVENTARIO!C250)),"200GR",
IF(ISNUMBER(SEARCH("250 GRS",INVENTARIO!C250)),"250GR",
IF(ISNUMBER(SEARCH("300 GRS",INVENTARIO!C250)),"300GR",
IF(ISNUMBER(SEARCH("350 GRS",INVENTARIO!C250)),"350GR",
IF(ISNUMBER(SEARCH("18 OZ",INVENTARIO!C250)),"18OZ",
IF(ISNUMBER(SEARCH("15 OZ",INVENTARIO!C250)),"15OZ",
IF(OR(ISNUMBER(SEARCH("13 OZ",INVENTARIO!C250)),ISNUMBER(SEARCH("13 ONZAS",INVENTARIO!C250))),"13OZ",
IF(OR(ISNUMBER(SEARCH("9 OZ",INVENTARIO!C250)),ISNUMBER(SEARCH("9 ONZAS",INVENTARIO!C250))),"09OZ",
IF(ISNUMBER(SEARCH("DOBLE CARA",INVENTARIO!C250)),"DOB-CAR",
"")))))))))))))))</f>
        <v/>
      </c>
      <c r="E250" t="str">
        <f>IF(OR(ISNUMBER(SEARCH("TRANSPARENTE",INVENTARIO!C250)),ISNUMBER(SEARCH("TRANSPARENTES",INVENTARIO!C250))),"TRA",
IF(OR(ISNUMBER(SEARCH("BLANCO",INVENTARIO!C250)),ISNUMBER(SEARCH("BCO",INVENTARIO!C250))),"BLA",
IF(ISNUMBER(SEARCH("FOTOGRAFICO",INVENTARIO!C250)),"FOT",
IF(ISNUMBER(SEARCH("MARFIL",INVENTARIO!C250)),"MAR",
IF(ISNUMBER(SEARCH("VERDE",INVENTARIO!C250)),"VER",
IF(ISNUMBER(SEARCH("MORADO",INVENTARIO!C250)),"MOR",
IF(ISNUMBER(SEARCH("PLATA",INVENTARIO!C250)),"PLA",
IF(ISNUMBER(SEARCH("ORO",INVENTARIO!C250)),"ORO",
IF(ISNUMBER(SEARCH("AMARILLO",INVENTARIO!C250)),"AMA",
IF(ISNUMBER(SEARCH("NARANJA",INVENTARIO!C250)),"NAR",
IF(ISNUMBER(SEARCH("NEGRO",INVENTARIO!C250)),"NEG",
IF(ISNUMBER(SEARCH("ROJO",INVENTARIO!C250)),"ROJ",
IF(ISNUMBER(SEARCH("AZUL",INVENTARIO!C250)),"AZU","")))))))))))))</f>
        <v/>
      </c>
      <c r="F250" t="str">
        <f>IF(ISNUMBER(SEARCH("ARLON",INVENTARIO!C250)),"ARL",
IF(ISNUMBER(SEARCH("SUNTHINKS",INVENTARIO!C250)),"SUN",
IF(ISNUMBER(SEARCH("FRIO",INVENTARIO!C250)),"FRI",
IF(ISNUMBER(SEARCH("CALIDO",INVENTARIO!C250)),"CAL",
IF(ISNUMBER(SEARCH("CEPILLADO",INVENTARIO!C250)),"CEP",
IF(ISNUMBER(SEARCH("ESPEJO",INVENTARIO!C250)),"ESP",
""))))))</f>
        <v/>
      </c>
      <c r="G250" t="str">
        <f>IF(ISNUMBER(SEARCH("LATEX",INVENTARIO!C250)),"LAT",
IF(ISNUMBER(SEARCH("RESP. NEGRO",INVENTARIO!C250)),"RES-NEG",
IF(ISNUMBER(SEARCH("RESPALDO CAFE",INVENTARIO!C250)),"RES-CAF",
IF(ISNUMBER(SEARCH("RESPALDO GRIS",INVENTARIO!C250)),"RES-GRI",
IF(ISNUMBER(SEARCH("OPTICO",INVENTARIO!C250)),"OPT",
IF(ISNUMBER(SEARCH("1,2 MM",INVENTARIO!C250)),"1MM2",
IF(ISNUMBER(SEARCH("2 MM",INVENTARIO!C250)),"2MM",
IF(ISNUMBER(SEARCH("3 MM",INVENTARIO!C250)),"3MM",
IF(ISNUMBER(SEARCH("4 MM",INVENTARIO!C250)),"4MM",
IF(ISNUMBER(SEARCH("5 MM",INVENTARIO!C250)),"5MM",
IF(ISNUMBER(SEARCH("6 MM",INVENTARIO!C250)),"6MM",
IF(ISNUMBER(SEARCH("9 MM",INVENTARIO!C250)),"9MM",
IF(ISNUMBER(SEARCH("10 MM",INVENTARIO!C250)),"10MM","")))))))))))))</f>
        <v/>
      </c>
      <c r="H250" t="str">
        <f>IF(ISNUMBER(SEARCH("GAMA BAJA",INVENTARIO!C250)),"GAM-BAJ",
IF(ISNUMBER(SEARCH("OPTIMIZADOR",INVENTARIO!C250)),"OPT",
IF(ISNUMBER(SEARCH("OVERCOAT",INVENTARIO!C250)),"OVE",
IF(ISNUMBER(SEARCH("WHITE",INVENTARIO!C250)),"WHI",
IF(ISNUMBER(SEARCH("LIGHT CYAN",INVENTARIO!C250)),"LIG-CYA",
IF(ISNUMBER(SEARCH("CYAN",INVENTARIO!C250)),"CYA",
IF(ISNUMBER(SEARCH("LIGHT MAGENTA",INVENTARIO!C250)),"LIG-MAG",
IF(ISNUMBER(SEARCH("MAGENTA",INVENTARIO!C250)),"MAG",
IF(ISNUMBER(SEARCH("BLACK",INVENTARIO!C250)),"BLA",
IF(ISNUMBER(SEARCH("YELLOW",INVENTARIO!C250)),"YEL",
IF(ISNUMBER(SEARCH("2 DIODOS",INVENTARIO!C250)),"2DI",
IF(ISNUMBER(SEARCH("3 DIODOS",INVENTARIO!C250)),"3DI",
IF(OR(ISNUMBER(SEARCH("TRASLUCIDO",INVENTARIO!C250)),ISNUMBER(SEARCH("TRANSLUCIDO",INVENTARIO!C250))),"TRA",
"")))))))))))))</f>
        <v/>
      </c>
      <c r="I25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51" spans="1:9">
      <c r="A251" t="str">
        <f>IF(ISNUMBER(SEARCH("LONA",INVENTARIO!C251)),"LON",
IF(ISNUMBER(SEARCH("VINIL",INVENTARIO!C251)),"VIN",
IF(ISNUMBER(SEARCH("KROMACOTE",INVENTARIO!C251)),"KRO",
IF(ISNUMBER(SEARCH("STARDREAM",INVENTARIO!C251)),"STA",
IF(ISNUMBER(SEARCH("DISPLAY",INVENTARIO!C251)),"DIS",
IF(ISNUMBER(SEARCH("ROLL UP",INVENTARIO!C251)),"ROL-UP",
IF(ISNUMBER(SEARCH("TRANSFER DE PAPEL",INVENTARIO!C251)),"TRA-PAP",
IF(ISNUMBER(SEARCH("TRANSFER",INVENTARIO!C251)),"TRA",IF(ISNUMBER(SEARCH("KOLA LOKA",INVENTARIO!C251)),"KOL-LOK",
IF(ISNUMBER(SEARCH("PETG",INVENTARIO!C251)),"PET",
IF(ISNUMBER(SEARCH("OJILLO",INVENTARIO!C251)),"OJI",
IF(ISNUMBER(SEARCH("COUCHE",INVENTARIO!C251)),"COU",
IF(ISNUMBER(SEARCH("PANEL DE ALUMINIO",INVENTARIO!C251)),"PAN-ALU",
IF(ISNUMBER(SEARCH("PVC",INVENTARIO!C251)),"PVC",
IF(ISNUMBER(SEARCH("PAPEL",INVENTARIO!C251)),"PAP",
IF(ISNUMBER(SEARCH("TELA",INVENTARIO!C251)),"TEL",
IF(ISNUMBER(SEARCH("CARTULINA",INVENTARIO!C251)),"CAR",
IF(OR(ISNUMBER(SEARCH("LAMINA",INVENTARIO!C251)),ISNUMBER(SEARCH("LÁMINA",INVENTARIO!C251)),ISNUMBER(SEARCH("LAMPARAS",INVENTARIO!C251))),"LAM",
IF(ISNUMBER(SEARCH("ESTIRENO",INVENTARIO!C251)),"EST",
IF(ISNUMBER(SEARCH("FOAMBOARD",INVENTARIO!C251)),"FOA",
IF(ISNUMBER(SEARCH("SOLVENTE",INVENTARIO!C251)),"SOL",
IF(ISNUMBER(SEARCH("TINTA",INVENTARIO!C251)),"TIN",
IF(ISNUMBER(SEARCH("ACRILICO",INVENTARIO!C251)),"ACR",
IF(ISNUMBER(SEARCH("MICROLED",INVENTARIO!C251)),"MIC",
IF(ISNUMBER(SEARCH("LED",INVENTARIO!C251)),"LED",
IF(ISNUMBER(SEARCH("FUENTE DE PODER",INVENTARIO!C251)),"FUE-POD",
IF(ISNUMBER(SEARCH("PETG",INVENTARIO!C251)),"PET",
IF(ISNUMBER(SEARCH("ALUMINIO",INVENTARIO!C251)),"ALU",
IF(ISNUMBER(SEARCH("CANAL",INVENTARIO!C251)),"CAN",
IF(ISNUMBER(SEARCH("ESCUADRA",INVENTARIO!C251)),"ESC",
IF(ISNUMBER(SEARCH("SOPORTE",INVENTARIO!C251)),"SOP","OTR")
))))))))))))))))))))))))))))))</f>
        <v>PAP</v>
      </c>
      <c r="B251" t="str">
        <f>IF(ISNUMBER(SEARCH("CORTE",INVENTARIO!C251)),"COR",
IF(ISNUMBER(SEARCH("CITYLIGHT",INVENTARIO!C251)),"CIT",
IF(ISNUMBER(SEARCH("LINO",INVENTARIO!C251)),"LIN",
IF(ISNUMBER(SEARCH("FABRIANO",INVENTARIO!C251)),"FAB",
IF(ISNUMBER(SEARCH("SUNDANCE",INVENTARIO!C251)),"SUN",
IF(ISNUMBER(SEARCH("SINTETICA",INVENTARIO!C251)),"SIN",
IF(ISNUMBER(SEARCH("CONTROL",INVENTARIO!C251)),"CON",
IF(ISNUMBER(SEARCH("TERMICO",INVENTARIO!C251)),"TER",
IF(ISNUMBER(SEARCH("C-15",INVENTARIO!C251)),"C15",
IF(ISNUMBER(SEARCH("C-20",INVENTARIO!C251)),"C20",
IF(ISNUMBER(SEARCH("C-30",INVENTARIO!C251)),"C30",
IF(ISNUMBER(SEARCH("C-40",INVENTARIO!C251)),"C40",
IF(ISNUMBER(SEARCH("C-60",INVENTARIO!C251)),"C60",
IF(ISNUMBER(SEARCH("C-80",INVENTARIO!C251)),"C80",
IF(ISNUMBER(SEARCH("EQUIPO",INVENTARIO!C251)),"EQU",
IF(ISNUMBER(SEARCH("FLOOR",INVENTARIO!C251)),"FLO",
IF(ISNUMBER(SEARCH("CRISTAL",INVENTARIO!C251)),"CRI",
IF(ISNUMBER(SEARCH(" SULFATADA",INVENTARIO!C262)),"SUL",
IF(ISNUMBER(SEARCH("OPALINA",INVENTARIO!C251)),"OPA",
IF(ISNUMBER(SEARCH("ADHERIBLE",INVENTARIO!C251)),"ADH",
IF(ISNUMBER(SEARCH("MICRO",INVENTARIO!C251)),"MIC","")))))))))))))))))))))</f>
        <v/>
      </c>
      <c r="C251" t="str">
        <f>IF(ISNUMBER(SEARCH("PARED",INVENTARIO!C251)),"PAR",
IF(ISNUMBER(SEARCH("FRONT",INVENTARIO!C251)),"FRO",
IF(ISNUMBER(SEARCH("ALTA RESISTENCIA",INVENTARIO!C251)),
"ALT-RES",IF(ISNUMBER(SEARCH("BACKLITE",INVENTARIO!C251)),"BAC",
IF(ISNUMBER(SEARCH("MATE",INVENTARIO!C251)),"MAT",
IF(ISNUMBER(SEARCH("MESH",INVENTARIO!C251)),"MES",
IF(ISNUMBER(SEARCH("BRILLANTE",INVENTARIO!C251)),"BRI",
IF(ISNUMBER(SEARCH("DELGADA",INVENTARIO!C251)),"DEL",
IF(ISNUMBER(SEARCH("GRUESA",INVENTARIO!C251)),"GRU",
IF(ISNUMBER(SEARCH("ESTATICO",INVENTARIO!C251)),"EST",
IF(ISNUMBER(SEARCH("REFLECTIVO",INVENTARIO!C251)),"REF",
IF(ISNUMBER(SEARCH("LX700",INVENTARIO!C251)),"LX7",
IF(ISNUMBER(SEARCH("GRANDO",INVENTARIO!C251)),"GRA",
IF(ISNUMBER(SEARCH("FB700",INVENTARIO!C251)),"FB7",
IF(ISNUMBER(SEARCH("LX360",INVENTARIO!C251)),"LX3",
IF(ISNUMBER(SEARCH("XEROX",INVENTARIO!C251)),"XER",
IF(ISNUMBER(SEARCH("CEPILLADO",INVENTARIO!C251)),"CEP",
IF(ISNUMBER(SEARCH("ESPEJO",INVENTARIO!C251)),"ESP",
IF(ISNUMBER(SEARCH("10 PTS",INVENTARIO!C251)),"10PT",
IF(ISNUMBER(SEARCH("12 PTS",INVENTARIO!C251)),"12PT",
IF(ISNUMBER(SEARCH("14 PTS",INVENTARIO!C251)),"14PT",
IF(ISNUMBER(SEARCH("CLASICO",INVENTARIO!C251)),"CLA",
""))))))))))))))))))))))</f>
        <v/>
      </c>
      <c r="D251" t="str">
        <f>IF(ISNUMBER(SEARCH("GRAN FORMATO",INVENTARIO!C251)),"GRA-FOR",
IF(ISNUMBER(SEARCH("CAMA PLANA",INVENTARIO!C251)),"CAM-PLA",
IF(ISNUMBER(SEARCH("GRADO INGENIERIA",INVENTARIO!C251)),"GRA-ING",
IF(ISNUMBER(SEARCH("130 GRS",INVENTARIO!C251)),"130GR",
IF(ISNUMBER(SEARCH("150 GRS",INVENTARIO!C251)),"150GR",
IF(ISNUMBER(SEARCH("185 GRS",INVENTARIO!C251)),"185GR",
IF(ISNUMBER(SEARCH("200 GRS",INVENTARIO!C251)),"200GR",
IF(ISNUMBER(SEARCH("250 GRS",INVENTARIO!C251)),"250GR",
IF(ISNUMBER(SEARCH("300 GRS",INVENTARIO!C251)),"300GR",
IF(ISNUMBER(SEARCH("350 GRS",INVENTARIO!C251)),"350GR",
IF(ISNUMBER(SEARCH("18 OZ",INVENTARIO!C251)),"18OZ",
IF(ISNUMBER(SEARCH("15 OZ",INVENTARIO!C251)),"15OZ",
IF(OR(ISNUMBER(SEARCH("13 OZ",INVENTARIO!C251)),ISNUMBER(SEARCH("13 ONZAS",INVENTARIO!C251))),"13OZ",
IF(OR(ISNUMBER(SEARCH("9 OZ",INVENTARIO!C251)),ISNUMBER(SEARCH("9 ONZAS",INVENTARIO!C251))),"09OZ",
IF(ISNUMBER(SEARCH("DOBLE CARA",INVENTARIO!C251)),"DOB-CAR",
"")))))))))))))))</f>
        <v/>
      </c>
      <c r="E251" t="str">
        <f>IF(OR(ISNUMBER(SEARCH("TRANSPARENTE",INVENTARIO!C251)),ISNUMBER(SEARCH("TRANSPARENTES",INVENTARIO!C251))),"TRA",
IF(OR(ISNUMBER(SEARCH("BLANCO",INVENTARIO!C251)),ISNUMBER(SEARCH("BCO",INVENTARIO!C251))),"BLA",
IF(ISNUMBER(SEARCH("FOTOGRAFICO",INVENTARIO!C251)),"FOT",
IF(ISNUMBER(SEARCH("MARFIL",INVENTARIO!C251)),"MAR",
IF(ISNUMBER(SEARCH("VERDE",INVENTARIO!C251)),"VER",
IF(ISNUMBER(SEARCH("MORADO",INVENTARIO!C251)),"MOR",
IF(ISNUMBER(SEARCH("PLATA",INVENTARIO!C251)),"PLA",
IF(ISNUMBER(SEARCH("ORO",INVENTARIO!C251)),"ORO",
IF(ISNUMBER(SEARCH("AMARILLO",INVENTARIO!C251)),"AMA",
IF(ISNUMBER(SEARCH("NARANJA",INVENTARIO!C251)),"NAR",
IF(ISNUMBER(SEARCH("NEGRO",INVENTARIO!C251)),"NEG",
IF(ISNUMBER(SEARCH("ROJO",INVENTARIO!C251)),"ROJ",
IF(ISNUMBER(SEARCH("AZUL",INVENTARIO!C251)),"AZU","")))))))))))))</f>
        <v/>
      </c>
      <c r="F251" t="str">
        <f>IF(ISNUMBER(SEARCH("ARLON",INVENTARIO!C251)),"ARL",
IF(ISNUMBER(SEARCH("SUNTHINKS",INVENTARIO!C251)),"SUN",
IF(ISNUMBER(SEARCH("FRIO",INVENTARIO!C251)),"FRI",
IF(ISNUMBER(SEARCH("CALIDO",INVENTARIO!C251)),"CAL",
IF(ISNUMBER(SEARCH("CEPILLADO",INVENTARIO!C251)),"CEP",
IF(ISNUMBER(SEARCH("ESPEJO",INVENTARIO!C251)),"ESP",
""))))))</f>
        <v/>
      </c>
      <c r="G251" t="str">
        <f>IF(ISNUMBER(SEARCH("LATEX",INVENTARIO!C251)),"LAT",
IF(ISNUMBER(SEARCH("RESP. NEGRO",INVENTARIO!C251)),"RES-NEG",
IF(ISNUMBER(SEARCH("RESPALDO CAFE",INVENTARIO!C251)),"RES-CAF",
IF(ISNUMBER(SEARCH("RESPALDO GRIS",INVENTARIO!C251)),"RES-GRI",
IF(ISNUMBER(SEARCH("OPTICO",INVENTARIO!C251)),"OPT",
IF(ISNUMBER(SEARCH("1,2 MM",INVENTARIO!C251)),"1MM2",
IF(ISNUMBER(SEARCH("2 MM",INVENTARIO!C251)),"2MM",
IF(ISNUMBER(SEARCH("3 MM",INVENTARIO!C251)),"3MM",
IF(ISNUMBER(SEARCH("4 MM",INVENTARIO!C251)),"4MM",
IF(ISNUMBER(SEARCH("5 MM",INVENTARIO!C251)),"5MM",
IF(ISNUMBER(SEARCH("6 MM",INVENTARIO!C251)),"6MM",
IF(ISNUMBER(SEARCH("9 MM",INVENTARIO!C251)),"9MM",
IF(ISNUMBER(SEARCH("10 MM",INVENTARIO!C251)),"10MM","")))))))))))))</f>
        <v/>
      </c>
      <c r="H251" t="str">
        <f>IF(ISNUMBER(SEARCH("GAMA BAJA",INVENTARIO!C251)),"GAM-BAJ",
IF(ISNUMBER(SEARCH("OPTIMIZADOR",INVENTARIO!C251)),"OPT",
IF(ISNUMBER(SEARCH("OVERCOAT",INVENTARIO!C251)),"OVE",
IF(ISNUMBER(SEARCH("WHITE",INVENTARIO!C251)),"WHI",
IF(ISNUMBER(SEARCH("LIGHT CYAN",INVENTARIO!C251)),"LIG-CYA",
IF(ISNUMBER(SEARCH("CYAN",INVENTARIO!C251)),"CYA",
IF(ISNUMBER(SEARCH("LIGHT MAGENTA",INVENTARIO!C251)),"LIG-MAG",
IF(ISNUMBER(SEARCH("MAGENTA",INVENTARIO!C251)),"MAG",
IF(ISNUMBER(SEARCH("BLACK",INVENTARIO!C251)),"BLA",
IF(ISNUMBER(SEARCH("YELLOW",INVENTARIO!C251)),"YEL",
IF(ISNUMBER(SEARCH("2 DIODOS",INVENTARIO!C251)),"2DI",
IF(ISNUMBER(SEARCH("3 DIODOS",INVENTARIO!C251)),"3DI",
IF(OR(ISNUMBER(SEARCH("TRASLUCIDO",INVENTARIO!C251)),ISNUMBER(SEARCH("TRANSLUCIDO",INVENTARIO!C251))),"TRA",
"")))))))))))))</f>
        <v/>
      </c>
      <c r="I25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52" spans="1:9">
      <c r="A252" t="str">
        <f>IF(ISNUMBER(SEARCH("LONA",INVENTARIO!C252)),"LON",
IF(ISNUMBER(SEARCH("VINIL",INVENTARIO!C252)),"VIN",
IF(ISNUMBER(SEARCH("KROMACOTE",INVENTARIO!C252)),"KRO",
IF(ISNUMBER(SEARCH("STARDREAM",INVENTARIO!C252)),"STA",
IF(ISNUMBER(SEARCH("DISPLAY",INVENTARIO!C252)),"DIS",
IF(ISNUMBER(SEARCH("ROLL UP",INVENTARIO!C252)),"ROL-UP",
IF(ISNUMBER(SEARCH("TRANSFER DE PAPEL",INVENTARIO!C252)),"TRA-PAP",
IF(ISNUMBER(SEARCH("TRANSFER",INVENTARIO!C252)),"TRA",IF(ISNUMBER(SEARCH("KOLA LOKA",INVENTARIO!C252)),"KOL-LOK",
IF(ISNUMBER(SEARCH("PETG",INVENTARIO!C252)),"PET",
IF(ISNUMBER(SEARCH("OJILLO",INVENTARIO!C252)),"OJI",
IF(ISNUMBER(SEARCH("COUCHE",INVENTARIO!C252)),"COU",
IF(ISNUMBER(SEARCH("PANEL DE ALUMINIO",INVENTARIO!C252)),"PAN-ALU",
IF(ISNUMBER(SEARCH("PVC",INVENTARIO!C252)),"PVC",
IF(ISNUMBER(SEARCH("PAPEL",INVENTARIO!C252)),"PAP",
IF(ISNUMBER(SEARCH("TELA",INVENTARIO!C252)),"TEL",
IF(ISNUMBER(SEARCH("CARTULINA",INVENTARIO!C252)),"CAR",
IF(OR(ISNUMBER(SEARCH("LAMINA",INVENTARIO!C252)),ISNUMBER(SEARCH("LÁMINA",INVENTARIO!C252)),ISNUMBER(SEARCH("LAMPARAS",INVENTARIO!C252))),"LAM",
IF(ISNUMBER(SEARCH("ESTIRENO",INVENTARIO!C252)),"EST",
IF(ISNUMBER(SEARCH("FOAMBOARD",INVENTARIO!C252)),"FOA",
IF(ISNUMBER(SEARCH("SOLVENTE",INVENTARIO!C252)),"SOL",
IF(ISNUMBER(SEARCH("TINTA",INVENTARIO!C252)),"TIN",
IF(ISNUMBER(SEARCH("ACRILICO",INVENTARIO!C252)),"ACR",
IF(ISNUMBER(SEARCH("MICROLED",INVENTARIO!C252)),"MIC",
IF(ISNUMBER(SEARCH("LED",INVENTARIO!C252)),"LED",
IF(ISNUMBER(SEARCH("FUENTE DE PODER",INVENTARIO!C252)),"FUE-POD",
IF(ISNUMBER(SEARCH("PETG",INVENTARIO!C252)),"PET",
IF(ISNUMBER(SEARCH("ALUMINIO",INVENTARIO!C252)),"ALU",
IF(ISNUMBER(SEARCH("CANAL",INVENTARIO!C252)),"CAN",
IF(ISNUMBER(SEARCH("ESCUADRA",INVENTARIO!C252)),"ESC",
IF(ISNUMBER(SEARCH("SOPORTE",INVENTARIO!C252)),"SOP","OTR")
))))))))))))))))))))))))))))))</f>
        <v>KOL-LOK</v>
      </c>
      <c r="B252" t="str">
        <f>IF(ISNUMBER(SEARCH("CORTE",INVENTARIO!C252)),"COR",
IF(ISNUMBER(SEARCH("CITYLIGHT",INVENTARIO!C252)),"CIT",
IF(ISNUMBER(SEARCH("LINO",INVENTARIO!C252)),"LIN",
IF(ISNUMBER(SEARCH("FABRIANO",INVENTARIO!C252)),"FAB",
IF(ISNUMBER(SEARCH("SUNDANCE",INVENTARIO!C252)),"SUN",
IF(ISNUMBER(SEARCH("SINTETICA",INVENTARIO!C252)),"SIN",
IF(ISNUMBER(SEARCH("CONTROL",INVENTARIO!C252)),"CON",
IF(ISNUMBER(SEARCH("TERMICO",INVENTARIO!C252)),"TER",
IF(ISNUMBER(SEARCH("C-15",INVENTARIO!C252)),"C15",
IF(ISNUMBER(SEARCH("C-20",INVENTARIO!C252)),"C20",
IF(ISNUMBER(SEARCH("C-30",INVENTARIO!C252)),"C30",
IF(ISNUMBER(SEARCH("C-40",INVENTARIO!C252)),"C40",
IF(ISNUMBER(SEARCH("C-60",INVENTARIO!C252)),"C60",
IF(ISNUMBER(SEARCH("C-80",INVENTARIO!C252)),"C80",
IF(ISNUMBER(SEARCH("EQUIPO",INVENTARIO!C252)),"EQU",
IF(ISNUMBER(SEARCH("FLOOR",INVENTARIO!C252)),"FLO",
IF(ISNUMBER(SEARCH("CRISTAL",INVENTARIO!C252)),"CRI",
IF(ISNUMBER(SEARCH(" SULFATADA",INVENTARIO!C263)),"SUL",
IF(ISNUMBER(SEARCH("OPALINA",INVENTARIO!C252)),"OPA",
IF(ISNUMBER(SEARCH("ADHERIBLE",INVENTARIO!C252)),"ADH",
IF(ISNUMBER(SEARCH("MICRO",INVENTARIO!C252)),"MIC","")))))))))))))))))))))</f>
        <v/>
      </c>
      <c r="C252" t="str">
        <f>IF(ISNUMBER(SEARCH("PARED",INVENTARIO!C252)),"PAR",
IF(ISNUMBER(SEARCH("FRONT",INVENTARIO!C252)),"FRO",
IF(ISNUMBER(SEARCH("ALTA RESISTENCIA",INVENTARIO!C252)),
"ALT-RES",IF(ISNUMBER(SEARCH("BACKLITE",INVENTARIO!C252)),"BAC",
IF(ISNUMBER(SEARCH("MATE",INVENTARIO!C252)),"MAT",
IF(ISNUMBER(SEARCH("MESH",INVENTARIO!C252)),"MES",
IF(ISNUMBER(SEARCH("BRILLANTE",INVENTARIO!C252)),"BRI",
IF(ISNUMBER(SEARCH("DELGADA",INVENTARIO!C252)),"DEL",
IF(ISNUMBER(SEARCH("GRUESA",INVENTARIO!C252)),"GRU",
IF(ISNUMBER(SEARCH("ESTATICO",INVENTARIO!C252)),"EST",
IF(ISNUMBER(SEARCH("REFLECTIVO",INVENTARIO!C252)),"REF",
IF(ISNUMBER(SEARCH("LX700",INVENTARIO!C252)),"LX7",
IF(ISNUMBER(SEARCH("GRANDO",INVENTARIO!C252)),"GRA",
IF(ISNUMBER(SEARCH("FB700",INVENTARIO!C252)),"FB7",
IF(ISNUMBER(SEARCH("LX360",INVENTARIO!C252)),"LX3",
IF(ISNUMBER(SEARCH("XEROX",INVENTARIO!C252)),"XER",
IF(ISNUMBER(SEARCH("CEPILLADO",INVENTARIO!C252)),"CEP",
IF(ISNUMBER(SEARCH("ESPEJO",INVENTARIO!C252)),"ESP",
IF(ISNUMBER(SEARCH("10 PTS",INVENTARIO!C252)),"10PT",
IF(ISNUMBER(SEARCH("12 PTS",INVENTARIO!C252)),"12PT",
IF(ISNUMBER(SEARCH("14 PTS",INVENTARIO!C252)),"14PT",
IF(ISNUMBER(SEARCH("CLASICO",INVENTARIO!C252)),"CLA",
""))))))))))))))))))))))</f>
        <v/>
      </c>
      <c r="D252" t="str">
        <f>IF(ISNUMBER(SEARCH("GRAN FORMATO",INVENTARIO!C252)),"GRA-FOR",
IF(ISNUMBER(SEARCH("CAMA PLANA",INVENTARIO!C252)),"CAM-PLA",
IF(ISNUMBER(SEARCH("GRADO INGENIERIA",INVENTARIO!C252)),"GRA-ING",
IF(ISNUMBER(SEARCH("130 GRS",INVENTARIO!C252)),"130GR",
IF(ISNUMBER(SEARCH("150 GRS",INVENTARIO!C252)),"150GR",
IF(ISNUMBER(SEARCH("185 GRS",INVENTARIO!C252)),"185GR",
IF(ISNUMBER(SEARCH("200 GRS",INVENTARIO!C252)),"200GR",
IF(ISNUMBER(SEARCH("250 GRS",INVENTARIO!C252)),"250GR",
IF(ISNUMBER(SEARCH("300 GRS",INVENTARIO!C252)),"300GR",
IF(ISNUMBER(SEARCH("350 GRS",INVENTARIO!C252)),"350GR",
IF(ISNUMBER(SEARCH("18 OZ",INVENTARIO!C252)),"18OZ",
IF(ISNUMBER(SEARCH("15 OZ",INVENTARIO!C252)),"15OZ",
IF(OR(ISNUMBER(SEARCH("13 OZ",INVENTARIO!C252)),ISNUMBER(SEARCH("13 ONZAS",INVENTARIO!C252))),"13OZ",
IF(OR(ISNUMBER(SEARCH("9 OZ",INVENTARIO!C252)),ISNUMBER(SEARCH("9 ONZAS",INVENTARIO!C252))),"09OZ",
IF(ISNUMBER(SEARCH("DOBLE CARA",INVENTARIO!C252)),"DOB-CAR",
"")))))))))))))))</f>
        <v/>
      </c>
      <c r="E252" t="str">
        <f>IF(OR(ISNUMBER(SEARCH("TRANSPARENTE",INVENTARIO!C252)),ISNUMBER(SEARCH("TRANSPARENTES",INVENTARIO!C252))),"TRA",
IF(OR(ISNUMBER(SEARCH("BLANCO",INVENTARIO!C252)),ISNUMBER(SEARCH("BCO",INVENTARIO!C252))),"BLA",
IF(ISNUMBER(SEARCH("FOTOGRAFICO",INVENTARIO!C252)),"FOT",
IF(ISNUMBER(SEARCH("MARFIL",INVENTARIO!C252)),"MAR",
IF(ISNUMBER(SEARCH("VERDE",INVENTARIO!C252)),"VER",
IF(ISNUMBER(SEARCH("MORADO",INVENTARIO!C252)),"MOR",
IF(ISNUMBER(SEARCH("PLATA",INVENTARIO!C252)),"PLA",
IF(ISNUMBER(SEARCH("ORO",INVENTARIO!C252)),"ORO",
IF(ISNUMBER(SEARCH("AMARILLO",INVENTARIO!C252)),"AMA",
IF(ISNUMBER(SEARCH("NARANJA",INVENTARIO!C252)),"NAR",
IF(ISNUMBER(SEARCH("NEGRO",INVENTARIO!C252)),"NEG",
IF(ISNUMBER(SEARCH("ROJO",INVENTARIO!C252)),"ROJ",
IF(ISNUMBER(SEARCH("AZUL",INVENTARIO!C252)),"AZU","")))))))))))))</f>
        <v/>
      </c>
      <c r="F252" t="str">
        <f>IF(ISNUMBER(SEARCH("ARLON",INVENTARIO!C252)),"ARL",
IF(ISNUMBER(SEARCH("SUNTHINKS",INVENTARIO!C252)),"SUN",
IF(ISNUMBER(SEARCH("FRIO",INVENTARIO!C252)),"FRI",
IF(ISNUMBER(SEARCH("CALIDO",INVENTARIO!C252)),"CAL",
IF(ISNUMBER(SEARCH("CEPILLADO",INVENTARIO!C252)),"CEP",
IF(ISNUMBER(SEARCH("ESPEJO",INVENTARIO!C252)),"ESP",
""))))))</f>
        <v/>
      </c>
      <c r="G252" t="str">
        <f>IF(ISNUMBER(SEARCH("LATEX",INVENTARIO!C252)),"LAT",
IF(ISNUMBER(SEARCH("RESP. NEGRO",INVENTARIO!C252)),"RES-NEG",
IF(ISNUMBER(SEARCH("RESPALDO CAFE",INVENTARIO!C252)),"RES-CAF",
IF(ISNUMBER(SEARCH("RESPALDO GRIS",INVENTARIO!C252)),"RES-GRI",
IF(ISNUMBER(SEARCH("OPTICO",INVENTARIO!C252)),"OPT",
IF(ISNUMBER(SEARCH("1,2 MM",INVENTARIO!C252)),"1MM2",
IF(ISNUMBER(SEARCH("2 MM",INVENTARIO!C252)),"2MM",
IF(ISNUMBER(SEARCH("3 MM",INVENTARIO!C252)),"3MM",
IF(ISNUMBER(SEARCH("4 MM",INVENTARIO!C252)),"4MM",
IF(ISNUMBER(SEARCH("5 MM",INVENTARIO!C252)),"5MM",
IF(ISNUMBER(SEARCH("6 MM",INVENTARIO!C252)),"6MM",
IF(ISNUMBER(SEARCH("9 MM",INVENTARIO!C252)),"9MM",
IF(ISNUMBER(SEARCH("10 MM",INVENTARIO!C252)),"10MM","")))))))))))))</f>
        <v/>
      </c>
      <c r="H252" t="str">
        <f>IF(ISNUMBER(SEARCH("GAMA BAJA",INVENTARIO!C252)),"GAM-BAJ",
IF(ISNUMBER(SEARCH("OPTIMIZADOR",INVENTARIO!C252)),"OPT",
IF(ISNUMBER(SEARCH("OVERCOAT",INVENTARIO!C252)),"OVE",
IF(ISNUMBER(SEARCH("WHITE",INVENTARIO!C252)),"WHI",
IF(ISNUMBER(SEARCH("LIGHT CYAN",INVENTARIO!C252)),"LIG-CYA",
IF(ISNUMBER(SEARCH("CYAN",INVENTARIO!C252)),"CYA",
IF(ISNUMBER(SEARCH("LIGHT MAGENTA",INVENTARIO!C252)),"LIG-MAG",
IF(ISNUMBER(SEARCH("MAGENTA",INVENTARIO!C252)),"MAG",
IF(ISNUMBER(SEARCH("BLACK",INVENTARIO!C252)),"BLA",
IF(ISNUMBER(SEARCH("YELLOW",INVENTARIO!C252)),"YEL",
IF(ISNUMBER(SEARCH("2 DIODOS",INVENTARIO!C252)),"2DI",
IF(ISNUMBER(SEARCH("3 DIODOS",INVENTARIO!C252)),"3DI",
IF(OR(ISNUMBER(SEARCH("TRASLUCIDO",INVENTARIO!C252)),ISNUMBER(SEARCH("TRANSLUCIDO",INVENTARIO!C252))),"TRA",
"")))))))))))))</f>
        <v/>
      </c>
      <c r="I252" t="str">
        <f>IF(ISNUMBER(SEARCH("SILED",INVENTARIO!C241)),"SI",
IF(ISNUMBER(SEARCH("SYDEMEX",INVENTARIO!C241)),"SY",
IF(ISNUMBER(SEARCH("ROHS",INVENTARIO!C241)),"RO",
IF(ISNUMBER(SEARCH("RISHANG",INVENTARIO!C241)),"RS",
IF(ISNUMBER(SEARCH("VYG",INVENTARIO!C241)),"VYG",
IF(ISNUMBER(SEARCH("COLED",INVENTARIO!C241)),"CO",""))))))</f>
        <v/>
      </c>
    </row>
    <row r="253" spans="1:9">
      <c r="A253" t="str">
        <f>IF(ISNUMBER(SEARCH("LONA",INVENTARIO!C253)),"LON",
IF(ISNUMBER(SEARCH("VINIL",INVENTARIO!C253)),"VIN",
IF(ISNUMBER(SEARCH("KROMACOTE",INVENTARIO!C253)),"KRO",
IF(ISNUMBER(SEARCH("STARDREAM",INVENTARIO!C253)),"STA",
IF(ISNUMBER(SEARCH("DISPLAY",INVENTARIO!C253)),"DIS",
IF(ISNUMBER(SEARCH("ROLL UP",INVENTARIO!C253)),"ROL-UP",
IF(ISNUMBER(SEARCH("TRANSFER DE PAPEL",INVENTARIO!C253)),"TRA-PAP",
IF(ISNUMBER(SEARCH("TRANSFER",INVENTARIO!C253)),"TRA",IF(ISNUMBER(SEARCH("KOLA LOKA",INVENTARIO!C253)),"KOL-LOK",
IF(ISNUMBER(SEARCH("PETG",INVENTARIO!C253)),"PET",
IF(ISNUMBER(SEARCH("OJILLO",INVENTARIO!C253)),"OJI",
IF(ISNUMBER(SEARCH("COUCHE",INVENTARIO!C253)),"COU",
IF(ISNUMBER(SEARCH("PANEL DE ALUMINIO",INVENTARIO!C253)),"PAN-ALU",
IF(ISNUMBER(SEARCH("PVC",INVENTARIO!C253)),"PVC",
IF(ISNUMBER(SEARCH("PAPEL",INVENTARIO!C253)),"PAP",
IF(ISNUMBER(SEARCH("TELA",INVENTARIO!C253)),"TEL",
IF(ISNUMBER(SEARCH("CARTULINA",INVENTARIO!C253)),"CAR",
IF(OR(ISNUMBER(SEARCH("LAMINA",INVENTARIO!C253)),ISNUMBER(SEARCH("LÁMINA",INVENTARIO!C253)),ISNUMBER(SEARCH("LAMPARAS",INVENTARIO!C253))),"LAM",
IF(ISNUMBER(SEARCH("ESTIRENO",INVENTARIO!C253)),"EST",
IF(ISNUMBER(SEARCH("FOAMBOARD",INVENTARIO!C253)),"FOA",
IF(ISNUMBER(SEARCH("SOLVENTE",INVENTARIO!C253)),"SOL",
IF(ISNUMBER(SEARCH("TINTA",INVENTARIO!C253)),"TIN",
IF(ISNUMBER(SEARCH("ACRILICO",INVENTARIO!C253)),"ACR",
IF(ISNUMBER(SEARCH("MICROLED",INVENTARIO!C253)),"MIC",
IF(ISNUMBER(SEARCH("LED",INVENTARIO!C253)),"LED",
IF(ISNUMBER(SEARCH("FUENTE DE PODER",INVENTARIO!C253)),"FUE-POD",
IF(ISNUMBER(SEARCH("PETG",INVENTARIO!C253)),"PET",
IF(ISNUMBER(SEARCH("ALUMINIO",INVENTARIO!C253)),"ALU",
IF(ISNUMBER(SEARCH("CANAL",INVENTARIO!C253)),"CAN",
IF(ISNUMBER(SEARCH("ESCUADRA",INVENTARIO!C253)),"ESC",
IF(ISNUMBER(SEARCH("SOPORTE",INVENTARIO!C253)),"SOP","OTR")
))))))))))))))))))))))))))))))</f>
        <v>KOL-LOK</v>
      </c>
      <c r="B253" t="str">
        <f>IF(ISNUMBER(SEARCH("CORTE",INVENTARIO!C253)),"COR",
IF(ISNUMBER(SEARCH("CITYLIGHT",INVENTARIO!C253)),"CIT",
IF(ISNUMBER(SEARCH("LINO",INVENTARIO!C253)),"LIN",
IF(ISNUMBER(SEARCH("FABRIANO",INVENTARIO!C253)),"FAB",
IF(ISNUMBER(SEARCH("SUNDANCE",INVENTARIO!C253)),"SUN",
IF(ISNUMBER(SEARCH("SINTETICA",INVENTARIO!C253)),"SIN",
IF(ISNUMBER(SEARCH("CONTROL",INVENTARIO!C253)),"CON",
IF(ISNUMBER(SEARCH("TERMICO",INVENTARIO!C253)),"TER",
IF(ISNUMBER(SEARCH("C-15",INVENTARIO!C253)),"C15",
IF(ISNUMBER(SEARCH("C-20",INVENTARIO!C253)),"C20",
IF(ISNUMBER(SEARCH("C-30",INVENTARIO!C253)),"C30",
IF(ISNUMBER(SEARCH("C-40",INVENTARIO!C253)),"C40",
IF(ISNUMBER(SEARCH("C-60",INVENTARIO!C253)),"C60",
IF(ISNUMBER(SEARCH("C-80",INVENTARIO!C253)),"C80",
IF(ISNUMBER(SEARCH("EQUIPO",INVENTARIO!C253)),"EQU",
IF(ISNUMBER(SEARCH("FLOOR",INVENTARIO!C253)),"FLO",
IF(ISNUMBER(SEARCH("CRISTAL",INVENTARIO!C253)),"CRI",
IF(ISNUMBER(SEARCH(" SULFATADA",INVENTARIO!C264)),"SUL",
IF(ISNUMBER(SEARCH("OPALINA",INVENTARIO!C253)),"OPA",
IF(ISNUMBER(SEARCH("ADHERIBLE",INVENTARIO!C253)),"ADH",
IF(ISNUMBER(SEARCH("MICRO",INVENTARIO!C253)),"MIC","")))))))))))))))))))))</f>
        <v/>
      </c>
      <c r="C253" t="str">
        <f>IF(ISNUMBER(SEARCH("PARED",INVENTARIO!C253)),"PAR",
IF(ISNUMBER(SEARCH("FRONT",INVENTARIO!C253)),"FRO",
IF(ISNUMBER(SEARCH("ALTA RESISTENCIA",INVENTARIO!C253)),
"ALT-RES",IF(ISNUMBER(SEARCH("BACKLITE",INVENTARIO!C253)),"BAC",
IF(ISNUMBER(SEARCH("MATE",INVENTARIO!C253)),"MAT",
IF(ISNUMBER(SEARCH("MESH",INVENTARIO!C253)),"MES",
IF(ISNUMBER(SEARCH("BRILLANTE",INVENTARIO!C253)),"BRI",
IF(ISNUMBER(SEARCH("DELGADA",INVENTARIO!C253)),"DEL",
IF(ISNUMBER(SEARCH("GRUESA",INVENTARIO!C253)),"GRU",
IF(ISNUMBER(SEARCH("ESTATICO",INVENTARIO!C253)),"EST",
IF(ISNUMBER(SEARCH("REFLECTIVO",INVENTARIO!C253)),"REF",
IF(ISNUMBER(SEARCH("LX700",INVENTARIO!C253)),"LX7",
IF(ISNUMBER(SEARCH("GRANDO",INVENTARIO!C253)),"GRA",
IF(ISNUMBER(SEARCH("FB700",INVENTARIO!C253)),"FB7",
IF(ISNUMBER(SEARCH("LX360",INVENTARIO!C253)),"LX3",
IF(ISNUMBER(SEARCH("XEROX",INVENTARIO!C253)),"XER",
IF(ISNUMBER(SEARCH("CEPILLADO",INVENTARIO!C253)),"CEP",
IF(ISNUMBER(SEARCH("ESPEJO",INVENTARIO!C253)),"ESP",
IF(ISNUMBER(SEARCH("10 PTS",INVENTARIO!C253)),"10PT",
IF(ISNUMBER(SEARCH("12 PTS",INVENTARIO!C253)),"12PT",
IF(ISNUMBER(SEARCH("14 PTS",INVENTARIO!C253)),"14PT",
IF(ISNUMBER(SEARCH("CLASICO",INVENTARIO!C253)),"CLA",
""))))))))))))))))))))))</f>
        <v/>
      </c>
      <c r="D253" t="str">
        <f>IF(ISNUMBER(SEARCH("GRAN FORMATO",INVENTARIO!C253)),"GRA-FOR",
IF(ISNUMBER(SEARCH("CAMA PLANA",INVENTARIO!C253)),"CAM-PLA",
IF(ISNUMBER(SEARCH("GRADO INGENIERIA",INVENTARIO!C253)),"GRA-ING",
IF(ISNUMBER(SEARCH("130 GRS",INVENTARIO!C253)),"130GR",
IF(ISNUMBER(SEARCH("150 GRS",INVENTARIO!C253)),"150GR",
IF(ISNUMBER(SEARCH("185 GRS",INVENTARIO!C253)),"185GR",
IF(ISNUMBER(SEARCH("200 GRS",INVENTARIO!C253)),"200GR",
IF(ISNUMBER(SEARCH("250 GRS",INVENTARIO!C253)),"250GR",
IF(ISNUMBER(SEARCH("300 GRS",INVENTARIO!C253)),"300GR",
IF(ISNUMBER(SEARCH("350 GRS",INVENTARIO!C253)),"350GR",
IF(ISNUMBER(SEARCH("18 OZ",INVENTARIO!C253)),"18OZ",
IF(ISNUMBER(SEARCH("15 OZ",INVENTARIO!C253)),"15OZ",
IF(OR(ISNUMBER(SEARCH("13 OZ",INVENTARIO!C253)),ISNUMBER(SEARCH("13 ONZAS",INVENTARIO!C253))),"13OZ",
IF(OR(ISNUMBER(SEARCH("9 OZ",INVENTARIO!C253)),ISNUMBER(SEARCH("9 ONZAS",INVENTARIO!C253))),"09OZ",
IF(ISNUMBER(SEARCH("DOBLE CARA",INVENTARIO!C253)),"DOB-CAR",
"")))))))))))))))</f>
        <v/>
      </c>
      <c r="E253" t="str">
        <f>IF(OR(ISNUMBER(SEARCH("TRANSPARENTE",INVENTARIO!C253)),ISNUMBER(SEARCH("TRANSPARENTES",INVENTARIO!C253))),"TRA",
IF(OR(ISNUMBER(SEARCH("BLANCO",INVENTARIO!C253)),ISNUMBER(SEARCH("BCO",INVENTARIO!C253))),"BLA",
IF(ISNUMBER(SEARCH("FOTOGRAFICO",INVENTARIO!C253)),"FOT",
IF(ISNUMBER(SEARCH("MARFIL",INVENTARIO!C253)),"MAR",
IF(ISNUMBER(SEARCH("VERDE",INVENTARIO!C253)),"VER",
IF(ISNUMBER(SEARCH("MORADO",INVENTARIO!C253)),"MOR",
IF(ISNUMBER(SEARCH("PLATA",INVENTARIO!C253)),"PLA",
IF(ISNUMBER(SEARCH("ORO",INVENTARIO!C253)),"ORO",
IF(ISNUMBER(SEARCH("AMARILLO",INVENTARIO!C253)),"AMA",
IF(ISNUMBER(SEARCH("NARANJA",INVENTARIO!C253)),"NAR",
IF(ISNUMBER(SEARCH("NEGRO",INVENTARIO!C253)),"NEG",
IF(ISNUMBER(SEARCH("ROJO",INVENTARIO!C253)),"ROJ",
IF(ISNUMBER(SEARCH("AZUL",INVENTARIO!C253)),"AZU","")))))))))))))</f>
        <v/>
      </c>
      <c r="F253" t="str">
        <f>IF(ISNUMBER(SEARCH("ARLON",INVENTARIO!C253)),"ARL",
IF(ISNUMBER(SEARCH("SUNTHINKS",INVENTARIO!C253)),"SUN",
IF(ISNUMBER(SEARCH("FRIO",INVENTARIO!C253)),"FRI",
IF(ISNUMBER(SEARCH("CALIDO",INVENTARIO!C253)),"CAL",
IF(ISNUMBER(SEARCH("CEPILLADO",INVENTARIO!C253)),"CEP",
IF(ISNUMBER(SEARCH("ESPEJO",INVENTARIO!C253)),"ESP",
""))))))</f>
        <v/>
      </c>
      <c r="G253" t="str">
        <f>IF(ISNUMBER(SEARCH("LATEX",INVENTARIO!C253)),"LAT",
IF(ISNUMBER(SEARCH("RESP. NEGRO",INVENTARIO!C253)),"RES-NEG",
IF(ISNUMBER(SEARCH("RESPALDO CAFE",INVENTARIO!C253)),"RES-CAF",
IF(ISNUMBER(SEARCH("RESPALDO GRIS",INVENTARIO!C253)),"RES-GRI",
IF(ISNUMBER(SEARCH("OPTICO",INVENTARIO!C253)),"OPT",
IF(ISNUMBER(SEARCH("1,2 MM",INVENTARIO!C253)),"1MM2",
IF(ISNUMBER(SEARCH("2 MM",INVENTARIO!C253)),"2MM",
IF(ISNUMBER(SEARCH("3 MM",INVENTARIO!C253)),"3MM",
IF(ISNUMBER(SEARCH("4 MM",INVENTARIO!C253)),"4MM",
IF(ISNUMBER(SEARCH("5 MM",INVENTARIO!C253)),"5MM",
IF(ISNUMBER(SEARCH("6 MM",INVENTARIO!C253)),"6MM",
IF(ISNUMBER(SEARCH("9 MM",INVENTARIO!C253)),"9MM",
IF(ISNUMBER(SEARCH("10 MM",INVENTARIO!C253)),"10MM","")))))))))))))</f>
        <v/>
      </c>
      <c r="H253" t="str">
        <f>IF(ISNUMBER(SEARCH("GAMA BAJA",INVENTARIO!C253)),"GAM-BAJ",
IF(ISNUMBER(SEARCH("OPTIMIZADOR",INVENTARIO!C253)),"OPT",
IF(ISNUMBER(SEARCH("OVERCOAT",INVENTARIO!C253)),"OVE",
IF(ISNUMBER(SEARCH("WHITE",INVENTARIO!C253)),"WHI",
IF(ISNUMBER(SEARCH("LIGHT CYAN",INVENTARIO!C253)),"LIG-CYA",
IF(ISNUMBER(SEARCH("CYAN",INVENTARIO!C253)),"CYA",
IF(ISNUMBER(SEARCH("LIGHT MAGENTA",INVENTARIO!C253)),"LIG-MAG",
IF(ISNUMBER(SEARCH("MAGENTA",INVENTARIO!C253)),"MAG",
IF(ISNUMBER(SEARCH("BLACK",INVENTARIO!C253)),"BLA",
IF(ISNUMBER(SEARCH("YELLOW",INVENTARIO!C253)),"YEL",
IF(ISNUMBER(SEARCH("2 DIODOS",INVENTARIO!C253)),"2DI",
IF(ISNUMBER(SEARCH("3 DIODOS",INVENTARIO!C253)),"3DI",
IF(OR(ISNUMBER(SEARCH("TRASLUCIDO",INVENTARIO!C253)),ISNUMBER(SEARCH("TRANSLUCIDO",INVENTARIO!C253))),"TRA",
"")))))))))))))</f>
        <v/>
      </c>
      <c r="I253" t="str">
        <f>IF(ISNUMBER(SEARCH("SILED",INVENTARIO!C242)),"SI",
IF(ISNUMBER(SEARCH("SYDEMEX",INVENTARIO!C242)),"SY",
IF(ISNUMBER(SEARCH("ROHS",INVENTARIO!C242)),"RO",
IF(ISNUMBER(SEARCH("RISHANG",INVENTARIO!C242)),"RS",
IF(ISNUMBER(SEARCH("VYG",INVENTARIO!C242)),"VYG",
IF(ISNUMBER(SEARCH("COLED",INVENTARIO!C242)),"CO",""))))))</f>
        <v/>
      </c>
    </row>
    <row r="254" spans="1:9">
      <c r="A254" t="str">
        <f>IF(ISNUMBER(SEARCH("LONA",INVENTARIO!C254)),"LON",
IF(ISNUMBER(SEARCH("VINIL",INVENTARIO!C254)),"VIN",
IF(ISNUMBER(SEARCH("KROMACOTE",INVENTARIO!C254)),"KRO",
IF(ISNUMBER(SEARCH("STARDREAM",INVENTARIO!C254)),"STA",
IF(ISNUMBER(SEARCH("DISPLAY",INVENTARIO!C254)),"DIS",
IF(ISNUMBER(SEARCH("ROLL UP",INVENTARIO!C254)),"ROL-UP",
IF(ISNUMBER(SEARCH("TRANSFER DE PAPEL",INVENTARIO!C254)),"TRA-PAP",
IF(ISNUMBER(SEARCH("TRANSFER",INVENTARIO!C254)),"TRA",IF(ISNUMBER(SEARCH("KOLA LOKA",INVENTARIO!C254)),"KOL-LOK",
IF(ISNUMBER(SEARCH("PETG",INVENTARIO!C254)),"PET",
IF(ISNUMBER(SEARCH("OJILLO",INVENTARIO!C254)),"OJI",
IF(ISNUMBER(SEARCH("COUCHE",INVENTARIO!C254)),"COU",
IF(ISNUMBER(SEARCH("PANEL DE ALUMINIO",INVENTARIO!C254)),"PAN-ALU",
IF(ISNUMBER(SEARCH("PVC",INVENTARIO!C254)),"PVC",
IF(ISNUMBER(SEARCH("PAPEL",INVENTARIO!C254)),"PAP",
IF(ISNUMBER(SEARCH("TELA",INVENTARIO!C254)),"TEL",
IF(ISNUMBER(SEARCH("CARTULINA",INVENTARIO!C254)),"CAR",
IF(OR(ISNUMBER(SEARCH("LAMINA",INVENTARIO!C254)),ISNUMBER(SEARCH("LÁMINA",INVENTARIO!C254)),ISNUMBER(SEARCH("LAMPARAS",INVENTARIO!C254))),"LAM",
IF(ISNUMBER(SEARCH("ESTIRENO",INVENTARIO!C254)),"EST",
IF(ISNUMBER(SEARCH("FOAMBOARD",INVENTARIO!C254)),"FOA",
IF(ISNUMBER(SEARCH("SOLVENTE",INVENTARIO!C254)),"SOL",
IF(ISNUMBER(SEARCH("TINTA",INVENTARIO!C254)),"TIN",
IF(ISNUMBER(SEARCH("ACRILICO",INVENTARIO!C254)),"ACR",
IF(ISNUMBER(SEARCH("MICROLED",INVENTARIO!C254)),"MIC",
IF(ISNUMBER(SEARCH("LED",INVENTARIO!C254)),"LED",
IF(ISNUMBER(SEARCH("FUENTE DE PODER",INVENTARIO!C254)),"FUE-POD",
IF(ISNUMBER(SEARCH("PETG",INVENTARIO!C254)),"PET",
IF(ISNUMBER(SEARCH("ALUMINIO",INVENTARIO!C254)),"ALU",
IF(ISNUMBER(SEARCH("CANAL",INVENTARIO!C254)),"CAN",
IF(ISNUMBER(SEARCH("ESCUADRA",INVENTARIO!C254)),"ESC",
IF(ISNUMBER(SEARCH("SOPORTE",INVENTARIO!C254)),"SOP","OTR")
))))))))))))))))))))))))))))))</f>
        <v>LON</v>
      </c>
      <c r="B254" t="str">
        <f>IF(ISNUMBER(SEARCH("CORTE",INVENTARIO!C254)),"COR",
IF(ISNUMBER(SEARCH("CITYLIGHT",INVENTARIO!C254)),"CIT",
IF(ISNUMBER(SEARCH("LINO",INVENTARIO!C254)),"LIN",
IF(ISNUMBER(SEARCH("FABRIANO",INVENTARIO!C254)),"FAB",
IF(ISNUMBER(SEARCH("SUNDANCE",INVENTARIO!C254)),"SUN",
IF(ISNUMBER(SEARCH("SINTETICA",INVENTARIO!C254)),"SIN",
IF(ISNUMBER(SEARCH("CONTROL",INVENTARIO!C254)),"CON",
IF(ISNUMBER(SEARCH("TERMICO",INVENTARIO!C254)),"TER",
IF(ISNUMBER(SEARCH("C-15",INVENTARIO!C254)),"C15",
IF(ISNUMBER(SEARCH("C-20",INVENTARIO!C254)),"C20",
IF(ISNUMBER(SEARCH("C-30",INVENTARIO!C254)),"C30",
IF(ISNUMBER(SEARCH("C-40",INVENTARIO!C254)),"C40",
IF(ISNUMBER(SEARCH("C-60",INVENTARIO!C254)),"C60",
IF(ISNUMBER(SEARCH("C-80",INVENTARIO!C254)),"C80",
IF(ISNUMBER(SEARCH("EQUIPO",INVENTARIO!C254)),"EQU",
IF(ISNUMBER(SEARCH("FLOOR",INVENTARIO!C254)),"FLO",
IF(ISNUMBER(SEARCH("CRISTAL",INVENTARIO!C254)),"CRI",
IF(ISNUMBER(SEARCH(" SULFATADA",INVENTARIO!C265)),"SUL",
IF(ISNUMBER(SEARCH("OPALINA",INVENTARIO!C254)),"OPA",
IF(ISNUMBER(SEARCH("ADHERIBLE",INVENTARIO!C254)),"ADH",
IF(ISNUMBER(SEARCH("MICRO",INVENTARIO!C254)),"MIC","")))))))))))))))))))))</f>
        <v/>
      </c>
      <c r="C254" t="str">
        <f>IF(ISNUMBER(SEARCH("PARED",INVENTARIO!C254)),"PAR",
IF(ISNUMBER(SEARCH("FRONT",INVENTARIO!C254)),"FRO",
IF(ISNUMBER(SEARCH("ALTA RESISTENCIA",INVENTARIO!C254)),
"ALT-RES",IF(ISNUMBER(SEARCH("BACKLITE",INVENTARIO!C254)),"BAC",
IF(ISNUMBER(SEARCH("MATE",INVENTARIO!C254)),"MAT",
IF(ISNUMBER(SEARCH("MESH",INVENTARIO!C254)),"MES",
IF(ISNUMBER(SEARCH("BRILLANTE",INVENTARIO!C254)),"BRI",
IF(ISNUMBER(SEARCH("DELGADA",INVENTARIO!C254)),"DEL",
IF(ISNUMBER(SEARCH("GRUESA",INVENTARIO!C254)),"GRU",
IF(ISNUMBER(SEARCH("ESTATICO",INVENTARIO!C254)),"EST",
IF(ISNUMBER(SEARCH("REFLECTIVO",INVENTARIO!C254)),"REF",
IF(ISNUMBER(SEARCH("LX700",INVENTARIO!C254)),"LX7",
IF(ISNUMBER(SEARCH("GRANDO",INVENTARIO!C254)),"GRA",
IF(ISNUMBER(SEARCH("FB700",INVENTARIO!C254)),"FB7",
IF(ISNUMBER(SEARCH("LX360",INVENTARIO!C254)),"LX3",
IF(ISNUMBER(SEARCH("XEROX",INVENTARIO!C254)),"XER",
IF(ISNUMBER(SEARCH("CEPILLADO",INVENTARIO!C254)),"CEP",
IF(ISNUMBER(SEARCH("ESPEJO",INVENTARIO!C254)),"ESP",
IF(ISNUMBER(SEARCH("10 PTS",INVENTARIO!C254)),"10PT",
IF(ISNUMBER(SEARCH("12 PTS",INVENTARIO!C254)),"12PT",
IF(ISNUMBER(SEARCH("14 PTS",INVENTARIO!C254)),"14PT",
IF(ISNUMBER(SEARCH("CLASICO",INVENTARIO!C254)),"CLA",
""))))))))))))))))))))))</f>
        <v/>
      </c>
      <c r="D254" t="str">
        <f>IF(ISNUMBER(SEARCH("GRAN FORMATO",INVENTARIO!C254)),"GRA-FOR",
IF(ISNUMBER(SEARCH("CAMA PLANA",INVENTARIO!C254)),"CAM-PLA",
IF(ISNUMBER(SEARCH("GRADO INGENIERIA",INVENTARIO!C254)),"GRA-ING",
IF(ISNUMBER(SEARCH("130 GRS",INVENTARIO!C254)),"130GR",
IF(ISNUMBER(SEARCH("150 GRS",INVENTARIO!C254)),"150GR",
IF(ISNUMBER(SEARCH("185 GRS",INVENTARIO!C254)),"185GR",
IF(ISNUMBER(SEARCH("200 GRS",INVENTARIO!C254)),"200GR",
IF(ISNUMBER(SEARCH("250 GRS",INVENTARIO!C254)),"250GR",
IF(ISNUMBER(SEARCH("300 GRS",INVENTARIO!C254)),"300GR",
IF(ISNUMBER(SEARCH("350 GRS",INVENTARIO!C254)),"350GR",
IF(ISNUMBER(SEARCH("18 OZ",INVENTARIO!C254)),"18OZ",
IF(ISNUMBER(SEARCH("15 OZ",INVENTARIO!C254)),"15OZ",
IF(OR(ISNUMBER(SEARCH("13 OZ",INVENTARIO!C254)),ISNUMBER(SEARCH("13 ONZAS",INVENTARIO!C254))),"13OZ",
IF(OR(ISNUMBER(SEARCH("9 OZ",INVENTARIO!C254)),ISNUMBER(SEARCH("9 ONZAS",INVENTARIO!C254))),"09OZ",
IF(ISNUMBER(SEARCH("DOBLE CARA",INVENTARIO!C254)),"DOB-CAR",
"")))))))))))))))</f>
        <v>18OZ</v>
      </c>
      <c r="E254" t="str">
        <f>IF(OR(ISNUMBER(SEARCH("TRANSPARENTE",INVENTARIO!C254)),ISNUMBER(SEARCH("TRANSPARENTES",INVENTARIO!C254))),"TRA",
IF(OR(ISNUMBER(SEARCH("BLANCO",INVENTARIO!C254)),ISNUMBER(SEARCH("BCO",INVENTARIO!C254))),"BLA",
IF(ISNUMBER(SEARCH("FOTOGRAFICO",INVENTARIO!C254)),"FOT",
IF(ISNUMBER(SEARCH("MARFIL",INVENTARIO!C254)),"MAR",
IF(ISNUMBER(SEARCH("VERDE",INVENTARIO!C254)),"VER",
IF(ISNUMBER(SEARCH("MORADO",INVENTARIO!C254)),"MOR",
IF(ISNUMBER(SEARCH("PLATA",INVENTARIO!C254)),"PLA",
IF(ISNUMBER(SEARCH("ORO",INVENTARIO!C254)),"ORO",
IF(ISNUMBER(SEARCH("AMARILLO",INVENTARIO!C254)),"AMA",
IF(ISNUMBER(SEARCH("NARANJA",INVENTARIO!C254)),"NAR",
IF(ISNUMBER(SEARCH("NEGRO",INVENTARIO!C254)),"NEG",
IF(ISNUMBER(SEARCH("ROJO",INVENTARIO!C254)),"ROJ",
IF(ISNUMBER(SEARCH("AZUL",INVENTARIO!C254)),"AZU","")))))))))))))</f>
        <v>AZU</v>
      </c>
      <c r="F254" t="str">
        <f>IF(ISNUMBER(SEARCH("ARLON",INVENTARIO!C254)),"ARL",
IF(ISNUMBER(SEARCH("SUNTHINKS",INVENTARIO!C254)),"SUN",
IF(ISNUMBER(SEARCH("FRIO",INVENTARIO!C254)),"FRI",
IF(ISNUMBER(SEARCH("CALIDO",INVENTARIO!C254)),"CAL",
IF(ISNUMBER(SEARCH("CEPILLADO",INVENTARIO!C254)),"CEP",
IF(ISNUMBER(SEARCH("ESPEJO",INVENTARIO!C254)),"ESP",
""))))))</f>
        <v/>
      </c>
      <c r="G254" t="str">
        <f>IF(ISNUMBER(SEARCH("LATEX",INVENTARIO!C254)),"LAT",
IF(ISNUMBER(SEARCH("RESP. NEGRO",INVENTARIO!C254)),"RES-NEG",
IF(ISNUMBER(SEARCH("RESPALDO CAFE",INVENTARIO!C254)),"RES-CAF",
IF(ISNUMBER(SEARCH("RESPALDO GRIS",INVENTARIO!C254)),"RES-GRI",
IF(ISNUMBER(SEARCH("OPTICO",INVENTARIO!C254)),"OPT",
IF(ISNUMBER(SEARCH("1,2 MM",INVENTARIO!C254)),"1MM2",
IF(ISNUMBER(SEARCH("2 MM",INVENTARIO!C254)),"2MM",
IF(ISNUMBER(SEARCH("3 MM",INVENTARIO!C254)),"3MM",
IF(ISNUMBER(SEARCH("4 MM",INVENTARIO!C254)),"4MM",
IF(ISNUMBER(SEARCH("5 MM",INVENTARIO!C254)),"5MM",
IF(ISNUMBER(SEARCH("6 MM",INVENTARIO!C254)),"6MM",
IF(ISNUMBER(SEARCH("9 MM",INVENTARIO!C254)),"9MM",
IF(ISNUMBER(SEARCH("10 MM",INVENTARIO!C254)),"10MM","")))))))))))))</f>
        <v/>
      </c>
      <c r="H254" t="str">
        <f>IF(ISNUMBER(SEARCH("GAMA BAJA",INVENTARIO!C254)),"GAM-BAJ",
IF(ISNUMBER(SEARCH("OPTIMIZADOR",INVENTARIO!C254)),"OPT",
IF(ISNUMBER(SEARCH("OVERCOAT",INVENTARIO!C254)),"OVE",
IF(ISNUMBER(SEARCH("WHITE",INVENTARIO!C254)),"WHI",
IF(ISNUMBER(SEARCH("LIGHT CYAN",INVENTARIO!C254)),"LIG-CYA",
IF(ISNUMBER(SEARCH("CYAN",INVENTARIO!C254)),"CYA",
IF(ISNUMBER(SEARCH("LIGHT MAGENTA",INVENTARIO!C254)),"LIG-MAG",
IF(ISNUMBER(SEARCH("MAGENTA",INVENTARIO!C254)),"MAG",
IF(ISNUMBER(SEARCH("BLACK",INVENTARIO!C254)),"BLA",
IF(ISNUMBER(SEARCH("YELLOW",INVENTARIO!C254)),"YEL",
IF(ISNUMBER(SEARCH("2 DIODOS",INVENTARIO!C254)),"2DI",
IF(ISNUMBER(SEARCH("3 DIODOS",INVENTARIO!C254)),"3DI",
IF(OR(ISNUMBER(SEARCH("TRASLUCIDO",INVENTARIO!C254)),ISNUMBER(SEARCH("TRANSLUCIDO",INVENTARIO!C254))),"TRA",
"")))))))))))))</f>
        <v/>
      </c>
      <c r="I254" t="str">
        <f>IF(ISNUMBER(SEARCH("SILED",INVENTARIO!C243)),"SI",
IF(ISNUMBER(SEARCH("SYDEMEX",INVENTARIO!C243)),"SY",
IF(ISNUMBER(SEARCH("ROHS",INVENTARIO!C243)),"RO",
IF(ISNUMBER(SEARCH("RISHANG",INVENTARIO!C243)),"RS",
IF(ISNUMBER(SEARCH("VYG",INVENTARIO!C243)),"VYG",
IF(ISNUMBER(SEARCH("COLED",INVENTARIO!C243)),"CO",""))))))</f>
        <v/>
      </c>
    </row>
    <row r="255" spans="1:9">
      <c r="A255" t="str">
        <f>IF(ISNUMBER(SEARCH("LONA",INVENTARIO!C255)),"LON",
IF(ISNUMBER(SEARCH("VINIL",INVENTARIO!C255)),"VIN",
IF(ISNUMBER(SEARCH("KROMACOTE",INVENTARIO!C255)),"KRO",
IF(ISNUMBER(SEARCH("STARDREAM",INVENTARIO!C255)),"STA",
IF(ISNUMBER(SEARCH("DISPLAY",INVENTARIO!C255)),"DIS",
IF(ISNUMBER(SEARCH("ROLL UP",INVENTARIO!C255)),"ROL-UP",
IF(ISNUMBER(SEARCH("TRANSFER DE PAPEL",INVENTARIO!C255)),"TRA-PAP",
IF(ISNUMBER(SEARCH("TRANSFER",INVENTARIO!C255)),"TRA",IF(ISNUMBER(SEARCH("KOLA LOKA",INVENTARIO!C255)),"KOL-LOK",
IF(ISNUMBER(SEARCH("PETG",INVENTARIO!C255)),"PET",
IF(ISNUMBER(SEARCH("OJILLO",INVENTARIO!C255)),"OJI",
IF(ISNUMBER(SEARCH("COUCHE",INVENTARIO!C255)),"COU",
IF(ISNUMBER(SEARCH("PANEL DE ALUMINIO",INVENTARIO!C255)),"PAN-ALU",
IF(ISNUMBER(SEARCH("PVC",INVENTARIO!C255)),"PVC",
IF(ISNUMBER(SEARCH("PAPEL",INVENTARIO!C255)),"PAP",
IF(ISNUMBER(SEARCH("TELA",INVENTARIO!C255)),"TEL",
IF(ISNUMBER(SEARCH("CARTULINA",INVENTARIO!C255)),"CAR",
IF(OR(ISNUMBER(SEARCH("LAMINA",INVENTARIO!C255)),ISNUMBER(SEARCH("LÁMINA",INVENTARIO!C255)),ISNUMBER(SEARCH("LAMPARAS",INVENTARIO!C255))),"LAM",
IF(ISNUMBER(SEARCH("ESTIRENO",INVENTARIO!C255)),"EST",
IF(ISNUMBER(SEARCH("FOAMBOARD",INVENTARIO!C255)),"FOA",
IF(ISNUMBER(SEARCH("SOLVENTE",INVENTARIO!C255)),"SOL",
IF(ISNUMBER(SEARCH("TINTA",INVENTARIO!C255)),"TIN",
IF(ISNUMBER(SEARCH("ACRILICO",INVENTARIO!C255)),"ACR",
IF(ISNUMBER(SEARCH("MICROLED",INVENTARIO!C255)),"MIC",
IF(ISNUMBER(SEARCH("LED",INVENTARIO!C255)),"LED",
IF(ISNUMBER(SEARCH("FUENTE DE PODER",INVENTARIO!C255)),"FUE-POD",
IF(ISNUMBER(SEARCH("PETG",INVENTARIO!C255)),"PET",
IF(ISNUMBER(SEARCH("ALUMINIO",INVENTARIO!C255)),"ALU",
IF(ISNUMBER(SEARCH("CANAL",INVENTARIO!C255)),"CAN",
IF(ISNUMBER(SEARCH("ESCUADRA",INVENTARIO!C255)),"ESC",
IF(ISNUMBER(SEARCH("SOPORTE",INVENTARIO!C255)),"SOP","OTR")
))))))))))))))))))))))))))))))</f>
        <v>LON</v>
      </c>
      <c r="B255" t="str">
        <f>IF(ISNUMBER(SEARCH("CORTE",INVENTARIO!C255)),"COR",
IF(ISNUMBER(SEARCH("CITYLIGHT",INVENTARIO!C255)),"CIT",
IF(ISNUMBER(SEARCH("LINO",INVENTARIO!C255)),"LIN",
IF(ISNUMBER(SEARCH("FABRIANO",INVENTARIO!C255)),"FAB",
IF(ISNUMBER(SEARCH("SUNDANCE",INVENTARIO!C255)),"SUN",
IF(ISNUMBER(SEARCH("SINTETICA",INVENTARIO!C255)),"SIN",
IF(ISNUMBER(SEARCH("CONTROL",INVENTARIO!C255)),"CON",
IF(ISNUMBER(SEARCH("TERMICO",INVENTARIO!C255)),"TER",
IF(ISNUMBER(SEARCH("C-15",INVENTARIO!C255)),"C15",
IF(ISNUMBER(SEARCH("C-20",INVENTARIO!C255)),"C20",
IF(ISNUMBER(SEARCH("C-30",INVENTARIO!C255)),"C30",
IF(ISNUMBER(SEARCH("C-40",INVENTARIO!C255)),"C40",
IF(ISNUMBER(SEARCH("C-60",INVENTARIO!C255)),"C60",
IF(ISNUMBER(SEARCH("C-80",INVENTARIO!C255)),"C80",
IF(ISNUMBER(SEARCH("EQUIPO",INVENTARIO!C255)),"EQU",
IF(ISNUMBER(SEARCH("FLOOR",INVENTARIO!C255)),"FLO",
IF(ISNUMBER(SEARCH("CRISTAL",INVENTARIO!C255)),"CRI",
IF(ISNUMBER(SEARCH(" SULFATADA",INVENTARIO!C266)),"SUL",
IF(ISNUMBER(SEARCH("OPALINA",INVENTARIO!C255)),"OPA",
IF(ISNUMBER(SEARCH("ADHERIBLE",INVENTARIO!C255)),"ADH",
IF(ISNUMBER(SEARCH("MICRO",INVENTARIO!C255)),"MIC","")))))))))))))))))))))</f>
        <v/>
      </c>
      <c r="C255" t="str">
        <f>IF(ISNUMBER(SEARCH("PARED",INVENTARIO!C255)),"PAR",
IF(ISNUMBER(SEARCH("FRONT",INVENTARIO!C255)),"FRO",
IF(ISNUMBER(SEARCH("ALTA RESISTENCIA",INVENTARIO!C255)),
"ALT-RES",IF(ISNUMBER(SEARCH("BACKLITE",INVENTARIO!C255)),"BAC",
IF(ISNUMBER(SEARCH("MATE",INVENTARIO!C255)),"MAT",
IF(ISNUMBER(SEARCH("MESH",INVENTARIO!C255)),"MES",
IF(ISNUMBER(SEARCH("BRILLANTE",INVENTARIO!C255)),"BRI",
IF(ISNUMBER(SEARCH("DELGADA",INVENTARIO!C255)),"DEL",
IF(ISNUMBER(SEARCH("GRUESA",INVENTARIO!C255)),"GRU",
IF(ISNUMBER(SEARCH("ESTATICO",INVENTARIO!C255)),"EST",
IF(ISNUMBER(SEARCH("REFLECTIVO",INVENTARIO!C255)),"REF",
IF(ISNUMBER(SEARCH("LX700",INVENTARIO!C255)),"LX7",
IF(ISNUMBER(SEARCH("GRANDO",INVENTARIO!C255)),"GRA",
IF(ISNUMBER(SEARCH("FB700",INVENTARIO!C255)),"FB7",
IF(ISNUMBER(SEARCH("LX360",INVENTARIO!C255)),"LX3",
IF(ISNUMBER(SEARCH("XEROX",INVENTARIO!C255)),"XER",
IF(ISNUMBER(SEARCH("CEPILLADO",INVENTARIO!C255)),"CEP",
IF(ISNUMBER(SEARCH("ESPEJO",INVENTARIO!C255)),"ESP",
IF(ISNUMBER(SEARCH("10 PTS",INVENTARIO!C255)),"10PT",
IF(ISNUMBER(SEARCH("12 PTS",INVENTARIO!C255)),"12PT",
IF(ISNUMBER(SEARCH("14 PTS",INVENTARIO!C255)),"14PT",
IF(ISNUMBER(SEARCH("CLASICO",INVENTARIO!C255)),"CLA",
""))))))))))))))))))))))</f>
        <v/>
      </c>
      <c r="D255" t="str">
        <f>IF(ISNUMBER(SEARCH("GRAN FORMATO",INVENTARIO!C255)),"GRA-FOR",
IF(ISNUMBER(SEARCH("CAMA PLANA",INVENTARIO!C255)),"CAM-PLA",
IF(ISNUMBER(SEARCH("GRADO INGENIERIA",INVENTARIO!C255)),"GRA-ING",
IF(ISNUMBER(SEARCH("130 GRS",INVENTARIO!C255)),"130GR",
IF(ISNUMBER(SEARCH("150 GRS",INVENTARIO!C255)),"150GR",
IF(ISNUMBER(SEARCH("185 GRS",INVENTARIO!C255)),"185GR",
IF(ISNUMBER(SEARCH("200 GRS",INVENTARIO!C255)),"200GR",
IF(ISNUMBER(SEARCH("250 GRS",INVENTARIO!C255)),"250GR",
IF(ISNUMBER(SEARCH("300 GRS",INVENTARIO!C255)),"300GR",
IF(ISNUMBER(SEARCH("350 GRS",INVENTARIO!C255)),"350GR",
IF(ISNUMBER(SEARCH("18 OZ",INVENTARIO!C255)),"18OZ",
IF(ISNUMBER(SEARCH("15 OZ",INVENTARIO!C255)),"15OZ",
IF(OR(ISNUMBER(SEARCH("13 OZ",INVENTARIO!C255)),ISNUMBER(SEARCH("13 ONZAS",INVENTARIO!C255))),"13OZ",
IF(OR(ISNUMBER(SEARCH("9 OZ",INVENTARIO!C255)),ISNUMBER(SEARCH("9 ONZAS",INVENTARIO!C255))),"09OZ",
IF(ISNUMBER(SEARCH("DOBLE CARA",INVENTARIO!C255)),"DOB-CAR",
"")))))))))))))))</f>
        <v>18OZ</v>
      </c>
      <c r="E255" t="str">
        <f>IF(OR(ISNUMBER(SEARCH("TRANSPARENTE",INVENTARIO!C255)),ISNUMBER(SEARCH("TRANSPARENTES",INVENTARIO!C255))),"TRA",
IF(OR(ISNUMBER(SEARCH("BLANCO",INVENTARIO!C255)),ISNUMBER(SEARCH("BCO",INVENTARIO!C255))),"BLA",
IF(ISNUMBER(SEARCH("FOTOGRAFICO",INVENTARIO!C255)),"FOT",
IF(ISNUMBER(SEARCH("MARFIL",INVENTARIO!C255)),"MAR",
IF(ISNUMBER(SEARCH("VERDE",INVENTARIO!C255)),"VER",
IF(ISNUMBER(SEARCH("MORADO",INVENTARIO!C255)),"MOR",
IF(ISNUMBER(SEARCH("PLATA",INVENTARIO!C255)),"PLA",
IF(ISNUMBER(SEARCH("ORO",INVENTARIO!C255)),"ORO",
IF(ISNUMBER(SEARCH("AMARILLO",INVENTARIO!C255)),"AMA",
IF(ISNUMBER(SEARCH("NARANJA",INVENTARIO!C255)),"NAR",
IF(ISNUMBER(SEARCH("NEGRO",INVENTARIO!C255)),"NEG",
IF(ISNUMBER(SEARCH("ROJO",INVENTARIO!C255)),"ROJ",
IF(ISNUMBER(SEARCH("AZUL",INVENTARIO!C255)),"AZU","")))))))))))))</f>
        <v>ROJ</v>
      </c>
      <c r="F255" t="str">
        <f>IF(ISNUMBER(SEARCH("ARLON",INVENTARIO!C255)),"ARL",
IF(ISNUMBER(SEARCH("SUNTHINKS",INVENTARIO!C255)),"SUN",
IF(ISNUMBER(SEARCH("FRIO",INVENTARIO!C255)),"FRI",
IF(ISNUMBER(SEARCH("CALIDO",INVENTARIO!C255)),"CAL",
IF(ISNUMBER(SEARCH("CEPILLADO",INVENTARIO!C255)),"CEP",
IF(ISNUMBER(SEARCH("ESPEJO",INVENTARIO!C255)),"ESP",
""))))))</f>
        <v/>
      </c>
      <c r="G255" t="str">
        <f>IF(ISNUMBER(SEARCH("LATEX",INVENTARIO!C255)),"LAT",
IF(ISNUMBER(SEARCH("RESP. NEGRO",INVENTARIO!C255)),"RES-NEG",
IF(ISNUMBER(SEARCH("RESPALDO CAFE",INVENTARIO!C255)),"RES-CAF",
IF(ISNUMBER(SEARCH("RESPALDO GRIS",INVENTARIO!C255)),"RES-GRI",
IF(ISNUMBER(SEARCH("OPTICO",INVENTARIO!C255)),"OPT",
IF(ISNUMBER(SEARCH("1,2 MM",INVENTARIO!C255)),"1MM2",
IF(ISNUMBER(SEARCH("2 MM",INVENTARIO!C255)),"2MM",
IF(ISNUMBER(SEARCH("3 MM",INVENTARIO!C255)),"3MM",
IF(ISNUMBER(SEARCH("4 MM",INVENTARIO!C255)),"4MM",
IF(ISNUMBER(SEARCH("5 MM",INVENTARIO!C255)),"5MM",
IF(ISNUMBER(SEARCH("6 MM",INVENTARIO!C255)),"6MM",
IF(ISNUMBER(SEARCH("9 MM",INVENTARIO!C255)),"9MM",
IF(ISNUMBER(SEARCH("10 MM",INVENTARIO!C255)),"10MM","")))))))))))))</f>
        <v/>
      </c>
      <c r="H255" t="str">
        <f>IF(ISNUMBER(SEARCH("GAMA BAJA",INVENTARIO!C255)),"GAM-BAJ",
IF(ISNUMBER(SEARCH("OPTIMIZADOR",INVENTARIO!C255)),"OPT",
IF(ISNUMBER(SEARCH("OVERCOAT",INVENTARIO!C255)),"OVE",
IF(ISNUMBER(SEARCH("WHITE",INVENTARIO!C255)),"WHI",
IF(ISNUMBER(SEARCH("LIGHT CYAN",INVENTARIO!C255)),"LIG-CYA",
IF(ISNUMBER(SEARCH("CYAN",INVENTARIO!C255)),"CYA",
IF(ISNUMBER(SEARCH("LIGHT MAGENTA",INVENTARIO!C255)),"LIG-MAG",
IF(ISNUMBER(SEARCH("MAGENTA",INVENTARIO!C255)),"MAG",
IF(ISNUMBER(SEARCH("BLACK",INVENTARIO!C255)),"BLA",
IF(ISNUMBER(SEARCH("YELLOW",INVENTARIO!C255)),"YEL",
IF(ISNUMBER(SEARCH("2 DIODOS",INVENTARIO!C255)),"2DI",
IF(ISNUMBER(SEARCH("3 DIODOS",INVENTARIO!C255)),"3DI",
IF(OR(ISNUMBER(SEARCH("TRASLUCIDO",INVENTARIO!C255)),ISNUMBER(SEARCH("TRANSLUCIDO",INVENTARIO!C255))),"TRA",
"")))))))))))))</f>
        <v/>
      </c>
      <c r="I255" t="str">
        <f>IF(ISNUMBER(SEARCH("SILED",INVENTARIO!C244)),"SI",
IF(ISNUMBER(SEARCH("SYDEMEX",INVENTARIO!C244)),"SY",
IF(ISNUMBER(SEARCH("ROHS",INVENTARIO!C244)),"RO",
IF(ISNUMBER(SEARCH("RISHANG",INVENTARIO!C244)),"RS",
IF(ISNUMBER(SEARCH("VYG",INVENTARIO!C244)),"VYG",
IF(ISNUMBER(SEARCH("COLED",INVENTARIO!C244)),"CO",""))))))</f>
        <v/>
      </c>
    </row>
    <row r="256" spans="1:9">
      <c r="A256" t="str">
        <f>IF(ISNUMBER(SEARCH("LONA",INVENTARIO!C256)),"LON",
IF(ISNUMBER(SEARCH("VINIL",INVENTARIO!C256)),"VIN",
IF(ISNUMBER(SEARCH("KROMACOTE",INVENTARIO!C256)),"KRO",
IF(ISNUMBER(SEARCH("STARDREAM",INVENTARIO!C256)),"STA",
IF(ISNUMBER(SEARCH("DISPLAY",INVENTARIO!C256)),"DIS",
IF(ISNUMBER(SEARCH("ROLL UP",INVENTARIO!C256)),"ROL-UP",
IF(ISNUMBER(SEARCH("TRANSFER DE PAPEL",INVENTARIO!C256)),"TRA-PAP",
IF(ISNUMBER(SEARCH("TRANSFER",INVENTARIO!C256)),"TRA",IF(ISNUMBER(SEARCH("KOLA LOKA",INVENTARIO!C256)),"KOL-LOK",
IF(ISNUMBER(SEARCH("PETG",INVENTARIO!C256)),"PET",
IF(ISNUMBER(SEARCH("OJILLO",INVENTARIO!C256)),"OJI",
IF(ISNUMBER(SEARCH("COUCHE",INVENTARIO!C256)),"COU",
IF(ISNUMBER(SEARCH("PANEL DE ALUMINIO",INVENTARIO!C256)),"PAN-ALU",
IF(ISNUMBER(SEARCH("PVC",INVENTARIO!C256)),"PVC",
IF(ISNUMBER(SEARCH("PAPEL",INVENTARIO!C256)),"PAP",
IF(ISNUMBER(SEARCH("TELA",INVENTARIO!C256)),"TEL",
IF(ISNUMBER(SEARCH("CARTULINA",INVENTARIO!C256)),"CAR",
IF(OR(ISNUMBER(SEARCH("LAMINA",INVENTARIO!C256)),ISNUMBER(SEARCH("LÁMINA",INVENTARIO!C256)),ISNUMBER(SEARCH("LAMPARAS",INVENTARIO!C256))),"LAM",
IF(ISNUMBER(SEARCH("ESTIRENO",INVENTARIO!C256)),"EST",
IF(ISNUMBER(SEARCH("FOAMBOARD",INVENTARIO!C256)),"FOA",
IF(ISNUMBER(SEARCH("SOLVENTE",INVENTARIO!C256)),"SOL",
IF(ISNUMBER(SEARCH("TINTA",INVENTARIO!C256)),"TIN",
IF(ISNUMBER(SEARCH("ACRILICO",INVENTARIO!C256)),"ACR",
IF(ISNUMBER(SEARCH("MICROLED",INVENTARIO!C256)),"MIC",
IF(ISNUMBER(SEARCH("LED",INVENTARIO!C256)),"LED",
IF(ISNUMBER(SEARCH("FUENTE DE PODER",INVENTARIO!C256)),"FUE-POD",
IF(ISNUMBER(SEARCH("PETG",INVENTARIO!C256)),"PET",
IF(ISNUMBER(SEARCH("ALUMINIO",INVENTARIO!C256)),"ALU",
IF(ISNUMBER(SEARCH("CANAL",INVENTARIO!C256)),"CAN",
IF(ISNUMBER(SEARCH("ESCUADRA",INVENTARIO!C256)),"ESC",
IF(ISNUMBER(SEARCH("SOPORTE",INVENTARIO!C256)),"SOP","OTR")
))))))))))))))))))))))))))))))</f>
        <v>LON</v>
      </c>
      <c r="B256" t="str">
        <f>IF(ISNUMBER(SEARCH("CORTE",INVENTARIO!C256)),"COR",
IF(ISNUMBER(SEARCH("CITYLIGHT",INVENTARIO!C256)),"CIT",
IF(ISNUMBER(SEARCH("LINO",INVENTARIO!C256)),"LIN",
IF(ISNUMBER(SEARCH("FABRIANO",INVENTARIO!C256)),"FAB",
IF(ISNUMBER(SEARCH("SUNDANCE",INVENTARIO!C256)),"SUN",
IF(ISNUMBER(SEARCH("SINTETICA",INVENTARIO!C256)),"SIN",
IF(ISNUMBER(SEARCH("CONTROL",INVENTARIO!C256)),"CON",
IF(ISNUMBER(SEARCH("TERMICO",INVENTARIO!C256)),"TER",
IF(ISNUMBER(SEARCH("C-15",INVENTARIO!C256)),"C15",
IF(ISNUMBER(SEARCH("C-20",INVENTARIO!C256)),"C20",
IF(ISNUMBER(SEARCH("C-30",INVENTARIO!C256)),"C30",
IF(ISNUMBER(SEARCH("C-40",INVENTARIO!C256)),"C40",
IF(ISNUMBER(SEARCH("C-60",INVENTARIO!C256)),"C60",
IF(ISNUMBER(SEARCH("C-80",INVENTARIO!C256)),"C80",
IF(ISNUMBER(SEARCH("EQUIPO",INVENTARIO!C256)),"EQU",
IF(ISNUMBER(SEARCH("FLOOR",INVENTARIO!C256)),"FLO",
IF(ISNUMBER(SEARCH("CRISTAL",INVENTARIO!C256)),"CRI",
IF(ISNUMBER(SEARCH(" SULFATADA",INVENTARIO!C267)),"SUL",
IF(ISNUMBER(SEARCH("OPALINA",INVENTARIO!C256)),"OPA",
IF(ISNUMBER(SEARCH("ADHERIBLE",INVENTARIO!C256)),"ADH",
IF(ISNUMBER(SEARCH("MICRO",INVENTARIO!C256)),"MIC","")))))))))))))))))))))</f>
        <v/>
      </c>
      <c r="C256" t="str">
        <f>IF(ISNUMBER(SEARCH("PARED",INVENTARIO!C256)),"PAR",
IF(ISNUMBER(SEARCH("FRONT",INVENTARIO!C256)),"FRO",
IF(ISNUMBER(SEARCH("ALTA RESISTENCIA",INVENTARIO!C256)),
"ALT-RES",IF(ISNUMBER(SEARCH("BACKLITE",INVENTARIO!C256)),"BAC",
IF(ISNUMBER(SEARCH("MATE",INVENTARIO!C256)),"MAT",
IF(ISNUMBER(SEARCH("MESH",INVENTARIO!C256)),"MES",
IF(ISNUMBER(SEARCH("BRILLANTE",INVENTARIO!C256)),"BRI",
IF(ISNUMBER(SEARCH("DELGADA",INVENTARIO!C256)),"DEL",
IF(ISNUMBER(SEARCH("GRUESA",INVENTARIO!C256)),"GRU",
IF(ISNUMBER(SEARCH("ESTATICO",INVENTARIO!C256)),"EST",
IF(ISNUMBER(SEARCH("REFLECTIVO",INVENTARIO!C256)),"REF",
IF(ISNUMBER(SEARCH("LX700",INVENTARIO!C256)),"LX7",
IF(ISNUMBER(SEARCH("GRANDO",INVENTARIO!C256)),"GRA",
IF(ISNUMBER(SEARCH("FB700",INVENTARIO!C256)),"FB7",
IF(ISNUMBER(SEARCH("LX360",INVENTARIO!C256)),"LX3",
IF(ISNUMBER(SEARCH("XEROX",INVENTARIO!C256)),"XER",
IF(ISNUMBER(SEARCH("CEPILLADO",INVENTARIO!C256)),"CEP",
IF(ISNUMBER(SEARCH("ESPEJO",INVENTARIO!C256)),"ESP",
IF(ISNUMBER(SEARCH("10 PTS",INVENTARIO!C256)),"10PT",
IF(ISNUMBER(SEARCH("12 PTS",INVENTARIO!C256)),"12PT",
IF(ISNUMBER(SEARCH("14 PTS",INVENTARIO!C256)),"14PT",
IF(ISNUMBER(SEARCH("CLASICO",INVENTARIO!C256)),"CLA",
""))))))))))))))))))))))</f>
        <v/>
      </c>
      <c r="D256" t="str">
        <f>IF(ISNUMBER(SEARCH("GRAN FORMATO",INVENTARIO!C256)),"GRA-FOR",
IF(ISNUMBER(SEARCH("CAMA PLANA",INVENTARIO!C256)),"CAM-PLA",
IF(ISNUMBER(SEARCH("GRADO INGENIERIA",INVENTARIO!C256)),"GRA-ING",
IF(ISNUMBER(SEARCH("130 GRS",INVENTARIO!C256)),"130GR",
IF(ISNUMBER(SEARCH("150 GRS",INVENTARIO!C256)),"150GR",
IF(ISNUMBER(SEARCH("185 GRS",INVENTARIO!C256)),"185GR",
IF(ISNUMBER(SEARCH("200 GRS",INVENTARIO!C256)),"200GR",
IF(ISNUMBER(SEARCH("250 GRS",INVENTARIO!C256)),"250GR",
IF(ISNUMBER(SEARCH("300 GRS",INVENTARIO!C256)),"300GR",
IF(ISNUMBER(SEARCH("350 GRS",INVENTARIO!C256)),"350GR",
IF(ISNUMBER(SEARCH("18 OZ",INVENTARIO!C256)),"18OZ",
IF(ISNUMBER(SEARCH("15 OZ",INVENTARIO!C256)),"15OZ",
IF(OR(ISNUMBER(SEARCH("13 OZ",INVENTARIO!C256)),ISNUMBER(SEARCH("13 ONZAS",INVENTARIO!C256))),"13OZ",
IF(OR(ISNUMBER(SEARCH("9 OZ",INVENTARIO!C256)),ISNUMBER(SEARCH("9 ONZAS",INVENTARIO!C256))),"09OZ",
IF(ISNUMBER(SEARCH("DOBLE CARA",INVENTARIO!C256)),"DOB-CAR",
"")))))))))))))))</f>
        <v>18OZ</v>
      </c>
      <c r="E256" t="str">
        <f>IF(OR(ISNUMBER(SEARCH("TRANSPARENTE",INVENTARIO!C256)),ISNUMBER(SEARCH("TRANSPARENTES",INVENTARIO!C256))),"TRA",
IF(OR(ISNUMBER(SEARCH("BLANCO",INVENTARIO!C256)),ISNUMBER(SEARCH("BCO",INVENTARIO!C256))),"BLA",
IF(ISNUMBER(SEARCH("FOTOGRAFICO",INVENTARIO!C256)),"FOT",
IF(ISNUMBER(SEARCH("MARFIL",INVENTARIO!C256)),"MAR",
IF(ISNUMBER(SEARCH("VERDE",INVENTARIO!C256)),"VER",
IF(ISNUMBER(SEARCH("MORADO",INVENTARIO!C256)),"MOR",
IF(ISNUMBER(SEARCH("PLATA",INVENTARIO!C256)),"PLA",
IF(ISNUMBER(SEARCH("ORO",INVENTARIO!C256)),"ORO",
IF(ISNUMBER(SEARCH("AMARILLO",INVENTARIO!C256)),"AMA",
IF(ISNUMBER(SEARCH("NARANJA",INVENTARIO!C256)),"NAR",
IF(ISNUMBER(SEARCH("NEGRO",INVENTARIO!C256)),"NEG",
IF(ISNUMBER(SEARCH("ROJO",INVENTARIO!C256)),"ROJ",
IF(ISNUMBER(SEARCH("AZUL",INVENTARIO!C256)),"AZU","")))))))))))))</f>
        <v>NEG</v>
      </c>
      <c r="F256" t="str">
        <f>IF(ISNUMBER(SEARCH("ARLON",INVENTARIO!C256)),"ARL",
IF(ISNUMBER(SEARCH("SUNTHINKS",INVENTARIO!C256)),"SUN",
IF(ISNUMBER(SEARCH("FRIO",INVENTARIO!C256)),"FRI",
IF(ISNUMBER(SEARCH("CALIDO",INVENTARIO!C256)),"CAL",
IF(ISNUMBER(SEARCH("CEPILLADO",INVENTARIO!C256)),"CEP",
IF(ISNUMBER(SEARCH("ESPEJO",INVENTARIO!C256)),"ESP",
""))))))</f>
        <v/>
      </c>
      <c r="G256" t="str">
        <f>IF(ISNUMBER(SEARCH("LATEX",INVENTARIO!C256)),"LAT",
IF(ISNUMBER(SEARCH("RESP. NEGRO",INVENTARIO!C256)),"RES-NEG",
IF(ISNUMBER(SEARCH("RESPALDO CAFE",INVENTARIO!C256)),"RES-CAF",
IF(ISNUMBER(SEARCH("RESPALDO GRIS",INVENTARIO!C256)),"RES-GRI",
IF(ISNUMBER(SEARCH("OPTICO",INVENTARIO!C256)),"OPT",
IF(ISNUMBER(SEARCH("1,2 MM",INVENTARIO!C256)),"1MM2",
IF(ISNUMBER(SEARCH("2 MM",INVENTARIO!C256)),"2MM",
IF(ISNUMBER(SEARCH("3 MM",INVENTARIO!C256)),"3MM",
IF(ISNUMBER(SEARCH("4 MM",INVENTARIO!C256)),"4MM",
IF(ISNUMBER(SEARCH("5 MM",INVENTARIO!C256)),"5MM",
IF(ISNUMBER(SEARCH("6 MM",INVENTARIO!C256)),"6MM",
IF(ISNUMBER(SEARCH("9 MM",INVENTARIO!C256)),"9MM",
IF(ISNUMBER(SEARCH("10 MM",INVENTARIO!C256)),"10MM","")))))))))))))</f>
        <v/>
      </c>
      <c r="H256" t="str">
        <f>IF(ISNUMBER(SEARCH("GAMA BAJA",INVENTARIO!C256)),"GAM-BAJ",
IF(ISNUMBER(SEARCH("OPTIMIZADOR",INVENTARIO!C256)),"OPT",
IF(ISNUMBER(SEARCH("OVERCOAT",INVENTARIO!C256)),"OVE",
IF(ISNUMBER(SEARCH("WHITE",INVENTARIO!C256)),"WHI",
IF(ISNUMBER(SEARCH("LIGHT CYAN",INVENTARIO!C256)),"LIG-CYA",
IF(ISNUMBER(SEARCH("CYAN",INVENTARIO!C256)),"CYA",
IF(ISNUMBER(SEARCH("LIGHT MAGENTA",INVENTARIO!C256)),"LIG-MAG",
IF(ISNUMBER(SEARCH("MAGENTA",INVENTARIO!C256)),"MAG",
IF(ISNUMBER(SEARCH("BLACK",INVENTARIO!C256)),"BLA",
IF(ISNUMBER(SEARCH("YELLOW",INVENTARIO!C256)),"YEL",
IF(ISNUMBER(SEARCH("2 DIODOS",INVENTARIO!C256)),"2DI",
IF(ISNUMBER(SEARCH("3 DIODOS",INVENTARIO!C256)),"3DI",
IF(OR(ISNUMBER(SEARCH("TRASLUCIDO",INVENTARIO!C256)),ISNUMBER(SEARCH("TRANSLUCIDO",INVENTARIO!C256))),"TRA",
"")))))))))))))</f>
        <v/>
      </c>
      <c r="I256" t="str">
        <f>IF(ISNUMBER(SEARCH("SILED",INVENTARIO!C246)),"SI",
IF(ISNUMBER(SEARCH("SYDEMEX",INVENTARIO!C246)),"SY",
IF(ISNUMBER(SEARCH("ROHS",INVENTARIO!C246)),"RO",
IF(ISNUMBER(SEARCH("RISHANG",INVENTARIO!C246)),"RS",
IF(ISNUMBER(SEARCH("VYG",INVENTARIO!C246)),"VYG",
IF(ISNUMBER(SEARCH("COLED",INVENTARIO!C246)),"CO",""))))))</f>
        <v/>
      </c>
    </row>
    <row r="257" spans="1:9">
      <c r="A257" t="str">
        <f>IF(ISNUMBER(SEARCH("LONA",INVENTARIO!C257)),"LON",
IF(ISNUMBER(SEARCH("VINIL",INVENTARIO!C257)),"VIN",
IF(ISNUMBER(SEARCH("KROMACOTE",INVENTARIO!C257)),"KRO",
IF(ISNUMBER(SEARCH("STARDREAM",INVENTARIO!C257)),"STA",
IF(ISNUMBER(SEARCH("DISPLAY",INVENTARIO!C257)),"DIS",
IF(ISNUMBER(SEARCH("ROLL UP",INVENTARIO!C257)),"ROL-UP",
IF(ISNUMBER(SEARCH("TRANSFER DE PAPEL",INVENTARIO!C257)),"TRA-PAP",
IF(ISNUMBER(SEARCH("TRANSFER",INVENTARIO!C257)),"TRA",IF(ISNUMBER(SEARCH("KOLA LOKA",INVENTARIO!C257)),"KOL-LOK",
IF(ISNUMBER(SEARCH("PETG",INVENTARIO!C257)),"PET",
IF(ISNUMBER(SEARCH("OJILLO",INVENTARIO!C257)),"OJI",
IF(ISNUMBER(SEARCH("COUCHE",INVENTARIO!C257)),"COU",
IF(ISNUMBER(SEARCH("PANEL DE ALUMINIO",INVENTARIO!C257)),"PAN-ALU",
IF(ISNUMBER(SEARCH("PVC",INVENTARIO!C257)),"PVC",
IF(ISNUMBER(SEARCH("PAPEL",INVENTARIO!C257)),"PAP",
IF(ISNUMBER(SEARCH("TELA",INVENTARIO!C257)),"TEL",
IF(ISNUMBER(SEARCH("CARTULINA",INVENTARIO!C257)),"CAR",
IF(OR(ISNUMBER(SEARCH("LAMINA",INVENTARIO!C257)),ISNUMBER(SEARCH("LÁMINA",INVENTARIO!C257)),ISNUMBER(SEARCH("LAMPARAS",INVENTARIO!C257))),"LAM",
IF(ISNUMBER(SEARCH("ESTIRENO",INVENTARIO!C257)),"EST",
IF(ISNUMBER(SEARCH("FOAMBOARD",INVENTARIO!C257)),"FOA",
IF(ISNUMBER(SEARCH("SOLVENTE",INVENTARIO!C257)),"SOL",
IF(ISNUMBER(SEARCH("TINTA",INVENTARIO!C257)),"TIN",
IF(ISNUMBER(SEARCH("ACRILICO",INVENTARIO!C257)),"ACR",
IF(ISNUMBER(SEARCH("MICROLED",INVENTARIO!C257)),"MIC",
IF(ISNUMBER(SEARCH("LED",INVENTARIO!C257)),"LED",
IF(ISNUMBER(SEARCH("FUENTE DE PODER",INVENTARIO!C257)),"FUE-POD",
IF(ISNUMBER(SEARCH("PETG",INVENTARIO!C257)),"PET",
IF(ISNUMBER(SEARCH("ALUMINIO",INVENTARIO!C257)),"ALU",
IF(ISNUMBER(SEARCH("CANAL",INVENTARIO!C257)),"CAN",
IF(ISNUMBER(SEARCH("ESCUADRA",INVENTARIO!C257)),"ESC",
IF(ISNUMBER(SEARCH("SOPORTE",INVENTARIO!C257)),"SOP","OTR")
))))))))))))))))))))))))))))))</f>
        <v>EST</v>
      </c>
      <c r="B257" t="str">
        <f>IF(ISNUMBER(SEARCH("CORTE",INVENTARIO!C257)),"COR",
IF(ISNUMBER(SEARCH("CITYLIGHT",INVENTARIO!C257)),"CIT",
IF(ISNUMBER(SEARCH("LINO",INVENTARIO!C257)),"LIN",
IF(ISNUMBER(SEARCH("FABRIANO",INVENTARIO!C257)),"FAB",
IF(ISNUMBER(SEARCH("SUNDANCE",INVENTARIO!C257)),"SUN",
IF(ISNUMBER(SEARCH("SINTETICA",INVENTARIO!C257)),"SIN",
IF(ISNUMBER(SEARCH("CONTROL",INVENTARIO!C257)),"CON",
IF(ISNUMBER(SEARCH("TERMICO",INVENTARIO!C257)),"TER",
IF(ISNUMBER(SEARCH("C-15",INVENTARIO!C257)),"C15",
IF(ISNUMBER(SEARCH("C-20",INVENTARIO!C257)),"C20",
IF(ISNUMBER(SEARCH("C-30",INVENTARIO!C257)),"C30",
IF(ISNUMBER(SEARCH("C-40",INVENTARIO!C257)),"C40",
IF(ISNUMBER(SEARCH("C-60",INVENTARIO!C257)),"C60",
IF(ISNUMBER(SEARCH("C-80",INVENTARIO!C257)),"C80",
IF(ISNUMBER(SEARCH("EQUIPO",INVENTARIO!C257)),"EQU",
IF(ISNUMBER(SEARCH("FLOOR",INVENTARIO!C257)),"FLO",
IF(ISNUMBER(SEARCH("CRISTAL",INVENTARIO!C257)),"CRI",
IF(ISNUMBER(SEARCH(" SULFATADA",INVENTARIO!C268)),"SUL",
IF(ISNUMBER(SEARCH("OPALINA",INVENTARIO!C257)),"OPA",
IF(ISNUMBER(SEARCH("ADHERIBLE",INVENTARIO!C257)),"ADH",
IF(ISNUMBER(SEARCH("MICRO",INVENTARIO!C257)),"MIC","")))))))))))))))))))))</f>
        <v/>
      </c>
      <c r="C257" t="str">
        <f>IF(ISNUMBER(SEARCH("PARED",INVENTARIO!C257)),"PAR",
IF(ISNUMBER(SEARCH("FRONT",INVENTARIO!C257)),"FRO",
IF(ISNUMBER(SEARCH("ALTA RESISTENCIA",INVENTARIO!C257)),
"ALT-RES",IF(ISNUMBER(SEARCH("BACKLITE",INVENTARIO!C257)),"BAC",
IF(ISNUMBER(SEARCH("MATE",INVENTARIO!C257)),"MAT",
IF(ISNUMBER(SEARCH("MESH",INVENTARIO!C257)),"MES",
IF(ISNUMBER(SEARCH("BRILLANTE",INVENTARIO!C257)),"BRI",
IF(ISNUMBER(SEARCH("DELGADA",INVENTARIO!C257)),"DEL",
IF(ISNUMBER(SEARCH("GRUESA",INVENTARIO!C257)),"GRU",
IF(ISNUMBER(SEARCH("ESTATICO",INVENTARIO!C257)),"EST",
IF(ISNUMBER(SEARCH("REFLECTIVO",INVENTARIO!C257)),"REF",
IF(ISNUMBER(SEARCH("LX700",INVENTARIO!C257)),"LX7",
IF(ISNUMBER(SEARCH("GRANDO",INVENTARIO!C257)),"GRA",
IF(ISNUMBER(SEARCH("FB700",INVENTARIO!C257)),"FB7",
IF(ISNUMBER(SEARCH("LX360",INVENTARIO!C257)),"LX3",
IF(ISNUMBER(SEARCH("XEROX",INVENTARIO!C257)),"XER",
IF(ISNUMBER(SEARCH("CEPILLADO",INVENTARIO!C257)),"CEP",
IF(ISNUMBER(SEARCH("ESPEJO",INVENTARIO!C257)),"ESP",
IF(ISNUMBER(SEARCH("10 PTS",INVENTARIO!C257)),"10PT",
IF(ISNUMBER(SEARCH("12 PTS",INVENTARIO!C257)),"12PT",
IF(ISNUMBER(SEARCH("14 PTS",INVENTARIO!C257)),"14PT",
IF(ISNUMBER(SEARCH("CLASICO",INVENTARIO!C257)),"CLA",
""))))))))))))))))))))))</f>
        <v/>
      </c>
      <c r="D257" t="str">
        <f>IF(ISNUMBER(SEARCH("GRAN FORMATO",INVENTARIO!C257)),"GRA-FOR",
IF(ISNUMBER(SEARCH("CAMA PLANA",INVENTARIO!C257)),"CAM-PLA",
IF(ISNUMBER(SEARCH("GRADO INGENIERIA",INVENTARIO!C257)),"GRA-ING",
IF(ISNUMBER(SEARCH("130 GRS",INVENTARIO!C257)),"130GR",
IF(ISNUMBER(SEARCH("150 GRS",INVENTARIO!C257)),"150GR",
IF(ISNUMBER(SEARCH("185 GRS",INVENTARIO!C257)),"185GR",
IF(ISNUMBER(SEARCH("200 GRS",INVENTARIO!C257)),"200GR",
IF(ISNUMBER(SEARCH("250 GRS",INVENTARIO!C257)),"250GR",
IF(ISNUMBER(SEARCH("300 GRS",INVENTARIO!C257)),"300GR",
IF(ISNUMBER(SEARCH("350 GRS",INVENTARIO!C257)),"350GR",
IF(ISNUMBER(SEARCH("18 OZ",INVENTARIO!C257)),"18OZ",
IF(ISNUMBER(SEARCH("15 OZ",INVENTARIO!C257)),"15OZ",
IF(OR(ISNUMBER(SEARCH("13 OZ",INVENTARIO!C257)),ISNUMBER(SEARCH("13 ONZAS",INVENTARIO!C257))),"13OZ",
IF(OR(ISNUMBER(SEARCH("9 OZ",INVENTARIO!C257)),ISNUMBER(SEARCH("9 ONZAS",INVENTARIO!C257))),"09OZ",
IF(ISNUMBER(SEARCH("DOBLE CARA",INVENTARIO!C257)),"DOB-CAR",
"")))))))))))))))</f>
        <v/>
      </c>
      <c r="E257" t="str">
        <f>IF(OR(ISNUMBER(SEARCH("TRANSPARENTE",INVENTARIO!C257)),ISNUMBER(SEARCH("TRANSPARENTES",INVENTARIO!C257))),"TRA",
IF(OR(ISNUMBER(SEARCH("BLANCO",INVENTARIO!C257)),ISNUMBER(SEARCH("BCO",INVENTARIO!C257))),"BLA",
IF(ISNUMBER(SEARCH("FOTOGRAFICO",INVENTARIO!C257)),"FOT",
IF(ISNUMBER(SEARCH("MARFIL",INVENTARIO!C257)),"MAR",
IF(ISNUMBER(SEARCH("VERDE",INVENTARIO!C257)),"VER",
IF(ISNUMBER(SEARCH("MORADO",INVENTARIO!C257)),"MOR",
IF(ISNUMBER(SEARCH("PLATA",INVENTARIO!C257)),"PLA",
IF(ISNUMBER(SEARCH("ORO",INVENTARIO!C257)),"ORO",
IF(ISNUMBER(SEARCH("AMARILLO",INVENTARIO!C257)),"AMA",
IF(ISNUMBER(SEARCH("NARANJA",INVENTARIO!C257)),"NAR",
IF(ISNUMBER(SEARCH("NEGRO",INVENTARIO!C257)),"NEG",
IF(ISNUMBER(SEARCH("ROJO",INVENTARIO!C257)),"ROJ",
IF(ISNUMBER(SEARCH("AZUL",INVENTARIO!C257)),"AZU","")))))))))))))</f>
        <v>NEG</v>
      </c>
      <c r="F257" t="str">
        <f>IF(ISNUMBER(SEARCH("ARLON",INVENTARIO!C257)),"ARL",
IF(ISNUMBER(SEARCH("SUNTHINKS",INVENTARIO!C257)),"SUN",
IF(ISNUMBER(SEARCH("FRIO",INVENTARIO!C257)),"FRI",
IF(ISNUMBER(SEARCH("CALIDO",INVENTARIO!C257)),"CAL",
IF(ISNUMBER(SEARCH("CEPILLADO",INVENTARIO!C257)),"CEP",
IF(ISNUMBER(SEARCH("ESPEJO",INVENTARIO!C257)),"ESP",
""))))))</f>
        <v/>
      </c>
      <c r="G257" t="str">
        <f>IF(ISNUMBER(SEARCH("LATEX",INVENTARIO!C257)),"LAT",
IF(ISNUMBER(SEARCH("RESP. NEGRO",INVENTARIO!C257)),"RES-NEG",
IF(ISNUMBER(SEARCH("RESPALDO CAFE",INVENTARIO!C257)),"RES-CAF",
IF(ISNUMBER(SEARCH("RESPALDO GRIS",INVENTARIO!C257)),"RES-GRI",
IF(ISNUMBER(SEARCH("OPTICO",INVENTARIO!C257)),"OPT",
IF(ISNUMBER(SEARCH("1,2 MM",INVENTARIO!C257)),"1MM2",
IF(ISNUMBER(SEARCH("2 MM",INVENTARIO!C257)),"2MM",
IF(ISNUMBER(SEARCH("3 MM",INVENTARIO!C257)),"3MM",
IF(ISNUMBER(SEARCH("4 MM",INVENTARIO!C257)),"4MM",
IF(ISNUMBER(SEARCH("5 MM",INVENTARIO!C257)),"5MM",
IF(ISNUMBER(SEARCH("6 MM",INVENTARIO!C257)),"6MM",
IF(ISNUMBER(SEARCH("9 MM",INVENTARIO!C257)),"9MM",
IF(ISNUMBER(SEARCH("10 MM",INVENTARIO!C257)),"10MM","")))))))))))))</f>
        <v/>
      </c>
      <c r="H257" t="str">
        <f>IF(ISNUMBER(SEARCH("GAMA BAJA",INVENTARIO!C257)),"GAM-BAJ",
IF(ISNUMBER(SEARCH("OPTIMIZADOR",INVENTARIO!C257)),"OPT",
IF(ISNUMBER(SEARCH("OVERCOAT",INVENTARIO!C257)),"OVE",
IF(ISNUMBER(SEARCH("WHITE",INVENTARIO!C257)),"WHI",
IF(ISNUMBER(SEARCH("LIGHT CYAN",INVENTARIO!C257)),"LIG-CYA",
IF(ISNUMBER(SEARCH("CYAN",INVENTARIO!C257)),"CYA",
IF(ISNUMBER(SEARCH("LIGHT MAGENTA",INVENTARIO!C257)),"LIG-MAG",
IF(ISNUMBER(SEARCH("MAGENTA",INVENTARIO!C257)),"MAG",
IF(ISNUMBER(SEARCH("BLACK",INVENTARIO!C257)),"BLA",
IF(ISNUMBER(SEARCH("YELLOW",INVENTARIO!C257)),"YEL",
IF(ISNUMBER(SEARCH("2 DIODOS",INVENTARIO!C257)),"2DI",
IF(ISNUMBER(SEARCH("3 DIODOS",INVENTARIO!C257)),"3DI",
IF(OR(ISNUMBER(SEARCH("TRASLUCIDO",INVENTARIO!C257)),ISNUMBER(SEARCH("TRANSLUCIDO",INVENTARIO!C257))),"TRA",
"")))))))))))))</f>
        <v/>
      </c>
      <c r="I257" t="str">
        <f>IF(ISNUMBER(SEARCH("SILED",INVENTARIO!C247)),"SI",
IF(ISNUMBER(SEARCH("SYDEMEX",INVENTARIO!C247)),"SY",
IF(ISNUMBER(SEARCH("ROHS",INVENTARIO!C247)),"RO",
IF(ISNUMBER(SEARCH("RISHANG",INVENTARIO!C247)),"RS",
IF(ISNUMBER(SEARCH("VYG",INVENTARIO!C247)),"VYG",
IF(ISNUMBER(SEARCH("COLED",INVENTARIO!C247)),"CO",""))))))</f>
        <v/>
      </c>
    </row>
    <row r="258" spans="1:9">
      <c r="A258" t="str">
        <f>IF(ISNUMBER(SEARCH("LONA",INVENTARIO!C258)),"LON",
IF(ISNUMBER(SEARCH("VINIL",INVENTARIO!C258)),"VIN",
IF(ISNUMBER(SEARCH("KROMACOTE",INVENTARIO!C258)),"KRO",
IF(ISNUMBER(SEARCH("STARDREAM",INVENTARIO!C258)),"STA",
IF(ISNUMBER(SEARCH("DISPLAY",INVENTARIO!C258)),"DIS",
IF(ISNUMBER(SEARCH("ROLL UP",INVENTARIO!C258)),"ROL-UP",
IF(ISNUMBER(SEARCH("TRANSFER DE PAPEL",INVENTARIO!C258)),"TRA-PAP",
IF(ISNUMBER(SEARCH("TRANSFER",INVENTARIO!C258)),"TRA",IF(ISNUMBER(SEARCH("KOLA LOKA",INVENTARIO!C258)),"KOL-LOK",
IF(ISNUMBER(SEARCH("PETG",INVENTARIO!C258)),"PET",
IF(ISNUMBER(SEARCH("OJILLO",INVENTARIO!C258)),"OJI",
IF(ISNUMBER(SEARCH("COUCHE",INVENTARIO!C258)),"COU",
IF(ISNUMBER(SEARCH("PANEL DE ALUMINIO",INVENTARIO!C258)),"PAN-ALU",
IF(ISNUMBER(SEARCH("PVC",INVENTARIO!C258)),"PVC",
IF(ISNUMBER(SEARCH("PAPEL",INVENTARIO!C258)),"PAP",
IF(ISNUMBER(SEARCH("TELA",INVENTARIO!C258)),"TEL",
IF(ISNUMBER(SEARCH("CARTULINA",INVENTARIO!C258)),"CAR",
IF(OR(ISNUMBER(SEARCH("LAMINA",INVENTARIO!C258)),ISNUMBER(SEARCH("LÁMINA",INVENTARIO!C258)),ISNUMBER(SEARCH("LAMPARAS",INVENTARIO!C258))),"LAM",
IF(ISNUMBER(SEARCH("ESTIRENO",INVENTARIO!C258)),"EST",
IF(ISNUMBER(SEARCH("FOAMBOARD",INVENTARIO!C258)),"FOA",
IF(ISNUMBER(SEARCH("SOLVENTE",INVENTARIO!C258)),"SOL",
IF(ISNUMBER(SEARCH("TINTA",INVENTARIO!C258)),"TIN",
IF(ISNUMBER(SEARCH("ACRILICO",INVENTARIO!C258)),"ACR",
IF(ISNUMBER(SEARCH("MICROLED",INVENTARIO!C258)),"MIC",
IF(ISNUMBER(SEARCH("LED",INVENTARIO!C258)),"LED",
IF(ISNUMBER(SEARCH("FUENTE DE PODER",INVENTARIO!C258)),"FUE-POD",
IF(ISNUMBER(SEARCH("PETG",INVENTARIO!C258)),"PET",
IF(ISNUMBER(SEARCH("ALUMINIO",INVENTARIO!C258)),"ALU",
IF(ISNUMBER(SEARCH("CANAL",INVENTARIO!C258)),"CAN",
IF(ISNUMBER(SEARCH("ESCUADRA",INVENTARIO!C258)),"ESC",
IF(ISNUMBER(SEARCH("SOPORTE",INVENTARIO!C258)),"SOP","OTR")
))))))))))))))))))))))))))))))</f>
        <v>PET</v>
      </c>
      <c r="B258" t="str">
        <f>IF(ISNUMBER(SEARCH("CORTE",INVENTARIO!C258)),"COR",
IF(ISNUMBER(SEARCH("CITYLIGHT",INVENTARIO!C258)),"CIT",
IF(ISNUMBER(SEARCH("LINO",INVENTARIO!C258)),"LIN",
IF(ISNUMBER(SEARCH("FABRIANO",INVENTARIO!C258)),"FAB",
IF(ISNUMBER(SEARCH("SUNDANCE",INVENTARIO!C258)),"SUN",
IF(ISNUMBER(SEARCH("SINTETICA",INVENTARIO!C258)),"SIN",
IF(ISNUMBER(SEARCH("CONTROL",INVENTARIO!C258)),"CON",
IF(ISNUMBER(SEARCH("TERMICO",INVENTARIO!C258)),"TER",
IF(ISNUMBER(SEARCH("C-15",INVENTARIO!C258)),"C15",
IF(ISNUMBER(SEARCH("C-20",INVENTARIO!C258)),"C20",
IF(ISNUMBER(SEARCH("C-30",INVENTARIO!C258)),"C30",
IF(ISNUMBER(SEARCH("C-40",INVENTARIO!C258)),"C40",
IF(ISNUMBER(SEARCH("C-60",INVENTARIO!C258)),"C60",
IF(ISNUMBER(SEARCH("C-80",INVENTARIO!C258)),"C80",
IF(ISNUMBER(SEARCH("EQUIPO",INVENTARIO!C258)),"EQU",
IF(ISNUMBER(SEARCH("FLOOR",INVENTARIO!C258)),"FLO",
IF(ISNUMBER(SEARCH("CRISTAL",INVENTARIO!C258)),"CRI",
IF(ISNUMBER(SEARCH(" SULFATADA",INVENTARIO!C269)),"SUL",
IF(ISNUMBER(SEARCH("OPALINA",INVENTARIO!C258)),"OPA",
IF(ISNUMBER(SEARCH("ADHERIBLE",INVENTARIO!C258)),"ADH",
IF(ISNUMBER(SEARCH("MICRO",INVENTARIO!C258)),"MIC","")))))))))))))))))))))</f>
        <v/>
      </c>
      <c r="C258" t="str">
        <f>IF(ISNUMBER(SEARCH("PARED",INVENTARIO!C258)),"PAR",
IF(ISNUMBER(SEARCH("FRONT",INVENTARIO!C258)),"FRO",
IF(ISNUMBER(SEARCH("ALTA RESISTENCIA",INVENTARIO!C258)),
"ALT-RES",IF(ISNUMBER(SEARCH("BACKLITE",INVENTARIO!C258)),"BAC",
IF(ISNUMBER(SEARCH("MATE",INVENTARIO!C258)),"MAT",
IF(ISNUMBER(SEARCH("MESH",INVENTARIO!C258)),"MES",
IF(ISNUMBER(SEARCH("BRILLANTE",INVENTARIO!C258)),"BRI",
IF(ISNUMBER(SEARCH("DELGADA",INVENTARIO!C258)),"DEL",
IF(ISNUMBER(SEARCH("GRUESA",INVENTARIO!C258)),"GRU",
IF(ISNUMBER(SEARCH("ESTATICO",INVENTARIO!C258)),"EST",
IF(ISNUMBER(SEARCH("REFLECTIVO",INVENTARIO!C258)),"REF",
IF(ISNUMBER(SEARCH("LX700",INVENTARIO!C258)),"LX7",
IF(ISNUMBER(SEARCH("GRANDO",INVENTARIO!C258)),"GRA",
IF(ISNUMBER(SEARCH("FB700",INVENTARIO!C258)),"FB7",
IF(ISNUMBER(SEARCH("LX360",INVENTARIO!C258)),"LX3",
IF(ISNUMBER(SEARCH("XEROX",INVENTARIO!C258)),"XER",
IF(ISNUMBER(SEARCH("CEPILLADO",INVENTARIO!C258)),"CEP",
IF(ISNUMBER(SEARCH("ESPEJO",INVENTARIO!C258)),"ESP",
IF(ISNUMBER(SEARCH("10 PTS",INVENTARIO!C258)),"10PT",
IF(ISNUMBER(SEARCH("12 PTS",INVENTARIO!C258)),"12PT",
IF(ISNUMBER(SEARCH("14 PTS",INVENTARIO!C258)),"14PT",
IF(ISNUMBER(SEARCH("CLASICO",INVENTARIO!C258)),"CLA",
""))))))))))))))))))))))</f>
        <v/>
      </c>
      <c r="D258" t="str">
        <f>IF(ISNUMBER(SEARCH("GRAN FORMATO",INVENTARIO!C258)),"GRA-FOR",
IF(ISNUMBER(SEARCH("CAMA PLANA",INVENTARIO!C258)),"CAM-PLA",
IF(ISNUMBER(SEARCH("GRADO INGENIERIA",INVENTARIO!C258)),"GRA-ING",
IF(ISNUMBER(SEARCH("130 GRS",INVENTARIO!C258)),"130GR",
IF(ISNUMBER(SEARCH("150 GRS",INVENTARIO!C258)),"150GR",
IF(ISNUMBER(SEARCH("185 GRS",INVENTARIO!C258)),"185GR",
IF(ISNUMBER(SEARCH("200 GRS",INVENTARIO!C258)),"200GR",
IF(ISNUMBER(SEARCH("250 GRS",INVENTARIO!C258)),"250GR",
IF(ISNUMBER(SEARCH("300 GRS",INVENTARIO!C258)),"300GR",
IF(ISNUMBER(SEARCH("350 GRS",INVENTARIO!C258)),"350GR",
IF(ISNUMBER(SEARCH("18 OZ",INVENTARIO!C258)),"18OZ",
IF(ISNUMBER(SEARCH("15 OZ",INVENTARIO!C258)),"15OZ",
IF(OR(ISNUMBER(SEARCH("13 OZ",INVENTARIO!C258)),ISNUMBER(SEARCH("13 ONZAS",INVENTARIO!C258))),"13OZ",
IF(OR(ISNUMBER(SEARCH("9 OZ",INVENTARIO!C258)),ISNUMBER(SEARCH("9 ONZAS",INVENTARIO!C258))),"09OZ",
IF(ISNUMBER(SEARCH("DOBLE CARA",INVENTARIO!C258)),"DOB-CAR",
"")))))))))))))))</f>
        <v/>
      </c>
      <c r="E258" t="str">
        <f>IF(OR(ISNUMBER(SEARCH("TRANSPARENTE",INVENTARIO!C258)),ISNUMBER(SEARCH("TRANSPARENTES",INVENTARIO!C258))),"TRA",
IF(OR(ISNUMBER(SEARCH("BLANCO",INVENTARIO!C258)),ISNUMBER(SEARCH("BCO",INVENTARIO!C258))),"BLA",
IF(ISNUMBER(SEARCH("FOTOGRAFICO",INVENTARIO!C258)),"FOT",
IF(ISNUMBER(SEARCH("MARFIL",INVENTARIO!C258)),"MAR",
IF(ISNUMBER(SEARCH("VERDE",INVENTARIO!C258)),"VER",
IF(ISNUMBER(SEARCH("MORADO",INVENTARIO!C258)),"MOR",
IF(ISNUMBER(SEARCH("PLATA",INVENTARIO!C258)),"PLA",
IF(ISNUMBER(SEARCH("ORO",INVENTARIO!C258)),"ORO",
IF(ISNUMBER(SEARCH("AMARILLO",INVENTARIO!C258)),"AMA",
IF(ISNUMBER(SEARCH("NARANJA",INVENTARIO!C258)),"NAR",
IF(ISNUMBER(SEARCH("NEGRO",INVENTARIO!C258)),"NEG",
IF(ISNUMBER(SEARCH("ROJO",INVENTARIO!C258)),"ROJ",
IF(ISNUMBER(SEARCH("AZUL",INVENTARIO!C258)),"AZU","")))))))))))))</f>
        <v/>
      </c>
      <c r="F258" t="str">
        <f>IF(ISNUMBER(SEARCH("ARLON",INVENTARIO!C258)),"ARL",
IF(ISNUMBER(SEARCH("SUNTHINKS",INVENTARIO!C258)),"SUN",
IF(ISNUMBER(SEARCH("FRIO",INVENTARIO!C258)),"FRI",
IF(ISNUMBER(SEARCH("CALIDO",INVENTARIO!C258)),"CAL",
IF(ISNUMBER(SEARCH("CEPILLADO",INVENTARIO!C258)),"CEP",
IF(ISNUMBER(SEARCH("ESPEJO",INVENTARIO!C258)),"ESP",
""))))))</f>
        <v/>
      </c>
      <c r="G258" t="str">
        <f>IF(ISNUMBER(SEARCH("LATEX",INVENTARIO!C258)),"LAT",
IF(ISNUMBER(SEARCH("RESP. NEGRO",INVENTARIO!C258)),"RES-NEG",
IF(ISNUMBER(SEARCH("RESPALDO CAFE",INVENTARIO!C258)),"RES-CAF",
IF(ISNUMBER(SEARCH("RESPALDO GRIS",INVENTARIO!C258)),"RES-GRI",
IF(ISNUMBER(SEARCH("OPTICO",INVENTARIO!C258)),"OPT",
IF(ISNUMBER(SEARCH("1,2 MM",INVENTARIO!C258)),"1MM2",
IF(ISNUMBER(SEARCH("2 MM",INVENTARIO!C258)),"2MM",
IF(ISNUMBER(SEARCH("3 MM",INVENTARIO!C258)),"3MM",
IF(ISNUMBER(SEARCH("4 MM",INVENTARIO!C258)),"4MM",
IF(ISNUMBER(SEARCH("5 MM",INVENTARIO!C258)),"5MM",
IF(ISNUMBER(SEARCH("6 MM",INVENTARIO!C258)),"6MM",
IF(ISNUMBER(SEARCH("9 MM",INVENTARIO!C258)),"9MM",
IF(ISNUMBER(SEARCH("10 MM",INVENTARIO!C258)),"10MM","")))))))))))))</f>
        <v/>
      </c>
      <c r="H258" t="str">
        <f>IF(ISNUMBER(SEARCH("GAMA BAJA",INVENTARIO!C258)),"GAM-BAJ",
IF(ISNUMBER(SEARCH("OPTIMIZADOR",INVENTARIO!C258)),"OPT",
IF(ISNUMBER(SEARCH("OVERCOAT",INVENTARIO!C258)),"OVE",
IF(ISNUMBER(SEARCH("WHITE",INVENTARIO!C258)),"WHI",
IF(ISNUMBER(SEARCH("LIGHT CYAN",INVENTARIO!C258)),"LIG-CYA",
IF(ISNUMBER(SEARCH("CYAN",INVENTARIO!C258)),"CYA",
IF(ISNUMBER(SEARCH("LIGHT MAGENTA",INVENTARIO!C258)),"LIG-MAG",
IF(ISNUMBER(SEARCH("MAGENTA",INVENTARIO!C258)),"MAG",
IF(ISNUMBER(SEARCH("BLACK",INVENTARIO!C258)),"BLA",
IF(ISNUMBER(SEARCH("YELLOW",INVENTARIO!C258)),"YEL",
IF(ISNUMBER(SEARCH("2 DIODOS",INVENTARIO!C258)),"2DI",
IF(ISNUMBER(SEARCH("3 DIODOS",INVENTARIO!C258)),"3DI",
IF(OR(ISNUMBER(SEARCH("TRASLUCIDO",INVENTARIO!C258)),ISNUMBER(SEARCH("TRANSLUCIDO",INVENTARIO!C258))),"TRA",
"")))))))))))))</f>
        <v/>
      </c>
      <c r="I258" t="str">
        <f>IF(ISNUMBER(SEARCH("SILED",INVENTARIO!C248)),"SI",
IF(ISNUMBER(SEARCH("SYDEMEX",INVENTARIO!C248)),"SY",
IF(ISNUMBER(SEARCH("ROHS",INVENTARIO!C248)),"RO",
IF(ISNUMBER(SEARCH("RISHANG",INVENTARIO!C248)),"RS",
IF(ISNUMBER(SEARCH("VYG",INVENTARIO!C248)),"VYG",
IF(ISNUMBER(SEARCH("COLED",INVENTARIO!C248)),"CO",""))))))</f>
        <v/>
      </c>
    </row>
    <row r="259" spans="1:9">
      <c r="A259" t="str">
        <f>IF(ISNUMBER(SEARCH("LONA",INVENTARIO!C259)),"LON",
IF(ISNUMBER(SEARCH("VINIL",INVENTARIO!C259)),"VIN",
IF(ISNUMBER(SEARCH("KROMACOTE",INVENTARIO!C259)),"KRO",
IF(ISNUMBER(SEARCH("STARDREAM",INVENTARIO!C259)),"STA",
IF(ISNUMBER(SEARCH("DISPLAY",INVENTARIO!C259)),"DIS",
IF(ISNUMBER(SEARCH("ROLL UP",INVENTARIO!C259)),"ROL-UP",
IF(ISNUMBER(SEARCH("TRANSFER DE PAPEL",INVENTARIO!C259)),"TRA-PAP",
IF(ISNUMBER(SEARCH("TRANSFER",INVENTARIO!C259)),"TRA",IF(ISNUMBER(SEARCH("KOLA LOKA",INVENTARIO!C259)),"KOL-LOK",
IF(ISNUMBER(SEARCH("PETG",INVENTARIO!C259)),"PET",
IF(ISNUMBER(SEARCH("OJILLO",INVENTARIO!C259)),"OJI",
IF(ISNUMBER(SEARCH("COUCHE",INVENTARIO!C259)),"COU",
IF(ISNUMBER(SEARCH("PANEL DE ALUMINIO",INVENTARIO!C259)),"PAN-ALU",
IF(ISNUMBER(SEARCH("PVC",INVENTARIO!C259)),"PVC",
IF(ISNUMBER(SEARCH("PAPEL",INVENTARIO!C259)),"PAP",
IF(ISNUMBER(SEARCH("TELA",INVENTARIO!C259)),"TEL",
IF(ISNUMBER(SEARCH("CARTULINA",INVENTARIO!C259)),"CAR",
IF(OR(ISNUMBER(SEARCH("LAMINA",INVENTARIO!C259)),ISNUMBER(SEARCH("LÁMINA",INVENTARIO!C259)),ISNUMBER(SEARCH("LAMPARAS",INVENTARIO!C259))),"LAM",
IF(ISNUMBER(SEARCH("ESTIRENO",INVENTARIO!C259)),"EST",
IF(ISNUMBER(SEARCH("FOAMBOARD",INVENTARIO!C259)),"FOA",
IF(ISNUMBER(SEARCH("SOLVENTE",INVENTARIO!C259)),"SOL",
IF(ISNUMBER(SEARCH("TINTA",INVENTARIO!C259)),"TIN",
IF(ISNUMBER(SEARCH("ACRILICO",INVENTARIO!C259)),"ACR",
IF(ISNUMBER(SEARCH("MICROLED",INVENTARIO!C259)),"MIC",
IF(ISNUMBER(SEARCH("LED",INVENTARIO!C259)),"LED",
IF(ISNUMBER(SEARCH("FUENTE DE PODER",INVENTARIO!C259)),"FUE-POD",
IF(ISNUMBER(SEARCH("PETG",INVENTARIO!C259)),"PET",
IF(ISNUMBER(SEARCH("ALUMINIO",INVENTARIO!C259)),"ALU",
IF(ISNUMBER(SEARCH("CANAL",INVENTARIO!C259)),"CAN",
IF(ISNUMBER(SEARCH("ESCUADRA",INVENTARIO!C259)),"ESC",
IF(ISNUMBER(SEARCH("SOPORTE",INVENTARIO!C259)),"SOP","OTR")
))))))))))))))))))))))))))))))</f>
        <v>PET</v>
      </c>
      <c r="B259" t="str">
        <f>IF(ISNUMBER(SEARCH("CORTE",INVENTARIO!C259)),"COR",
IF(ISNUMBER(SEARCH("CITYLIGHT",INVENTARIO!C259)),"CIT",
IF(ISNUMBER(SEARCH("LINO",INVENTARIO!C259)),"LIN",
IF(ISNUMBER(SEARCH("FABRIANO",INVENTARIO!C259)),"FAB",
IF(ISNUMBER(SEARCH("SUNDANCE",INVENTARIO!C259)),"SUN",
IF(ISNUMBER(SEARCH("SINTETICA",INVENTARIO!C259)),"SIN",
IF(ISNUMBER(SEARCH("CONTROL",INVENTARIO!C259)),"CON",
IF(ISNUMBER(SEARCH("TERMICO",INVENTARIO!C259)),"TER",
IF(ISNUMBER(SEARCH("C-15",INVENTARIO!C259)),"C15",
IF(ISNUMBER(SEARCH("C-20",INVENTARIO!C259)),"C20",
IF(ISNUMBER(SEARCH("C-30",INVENTARIO!C259)),"C30",
IF(ISNUMBER(SEARCH("C-40",INVENTARIO!C259)),"C40",
IF(ISNUMBER(SEARCH("C-60",INVENTARIO!C259)),"C60",
IF(ISNUMBER(SEARCH("C-80",INVENTARIO!C259)),"C80",
IF(ISNUMBER(SEARCH("EQUIPO",INVENTARIO!C259)),"EQU",
IF(ISNUMBER(SEARCH("FLOOR",INVENTARIO!C259)),"FLO",
IF(ISNUMBER(SEARCH("CRISTAL",INVENTARIO!C259)),"CRI",
IF(ISNUMBER(SEARCH(" SULFATADA",INVENTARIO!C270)),"SUL",
IF(ISNUMBER(SEARCH("OPALINA",INVENTARIO!C259)),"OPA",
IF(ISNUMBER(SEARCH("ADHERIBLE",INVENTARIO!C259)),"ADH",
IF(ISNUMBER(SEARCH("MICRO",INVENTARIO!C259)),"MIC","")))))))))))))))))))))</f>
        <v/>
      </c>
      <c r="C259" t="str">
        <f>IF(ISNUMBER(SEARCH("PARED",INVENTARIO!C259)),"PAR",
IF(ISNUMBER(SEARCH("FRONT",INVENTARIO!C259)),"FRO",
IF(ISNUMBER(SEARCH("ALTA RESISTENCIA",INVENTARIO!C259)),
"ALT-RES",IF(ISNUMBER(SEARCH("BACKLITE",INVENTARIO!C259)),"BAC",
IF(ISNUMBER(SEARCH("MATE",INVENTARIO!C259)),"MAT",
IF(ISNUMBER(SEARCH("MESH",INVENTARIO!C259)),"MES",
IF(ISNUMBER(SEARCH("BRILLANTE",INVENTARIO!C259)),"BRI",
IF(ISNUMBER(SEARCH("DELGADA",INVENTARIO!C259)),"DEL",
IF(ISNUMBER(SEARCH("GRUESA",INVENTARIO!C259)),"GRU",
IF(ISNUMBER(SEARCH("ESTATICO",INVENTARIO!C259)),"EST",
IF(ISNUMBER(SEARCH("REFLECTIVO",INVENTARIO!C259)),"REF",
IF(ISNUMBER(SEARCH("LX700",INVENTARIO!C259)),"LX7",
IF(ISNUMBER(SEARCH("GRANDO",INVENTARIO!C259)),"GRA",
IF(ISNUMBER(SEARCH("FB700",INVENTARIO!C259)),"FB7",
IF(ISNUMBER(SEARCH("LX360",INVENTARIO!C259)),"LX3",
IF(ISNUMBER(SEARCH("XEROX",INVENTARIO!C259)),"XER",
IF(ISNUMBER(SEARCH("CEPILLADO",INVENTARIO!C259)),"CEP",
IF(ISNUMBER(SEARCH("ESPEJO",INVENTARIO!C259)),"ESP",
IF(ISNUMBER(SEARCH("10 PTS",INVENTARIO!C259)),"10PT",
IF(ISNUMBER(SEARCH("12 PTS",INVENTARIO!C259)),"12PT",
IF(ISNUMBER(SEARCH("14 PTS",INVENTARIO!C259)),"14PT",
IF(ISNUMBER(SEARCH("CLASICO",INVENTARIO!C259)),"CLA",
""))))))))))))))))))))))</f>
        <v/>
      </c>
      <c r="D259" t="str">
        <f>IF(ISNUMBER(SEARCH("GRAN FORMATO",INVENTARIO!C259)),"GRA-FOR",
IF(ISNUMBER(SEARCH("CAMA PLANA",INVENTARIO!C259)),"CAM-PLA",
IF(ISNUMBER(SEARCH("GRADO INGENIERIA",INVENTARIO!C259)),"GRA-ING",
IF(ISNUMBER(SEARCH("130 GRS",INVENTARIO!C259)),"130GR",
IF(ISNUMBER(SEARCH("150 GRS",INVENTARIO!C259)),"150GR",
IF(ISNUMBER(SEARCH("185 GRS",INVENTARIO!C259)),"185GR",
IF(ISNUMBER(SEARCH("200 GRS",INVENTARIO!C259)),"200GR",
IF(ISNUMBER(SEARCH("250 GRS",INVENTARIO!C259)),"250GR",
IF(ISNUMBER(SEARCH("300 GRS",INVENTARIO!C259)),"300GR",
IF(ISNUMBER(SEARCH("350 GRS",INVENTARIO!C259)),"350GR",
IF(ISNUMBER(SEARCH("18 OZ",INVENTARIO!C259)),"18OZ",
IF(ISNUMBER(SEARCH("15 OZ",INVENTARIO!C259)),"15OZ",
IF(OR(ISNUMBER(SEARCH("13 OZ",INVENTARIO!C259)),ISNUMBER(SEARCH("13 ONZAS",INVENTARIO!C259))),"13OZ",
IF(OR(ISNUMBER(SEARCH("9 OZ",INVENTARIO!C259)),ISNUMBER(SEARCH("9 ONZAS",INVENTARIO!C259))),"09OZ",
IF(ISNUMBER(SEARCH("DOBLE CARA",INVENTARIO!C259)),"DOB-CAR",
"")))))))))))))))</f>
        <v/>
      </c>
      <c r="E259" t="str">
        <f>IF(OR(ISNUMBER(SEARCH("TRANSPARENTE",INVENTARIO!C259)),ISNUMBER(SEARCH("TRANSPARENTES",INVENTARIO!C259))),"TRA",
IF(OR(ISNUMBER(SEARCH("BLANCO",INVENTARIO!C259)),ISNUMBER(SEARCH("BCO",INVENTARIO!C259))),"BLA",
IF(ISNUMBER(SEARCH("FOTOGRAFICO",INVENTARIO!C259)),"FOT",
IF(ISNUMBER(SEARCH("MARFIL",INVENTARIO!C259)),"MAR",
IF(ISNUMBER(SEARCH("VERDE",INVENTARIO!C259)),"VER",
IF(ISNUMBER(SEARCH("MORADO",INVENTARIO!C259)),"MOR",
IF(ISNUMBER(SEARCH("PLATA",INVENTARIO!C259)),"PLA",
IF(ISNUMBER(SEARCH("ORO",INVENTARIO!C259)),"ORO",
IF(ISNUMBER(SEARCH("AMARILLO",INVENTARIO!C259)),"AMA",
IF(ISNUMBER(SEARCH("NARANJA",INVENTARIO!C259)),"NAR",
IF(ISNUMBER(SEARCH("NEGRO",INVENTARIO!C259)),"NEG",
IF(ISNUMBER(SEARCH("ROJO",INVENTARIO!C259)),"ROJ",
IF(ISNUMBER(SEARCH("AZUL",INVENTARIO!C259)),"AZU","")))))))))))))</f>
        <v/>
      </c>
      <c r="F259" t="str">
        <f>IF(ISNUMBER(SEARCH("ARLON",INVENTARIO!C259)),"ARL",
IF(ISNUMBER(SEARCH("SUNTHINKS",INVENTARIO!C259)),"SUN",
IF(ISNUMBER(SEARCH("FRIO",INVENTARIO!C259)),"FRI",
IF(ISNUMBER(SEARCH("CALIDO",INVENTARIO!C259)),"CAL",
IF(ISNUMBER(SEARCH("CEPILLADO",INVENTARIO!C259)),"CEP",
IF(ISNUMBER(SEARCH("ESPEJO",INVENTARIO!C259)),"ESP",
""))))))</f>
        <v/>
      </c>
      <c r="G259" t="str">
        <f>IF(ISNUMBER(SEARCH("LATEX",INVENTARIO!C259)),"LAT",
IF(ISNUMBER(SEARCH("RESP. NEGRO",INVENTARIO!C259)),"RES-NEG",
IF(ISNUMBER(SEARCH("RESPALDO CAFE",INVENTARIO!C259)),"RES-CAF",
IF(ISNUMBER(SEARCH("RESPALDO GRIS",INVENTARIO!C259)),"RES-GRI",
IF(ISNUMBER(SEARCH("OPTICO",INVENTARIO!C259)),"OPT",
IF(ISNUMBER(SEARCH("1,2 MM",INVENTARIO!C259)),"1MM2",
IF(ISNUMBER(SEARCH("2 MM",INVENTARIO!C259)),"2MM",
IF(ISNUMBER(SEARCH("3 MM",INVENTARIO!C259)),"3MM",
IF(ISNUMBER(SEARCH("4 MM",INVENTARIO!C259)),"4MM",
IF(ISNUMBER(SEARCH("5 MM",INVENTARIO!C259)),"5MM",
IF(ISNUMBER(SEARCH("6 MM",INVENTARIO!C259)),"6MM",
IF(ISNUMBER(SEARCH("9 MM",INVENTARIO!C259)),"9MM",
IF(ISNUMBER(SEARCH("10 MM",INVENTARIO!C259)),"10MM","")))))))))))))</f>
        <v/>
      </c>
      <c r="H259" t="str">
        <f>IF(ISNUMBER(SEARCH("GAMA BAJA",INVENTARIO!C259)),"GAM-BAJ",
IF(ISNUMBER(SEARCH("OPTIMIZADOR",INVENTARIO!C259)),"OPT",
IF(ISNUMBER(SEARCH("OVERCOAT",INVENTARIO!C259)),"OVE",
IF(ISNUMBER(SEARCH("WHITE",INVENTARIO!C259)),"WHI",
IF(ISNUMBER(SEARCH("LIGHT CYAN",INVENTARIO!C259)),"LIG-CYA",
IF(ISNUMBER(SEARCH("CYAN",INVENTARIO!C259)),"CYA",
IF(ISNUMBER(SEARCH("LIGHT MAGENTA",INVENTARIO!C259)),"LIG-MAG",
IF(ISNUMBER(SEARCH("MAGENTA",INVENTARIO!C259)),"MAG",
IF(ISNUMBER(SEARCH("BLACK",INVENTARIO!C259)),"BLA",
IF(ISNUMBER(SEARCH("YELLOW",INVENTARIO!C259)),"YEL",
IF(ISNUMBER(SEARCH("2 DIODOS",INVENTARIO!C259)),"2DI",
IF(ISNUMBER(SEARCH("3 DIODOS",INVENTARIO!C259)),"3DI",
IF(OR(ISNUMBER(SEARCH("TRASLUCIDO",INVENTARIO!C259)),ISNUMBER(SEARCH("TRANSLUCIDO",INVENTARIO!C259))),"TRA",
"")))))))))))))</f>
        <v/>
      </c>
      <c r="I259" t="str">
        <f>IF(ISNUMBER(SEARCH("SILED",INVENTARIO!C249)),"SI",
IF(ISNUMBER(SEARCH("SYDEMEX",INVENTARIO!C249)),"SY",
IF(ISNUMBER(SEARCH("ROHS",INVENTARIO!C249)),"RO",
IF(ISNUMBER(SEARCH("RISHANG",INVENTARIO!C249)),"RS",
IF(ISNUMBER(SEARCH("VYG",INVENTARIO!C249)),"VYG",
IF(ISNUMBER(SEARCH("COLED",INVENTARIO!C249)),"CO",""))))))</f>
        <v/>
      </c>
    </row>
    <row r="260" spans="1:9">
      <c r="A260" t="str">
        <f>IF(ISNUMBER(SEARCH("LONA",INVENTARIO!C260)),"LON",
IF(ISNUMBER(SEARCH("VINIL",INVENTARIO!C260)),"VIN",
IF(ISNUMBER(SEARCH("KROMACOTE",INVENTARIO!C260)),"KRO",
IF(ISNUMBER(SEARCH("STARDREAM",INVENTARIO!C260)),"STA",
IF(ISNUMBER(SEARCH("DISPLAY",INVENTARIO!C260)),"DIS",
IF(ISNUMBER(SEARCH("ROLL UP",INVENTARIO!C260)),"ROL-UP",
IF(ISNUMBER(SEARCH("TRANSFER DE PAPEL",INVENTARIO!C260)),"TRA-PAP",
IF(ISNUMBER(SEARCH("TRANSFER",INVENTARIO!C260)),"TRA",IF(ISNUMBER(SEARCH("KOLA LOKA",INVENTARIO!C260)),"KOL-LOK",
IF(ISNUMBER(SEARCH("PETG",INVENTARIO!C260)),"PET",
IF(ISNUMBER(SEARCH("OJILLO",INVENTARIO!C260)),"OJI",
IF(ISNUMBER(SEARCH("COUCHE",INVENTARIO!C260)),"COU",
IF(ISNUMBER(SEARCH("PANEL DE ALUMINIO",INVENTARIO!C260)),"PAN-ALU",
IF(ISNUMBER(SEARCH("PVC",INVENTARIO!C260)),"PVC",
IF(ISNUMBER(SEARCH("PAPEL",INVENTARIO!C260)),"PAP",
IF(ISNUMBER(SEARCH("TELA",INVENTARIO!C260)),"TEL",
IF(ISNUMBER(SEARCH("CARTULINA",INVENTARIO!C260)),"CAR",
IF(OR(ISNUMBER(SEARCH("LAMINA",INVENTARIO!C260)),ISNUMBER(SEARCH("LÁMINA",INVENTARIO!C260)),ISNUMBER(SEARCH("LAMPARAS",INVENTARIO!C260))),"LAM",
IF(ISNUMBER(SEARCH("ESTIRENO",INVENTARIO!C260)),"EST",
IF(ISNUMBER(SEARCH("FOAMBOARD",INVENTARIO!C260)),"FOA",
IF(ISNUMBER(SEARCH("SOLVENTE",INVENTARIO!C260)),"SOL",
IF(ISNUMBER(SEARCH("TINTA",INVENTARIO!C260)),"TIN",
IF(ISNUMBER(SEARCH("ACRILICO",INVENTARIO!C260)),"ACR",
IF(ISNUMBER(SEARCH("MICROLED",INVENTARIO!C260)),"MIC",
IF(ISNUMBER(SEARCH("LED",INVENTARIO!C260)),"LED",
IF(ISNUMBER(SEARCH("FUENTE DE PODER",INVENTARIO!C260)),"FUE-POD",
IF(ISNUMBER(SEARCH("PETG",INVENTARIO!C260)),"PET",
IF(ISNUMBER(SEARCH("ALUMINIO",INVENTARIO!C260)),"ALU",
IF(ISNUMBER(SEARCH("CANAL",INVENTARIO!C260)),"CAN",
IF(ISNUMBER(SEARCH("ESCUADRA",INVENTARIO!C260)),"ESC",
IF(ISNUMBER(SEARCH("SOPORTE",INVENTARIO!C260)),"SOP","OTR")
))))))))))))))))))))))))))))))</f>
        <v>PET</v>
      </c>
      <c r="B260" t="str">
        <f>IF(ISNUMBER(SEARCH("CORTE",INVENTARIO!C260)),"COR",
IF(ISNUMBER(SEARCH("CITYLIGHT",INVENTARIO!C260)),"CIT",
IF(ISNUMBER(SEARCH("LINO",INVENTARIO!C260)),"LIN",
IF(ISNUMBER(SEARCH("FABRIANO",INVENTARIO!C260)),"FAB",
IF(ISNUMBER(SEARCH("SUNDANCE",INVENTARIO!C260)),"SUN",
IF(ISNUMBER(SEARCH("SINTETICA",INVENTARIO!C260)),"SIN",
IF(ISNUMBER(SEARCH("CONTROL",INVENTARIO!C260)),"CON",
IF(ISNUMBER(SEARCH("TERMICO",INVENTARIO!C260)),"TER",
IF(ISNUMBER(SEARCH("C-15",INVENTARIO!C260)),"C15",
IF(ISNUMBER(SEARCH("C-20",INVENTARIO!C260)),"C20",
IF(ISNUMBER(SEARCH("C-30",INVENTARIO!C260)),"C30",
IF(ISNUMBER(SEARCH("C-40",INVENTARIO!C260)),"C40",
IF(ISNUMBER(SEARCH("C-60",INVENTARIO!C260)),"C60",
IF(ISNUMBER(SEARCH("C-80",INVENTARIO!C260)),"C80",
IF(ISNUMBER(SEARCH("EQUIPO",INVENTARIO!C260)),"EQU",
IF(ISNUMBER(SEARCH("FLOOR",INVENTARIO!C260)),"FLO",
IF(ISNUMBER(SEARCH("CRISTAL",INVENTARIO!C260)),"CRI",
IF(ISNUMBER(SEARCH(" SULFATADA",INVENTARIO!C271)),"SUL",
IF(ISNUMBER(SEARCH("OPALINA",INVENTARIO!C260)),"OPA",
IF(ISNUMBER(SEARCH("ADHERIBLE",INVENTARIO!C260)),"ADH",
IF(ISNUMBER(SEARCH("MICRO",INVENTARIO!C260)),"MIC","")))))))))))))))))))))</f>
        <v/>
      </c>
      <c r="C260" t="str">
        <f>IF(ISNUMBER(SEARCH("PARED",INVENTARIO!C260)),"PAR",
IF(ISNUMBER(SEARCH("FRONT",INVENTARIO!C260)),"FRO",
IF(ISNUMBER(SEARCH("ALTA RESISTENCIA",INVENTARIO!C260)),
"ALT-RES",IF(ISNUMBER(SEARCH("BACKLITE",INVENTARIO!C260)),"BAC",
IF(ISNUMBER(SEARCH("MATE",INVENTARIO!C260)),"MAT",
IF(ISNUMBER(SEARCH("MESH",INVENTARIO!C260)),"MES",
IF(ISNUMBER(SEARCH("BRILLANTE",INVENTARIO!C260)),"BRI",
IF(ISNUMBER(SEARCH("DELGADA",INVENTARIO!C260)),"DEL",
IF(ISNUMBER(SEARCH("GRUESA",INVENTARIO!C260)),"GRU",
IF(ISNUMBER(SEARCH("ESTATICO",INVENTARIO!C260)),"EST",
IF(ISNUMBER(SEARCH("REFLECTIVO",INVENTARIO!C260)),"REF",
IF(ISNUMBER(SEARCH("LX700",INVENTARIO!C260)),"LX7",
IF(ISNUMBER(SEARCH("GRANDO",INVENTARIO!C260)),"GRA",
IF(ISNUMBER(SEARCH("FB700",INVENTARIO!C260)),"FB7",
IF(ISNUMBER(SEARCH("LX360",INVENTARIO!C260)),"LX3",
IF(ISNUMBER(SEARCH("XEROX",INVENTARIO!C260)),"XER",
IF(ISNUMBER(SEARCH("CEPILLADO",INVENTARIO!C260)),"CEP",
IF(ISNUMBER(SEARCH("ESPEJO",INVENTARIO!C260)),"ESP",
IF(ISNUMBER(SEARCH("10 PTS",INVENTARIO!C260)),"10PT",
IF(ISNUMBER(SEARCH("12 PTS",INVENTARIO!C260)),"12PT",
IF(ISNUMBER(SEARCH("14 PTS",INVENTARIO!C260)),"14PT",
IF(ISNUMBER(SEARCH("CLASICO",INVENTARIO!C260)),"CLA",
""))))))))))))))))))))))</f>
        <v/>
      </c>
      <c r="D260" t="str">
        <f>IF(ISNUMBER(SEARCH("GRAN FORMATO",INVENTARIO!C260)),"GRA-FOR",
IF(ISNUMBER(SEARCH("CAMA PLANA",INVENTARIO!C260)),"CAM-PLA",
IF(ISNUMBER(SEARCH("GRADO INGENIERIA",INVENTARIO!C260)),"GRA-ING",
IF(ISNUMBER(SEARCH("130 GRS",INVENTARIO!C260)),"130GR",
IF(ISNUMBER(SEARCH("150 GRS",INVENTARIO!C260)),"150GR",
IF(ISNUMBER(SEARCH("185 GRS",INVENTARIO!C260)),"185GR",
IF(ISNUMBER(SEARCH("200 GRS",INVENTARIO!C260)),"200GR",
IF(ISNUMBER(SEARCH("250 GRS",INVENTARIO!C260)),"250GR",
IF(ISNUMBER(SEARCH("300 GRS",INVENTARIO!C260)),"300GR",
IF(ISNUMBER(SEARCH("350 GRS",INVENTARIO!C260)),"350GR",
IF(ISNUMBER(SEARCH("18 OZ",INVENTARIO!C260)),"18OZ",
IF(ISNUMBER(SEARCH("15 OZ",INVENTARIO!C260)),"15OZ",
IF(OR(ISNUMBER(SEARCH("13 OZ",INVENTARIO!C260)),ISNUMBER(SEARCH("13 ONZAS",INVENTARIO!C260))),"13OZ",
IF(OR(ISNUMBER(SEARCH("9 OZ",INVENTARIO!C260)),ISNUMBER(SEARCH("9 ONZAS",INVENTARIO!C260))),"09OZ",
IF(ISNUMBER(SEARCH("DOBLE CARA",INVENTARIO!C260)),"DOB-CAR",
"")))))))))))))))</f>
        <v/>
      </c>
      <c r="E260" t="str">
        <f>IF(OR(ISNUMBER(SEARCH("TRANSPARENTE",INVENTARIO!C260)),ISNUMBER(SEARCH("TRANSPARENTES",INVENTARIO!C260))),"TRA",
IF(OR(ISNUMBER(SEARCH("BLANCO",INVENTARIO!C260)),ISNUMBER(SEARCH("BCO",INVENTARIO!C260))),"BLA",
IF(ISNUMBER(SEARCH("FOTOGRAFICO",INVENTARIO!C260)),"FOT",
IF(ISNUMBER(SEARCH("MARFIL",INVENTARIO!C260)),"MAR",
IF(ISNUMBER(SEARCH("VERDE",INVENTARIO!C260)),"VER",
IF(ISNUMBER(SEARCH("MORADO",INVENTARIO!C260)),"MOR",
IF(ISNUMBER(SEARCH("PLATA",INVENTARIO!C260)),"PLA",
IF(ISNUMBER(SEARCH("ORO",INVENTARIO!C260)),"ORO",
IF(ISNUMBER(SEARCH("AMARILLO",INVENTARIO!C260)),"AMA",
IF(ISNUMBER(SEARCH("NARANJA",INVENTARIO!C260)),"NAR",
IF(ISNUMBER(SEARCH("NEGRO",INVENTARIO!C260)),"NEG",
IF(ISNUMBER(SEARCH("ROJO",INVENTARIO!C260)),"ROJ",
IF(ISNUMBER(SEARCH("AZUL",INVENTARIO!C260)),"AZU","")))))))))))))</f>
        <v/>
      </c>
      <c r="F260" t="str">
        <f>IF(ISNUMBER(SEARCH("ARLON",INVENTARIO!C260)),"ARL",
IF(ISNUMBER(SEARCH("SUNTHINKS",INVENTARIO!C260)),"SUN",
IF(ISNUMBER(SEARCH("FRIO",INVENTARIO!C260)),"FRI",
IF(ISNUMBER(SEARCH("CALIDO",INVENTARIO!C260)),"CAL",
IF(ISNUMBER(SEARCH("CEPILLADO",INVENTARIO!C260)),"CEP",
IF(ISNUMBER(SEARCH("ESPEJO",INVENTARIO!C260)),"ESP",
""))))))</f>
        <v/>
      </c>
      <c r="G260" t="str">
        <f>IF(ISNUMBER(SEARCH("LATEX",INVENTARIO!C260)),"LAT",
IF(ISNUMBER(SEARCH("RESP. NEGRO",INVENTARIO!C260)),"RES-NEG",
IF(ISNUMBER(SEARCH("RESPALDO CAFE",INVENTARIO!C260)),"RES-CAF",
IF(ISNUMBER(SEARCH("RESPALDO GRIS",INVENTARIO!C260)),"RES-GRI",
IF(ISNUMBER(SEARCH("OPTICO",INVENTARIO!C260)),"OPT",
IF(ISNUMBER(SEARCH("1,2 MM",INVENTARIO!C260)),"1MM2",
IF(ISNUMBER(SEARCH("2 MM",INVENTARIO!C260)),"2MM",
IF(ISNUMBER(SEARCH("3 MM",INVENTARIO!C260)),"3MM",
IF(ISNUMBER(SEARCH("4 MM",INVENTARIO!C260)),"4MM",
IF(ISNUMBER(SEARCH("5 MM",INVENTARIO!C260)),"5MM",
IF(ISNUMBER(SEARCH("6 MM",INVENTARIO!C260)),"6MM",
IF(ISNUMBER(SEARCH("9 MM",INVENTARIO!C260)),"9MM",
IF(ISNUMBER(SEARCH("10 MM",INVENTARIO!C260)),"10MM","")))))))))))))</f>
        <v/>
      </c>
      <c r="H260" t="str">
        <f>IF(ISNUMBER(SEARCH("GAMA BAJA",INVENTARIO!C260)),"GAM-BAJ",
IF(ISNUMBER(SEARCH("OPTIMIZADOR",INVENTARIO!C260)),"OPT",
IF(ISNUMBER(SEARCH("OVERCOAT",INVENTARIO!C260)),"OVE",
IF(ISNUMBER(SEARCH("WHITE",INVENTARIO!C260)),"WHI",
IF(ISNUMBER(SEARCH("LIGHT CYAN",INVENTARIO!C260)),"LIG-CYA",
IF(ISNUMBER(SEARCH("CYAN",INVENTARIO!C260)),"CYA",
IF(ISNUMBER(SEARCH("LIGHT MAGENTA",INVENTARIO!C260)),"LIG-MAG",
IF(ISNUMBER(SEARCH("MAGENTA",INVENTARIO!C260)),"MAG",
IF(ISNUMBER(SEARCH("BLACK",INVENTARIO!C260)),"BLA",
IF(ISNUMBER(SEARCH("YELLOW",INVENTARIO!C260)),"YEL",
IF(ISNUMBER(SEARCH("2 DIODOS",INVENTARIO!C260)),"2DI",
IF(ISNUMBER(SEARCH("3 DIODOS",INVENTARIO!C260)),"3DI",
IF(OR(ISNUMBER(SEARCH("TRASLUCIDO",INVENTARIO!C260)),ISNUMBER(SEARCH("TRANSLUCIDO",INVENTARIO!C260))),"TRA",
"")))))))))))))</f>
        <v/>
      </c>
      <c r="I260" t="str">
        <f>IF(ISNUMBER(SEARCH("SILED",INVENTARIO!C250)),"SI",
IF(ISNUMBER(SEARCH("SYDEMEX",INVENTARIO!C250)),"SY",
IF(ISNUMBER(SEARCH("ROHS",INVENTARIO!C250)),"RO",
IF(ISNUMBER(SEARCH("RISHANG",INVENTARIO!C250)),"RS",
IF(ISNUMBER(SEARCH("VYG",INVENTARIO!C250)),"VYG",
IF(ISNUMBER(SEARCH("COLED",INVENTARIO!C250)),"CO",""))))))</f>
        <v/>
      </c>
    </row>
    <row r="261" spans="1:9">
      <c r="A261" t="str">
        <f>IF(ISNUMBER(SEARCH("LONA",INVENTARIO!C261)),"LON",
IF(ISNUMBER(SEARCH("VINIL",INVENTARIO!C261)),"VIN",
IF(ISNUMBER(SEARCH("KROMACOTE",INVENTARIO!C261)),"KRO",
IF(ISNUMBER(SEARCH("STARDREAM",INVENTARIO!C261)),"STA",
IF(ISNUMBER(SEARCH("DISPLAY",INVENTARIO!C261)),"DIS",
IF(ISNUMBER(SEARCH("ROLL UP",INVENTARIO!C261)),"ROL-UP",
IF(ISNUMBER(SEARCH("TRANSFER DE PAPEL",INVENTARIO!C261)),"TRA-PAP",
IF(ISNUMBER(SEARCH("TRANSFER",INVENTARIO!C261)),"TRA",IF(ISNUMBER(SEARCH("KOLA LOKA",INVENTARIO!C261)),"KOL-LOK",
IF(ISNUMBER(SEARCH("PETG",INVENTARIO!C261)),"PET",
IF(ISNUMBER(SEARCH("OJILLO",INVENTARIO!C261)),"OJI",
IF(ISNUMBER(SEARCH("COUCHE",INVENTARIO!C261)),"COU",
IF(ISNUMBER(SEARCH("PANEL DE ALUMINIO",INVENTARIO!C261)),"PAN-ALU",
IF(ISNUMBER(SEARCH("PVC",INVENTARIO!C261)),"PVC",
IF(ISNUMBER(SEARCH("PAPEL",INVENTARIO!C261)),"PAP",
IF(ISNUMBER(SEARCH("TELA",INVENTARIO!C261)),"TEL",
IF(ISNUMBER(SEARCH("CARTULINA",INVENTARIO!C261)),"CAR",
IF(OR(ISNUMBER(SEARCH("LAMINA",INVENTARIO!C261)),ISNUMBER(SEARCH("LÁMINA",INVENTARIO!C261)),ISNUMBER(SEARCH("LAMPARAS",INVENTARIO!C261))),"LAM",
IF(ISNUMBER(SEARCH("ESTIRENO",INVENTARIO!C261)),"EST",
IF(ISNUMBER(SEARCH("FOAMBOARD",INVENTARIO!C261)),"FOA",
IF(ISNUMBER(SEARCH("SOLVENTE",INVENTARIO!C261)),"SOL",
IF(ISNUMBER(SEARCH("TINTA",INVENTARIO!C261)),"TIN",
IF(ISNUMBER(SEARCH("ACRILICO",INVENTARIO!C261)),"ACR",
IF(ISNUMBER(SEARCH("MICROLED",INVENTARIO!C261)),"MIC",
IF(ISNUMBER(SEARCH("LED",INVENTARIO!C261)),"LED",
IF(ISNUMBER(SEARCH("FUENTE DE PODER",INVENTARIO!C261)),"FUE-POD",
IF(ISNUMBER(SEARCH("PETG",INVENTARIO!C261)),"PET",
IF(ISNUMBER(SEARCH("ALUMINIO",INVENTARIO!C261)),"ALU",
IF(ISNUMBER(SEARCH("CANAL",INVENTARIO!C261)),"CAN",
IF(ISNUMBER(SEARCH("ESCUADRA",INVENTARIO!C261)),"ESC",
IF(ISNUMBER(SEARCH("SOPORTE",INVENTARIO!C261)),"SOP","OTR")
))))))))))))))))))))))))))))))</f>
        <v>PET</v>
      </c>
      <c r="B261" t="str">
        <f>IF(ISNUMBER(SEARCH("CORTE",INVENTARIO!C261)),"COR",
IF(ISNUMBER(SEARCH("CITYLIGHT",INVENTARIO!C261)),"CIT",
IF(ISNUMBER(SEARCH("LINO",INVENTARIO!C261)),"LIN",
IF(ISNUMBER(SEARCH("FABRIANO",INVENTARIO!C261)),"FAB",
IF(ISNUMBER(SEARCH("SUNDANCE",INVENTARIO!C261)),"SUN",
IF(ISNUMBER(SEARCH("SINTETICA",INVENTARIO!C261)),"SIN",
IF(ISNUMBER(SEARCH("CONTROL",INVENTARIO!C261)),"CON",
IF(ISNUMBER(SEARCH("TERMICO",INVENTARIO!C261)),"TER",
IF(ISNUMBER(SEARCH("C-15",INVENTARIO!C261)),"C15",
IF(ISNUMBER(SEARCH("C-20",INVENTARIO!C261)),"C20",
IF(ISNUMBER(SEARCH("C-30",INVENTARIO!C261)),"C30",
IF(ISNUMBER(SEARCH("C-40",INVENTARIO!C261)),"C40",
IF(ISNUMBER(SEARCH("C-60",INVENTARIO!C261)),"C60",
IF(ISNUMBER(SEARCH("C-80",INVENTARIO!C261)),"C80",
IF(ISNUMBER(SEARCH("EQUIPO",INVENTARIO!C261)),"EQU",
IF(ISNUMBER(SEARCH("FLOOR",INVENTARIO!C261)),"FLO",
IF(ISNUMBER(SEARCH("CRISTAL",INVENTARIO!C261)),"CRI",
IF(ISNUMBER(SEARCH(" SULFATADA",INVENTARIO!C272)),"SUL",
IF(ISNUMBER(SEARCH("OPALINA",INVENTARIO!C261)),"OPA",
IF(ISNUMBER(SEARCH("ADHERIBLE",INVENTARIO!C261)),"ADH",
IF(ISNUMBER(SEARCH("MICRO",INVENTARIO!C261)),"MIC","")))))))))))))))))))))</f>
        <v/>
      </c>
      <c r="C261" t="str">
        <f>IF(ISNUMBER(SEARCH("PARED",INVENTARIO!C261)),"PAR",
IF(ISNUMBER(SEARCH("FRONT",INVENTARIO!C261)),"FRO",
IF(ISNUMBER(SEARCH("ALTA RESISTENCIA",INVENTARIO!C261)),
"ALT-RES",IF(ISNUMBER(SEARCH("BACKLITE",INVENTARIO!C261)),"BAC",
IF(ISNUMBER(SEARCH("MATE",INVENTARIO!C261)),"MAT",
IF(ISNUMBER(SEARCH("MESH",INVENTARIO!C261)),"MES",
IF(ISNUMBER(SEARCH("BRILLANTE",INVENTARIO!C261)),"BRI",
IF(ISNUMBER(SEARCH("DELGADA",INVENTARIO!C261)),"DEL",
IF(ISNUMBER(SEARCH("GRUESA",INVENTARIO!C261)),"GRU",
IF(ISNUMBER(SEARCH("ESTATICO",INVENTARIO!C261)),"EST",
IF(ISNUMBER(SEARCH("REFLECTIVO",INVENTARIO!C261)),"REF",
IF(ISNUMBER(SEARCH("LX700",INVENTARIO!C261)),"LX7",
IF(ISNUMBER(SEARCH("GRANDO",INVENTARIO!C261)),"GRA",
IF(ISNUMBER(SEARCH("FB700",INVENTARIO!C261)),"FB7",
IF(ISNUMBER(SEARCH("LX360",INVENTARIO!C261)),"LX3",
IF(ISNUMBER(SEARCH("XEROX",INVENTARIO!C261)),"XER",
IF(ISNUMBER(SEARCH("CEPILLADO",INVENTARIO!C261)),"CEP",
IF(ISNUMBER(SEARCH("ESPEJO",INVENTARIO!C261)),"ESP",
IF(ISNUMBER(SEARCH("10 PTS",INVENTARIO!C261)),"10PT",
IF(ISNUMBER(SEARCH("12 PTS",INVENTARIO!C261)),"12PT",
IF(ISNUMBER(SEARCH("14 PTS",INVENTARIO!C261)),"14PT",
IF(ISNUMBER(SEARCH("CLASICO",INVENTARIO!C261)),"CLA",
""))))))))))))))))))))))</f>
        <v/>
      </c>
      <c r="D261" t="str">
        <f>IF(ISNUMBER(SEARCH("GRAN FORMATO",INVENTARIO!C261)),"GRA-FOR",
IF(ISNUMBER(SEARCH("CAMA PLANA",INVENTARIO!C261)),"CAM-PLA",
IF(ISNUMBER(SEARCH("GRADO INGENIERIA",INVENTARIO!C261)),"GRA-ING",
IF(ISNUMBER(SEARCH("130 GRS",INVENTARIO!C261)),"130GR",
IF(ISNUMBER(SEARCH("150 GRS",INVENTARIO!C261)),"150GR",
IF(ISNUMBER(SEARCH("185 GRS",INVENTARIO!C261)),"185GR",
IF(ISNUMBER(SEARCH("200 GRS",INVENTARIO!C261)),"200GR",
IF(ISNUMBER(SEARCH("250 GRS",INVENTARIO!C261)),"250GR",
IF(ISNUMBER(SEARCH("300 GRS",INVENTARIO!C261)),"300GR",
IF(ISNUMBER(SEARCH("350 GRS",INVENTARIO!C261)),"350GR",
IF(ISNUMBER(SEARCH("18 OZ",INVENTARIO!C261)),"18OZ",
IF(ISNUMBER(SEARCH("15 OZ",INVENTARIO!C261)),"15OZ",
IF(OR(ISNUMBER(SEARCH("13 OZ",INVENTARIO!C261)),ISNUMBER(SEARCH("13 ONZAS",INVENTARIO!C261))),"13OZ",
IF(OR(ISNUMBER(SEARCH("9 OZ",INVENTARIO!C261)),ISNUMBER(SEARCH("9 ONZAS",INVENTARIO!C261))),"09OZ",
IF(ISNUMBER(SEARCH("DOBLE CARA",INVENTARIO!C261)),"DOB-CAR",
"")))))))))))))))</f>
        <v/>
      </c>
      <c r="E261" t="str">
        <f>IF(OR(ISNUMBER(SEARCH("TRANSPARENTE",INVENTARIO!C261)),ISNUMBER(SEARCH("TRANSPARENTES",INVENTARIO!C261))),"TRA",
IF(OR(ISNUMBER(SEARCH("BLANCO",INVENTARIO!C261)),ISNUMBER(SEARCH("BCO",INVENTARIO!C261))),"BLA",
IF(ISNUMBER(SEARCH("FOTOGRAFICO",INVENTARIO!C261)),"FOT",
IF(ISNUMBER(SEARCH("MARFIL",INVENTARIO!C261)),"MAR",
IF(ISNUMBER(SEARCH("VERDE",INVENTARIO!C261)),"VER",
IF(ISNUMBER(SEARCH("MORADO",INVENTARIO!C261)),"MOR",
IF(ISNUMBER(SEARCH("PLATA",INVENTARIO!C261)),"PLA",
IF(ISNUMBER(SEARCH("ORO",INVENTARIO!C261)),"ORO",
IF(ISNUMBER(SEARCH("AMARILLO",INVENTARIO!C261)),"AMA",
IF(ISNUMBER(SEARCH("NARANJA",INVENTARIO!C261)),"NAR",
IF(ISNUMBER(SEARCH("NEGRO",INVENTARIO!C261)),"NEG",
IF(ISNUMBER(SEARCH("ROJO",INVENTARIO!C261)),"ROJ",
IF(ISNUMBER(SEARCH("AZUL",INVENTARIO!C261)),"AZU","")))))))))))))</f>
        <v/>
      </c>
      <c r="F261" t="str">
        <f>IF(ISNUMBER(SEARCH("ARLON",INVENTARIO!C261)),"ARL",
IF(ISNUMBER(SEARCH("SUNTHINKS",INVENTARIO!C261)),"SUN",
IF(ISNUMBER(SEARCH("FRIO",INVENTARIO!C261)),"FRI",
IF(ISNUMBER(SEARCH("CALIDO",INVENTARIO!C261)),"CAL",
IF(ISNUMBER(SEARCH("CEPILLADO",INVENTARIO!C261)),"CEP",
IF(ISNUMBER(SEARCH("ESPEJO",INVENTARIO!C261)),"ESP",
""))))))</f>
        <v/>
      </c>
      <c r="G261" t="str">
        <f>IF(ISNUMBER(SEARCH("LATEX",INVENTARIO!C261)),"LAT",
IF(ISNUMBER(SEARCH("RESP. NEGRO",INVENTARIO!C261)),"RES-NEG",
IF(ISNUMBER(SEARCH("RESPALDO CAFE",INVENTARIO!C261)),"RES-CAF",
IF(ISNUMBER(SEARCH("RESPALDO GRIS",INVENTARIO!C261)),"RES-GRI",
IF(ISNUMBER(SEARCH("OPTICO",INVENTARIO!C261)),"OPT",
IF(ISNUMBER(SEARCH("1,2 MM",INVENTARIO!C261)),"1MM2",
IF(ISNUMBER(SEARCH("2 MM",INVENTARIO!C261)),"2MM",
IF(ISNUMBER(SEARCH("3 MM",INVENTARIO!C261)),"3MM",
IF(ISNUMBER(SEARCH("4 MM",INVENTARIO!C261)),"4MM",
IF(ISNUMBER(SEARCH("5 MM",INVENTARIO!C261)),"5MM",
IF(ISNUMBER(SEARCH("6 MM",INVENTARIO!C261)),"6MM",
IF(ISNUMBER(SEARCH("9 MM",INVENTARIO!C261)),"9MM",
IF(ISNUMBER(SEARCH("10 MM",INVENTARIO!C261)),"10MM","")))))))))))))</f>
        <v/>
      </c>
      <c r="H261" t="str">
        <f>IF(ISNUMBER(SEARCH("GAMA BAJA",INVENTARIO!C261)),"GAM-BAJ",
IF(ISNUMBER(SEARCH("OPTIMIZADOR",INVENTARIO!C261)),"OPT",
IF(ISNUMBER(SEARCH("OVERCOAT",INVENTARIO!C261)),"OVE",
IF(ISNUMBER(SEARCH("WHITE",INVENTARIO!C261)),"WHI",
IF(ISNUMBER(SEARCH("LIGHT CYAN",INVENTARIO!C261)),"LIG-CYA",
IF(ISNUMBER(SEARCH("CYAN",INVENTARIO!C261)),"CYA",
IF(ISNUMBER(SEARCH("LIGHT MAGENTA",INVENTARIO!C261)),"LIG-MAG",
IF(ISNUMBER(SEARCH("MAGENTA",INVENTARIO!C261)),"MAG",
IF(ISNUMBER(SEARCH("BLACK",INVENTARIO!C261)),"BLA",
IF(ISNUMBER(SEARCH("YELLOW",INVENTARIO!C261)),"YEL",
IF(ISNUMBER(SEARCH("2 DIODOS",INVENTARIO!C261)),"2DI",
IF(ISNUMBER(SEARCH("3 DIODOS",INVENTARIO!C261)),"3DI",
IF(OR(ISNUMBER(SEARCH("TRASLUCIDO",INVENTARIO!C261)),ISNUMBER(SEARCH("TRANSLUCIDO",INVENTARIO!C261))),"TRA",
"")))))))))))))</f>
        <v/>
      </c>
      <c r="I261" t="str">
        <f>IF(ISNUMBER(SEARCH("SILED",INVENTARIO!C251)),"SI",
IF(ISNUMBER(SEARCH("SYDEMEX",INVENTARIO!C251)),"SY",
IF(ISNUMBER(SEARCH("ROHS",INVENTARIO!C251)),"RO",
IF(ISNUMBER(SEARCH("RISHANG",INVENTARIO!C251)),"RS",
IF(ISNUMBER(SEARCH("VYG",INVENTARIO!C251)),"VYG",
IF(ISNUMBER(SEARCH("COLED",INVENTARIO!C251)),"CO",""))))))</f>
        <v/>
      </c>
    </row>
    <row r="262" spans="1:9">
      <c r="A262" t="str">
        <f>IF(ISNUMBER(SEARCH("LONA",INVENTARIO!C262)),"LON",
IF(ISNUMBER(SEARCH("VINIL",INVENTARIO!C262)),"VIN",
IF(ISNUMBER(SEARCH("KROMACOTE",INVENTARIO!C262)),"KRO",
IF(ISNUMBER(SEARCH("STARDREAM",INVENTARIO!C262)),"STA",
IF(ISNUMBER(SEARCH("DISPLAY",INVENTARIO!C262)),"DIS",
IF(ISNUMBER(SEARCH("ROLL UP",INVENTARIO!C262)),"ROL-UP",
IF(ISNUMBER(SEARCH("TRANSFER DE PAPEL",INVENTARIO!C262)),"TRA-PAP",
IF(ISNUMBER(SEARCH("TRANSFER",INVENTARIO!C262)),"TRA",IF(ISNUMBER(SEARCH("KOLA LOKA",INVENTARIO!C262)),"KOL-LOK",
IF(ISNUMBER(SEARCH("PETG",INVENTARIO!C262)),"PET",
IF(ISNUMBER(SEARCH("OJILLO",INVENTARIO!C262)),"OJI",
IF(ISNUMBER(SEARCH("COUCHE",INVENTARIO!C262)),"COU",
IF(ISNUMBER(SEARCH("PANEL DE ALUMINIO",INVENTARIO!C262)),"PAN-ALU",
IF(ISNUMBER(SEARCH("PVC",INVENTARIO!C262)),"PVC",
IF(ISNUMBER(SEARCH("PAPEL",INVENTARIO!C262)),"PAP",
IF(ISNUMBER(SEARCH("TELA",INVENTARIO!C262)),"TEL",
IF(ISNUMBER(SEARCH("CARTULINA",INVENTARIO!C262)),"CAR",
IF(OR(ISNUMBER(SEARCH("LAMINA",INVENTARIO!C262)),ISNUMBER(SEARCH("LÁMINA",INVENTARIO!C262)),ISNUMBER(SEARCH("LAMPARAS",INVENTARIO!C262))),"LAM",
IF(ISNUMBER(SEARCH("ESTIRENO",INVENTARIO!C262)),"EST",
IF(ISNUMBER(SEARCH("FOAMBOARD",INVENTARIO!C262)),"FOA",
IF(ISNUMBER(SEARCH("SOLVENTE",INVENTARIO!C262)),"SOL",
IF(ISNUMBER(SEARCH("TINTA",INVENTARIO!C262)),"TIN",
IF(ISNUMBER(SEARCH("ACRILICO",INVENTARIO!C262)),"ACR",
IF(ISNUMBER(SEARCH("MICROLED",INVENTARIO!C262)),"MIC",
IF(ISNUMBER(SEARCH("LED",INVENTARIO!C262)),"LED",
IF(ISNUMBER(SEARCH("FUENTE DE PODER",INVENTARIO!C262)),"FUE-POD",
IF(ISNUMBER(SEARCH("PETG",INVENTARIO!C262)),"PET",
IF(ISNUMBER(SEARCH("ALUMINIO",INVENTARIO!C262)),"ALU",
IF(ISNUMBER(SEARCH("CANAL",INVENTARIO!C262)),"CAN",
IF(ISNUMBER(SEARCH("ESCUADRA",INVENTARIO!C262)),"ESC",
IF(ISNUMBER(SEARCH("SOPORTE",INVENTARIO!C262)),"SOP","OTR")
))))))))))))))))))))))))))))))</f>
        <v>ALU</v>
      </c>
      <c r="B262" t="str">
        <f>IF(ISNUMBER(SEARCH("CORTE",INVENTARIO!C262)),"COR",
IF(ISNUMBER(SEARCH("CITYLIGHT",INVENTARIO!C262)),"CIT",
IF(ISNUMBER(SEARCH("LINO",INVENTARIO!C262)),"LIN",
IF(ISNUMBER(SEARCH("FABRIANO",INVENTARIO!C262)),"FAB",
IF(ISNUMBER(SEARCH("SUNDANCE",INVENTARIO!C262)),"SUN",
IF(ISNUMBER(SEARCH("SINTETICA",INVENTARIO!C262)),"SIN",
IF(ISNUMBER(SEARCH("CONTROL",INVENTARIO!C262)),"CON",
IF(ISNUMBER(SEARCH("TERMICO",INVENTARIO!C262)),"TER",
IF(ISNUMBER(SEARCH("C-15",INVENTARIO!C262)),"C15",
IF(ISNUMBER(SEARCH("C-20",INVENTARIO!C262)),"C20",
IF(ISNUMBER(SEARCH("C-30",INVENTARIO!C262)),"C30",
IF(ISNUMBER(SEARCH("C-40",INVENTARIO!C262)),"C40",
IF(ISNUMBER(SEARCH("C-60",INVENTARIO!C262)),"C60",
IF(ISNUMBER(SEARCH("C-80",INVENTARIO!C262)),"C80",
IF(ISNUMBER(SEARCH("EQUIPO",INVENTARIO!C262)),"EQU",
IF(ISNUMBER(SEARCH("FLOOR",INVENTARIO!C262)),"FLO",
IF(ISNUMBER(SEARCH("CRISTAL",INVENTARIO!C262)),"CRI",
IF(ISNUMBER(SEARCH(" SULFATADA",INVENTARIO!C273)),"SUL",
IF(ISNUMBER(SEARCH("OPALINA",INVENTARIO!C262)),"OPA",
IF(ISNUMBER(SEARCH("ADHERIBLE",INVENTARIO!C262)),"ADH",
IF(ISNUMBER(SEARCH("MICRO",INVENTARIO!C262)),"MIC","")))))))))))))))))))))</f>
        <v/>
      </c>
      <c r="C262" t="str">
        <f>IF(ISNUMBER(SEARCH("PARED",INVENTARIO!C262)),"PAR",
IF(ISNUMBER(SEARCH("FRONT",INVENTARIO!C262)),"FRO",
IF(ISNUMBER(SEARCH("ALTA RESISTENCIA",INVENTARIO!C262)),
"ALT-RES",IF(ISNUMBER(SEARCH("BACKLITE",INVENTARIO!C262)),"BAC",
IF(ISNUMBER(SEARCH("MATE",INVENTARIO!C262)),"MAT",
IF(ISNUMBER(SEARCH("MESH",INVENTARIO!C262)),"MES",
IF(ISNUMBER(SEARCH("BRILLANTE",INVENTARIO!C262)),"BRI",
IF(ISNUMBER(SEARCH("DELGADA",INVENTARIO!C262)),"DEL",
IF(ISNUMBER(SEARCH("GRUESA",INVENTARIO!C262)),"GRU",
IF(ISNUMBER(SEARCH("ESTATICO",INVENTARIO!C262)),"EST",
IF(ISNUMBER(SEARCH("REFLECTIVO",INVENTARIO!C262)),"REF",
IF(ISNUMBER(SEARCH("LX700",INVENTARIO!C262)),"LX7",
IF(ISNUMBER(SEARCH("GRANDO",INVENTARIO!C262)),"GRA",
IF(ISNUMBER(SEARCH("FB700",INVENTARIO!C262)),"FB7",
IF(ISNUMBER(SEARCH("LX360",INVENTARIO!C262)),"LX3",
IF(ISNUMBER(SEARCH("XEROX",INVENTARIO!C262)),"XER",
IF(ISNUMBER(SEARCH("CEPILLADO",INVENTARIO!C262)),"CEP",
IF(ISNUMBER(SEARCH("ESPEJO",INVENTARIO!C262)),"ESP",
IF(ISNUMBER(SEARCH("10 PTS",INVENTARIO!C262)),"10PT",
IF(ISNUMBER(SEARCH("12 PTS",INVENTARIO!C262)),"12PT",
IF(ISNUMBER(SEARCH("14 PTS",INVENTARIO!C262)),"14PT",
IF(ISNUMBER(SEARCH("CLASICO",INVENTARIO!C262)),"CLA",
""))))))))))))))))))))))</f>
        <v>CEP</v>
      </c>
      <c r="D262" t="str">
        <f>IF(ISNUMBER(SEARCH("GRAN FORMATO",INVENTARIO!C262)),"GRA-FOR",
IF(ISNUMBER(SEARCH("CAMA PLANA",INVENTARIO!C262)),"CAM-PLA",
IF(ISNUMBER(SEARCH("GRADO INGENIERIA",INVENTARIO!C262)),"GRA-ING",
IF(ISNUMBER(SEARCH("130 GRS",INVENTARIO!C262)),"130GR",
IF(ISNUMBER(SEARCH("150 GRS",INVENTARIO!C262)),"150GR",
IF(ISNUMBER(SEARCH("185 GRS",INVENTARIO!C262)),"185GR",
IF(ISNUMBER(SEARCH("200 GRS",INVENTARIO!C262)),"200GR",
IF(ISNUMBER(SEARCH("250 GRS",INVENTARIO!C262)),"250GR",
IF(ISNUMBER(SEARCH("300 GRS",INVENTARIO!C262)),"300GR",
IF(ISNUMBER(SEARCH("350 GRS",INVENTARIO!C262)),"350GR",
IF(ISNUMBER(SEARCH("18 OZ",INVENTARIO!C262)),"18OZ",
IF(ISNUMBER(SEARCH("15 OZ",INVENTARIO!C262)),"15OZ",
IF(OR(ISNUMBER(SEARCH("13 OZ",INVENTARIO!C262)),ISNUMBER(SEARCH("13 ONZAS",INVENTARIO!C262))),"13OZ",
IF(OR(ISNUMBER(SEARCH("9 OZ",INVENTARIO!C262)),ISNUMBER(SEARCH("9 ONZAS",INVENTARIO!C262))),"09OZ",
IF(ISNUMBER(SEARCH("DOBLE CARA",INVENTARIO!C262)),"DOB-CAR",
"")))))))))))))))</f>
        <v/>
      </c>
      <c r="E262" t="str">
        <f>IF(OR(ISNUMBER(SEARCH("TRANSPARENTE",INVENTARIO!C262)),ISNUMBER(SEARCH("TRANSPARENTES",INVENTARIO!C262))),"TRA",
IF(OR(ISNUMBER(SEARCH("BLANCO",INVENTARIO!C262)),ISNUMBER(SEARCH("BCO",INVENTARIO!C262))),"BLA",
IF(ISNUMBER(SEARCH("FOTOGRAFICO",INVENTARIO!C262)),"FOT",
IF(ISNUMBER(SEARCH("MARFIL",INVENTARIO!C262)),"MAR",
IF(ISNUMBER(SEARCH("VERDE",INVENTARIO!C262)),"VER",
IF(ISNUMBER(SEARCH("MORADO",INVENTARIO!C262)),"MOR",
IF(ISNUMBER(SEARCH("PLATA",INVENTARIO!C262)),"PLA",
IF(ISNUMBER(SEARCH("ORO",INVENTARIO!C262)),"ORO",
IF(ISNUMBER(SEARCH("AMARILLO",INVENTARIO!C262)),"AMA",
IF(ISNUMBER(SEARCH("NARANJA",INVENTARIO!C262)),"NAR",
IF(ISNUMBER(SEARCH("NEGRO",INVENTARIO!C262)),"NEG",
IF(ISNUMBER(SEARCH("ROJO",INVENTARIO!C262)),"ROJ",
IF(ISNUMBER(SEARCH("AZUL",INVENTARIO!C262)),"AZU","")))))))))))))</f>
        <v>PLA</v>
      </c>
      <c r="F262" t="str">
        <f>IF(ISNUMBER(SEARCH("ARLON",INVENTARIO!C262)),"ARL",
IF(ISNUMBER(SEARCH("SUNTHINKS",INVENTARIO!C262)),"SUN",
IF(ISNUMBER(SEARCH("FRIO",INVENTARIO!C262)),"FRI",
IF(ISNUMBER(SEARCH("CALIDO",INVENTARIO!C262)),"CAL",
IF(ISNUMBER(SEARCH("CEPILLADO",INVENTARIO!C262)),"CEP",
IF(ISNUMBER(SEARCH("ESPEJO",INVENTARIO!C262)),"ESP",
""))))))</f>
        <v>CEP</v>
      </c>
      <c r="G262" t="str">
        <f>IF(ISNUMBER(SEARCH("LATEX",INVENTARIO!C262)),"LAT",
IF(ISNUMBER(SEARCH("RESP. NEGRO",INVENTARIO!C262)),"RES-NEG",
IF(ISNUMBER(SEARCH("RESPALDO CAFE",INVENTARIO!C262)),"RES-CAF",
IF(ISNUMBER(SEARCH("RESPALDO GRIS",INVENTARIO!C262)),"RES-GRI",
IF(ISNUMBER(SEARCH("OPTICO",INVENTARIO!C262)),"OPT",
IF(ISNUMBER(SEARCH("1,2 MM",INVENTARIO!C262)),"1MM2",
IF(ISNUMBER(SEARCH("2 MM",INVENTARIO!C262)),"2MM",
IF(ISNUMBER(SEARCH("3 MM",INVENTARIO!C262)),"3MM",
IF(ISNUMBER(SEARCH("4 MM",INVENTARIO!C262)),"4MM",
IF(ISNUMBER(SEARCH("5 MM",INVENTARIO!C262)),"5MM",
IF(ISNUMBER(SEARCH("6 MM",INVENTARIO!C262)),"6MM",
IF(ISNUMBER(SEARCH("9 MM",INVENTARIO!C262)),"9MM",
IF(ISNUMBER(SEARCH("10 MM",INVENTARIO!C262)),"10MM","")))))))))))))</f>
        <v/>
      </c>
      <c r="H262" t="str">
        <f>IF(ISNUMBER(SEARCH("GAMA BAJA",INVENTARIO!C262)),"GAM-BAJ",
IF(ISNUMBER(SEARCH("OPTIMIZADOR",INVENTARIO!C262)),"OPT",
IF(ISNUMBER(SEARCH("OVERCOAT",INVENTARIO!C262)),"OVE",
IF(ISNUMBER(SEARCH("WHITE",INVENTARIO!C262)),"WHI",
IF(ISNUMBER(SEARCH("LIGHT CYAN",INVENTARIO!C262)),"LIG-CYA",
IF(ISNUMBER(SEARCH("CYAN",INVENTARIO!C262)),"CYA",
IF(ISNUMBER(SEARCH("LIGHT MAGENTA",INVENTARIO!C262)),"LIG-MAG",
IF(ISNUMBER(SEARCH("MAGENTA",INVENTARIO!C262)),"MAG",
IF(ISNUMBER(SEARCH("BLACK",INVENTARIO!C262)),"BLA",
IF(ISNUMBER(SEARCH("YELLOW",INVENTARIO!C262)),"YEL",
IF(ISNUMBER(SEARCH("2 DIODOS",INVENTARIO!C262)),"2DI",
IF(ISNUMBER(SEARCH("3 DIODOS",INVENTARIO!C262)),"3DI",
IF(OR(ISNUMBER(SEARCH("TRASLUCIDO",INVENTARIO!C262)),ISNUMBER(SEARCH("TRANSLUCIDO",INVENTARIO!C262))),"TRA",
"")))))))))))))</f>
        <v/>
      </c>
      <c r="I262" t="str">
        <f>IF(ISNUMBER(SEARCH("SILED",INVENTARIO!C252)),"SI",
IF(ISNUMBER(SEARCH("SYDEMEX",INVENTARIO!C252)),"SY",
IF(ISNUMBER(SEARCH("ROHS",INVENTARIO!C252)),"RO",
IF(ISNUMBER(SEARCH("RISHANG",INVENTARIO!C252)),"RS",
IF(ISNUMBER(SEARCH("VYG",INVENTARIO!C252)),"VYG",
IF(ISNUMBER(SEARCH("COLED",INVENTARIO!C252)),"CO",""))))))</f>
        <v/>
      </c>
    </row>
    <row r="263" spans="1:9">
      <c r="A263" t="str">
        <f>IF(ISNUMBER(SEARCH("LONA",INVENTARIO!C263)),"LON",
IF(ISNUMBER(SEARCH("VINIL",INVENTARIO!C263)),"VIN",
IF(ISNUMBER(SEARCH("KROMACOTE",INVENTARIO!C263)),"KRO",
IF(ISNUMBER(SEARCH("STARDREAM",INVENTARIO!C263)),"STA",
IF(ISNUMBER(SEARCH("DISPLAY",INVENTARIO!C263)),"DIS",
IF(ISNUMBER(SEARCH("ROLL UP",INVENTARIO!C263)),"ROL-UP",
IF(ISNUMBER(SEARCH("TRANSFER DE PAPEL",INVENTARIO!C263)),"TRA-PAP",
IF(ISNUMBER(SEARCH("TRANSFER",INVENTARIO!C263)),"TRA",IF(ISNUMBER(SEARCH("KOLA LOKA",INVENTARIO!C263)),"KOL-LOK",
IF(ISNUMBER(SEARCH("PETG",INVENTARIO!C263)),"PET",
IF(ISNUMBER(SEARCH("OJILLO",INVENTARIO!C263)),"OJI",
IF(ISNUMBER(SEARCH("COUCHE",INVENTARIO!C263)),"COU",
IF(ISNUMBER(SEARCH("PANEL DE ALUMINIO",INVENTARIO!C263)),"PAN-ALU",
IF(ISNUMBER(SEARCH("PVC",INVENTARIO!C263)),"PVC",
IF(ISNUMBER(SEARCH("PAPEL",INVENTARIO!C263)),"PAP",
IF(ISNUMBER(SEARCH("TELA",INVENTARIO!C263)),"TEL",
IF(ISNUMBER(SEARCH("CARTULINA",INVENTARIO!C263)),"CAR",
IF(OR(ISNUMBER(SEARCH("LAMINA",INVENTARIO!C263)),ISNUMBER(SEARCH("LÁMINA",INVENTARIO!C263)),ISNUMBER(SEARCH("LAMPARAS",INVENTARIO!C263))),"LAM",
IF(ISNUMBER(SEARCH("ESTIRENO",INVENTARIO!C263)),"EST",
IF(ISNUMBER(SEARCH("FOAMBOARD",INVENTARIO!C263)),"FOA",
IF(ISNUMBER(SEARCH("SOLVENTE",INVENTARIO!C263)),"SOL",
IF(ISNUMBER(SEARCH("TINTA",INVENTARIO!C263)),"TIN",
IF(ISNUMBER(SEARCH("ACRILICO",INVENTARIO!C263)),"ACR",
IF(ISNUMBER(SEARCH("MICROLED",INVENTARIO!C263)),"MIC",
IF(ISNUMBER(SEARCH("LED",INVENTARIO!C263)),"LED",
IF(ISNUMBER(SEARCH("FUENTE DE PODER",INVENTARIO!C263)),"FUE-POD",
IF(ISNUMBER(SEARCH("PETG",INVENTARIO!C263)),"PET",
IF(ISNUMBER(SEARCH("ALUMINIO",INVENTARIO!C263)),"ALU",
IF(ISNUMBER(SEARCH("CANAL",INVENTARIO!C263)),"CAN",
IF(ISNUMBER(SEARCH("ESCUADRA",INVENTARIO!C263)),"ESC",
IF(ISNUMBER(SEARCH("SOPORTE",INVENTARIO!C263)),"SOP","OTR")
))))))))))))))))))))))))))))))</f>
        <v>ALU</v>
      </c>
      <c r="B263" t="str">
        <f>IF(ISNUMBER(SEARCH("CORTE",INVENTARIO!C263)),"COR",
IF(ISNUMBER(SEARCH("CITYLIGHT",INVENTARIO!C263)),"CIT",
IF(ISNUMBER(SEARCH("LINO",INVENTARIO!C263)),"LIN",
IF(ISNUMBER(SEARCH("FABRIANO",INVENTARIO!C263)),"FAB",
IF(ISNUMBER(SEARCH("SUNDANCE",INVENTARIO!C263)),"SUN",
IF(ISNUMBER(SEARCH("SINTETICA",INVENTARIO!C263)),"SIN",
IF(ISNUMBER(SEARCH("CONTROL",INVENTARIO!C263)),"CON",
IF(ISNUMBER(SEARCH("TERMICO",INVENTARIO!C263)),"TER",
IF(ISNUMBER(SEARCH("C-15",INVENTARIO!C263)),"C15",
IF(ISNUMBER(SEARCH("C-20",INVENTARIO!C263)),"C20",
IF(ISNUMBER(SEARCH("C-30",INVENTARIO!C263)),"C30",
IF(ISNUMBER(SEARCH("C-40",INVENTARIO!C263)),"C40",
IF(ISNUMBER(SEARCH("C-60",INVENTARIO!C263)),"C60",
IF(ISNUMBER(SEARCH("C-80",INVENTARIO!C263)),"C80",
IF(ISNUMBER(SEARCH("EQUIPO",INVENTARIO!C263)),"EQU",
IF(ISNUMBER(SEARCH("FLOOR",INVENTARIO!C263)),"FLO",
IF(ISNUMBER(SEARCH("CRISTAL",INVENTARIO!C263)),"CRI",
IF(ISNUMBER(SEARCH(" SULFATADA",INVENTARIO!C274)),"SUL",
IF(ISNUMBER(SEARCH("OPALINA",INVENTARIO!C263)),"OPA",
IF(ISNUMBER(SEARCH("ADHERIBLE",INVENTARIO!C263)),"ADH",
IF(ISNUMBER(SEARCH("MICRO",INVENTARIO!C263)),"MIC","")))))))))))))))))))))</f>
        <v/>
      </c>
      <c r="C263" t="str">
        <f>IF(ISNUMBER(SEARCH("PARED",INVENTARIO!C263)),"PAR",
IF(ISNUMBER(SEARCH("FRONT",INVENTARIO!C263)),"FRO",
IF(ISNUMBER(SEARCH("ALTA RESISTENCIA",INVENTARIO!C263)),
"ALT-RES",IF(ISNUMBER(SEARCH("BACKLITE",INVENTARIO!C263)),"BAC",
IF(ISNUMBER(SEARCH("MATE",INVENTARIO!C263)),"MAT",
IF(ISNUMBER(SEARCH("MESH",INVENTARIO!C263)),"MES",
IF(ISNUMBER(SEARCH("BRILLANTE",INVENTARIO!C263)),"BRI",
IF(ISNUMBER(SEARCH("DELGADA",INVENTARIO!C263)),"DEL",
IF(ISNUMBER(SEARCH("GRUESA",INVENTARIO!C263)),"GRU",
IF(ISNUMBER(SEARCH("ESTATICO",INVENTARIO!C263)),"EST",
IF(ISNUMBER(SEARCH("REFLECTIVO",INVENTARIO!C263)),"REF",
IF(ISNUMBER(SEARCH("LX700",INVENTARIO!C263)),"LX7",
IF(ISNUMBER(SEARCH("GRANDO",INVENTARIO!C263)),"GRA",
IF(ISNUMBER(SEARCH("FB700",INVENTARIO!C263)),"FB7",
IF(ISNUMBER(SEARCH("LX360",INVENTARIO!C263)),"LX3",
IF(ISNUMBER(SEARCH("XEROX",INVENTARIO!C263)),"XER",
IF(ISNUMBER(SEARCH("CEPILLADO",INVENTARIO!C263)),"CEP",
IF(ISNUMBER(SEARCH("ESPEJO",INVENTARIO!C263)),"ESP",
IF(ISNUMBER(SEARCH("10 PTS",INVENTARIO!C263)),"10PT",
IF(ISNUMBER(SEARCH("12 PTS",INVENTARIO!C263)),"12PT",
IF(ISNUMBER(SEARCH("14 PTS",INVENTARIO!C263)),"14PT",
IF(ISNUMBER(SEARCH("CLASICO",INVENTARIO!C263)),"CLA",
""))))))))))))))))))))))</f>
        <v>ESP</v>
      </c>
      <c r="D263" t="str">
        <f>IF(ISNUMBER(SEARCH("GRAN FORMATO",INVENTARIO!C263)),"GRA-FOR",
IF(ISNUMBER(SEARCH("CAMA PLANA",INVENTARIO!C263)),"CAM-PLA",
IF(ISNUMBER(SEARCH("GRADO INGENIERIA",INVENTARIO!C263)),"GRA-ING",
IF(ISNUMBER(SEARCH("130 GRS",INVENTARIO!C263)),"130GR",
IF(ISNUMBER(SEARCH("150 GRS",INVENTARIO!C263)),"150GR",
IF(ISNUMBER(SEARCH("185 GRS",INVENTARIO!C263)),"185GR",
IF(ISNUMBER(SEARCH("200 GRS",INVENTARIO!C263)),"200GR",
IF(ISNUMBER(SEARCH("250 GRS",INVENTARIO!C263)),"250GR",
IF(ISNUMBER(SEARCH("300 GRS",INVENTARIO!C263)),"300GR",
IF(ISNUMBER(SEARCH("350 GRS",INVENTARIO!C263)),"350GR",
IF(ISNUMBER(SEARCH("18 OZ",INVENTARIO!C263)),"18OZ",
IF(ISNUMBER(SEARCH("15 OZ",INVENTARIO!C263)),"15OZ",
IF(OR(ISNUMBER(SEARCH("13 OZ",INVENTARIO!C263)),ISNUMBER(SEARCH("13 ONZAS",INVENTARIO!C263))),"13OZ",
IF(OR(ISNUMBER(SEARCH("9 OZ",INVENTARIO!C263)),ISNUMBER(SEARCH("9 ONZAS",INVENTARIO!C263))),"09OZ",
IF(ISNUMBER(SEARCH("DOBLE CARA",INVENTARIO!C263)),"DOB-CAR",
"")))))))))))))))</f>
        <v/>
      </c>
      <c r="E263" t="str">
        <f>IF(OR(ISNUMBER(SEARCH("TRANSPARENTE",INVENTARIO!C263)),ISNUMBER(SEARCH("TRANSPARENTES",INVENTARIO!C263))),"TRA",
IF(OR(ISNUMBER(SEARCH("BLANCO",INVENTARIO!C263)),ISNUMBER(SEARCH("BCO",INVENTARIO!C263))),"BLA",
IF(ISNUMBER(SEARCH("FOTOGRAFICO",INVENTARIO!C263)),"FOT",
IF(ISNUMBER(SEARCH("MARFIL",INVENTARIO!C263)),"MAR",
IF(ISNUMBER(SEARCH("VERDE",INVENTARIO!C263)),"VER",
IF(ISNUMBER(SEARCH("MORADO",INVENTARIO!C263)),"MOR",
IF(ISNUMBER(SEARCH("PLATA",INVENTARIO!C263)),"PLA",
IF(ISNUMBER(SEARCH("ORO",INVENTARIO!C263)),"ORO",
IF(ISNUMBER(SEARCH("AMARILLO",INVENTARIO!C263)),"AMA",
IF(ISNUMBER(SEARCH("NARANJA",INVENTARIO!C263)),"NAR",
IF(ISNUMBER(SEARCH("NEGRO",INVENTARIO!C263)),"NEG",
IF(ISNUMBER(SEARCH("ROJO",INVENTARIO!C263)),"ROJ",
IF(ISNUMBER(SEARCH("AZUL",INVENTARIO!C263)),"AZU","")))))))))))))</f>
        <v>PLA</v>
      </c>
      <c r="F263" t="str">
        <f>IF(ISNUMBER(SEARCH("ARLON",INVENTARIO!C263)),"ARL",
IF(ISNUMBER(SEARCH("SUNTHINKS",INVENTARIO!C263)),"SUN",
IF(ISNUMBER(SEARCH("FRIO",INVENTARIO!C263)),"FRI",
IF(ISNUMBER(SEARCH("CALIDO",INVENTARIO!C263)),"CAL",
IF(ISNUMBER(SEARCH("CEPILLADO",INVENTARIO!C263)),"CEP",
IF(ISNUMBER(SEARCH("ESPEJO",INVENTARIO!C263)),"ESP",
""))))))</f>
        <v>ESP</v>
      </c>
      <c r="G263" t="str">
        <f>IF(ISNUMBER(SEARCH("LATEX",INVENTARIO!C263)),"LAT",
IF(ISNUMBER(SEARCH("RESP. NEGRO",INVENTARIO!C263)),"RES-NEG",
IF(ISNUMBER(SEARCH("RESPALDO CAFE",INVENTARIO!C263)),"RES-CAF",
IF(ISNUMBER(SEARCH("RESPALDO GRIS",INVENTARIO!C263)),"RES-GRI",
IF(ISNUMBER(SEARCH("OPTICO",INVENTARIO!C263)),"OPT",
IF(ISNUMBER(SEARCH("1,2 MM",INVENTARIO!C263)),"1MM2",
IF(ISNUMBER(SEARCH("2 MM",INVENTARIO!C263)),"2MM",
IF(ISNUMBER(SEARCH("3 MM",INVENTARIO!C263)),"3MM",
IF(ISNUMBER(SEARCH("4 MM",INVENTARIO!C263)),"4MM",
IF(ISNUMBER(SEARCH("5 MM",INVENTARIO!C263)),"5MM",
IF(ISNUMBER(SEARCH("6 MM",INVENTARIO!C263)),"6MM",
IF(ISNUMBER(SEARCH("9 MM",INVENTARIO!C263)),"9MM",
IF(ISNUMBER(SEARCH("10 MM",INVENTARIO!C263)),"10MM","")))))))))))))</f>
        <v/>
      </c>
      <c r="H263" t="str">
        <f>IF(ISNUMBER(SEARCH("GAMA BAJA",INVENTARIO!C263)),"GAM-BAJ",
IF(ISNUMBER(SEARCH("OPTIMIZADOR",INVENTARIO!C263)),"OPT",
IF(ISNUMBER(SEARCH("OVERCOAT",INVENTARIO!C263)),"OVE",
IF(ISNUMBER(SEARCH("WHITE",INVENTARIO!C263)),"WHI",
IF(ISNUMBER(SEARCH("LIGHT CYAN",INVENTARIO!C263)),"LIG-CYA",
IF(ISNUMBER(SEARCH("CYAN",INVENTARIO!C263)),"CYA",
IF(ISNUMBER(SEARCH("LIGHT MAGENTA",INVENTARIO!C263)),"LIG-MAG",
IF(ISNUMBER(SEARCH("MAGENTA",INVENTARIO!C263)),"MAG",
IF(ISNUMBER(SEARCH("BLACK",INVENTARIO!C263)),"BLA",
IF(ISNUMBER(SEARCH("YELLOW",INVENTARIO!C263)),"YEL",
IF(ISNUMBER(SEARCH("2 DIODOS",INVENTARIO!C263)),"2DI",
IF(ISNUMBER(SEARCH("3 DIODOS",INVENTARIO!C263)),"3DI",
IF(OR(ISNUMBER(SEARCH("TRASLUCIDO",INVENTARIO!C263)),ISNUMBER(SEARCH("TRANSLUCIDO",INVENTARIO!C263))),"TRA",
"")))))))))))))</f>
        <v/>
      </c>
      <c r="I263" t="str">
        <f>IF(ISNUMBER(SEARCH("SILED",INVENTARIO!C253)),"SI",
IF(ISNUMBER(SEARCH("SYDEMEX",INVENTARIO!C253)),"SY",
IF(ISNUMBER(SEARCH("ROHS",INVENTARIO!C253)),"RO",
IF(ISNUMBER(SEARCH("RISHANG",INVENTARIO!C253)),"RS",
IF(ISNUMBER(SEARCH("VYG",INVENTARIO!C253)),"VYG",
IF(ISNUMBER(SEARCH("COLED",INVENTARIO!C253)),"CO",""))))))</f>
        <v/>
      </c>
    </row>
    <row r="264" spans="1:9">
      <c r="A264" t="str">
        <f>IF(ISNUMBER(SEARCH("LONA",INVENTARIO!C264)),"LON",
IF(ISNUMBER(SEARCH("VINIL",INVENTARIO!C264)),"VIN",
IF(ISNUMBER(SEARCH("KROMACOTE",INVENTARIO!C264)),"KRO",
IF(ISNUMBER(SEARCH("STARDREAM",INVENTARIO!C264)),"STA",
IF(ISNUMBER(SEARCH("DISPLAY",INVENTARIO!C264)),"DIS",
IF(ISNUMBER(SEARCH("ROLL UP",INVENTARIO!C264)),"ROL-UP",
IF(ISNUMBER(SEARCH("TRANSFER DE PAPEL",INVENTARIO!C264)),"TRA-PAP",
IF(ISNUMBER(SEARCH("TRANSFER",INVENTARIO!C264)),"TRA",IF(ISNUMBER(SEARCH("KOLA LOKA",INVENTARIO!C264)),"KOL-LOK",
IF(ISNUMBER(SEARCH("PETG",INVENTARIO!C264)),"PET",
IF(ISNUMBER(SEARCH("OJILLO",INVENTARIO!C264)),"OJI",
IF(ISNUMBER(SEARCH("COUCHE",INVENTARIO!C264)),"COU",
IF(ISNUMBER(SEARCH("PANEL DE ALUMINIO",INVENTARIO!C264)),"PAN-ALU",
IF(ISNUMBER(SEARCH("PVC",INVENTARIO!C264)),"PVC",
IF(ISNUMBER(SEARCH("PAPEL",INVENTARIO!C264)),"PAP",
IF(ISNUMBER(SEARCH("TELA",INVENTARIO!C264)),"TEL",
IF(ISNUMBER(SEARCH("CARTULINA",INVENTARIO!C264)),"CAR",
IF(OR(ISNUMBER(SEARCH("LAMINA",INVENTARIO!C264)),ISNUMBER(SEARCH("LÁMINA",INVENTARIO!C264)),ISNUMBER(SEARCH("LAMPARAS",INVENTARIO!C264))),"LAM",
IF(ISNUMBER(SEARCH("ESTIRENO",INVENTARIO!C264)),"EST",
IF(ISNUMBER(SEARCH("FOAMBOARD",INVENTARIO!C264)),"FOA",
IF(ISNUMBER(SEARCH("SOLVENTE",INVENTARIO!C264)),"SOL",
IF(ISNUMBER(SEARCH("TINTA",INVENTARIO!C264)),"TIN",
IF(ISNUMBER(SEARCH("ACRILICO",INVENTARIO!C264)),"ACR",
IF(ISNUMBER(SEARCH("MICROLED",INVENTARIO!C264)),"MIC",
IF(ISNUMBER(SEARCH("LED",INVENTARIO!C264)),"LED",
IF(ISNUMBER(SEARCH("FUENTE DE PODER",INVENTARIO!C264)),"FUE-POD",
IF(ISNUMBER(SEARCH("PETG",INVENTARIO!C264)),"PET",
IF(ISNUMBER(SEARCH("ALUMINIO",INVENTARIO!C264)),"ALU",
IF(ISNUMBER(SEARCH("CANAL",INVENTARIO!C264)),"CAN",
IF(ISNUMBER(SEARCH("ESCUADRA",INVENTARIO!C264)),"ESC",
IF(ISNUMBER(SEARCH("SOPORTE",INVENTARIO!C264)),"SOP","OTR")
))))))))))))))))))))))))))))))</f>
        <v>ALU</v>
      </c>
      <c r="B264" t="str">
        <f>IF(ISNUMBER(SEARCH("CORTE",INVENTARIO!C264)),"COR",
IF(ISNUMBER(SEARCH("CITYLIGHT",INVENTARIO!C264)),"CIT",
IF(ISNUMBER(SEARCH("LINO",INVENTARIO!C264)),"LIN",
IF(ISNUMBER(SEARCH("FABRIANO",INVENTARIO!C264)),"FAB",
IF(ISNUMBER(SEARCH("SUNDANCE",INVENTARIO!C264)),"SUN",
IF(ISNUMBER(SEARCH("SINTETICA",INVENTARIO!C264)),"SIN",
IF(ISNUMBER(SEARCH("CONTROL",INVENTARIO!C264)),"CON",
IF(ISNUMBER(SEARCH("TERMICO",INVENTARIO!C264)),"TER",
IF(ISNUMBER(SEARCH("C-15",INVENTARIO!C264)),"C15",
IF(ISNUMBER(SEARCH("C-20",INVENTARIO!C264)),"C20",
IF(ISNUMBER(SEARCH("C-30",INVENTARIO!C264)),"C30",
IF(ISNUMBER(SEARCH("C-40",INVENTARIO!C264)),"C40",
IF(ISNUMBER(SEARCH("C-60",INVENTARIO!C264)),"C60",
IF(ISNUMBER(SEARCH("C-80",INVENTARIO!C264)),"C80",
IF(ISNUMBER(SEARCH("EQUIPO",INVENTARIO!C264)),"EQU",
IF(ISNUMBER(SEARCH("FLOOR",INVENTARIO!C264)),"FLO",
IF(ISNUMBER(SEARCH("CRISTAL",INVENTARIO!C264)),"CRI",
IF(ISNUMBER(SEARCH(" SULFATADA",INVENTARIO!C275)),"SUL",
IF(ISNUMBER(SEARCH("OPALINA",INVENTARIO!C264)),"OPA",
IF(ISNUMBER(SEARCH("ADHERIBLE",INVENTARIO!C264)),"ADH",
IF(ISNUMBER(SEARCH("MICRO",INVENTARIO!C264)),"MIC","")))))))))))))))))))))</f>
        <v/>
      </c>
      <c r="C264" t="str">
        <f>IF(ISNUMBER(SEARCH("PARED",INVENTARIO!C264)),"PAR",
IF(ISNUMBER(SEARCH("FRONT",INVENTARIO!C264)),"FRO",
IF(ISNUMBER(SEARCH("ALTA RESISTENCIA",INVENTARIO!C264)),
"ALT-RES",IF(ISNUMBER(SEARCH("BACKLITE",INVENTARIO!C264)),"BAC",
IF(ISNUMBER(SEARCH("MATE",INVENTARIO!C264)),"MAT",
IF(ISNUMBER(SEARCH("MESH",INVENTARIO!C264)),"MES",
IF(ISNUMBER(SEARCH("BRILLANTE",INVENTARIO!C264)),"BRI",
IF(ISNUMBER(SEARCH("DELGADA",INVENTARIO!C264)),"DEL",
IF(ISNUMBER(SEARCH("GRUESA",INVENTARIO!C264)),"GRU",
IF(ISNUMBER(SEARCH("ESTATICO",INVENTARIO!C264)),"EST",
IF(ISNUMBER(SEARCH("REFLECTIVO",INVENTARIO!C264)),"REF",
IF(ISNUMBER(SEARCH("LX700",INVENTARIO!C264)),"LX7",
IF(ISNUMBER(SEARCH("GRANDO",INVENTARIO!C264)),"GRA",
IF(ISNUMBER(SEARCH("FB700",INVENTARIO!C264)),"FB7",
IF(ISNUMBER(SEARCH("LX360",INVENTARIO!C264)),"LX3",
IF(ISNUMBER(SEARCH("XEROX",INVENTARIO!C264)),"XER",
IF(ISNUMBER(SEARCH("CEPILLADO",INVENTARIO!C264)),"CEP",
IF(ISNUMBER(SEARCH("ESPEJO",INVENTARIO!C264)),"ESP",
IF(ISNUMBER(SEARCH("10 PTS",INVENTARIO!C264)),"10PT",
IF(ISNUMBER(SEARCH("12 PTS",INVENTARIO!C264)),"12PT",
IF(ISNUMBER(SEARCH("14 PTS",INVENTARIO!C264)),"14PT",
IF(ISNUMBER(SEARCH("CLASICO",INVENTARIO!C264)),"CLA",
""))))))))))))))))))))))</f>
        <v>ESP</v>
      </c>
      <c r="D264" t="str">
        <f>IF(ISNUMBER(SEARCH("GRAN FORMATO",INVENTARIO!C264)),"GRA-FOR",
IF(ISNUMBER(SEARCH("CAMA PLANA",INVENTARIO!C264)),"CAM-PLA",
IF(ISNUMBER(SEARCH("GRADO INGENIERIA",INVENTARIO!C264)),"GRA-ING",
IF(ISNUMBER(SEARCH("130 GRS",INVENTARIO!C264)),"130GR",
IF(ISNUMBER(SEARCH("150 GRS",INVENTARIO!C264)),"150GR",
IF(ISNUMBER(SEARCH("185 GRS",INVENTARIO!C264)),"185GR",
IF(ISNUMBER(SEARCH("200 GRS",INVENTARIO!C264)),"200GR",
IF(ISNUMBER(SEARCH("250 GRS",INVENTARIO!C264)),"250GR",
IF(ISNUMBER(SEARCH("300 GRS",INVENTARIO!C264)),"300GR",
IF(ISNUMBER(SEARCH("350 GRS",INVENTARIO!C264)),"350GR",
IF(ISNUMBER(SEARCH("18 OZ",INVENTARIO!C264)),"18OZ",
IF(ISNUMBER(SEARCH("15 OZ",INVENTARIO!C264)),"15OZ",
IF(OR(ISNUMBER(SEARCH("13 OZ",INVENTARIO!C264)),ISNUMBER(SEARCH("13 ONZAS",INVENTARIO!C264))),"13OZ",
IF(OR(ISNUMBER(SEARCH("9 OZ",INVENTARIO!C264)),ISNUMBER(SEARCH("9 ONZAS",INVENTARIO!C264))),"09OZ",
IF(ISNUMBER(SEARCH("DOBLE CARA",INVENTARIO!C264)),"DOB-CAR",
"")))))))))))))))</f>
        <v/>
      </c>
      <c r="E264" t="str">
        <f>IF(OR(ISNUMBER(SEARCH("TRANSPARENTE",INVENTARIO!C264)),ISNUMBER(SEARCH("TRANSPARENTES",INVENTARIO!C264))),"TRA",
IF(OR(ISNUMBER(SEARCH("BLANCO",INVENTARIO!C264)),ISNUMBER(SEARCH("BCO",INVENTARIO!C264))),"BLA",
IF(ISNUMBER(SEARCH("FOTOGRAFICO",INVENTARIO!C264)),"FOT",
IF(ISNUMBER(SEARCH("MARFIL",INVENTARIO!C264)),"MAR",
IF(ISNUMBER(SEARCH("VERDE",INVENTARIO!C264)),"VER",
IF(ISNUMBER(SEARCH("MORADO",INVENTARIO!C264)),"MOR",
IF(ISNUMBER(SEARCH("PLATA",INVENTARIO!C264)),"PLA",
IF(ISNUMBER(SEARCH("ORO",INVENTARIO!C264)),"ORO",
IF(ISNUMBER(SEARCH("AMARILLO",INVENTARIO!C264)),"AMA",
IF(ISNUMBER(SEARCH("NARANJA",INVENTARIO!C264)),"NAR",
IF(ISNUMBER(SEARCH("NEGRO",INVENTARIO!C264)),"NEG",
IF(ISNUMBER(SEARCH("ROJO",INVENTARIO!C264)),"ROJ",
IF(ISNUMBER(SEARCH("AZUL",INVENTARIO!C264)),"AZU","")))))))))))))</f>
        <v>ORO</v>
      </c>
      <c r="F264" t="str">
        <f>IF(ISNUMBER(SEARCH("ARLON",INVENTARIO!C264)),"ARL",
IF(ISNUMBER(SEARCH("SUNTHINKS",INVENTARIO!C264)),"SUN",
IF(ISNUMBER(SEARCH("FRIO",INVENTARIO!C264)),"FRI",
IF(ISNUMBER(SEARCH("CALIDO",INVENTARIO!C264)),"CAL",
IF(ISNUMBER(SEARCH("CEPILLADO",INVENTARIO!C264)),"CEP",
IF(ISNUMBER(SEARCH("ESPEJO",INVENTARIO!C264)),"ESP",
""))))))</f>
        <v>ESP</v>
      </c>
      <c r="G264" t="str">
        <f>IF(ISNUMBER(SEARCH("LATEX",INVENTARIO!C264)),"LAT",
IF(ISNUMBER(SEARCH("RESP. NEGRO",INVENTARIO!C264)),"RES-NEG",
IF(ISNUMBER(SEARCH("RESPALDO CAFE",INVENTARIO!C264)),"RES-CAF",
IF(ISNUMBER(SEARCH("RESPALDO GRIS",INVENTARIO!C264)),"RES-GRI",
IF(ISNUMBER(SEARCH("OPTICO",INVENTARIO!C264)),"OPT",
IF(ISNUMBER(SEARCH("1,2 MM",INVENTARIO!C264)),"1MM2",
IF(ISNUMBER(SEARCH("2 MM",INVENTARIO!C264)),"2MM",
IF(ISNUMBER(SEARCH("3 MM",INVENTARIO!C264)),"3MM",
IF(ISNUMBER(SEARCH("4 MM",INVENTARIO!C264)),"4MM",
IF(ISNUMBER(SEARCH("5 MM",INVENTARIO!C264)),"5MM",
IF(ISNUMBER(SEARCH("6 MM",INVENTARIO!C264)),"6MM",
IF(ISNUMBER(SEARCH("9 MM",INVENTARIO!C264)),"9MM",
IF(ISNUMBER(SEARCH("10 MM",INVENTARIO!C264)),"10MM","")))))))))))))</f>
        <v/>
      </c>
      <c r="H264" t="str">
        <f>IF(ISNUMBER(SEARCH("GAMA BAJA",INVENTARIO!C264)),"GAM-BAJ",
IF(ISNUMBER(SEARCH("OPTIMIZADOR",INVENTARIO!C264)),"OPT",
IF(ISNUMBER(SEARCH("OVERCOAT",INVENTARIO!C264)),"OVE",
IF(ISNUMBER(SEARCH("WHITE",INVENTARIO!C264)),"WHI",
IF(ISNUMBER(SEARCH("LIGHT CYAN",INVENTARIO!C264)),"LIG-CYA",
IF(ISNUMBER(SEARCH("CYAN",INVENTARIO!C264)),"CYA",
IF(ISNUMBER(SEARCH("LIGHT MAGENTA",INVENTARIO!C264)),"LIG-MAG",
IF(ISNUMBER(SEARCH("MAGENTA",INVENTARIO!C264)),"MAG",
IF(ISNUMBER(SEARCH("BLACK",INVENTARIO!C264)),"BLA",
IF(ISNUMBER(SEARCH("YELLOW",INVENTARIO!C264)),"YEL",
IF(ISNUMBER(SEARCH("2 DIODOS",INVENTARIO!C264)),"2DI",
IF(ISNUMBER(SEARCH("3 DIODOS",INVENTARIO!C264)),"3DI",
IF(OR(ISNUMBER(SEARCH("TRASLUCIDO",INVENTARIO!C264)),ISNUMBER(SEARCH("TRANSLUCIDO",INVENTARIO!C264))),"TRA",
"")))))))))))))</f>
        <v/>
      </c>
      <c r="I26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65" spans="1:9">
      <c r="A265" t="str">
        <f>IF(ISNUMBER(SEARCH("LONA",INVENTARIO!C265)),"LON",
IF(ISNUMBER(SEARCH("VINIL",INVENTARIO!C265)),"VIN",
IF(ISNUMBER(SEARCH("KROMACOTE",INVENTARIO!C265)),"KRO",
IF(ISNUMBER(SEARCH("STARDREAM",INVENTARIO!C265)),"STA",
IF(ISNUMBER(SEARCH("DISPLAY",INVENTARIO!C265)),"DIS",
IF(ISNUMBER(SEARCH("ROLL UP",INVENTARIO!C265)),"ROL-UP",
IF(ISNUMBER(SEARCH("TRANSFER DE PAPEL",INVENTARIO!C265)),"TRA-PAP",
IF(ISNUMBER(SEARCH("TRANSFER",INVENTARIO!C265)),"TRA",IF(ISNUMBER(SEARCH("KOLA LOKA",INVENTARIO!C265)),"KOL-LOK",
IF(ISNUMBER(SEARCH("PETG",INVENTARIO!C265)),"PET",
IF(ISNUMBER(SEARCH("OJILLO",INVENTARIO!C265)),"OJI",
IF(ISNUMBER(SEARCH("COUCHE",INVENTARIO!C265)),"COU",
IF(ISNUMBER(SEARCH("PANEL DE ALUMINIO",INVENTARIO!C265)),"PAN-ALU",
IF(ISNUMBER(SEARCH("PVC",INVENTARIO!C265)),"PVC",
IF(ISNUMBER(SEARCH("PAPEL",INVENTARIO!C265)),"PAP",
IF(ISNUMBER(SEARCH("TELA",INVENTARIO!C265)),"TEL",
IF(ISNUMBER(SEARCH("CARTULINA",INVENTARIO!C265)),"CAR",
IF(OR(ISNUMBER(SEARCH("LAMINA",INVENTARIO!C265)),ISNUMBER(SEARCH("LÁMINA",INVENTARIO!C265)),ISNUMBER(SEARCH("LAMPARAS",INVENTARIO!C265))),"LAM",
IF(ISNUMBER(SEARCH("ESTIRENO",INVENTARIO!C265)),"EST",
IF(ISNUMBER(SEARCH("FOAMBOARD",INVENTARIO!C265)),"FOA",
IF(ISNUMBER(SEARCH("SOLVENTE",INVENTARIO!C265)),"SOL",
IF(ISNUMBER(SEARCH("TINTA",INVENTARIO!C265)),"TIN",
IF(ISNUMBER(SEARCH("ACRILICO",INVENTARIO!C265)),"ACR",
IF(ISNUMBER(SEARCH("MICROLED",INVENTARIO!C265)),"MIC",
IF(ISNUMBER(SEARCH("LED",INVENTARIO!C265)),"LED",
IF(ISNUMBER(SEARCH("FUENTE DE PODER",INVENTARIO!C265)),"FUE-POD",
IF(ISNUMBER(SEARCH("PETG",INVENTARIO!C265)),"PET",
IF(ISNUMBER(SEARCH("ALUMINIO",INVENTARIO!C265)),"ALU",
IF(ISNUMBER(SEARCH("CANAL",INVENTARIO!C265)),"CAN",
IF(ISNUMBER(SEARCH("ESCUADRA",INVENTARIO!C265)),"ESC",
IF(ISNUMBER(SEARCH("SOPORTE",INVENTARIO!C265)),"SOP","OTR")
))))))))))))))))))))))))))))))</f>
        <v>ALU</v>
      </c>
      <c r="B265" t="str">
        <f>IF(ISNUMBER(SEARCH("CORTE",INVENTARIO!C265)),"COR",
IF(ISNUMBER(SEARCH("CITYLIGHT",INVENTARIO!C265)),"CIT",
IF(ISNUMBER(SEARCH("LINO",INVENTARIO!C265)),"LIN",
IF(ISNUMBER(SEARCH("FABRIANO",INVENTARIO!C265)),"FAB",
IF(ISNUMBER(SEARCH("SUNDANCE",INVENTARIO!C265)),"SUN",
IF(ISNUMBER(SEARCH("SINTETICA",INVENTARIO!C265)),"SIN",
IF(ISNUMBER(SEARCH("CONTROL",INVENTARIO!C265)),"CON",
IF(ISNUMBER(SEARCH("TERMICO",INVENTARIO!C265)),"TER",
IF(ISNUMBER(SEARCH("C-15",INVENTARIO!C265)),"C15",
IF(ISNUMBER(SEARCH("C-20",INVENTARIO!C265)),"C20",
IF(ISNUMBER(SEARCH("C-30",INVENTARIO!C265)),"C30",
IF(ISNUMBER(SEARCH("C-40",INVENTARIO!C265)),"C40",
IF(ISNUMBER(SEARCH("C-60",INVENTARIO!C265)),"C60",
IF(ISNUMBER(SEARCH("C-80",INVENTARIO!C265)),"C80",
IF(ISNUMBER(SEARCH("EQUIPO",INVENTARIO!C265)),"EQU",
IF(ISNUMBER(SEARCH("FLOOR",INVENTARIO!C265)),"FLO",
IF(ISNUMBER(SEARCH("CRISTAL",INVENTARIO!C265)),"CRI",
IF(ISNUMBER(SEARCH(" SULFATADA",INVENTARIO!C276)),"SUL",
IF(ISNUMBER(SEARCH("OPALINA",INVENTARIO!C265)),"OPA",
IF(ISNUMBER(SEARCH("ADHERIBLE",INVENTARIO!C265)),"ADH",
IF(ISNUMBER(SEARCH("MICRO",INVENTARIO!C265)),"MIC","")))))))))))))))))))))</f>
        <v/>
      </c>
      <c r="C265" t="str">
        <f>IF(ISNUMBER(SEARCH("PARED",INVENTARIO!C265)),"PAR",
IF(ISNUMBER(SEARCH("FRONT",INVENTARIO!C265)),"FRO",
IF(ISNUMBER(SEARCH("ALTA RESISTENCIA",INVENTARIO!C265)),
"ALT-RES",IF(ISNUMBER(SEARCH("BACKLITE",INVENTARIO!C265)),"BAC",
IF(ISNUMBER(SEARCH("MATE",INVENTARIO!C265)),"MAT",
IF(ISNUMBER(SEARCH("MESH",INVENTARIO!C265)),"MES",
IF(ISNUMBER(SEARCH("BRILLANTE",INVENTARIO!C265)),"BRI",
IF(ISNUMBER(SEARCH("DELGADA",INVENTARIO!C265)),"DEL",
IF(ISNUMBER(SEARCH("GRUESA",INVENTARIO!C265)),"GRU",
IF(ISNUMBER(SEARCH("ESTATICO",INVENTARIO!C265)),"EST",
IF(ISNUMBER(SEARCH("REFLECTIVO",INVENTARIO!C265)),"REF",
IF(ISNUMBER(SEARCH("LX700",INVENTARIO!C265)),"LX7",
IF(ISNUMBER(SEARCH("GRANDO",INVENTARIO!C265)),"GRA",
IF(ISNUMBER(SEARCH("FB700",INVENTARIO!C265)),"FB7",
IF(ISNUMBER(SEARCH("LX360",INVENTARIO!C265)),"LX3",
IF(ISNUMBER(SEARCH("XEROX",INVENTARIO!C265)),"XER",
IF(ISNUMBER(SEARCH("CEPILLADO",INVENTARIO!C265)),"CEP",
IF(ISNUMBER(SEARCH("ESPEJO",INVENTARIO!C265)),"ESP",
IF(ISNUMBER(SEARCH("10 PTS",INVENTARIO!C265)),"10PT",
IF(ISNUMBER(SEARCH("12 PTS",INVENTARIO!C265)),"12PT",
IF(ISNUMBER(SEARCH("14 PTS",INVENTARIO!C265)),"14PT",
IF(ISNUMBER(SEARCH("CLASICO",INVENTARIO!C265)),"CLA",
""))))))))))))))))))))))</f>
        <v>CEP</v>
      </c>
      <c r="D265" t="str">
        <f>IF(ISNUMBER(SEARCH("GRAN FORMATO",INVENTARIO!C265)),"GRA-FOR",
IF(ISNUMBER(SEARCH("CAMA PLANA",INVENTARIO!C265)),"CAM-PLA",
IF(ISNUMBER(SEARCH("GRADO INGENIERIA",INVENTARIO!C265)),"GRA-ING",
IF(ISNUMBER(SEARCH("130 GRS",INVENTARIO!C265)),"130GR",
IF(ISNUMBER(SEARCH("150 GRS",INVENTARIO!C265)),"150GR",
IF(ISNUMBER(SEARCH("185 GRS",INVENTARIO!C265)),"185GR",
IF(ISNUMBER(SEARCH("200 GRS",INVENTARIO!C265)),"200GR",
IF(ISNUMBER(SEARCH("250 GRS",INVENTARIO!C265)),"250GR",
IF(ISNUMBER(SEARCH("300 GRS",INVENTARIO!C265)),"300GR",
IF(ISNUMBER(SEARCH("350 GRS",INVENTARIO!C265)),"350GR",
IF(ISNUMBER(SEARCH("18 OZ",INVENTARIO!C265)),"18OZ",
IF(ISNUMBER(SEARCH("15 OZ",INVENTARIO!C265)),"15OZ",
IF(OR(ISNUMBER(SEARCH("13 OZ",INVENTARIO!C265)),ISNUMBER(SEARCH("13 ONZAS",INVENTARIO!C265))),"13OZ",
IF(OR(ISNUMBER(SEARCH("9 OZ",INVENTARIO!C265)),ISNUMBER(SEARCH("9 ONZAS",INVENTARIO!C265))),"09OZ",
IF(ISNUMBER(SEARCH("DOBLE CARA",INVENTARIO!C265)),"DOB-CAR",
"")))))))))))))))</f>
        <v/>
      </c>
      <c r="E265" t="str">
        <f>IF(OR(ISNUMBER(SEARCH("TRANSPARENTE",INVENTARIO!C265)),ISNUMBER(SEARCH("TRANSPARENTES",INVENTARIO!C265))),"TRA",
IF(OR(ISNUMBER(SEARCH("BLANCO",INVENTARIO!C265)),ISNUMBER(SEARCH("BCO",INVENTARIO!C265))),"BLA",
IF(ISNUMBER(SEARCH("FOTOGRAFICO",INVENTARIO!C265)),"FOT",
IF(ISNUMBER(SEARCH("MARFIL",INVENTARIO!C265)),"MAR",
IF(ISNUMBER(SEARCH("VERDE",INVENTARIO!C265)),"VER",
IF(ISNUMBER(SEARCH("MORADO",INVENTARIO!C265)),"MOR",
IF(ISNUMBER(SEARCH("PLATA",INVENTARIO!C265)),"PLA",
IF(ISNUMBER(SEARCH("ORO",INVENTARIO!C265)),"ORO",
IF(ISNUMBER(SEARCH("AMARILLO",INVENTARIO!C265)),"AMA",
IF(ISNUMBER(SEARCH("NARANJA",INVENTARIO!C265)),"NAR",
IF(ISNUMBER(SEARCH("NEGRO",INVENTARIO!C265)),"NEG",
IF(ISNUMBER(SEARCH("ROJO",INVENTARIO!C265)),"ROJ",
IF(ISNUMBER(SEARCH("AZUL",INVENTARIO!C265)),"AZU","")))))))))))))</f>
        <v>ORO</v>
      </c>
      <c r="F265" t="str">
        <f>IF(ISNUMBER(SEARCH("ARLON",INVENTARIO!C265)),"ARL",
IF(ISNUMBER(SEARCH("SUNTHINKS",INVENTARIO!C265)),"SUN",
IF(ISNUMBER(SEARCH("FRIO",INVENTARIO!C265)),"FRI",
IF(ISNUMBER(SEARCH("CALIDO",INVENTARIO!C265)),"CAL",
IF(ISNUMBER(SEARCH("CEPILLADO",INVENTARIO!C265)),"CEP",
IF(ISNUMBER(SEARCH("ESPEJO",INVENTARIO!C265)),"ESP",
""))))))</f>
        <v>CEP</v>
      </c>
      <c r="G265" t="str">
        <f>IF(ISNUMBER(SEARCH("LATEX",INVENTARIO!C265)),"LAT",
IF(ISNUMBER(SEARCH("RESP. NEGRO",INVENTARIO!C265)),"RES-NEG",
IF(ISNUMBER(SEARCH("RESPALDO CAFE",INVENTARIO!C265)),"RES-CAF",
IF(ISNUMBER(SEARCH("RESPALDO GRIS",INVENTARIO!C265)),"RES-GRI",
IF(ISNUMBER(SEARCH("OPTICO",INVENTARIO!C265)),"OPT",
IF(ISNUMBER(SEARCH("1,2 MM",INVENTARIO!C265)),"1MM2",
IF(ISNUMBER(SEARCH("2 MM",INVENTARIO!C265)),"2MM",
IF(ISNUMBER(SEARCH("3 MM",INVENTARIO!C265)),"3MM",
IF(ISNUMBER(SEARCH("4 MM",INVENTARIO!C265)),"4MM",
IF(ISNUMBER(SEARCH("5 MM",INVENTARIO!C265)),"5MM",
IF(ISNUMBER(SEARCH("6 MM",INVENTARIO!C265)),"6MM",
IF(ISNUMBER(SEARCH("9 MM",INVENTARIO!C265)),"9MM",
IF(ISNUMBER(SEARCH("10 MM",INVENTARIO!C265)),"10MM","")))))))))))))</f>
        <v/>
      </c>
      <c r="H265" t="str">
        <f>IF(ISNUMBER(SEARCH("GAMA BAJA",INVENTARIO!C265)),"GAM-BAJ",
IF(ISNUMBER(SEARCH("OPTIMIZADOR",INVENTARIO!C265)),"OPT",
IF(ISNUMBER(SEARCH("OVERCOAT",INVENTARIO!C265)),"OVE",
IF(ISNUMBER(SEARCH("WHITE",INVENTARIO!C265)),"WHI",
IF(ISNUMBER(SEARCH("LIGHT CYAN",INVENTARIO!C265)),"LIG-CYA",
IF(ISNUMBER(SEARCH("CYAN",INVENTARIO!C265)),"CYA",
IF(ISNUMBER(SEARCH("LIGHT MAGENTA",INVENTARIO!C265)),"LIG-MAG",
IF(ISNUMBER(SEARCH("MAGENTA",INVENTARIO!C265)),"MAG",
IF(ISNUMBER(SEARCH("BLACK",INVENTARIO!C265)),"BLA",
IF(ISNUMBER(SEARCH("YELLOW",INVENTARIO!C265)),"YEL",
IF(ISNUMBER(SEARCH("2 DIODOS",INVENTARIO!C265)),"2DI",
IF(ISNUMBER(SEARCH("3 DIODOS",INVENTARIO!C265)),"3DI",
IF(OR(ISNUMBER(SEARCH("TRASLUCIDO",INVENTARIO!C265)),ISNUMBER(SEARCH("TRANSLUCIDO",INVENTARIO!C265))),"TRA",
"")))))))))))))</f>
        <v/>
      </c>
      <c r="I265" t="str">
        <f>IF(ISNUMBER(SEARCH("SILED",INVENTARIO!C254)),"SI",
IF(ISNUMBER(SEARCH("SYDEMEX",INVENTARIO!C254)),"SY",
IF(ISNUMBER(SEARCH("ROHS",INVENTARIO!C254)),"RO",
IF(ISNUMBER(SEARCH("RISHANG",INVENTARIO!C254)),"RS",
IF(ISNUMBER(SEARCH("VYG",INVENTARIO!C254)),"VYG",
IF(ISNUMBER(SEARCH("COLED",INVENTARIO!C254)),"CO",""))))))</f>
        <v/>
      </c>
    </row>
    <row r="266" spans="1:9">
      <c r="A266" t="str">
        <f>IF(ISNUMBER(SEARCH("LONA",INVENTARIO!C266)),"LON",
IF(ISNUMBER(SEARCH("VINIL",INVENTARIO!C266)),"VIN",
IF(ISNUMBER(SEARCH("KROMACOTE",INVENTARIO!C266)),"KRO",
IF(ISNUMBER(SEARCH("STARDREAM",INVENTARIO!C266)),"STA",
IF(ISNUMBER(SEARCH("DISPLAY",INVENTARIO!C266)),"DIS",
IF(ISNUMBER(SEARCH("ROLL UP",INVENTARIO!C266)),"ROL-UP",
IF(ISNUMBER(SEARCH("TRANSFER DE PAPEL",INVENTARIO!C266)),"TRA-PAP",
IF(ISNUMBER(SEARCH("TRANSFER",INVENTARIO!C266)),"TRA",IF(ISNUMBER(SEARCH("KOLA LOKA",INVENTARIO!C266)),"KOL-LOK",
IF(ISNUMBER(SEARCH("PETG",INVENTARIO!C266)),"PET",
IF(ISNUMBER(SEARCH("OJILLO",INVENTARIO!C266)),"OJI",
IF(ISNUMBER(SEARCH("COUCHE",INVENTARIO!C266)),"COU",
IF(ISNUMBER(SEARCH("PANEL DE ALUMINIO",INVENTARIO!C266)),"PAN-ALU",
IF(ISNUMBER(SEARCH("PVC",INVENTARIO!C266)),"PVC",
IF(ISNUMBER(SEARCH("PAPEL",INVENTARIO!C266)),"PAP",
IF(ISNUMBER(SEARCH("TELA",INVENTARIO!C266)),"TEL",
IF(ISNUMBER(SEARCH("CARTULINA",INVENTARIO!C266)),"CAR",
IF(OR(ISNUMBER(SEARCH("LAMINA",INVENTARIO!C266)),ISNUMBER(SEARCH("LÁMINA",INVENTARIO!C266)),ISNUMBER(SEARCH("LAMPARAS",INVENTARIO!C266))),"LAM",
IF(ISNUMBER(SEARCH("ESTIRENO",INVENTARIO!C266)),"EST",
IF(ISNUMBER(SEARCH("FOAMBOARD",INVENTARIO!C266)),"FOA",
IF(ISNUMBER(SEARCH("SOLVENTE",INVENTARIO!C266)),"SOL",
IF(ISNUMBER(SEARCH("TINTA",INVENTARIO!C266)),"TIN",
IF(ISNUMBER(SEARCH("ACRILICO",INVENTARIO!C266)),"ACR",
IF(ISNUMBER(SEARCH("MICROLED",INVENTARIO!C266)),"MIC",
IF(ISNUMBER(SEARCH("LED",INVENTARIO!C266)),"LED",
IF(ISNUMBER(SEARCH("FUENTE DE PODER",INVENTARIO!C266)),"FUE-POD",
IF(ISNUMBER(SEARCH("PETG",INVENTARIO!C266)),"PET",
IF(ISNUMBER(SEARCH("ALUMINIO",INVENTARIO!C266)),"ALU",
IF(ISNUMBER(SEARCH("CANAL",INVENTARIO!C266)),"CAN",
IF(ISNUMBER(SEARCH("ESCUADRA",INVENTARIO!C266)),"ESC",
IF(ISNUMBER(SEARCH("SOPORTE",INVENTARIO!C266)),"SOP","OTR")
))))))))))))))))))))))))))))))</f>
        <v>ALU</v>
      </c>
      <c r="B266" t="str">
        <f>IF(ISNUMBER(SEARCH("CORTE",INVENTARIO!C266)),"COR",
IF(ISNUMBER(SEARCH("CITYLIGHT",INVENTARIO!C266)),"CIT",
IF(ISNUMBER(SEARCH("LINO",INVENTARIO!C266)),"LIN",
IF(ISNUMBER(SEARCH("FABRIANO",INVENTARIO!C266)),"FAB",
IF(ISNUMBER(SEARCH("SUNDANCE",INVENTARIO!C266)),"SUN",
IF(ISNUMBER(SEARCH("SINTETICA",INVENTARIO!C266)),"SIN",
IF(ISNUMBER(SEARCH("CONTROL",INVENTARIO!C266)),"CON",
IF(ISNUMBER(SEARCH("TERMICO",INVENTARIO!C266)),"TER",
IF(ISNUMBER(SEARCH("C-15",INVENTARIO!C266)),"C15",
IF(ISNUMBER(SEARCH("C-20",INVENTARIO!C266)),"C20",
IF(ISNUMBER(SEARCH("C-30",INVENTARIO!C266)),"C30",
IF(ISNUMBER(SEARCH("C-40",INVENTARIO!C266)),"C40",
IF(ISNUMBER(SEARCH("C-60",INVENTARIO!C266)),"C60",
IF(ISNUMBER(SEARCH("C-80",INVENTARIO!C266)),"C80",
IF(ISNUMBER(SEARCH("EQUIPO",INVENTARIO!C266)),"EQU",
IF(ISNUMBER(SEARCH("FLOOR",INVENTARIO!C266)),"FLO",
IF(ISNUMBER(SEARCH("CRISTAL",INVENTARIO!C266)),"CRI",
IF(ISNUMBER(SEARCH(" SULFATADA",INVENTARIO!C277)),"SUL",
IF(ISNUMBER(SEARCH("OPALINA",INVENTARIO!C266)),"OPA",
IF(ISNUMBER(SEARCH("ADHERIBLE",INVENTARIO!C266)),"ADH",
IF(ISNUMBER(SEARCH("MICRO",INVENTARIO!C266)),"MIC","")))))))))))))))))))))</f>
        <v/>
      </c>
      <c r="C266" t="str">
        <f>IF(ISNUMBER(SEARCH("PARED",INVENTARIO!C266)),"PAR",
IF(ISNUMBER(SEARCH("FRONT",INVENTARIO!C266)),"FRO",
IF(ISNUMBER(SEARCH("ALTA RESISTENCIA",INVENTARIO!C266)),
"ALT-RES",IF(ISNUMBER(SEARCH("BACKLITE",INVENTARIO!C266)),"BAC",
IF(ISNUMBER(SEARCH("MATE",INVENTARIO!C266)),"MAT",
IF(ISNUMBER(SEARCH("MESH",INVENTARIO!C266)),"MES",
IF(ISNUMBER(SEARCH("BRILLANTE",INVENTARIO!C266)),"BRI",
IF(ISNUMBER(SEARCH("DELGADA",INVENTARIO!C266)),"DEL",
IF(ISNUMBER(SEARCH("GRUESA",INVENTARIO!C266)),"GRU",
IF(ISNUMBER(SEARCH("ESTATICO",INVENTARIO!C266)),"EST",
IF(ISNUMBER(SEARCH("REFLECTIVO",INVENTARIO!C266)),"REF",
IF(ISNUMBER(SEARCH("LX700",INVENTARIO!C266)),"LX7",
IF(ISNUMBER(SEARCH("GRANDO",INVENTARIO!C266)),"GRA",
IF(ISNUMBER(SEARCH("FB700",INVENTARIO!C266)),"FB7",
IF(ISNUMBER(SEARCH("LX360",INVENTARIO!C266)),"LX3",
IF(ISNUMBER(SEARCH("XEROX",INVENTARIO!C266)),"XER",
IF(ISNUMBER(SEARCH("CEPILLADO",INVENTARIO!C266)),"CEP",
IF(ISNUMBER(SEARCH("ESPEJO",INVENTARIO!C266)),"ESP",
IF(ISNUMBER(SEARCH("10 PTS",INVENTARIO!C266)),"10PT",
IF(ISNUMBER(SEARCH("12 PTS",INVENTARIO!C266)),"12PT",
IF(ISNUMBER(SEARCH("14 PTS",INVENTARIO!C266)),"14PT",
IF(ISNUMBER(SEARCH("CLASICO",INVENTARIO!C266)),"CLA",
""))))))))))))))))))))))</f>
        <v>MAT</v>
      </c>
      <c r="D266" t="str">
        <f>IF(ISNUMBER(SEARCH("GRAN FORMATO",INVENTARIO!C266)),"GRA-FOR",
IF(ISNUMBER(SEARCH("CAMA PLANA",INVENTARIO!C266)),"CAM-PLA",
IF(ISNUMBER(SEARCH("GRADO INGENIERIA",INVENTARIO!C266)),"GRA-ING",
IF(ISNUMBER(SEARCH("130 GRS",INVENTARIO!C266)),"130GR",
IF(ISNUMBER(SEARCH("150 GRS",INVENTARIO!C266)),"150GR",
IF(ISNUMBER(SEARCH("185 GRS",INVENTARIO!C266)),"185GR",
IF(ISNUMBER(SEARCH("200 GRS",INVENTARIO!C266)),"200GR",
IF(ISNUMBER(SEARCH("250 GRS",INVENTARIO!C266)),"250GR",
IF(ISNUMBER(SEARCH("300 GRS",INVENTARIO!C266)),"300GR",
IF(ISNUMBER(SEARCH("350 GRS",INVENTARIO!C266)),"350GR",
IF(ISNUMBER(SEARCH("18 OZ",INVENTARIO!C266)),"18OZ",
IF(ISNUMBER(SEARCH("15 OZ",INVENTARIO!C266)),"15OZ",
IF(OR(ISNUMBER(SEARCH("13 OZ",INVENTARIO!C266)),ISNUMBER(SEARCH("13 ONZAS",INVENTARIO!C266))),"13OZ",
IF(OR(ISNUMBER(SEARCH("9 OZ",INVENTARIO!C266)),ISNUMBER(SEARCH("9 ONZAS",INVENTARIO!C266))),"09OZ",
IF(ISNUMBER(SEARCH("DOBLE CARA",INVENTARIO!C266)),"DOB-CAR",
"")))))))))))))))</f>
        <v/>
      </c>
      <c r="E266" t="str">
        <f>IF(OR(ISNUMBER(SEARCH("TRANSPARENTE",INVENTARIO!C266)),ISNUMBER(SEARCH("TRANSPARENTES",INVENTARIO!C266))),"TRA",
IF(OR(ISNUMBER(SEARCH("BLANCO",INVENTARIO!C266)),ISNUMBER(SEARCH("BCO",INVENTARIO!C266))),"BLA",
IF(ISNUMBER(SEARCH("FOTOGRAFICO",INVENTARIO!C266)),"FOT",
IF(ISNUMBER(SEARCH("MARFIL",INVENTARIO!C266)),"MAR",
IF(ISNUMBER(SEARCH("VERDE",INVENTARIO!C266)),"VER",
IF(ISNUMBER(SEARCH("MORADO",INVENTARIO!C266)),"MOR",
IF(ISNUMBER(SEARCH("PLATA",INVENTARIO!C266)),"PLA",
IF(ISNUMBER(SEARCH("ORO",INVENTARIO!C266)),"ORO",
IF(ISNUMBER(SEARCH("AMARILLO",INVENTARIO!C266)),"AMA",
IF(ISNUMBER(SEARCH("NARANJA",INVENTARIO!C266)),"NAR",
IF(ISNUMBER(SEARCH("NEGRO",INVENTARIO!C266)),"NEG",
IF(ISNUMBER(SEARCH("ROJO",INVENTARIO!C266)),"ROJ",
IF(ISNUMBER(SEARCH("AZUL",INVENTARIO!C266)),"AZU","")))))))))))))</f>
        <v>NEG</v>
      </c>
      <c r="F266" t="str">
        <f>IF(ISNUMBER(SEARCH("ARLON",INVENTARIO!C266)),"ARL",
IF(ISNUMBER(SEARCH("SUNTHINKS",INVENTARIO!C266)),"SUN",
IF(ISNUMBER(SEARCH("FRIO",INVENTARIO!C266)),"FRI",
IF(ISNUMBER(SEARCH("CALIDO",INVENTARIO!C266)),"CAL",
IF(ISNUMBER(SEARCH("CEPILLADO",INVENTARIO!C266)),"CEP",
IF(ISNUMBER(SEARCH("ESPEJO",INVENTARIO!C266)),"ESP",
""))))))</f>
        <v/>
      </c>
      <c r="G266" t="str">
        <f>IF(ISNUMBER(SEARCH("LATEX",INVENTARIO!C266)),"LAT",
IF(ISNUMBER(SEARCH("RESP. NEGRO",INVENTARIO!C266)),"RES-NEG",
IF(ISNUMBER(SEARCH("RESPALDO CAFE",INVENTARIO!C266)),"RES-CAF",
IF(ISNUMBER(SEARCH("RESPALDO GRIS",INVENTARIO!C266)),"RES-GRI",
IF(ISNUMBER(SEARCH("OPTICO",INVENTARIO!C266)),"OPT",
IF(ISNUMBER(SEARCH("1,2 MM",INVENTARIO!C266)),"1MM2",
IF(ISNUMBER(SEARCH("2 MM",INVENTARIO!C266)),"2MM",
IF(ISNUMBER(SEARCH("3 MM",INVENTARIO!C266)),"3MM",
IF(ISNUMBER(SEARCH("4 MM",INVENTARIO!C266)),"4MM",
IF(ISNUMBER(SEARCH("5 MM",INVENTARIO!C266)),"5MM",
IF(ISNUMBER(SEARCH("6 MM",INVENTARIO!C266)),"6MM",
IF(ISNUMBER(SEARCH("9 MM",INVENTARIO!C266)),"9MM",
IF(ISNUMBER(SEARCH("10 MM",INVENTARIO!C266)),"10MM","")))))))))))))</f>
        <v/>
      </c>
      <c r="H266" t="str">
        <f>IF(ISNUMBER(SEARCH("GAMA BAJA",INVENTARIO!C266)),"GAM-BAJ",
IF(ISNUMBER(SEARCH("OPTIMIZADOR",INVENTARIO!C266)),"OPT",
IF(ISNUMBER(SEARCH("OVERCOAT",INVENTARIO!C266)),"OVE",
IF(ISNUMBER(SEARCH("WHITE",INVENTARIO!C266)),"WHI",
IF(ISNUMBER(SEARCH("LIGHT CYAN",INVENTARIO!C266)),"LIG-CYA",
IF(ISNUMBER(SEARCH("CYAN",INVENTARIO!C266)),"CYA",
IF(ISNUMBER(SEARCH("LIGHT MAGENTA",INVENTARIO!C266)),"LIG-MAG",
IF(ISNUMBER(SEARCH("MAGENTA",INVENTARIO!C266)),"MAG",
IF(ISNUMBER(SEARCH("BLACK",INVENTARIO!C266)),"BLA",
IF(ISNUMBER(SEARCH("YELLOW",INVENTARIO!C266)),"YEL",
IF(ISNUMBER(SEARCH("2 DIODOS",INVENTARIO!C266)),"2DI",
IF(ISNUMBER(SEARCH("3 DIODOS",INVENTARIO!C266)),"3DI",
IF(OR(ISNUMBER(SEARCH("TRASLUCIDO",INVENTARIO!C266)),ISNUMBER(SEARCH("TRANSLUCIDO",INVENTARIO!C266))),"TRA",
"")))))))))))))</f>
        <v/>
      </c>
      <c r="I266" t="str">
        <f>IF(ISNUMBER(SEARCH("SILED",INVENTARIO!C255)),"SI",
IF(ISNUMBER(SEARCH("SYDEMEX",INVENTARIO!C255)),"SY",
IF(ISNUMBER(SEARCH("ROHS",INVENTARIO!C255)),"RO",
IF(ISNUMBER(SEARCH("RISHANG",INVENTARIO!C255)),"RS",
IF(ISNUMBER(SEARCH("VYG",INVENTARIO!C255)),"VYG",
IF(ISNUMBER(SEARCH("COLED",INVENTARIO!C255)),"CO",""))))))</f>
        <v/>
      </c>
    </row>
    <row r="267" spans="1:9">
      <c r="A267" t="str">
        <f>IF(ISNUMBER(SEARCH("LONA",INVENTARIO!C267)),"LON",
IF(ISNUMBER(SEARCH("VINIL",INVENTARIO!C267)),"VIN",
IF(ISNUMBER(SEARCH("KROMACOTE",INVENTARIO!C267)),"KRO",
IF(ISNUMBER(SEARCH("STARDREAM",INVENTARIO!C267)),"STA",
IF(ISNUMBER(SEARCH("DISPLAY",INVENTARIO!C267)),"DIS",
IF(ISNUMBER(SEARCH("ROLL UP",INVENTARIO!C267)),"ROL-UP",
IF(ISNUMBER(SEARCH("TRANSFER DE PAPEL",INVENTARIO!C267)),"TRA-PAP",
IF(ISNUMBER(SEARCH("TRANSFER",INVENTARIO!C267)),"TRA",IF(ISNUMBER(SEARCH("KOLA LOKA",INVENTARIO!C267)),"KOL-LOK",
IF(ISNUMBER(SEARCH("PETG",INVENTARIO!C267)),"PET",
IF(ISNUMBER(SEARCH("OJILLO",INVENTARIO!C267)),"OJI",
IF(ISNUMBER(SEARCH("COUCHE",INVENTARIO!C267)),"COU",
IF(ISNUMBER(SEARCH("PANEL DE ALUMINIO",INVENTARIO!C267)),"PAN-ALU",
IF(ISNUMBER(SEARCH("PVC",INVENTARIO!C267)),"PVC",
IF(ISNUMBER(SEARCH("PAPEL",INVENTARIO!C267)),"PAP",
IF(ISNUMBER(SEARCH("TELA",INVENTARIO!C267)),"TEL",
IF(ISNUMBER(SEARCH("CARTULINA",INVENTARIO!C267)),"CAR",
IF(OR(ISNUMBER(SEARCH("LAMINA",INVENTARIO!C267)),ISNUMBER(SEARCH("LÁMINA",INVENTARIO!C267)),ISNUMBER(SEARCH("LAMPARAS",INVENTARIO!C267))),"LAM",
IF(ISNUMBER(SEARCH("ESTIRENO",INVENTARIO!C267)),"EST",
IF(ISNUMBER(SEARCH("FOAMBOARD",INVENTARIO!C267)),"FOA",
IF(ISNUMBER(SEARCH("SOLVENTE",INVENTARIO!C267)),"SOL",
IF(ISNUMBER(SEARCH("TINTA",INVENTARIO!C267)),"TIN",
IF(ISNUMBER(SEARCH("ACRILICO",INVENTARIO!C267)),"ACR",
IF(ISNUMBER(SEARCH("MICROLED",INVENTARIO!C267)),"MIC",
IF(ISNUMBER(SEARCH("LED",INVENTARIO!C267)),"LED",
IF(ISNUMBER(SEARCH("FUENTE DE PODER",INVENTARIO!C267)),"FUE-POD",
IF(ISNUMBER(SEARCH("PETG",INVENTARIO!C267)),"PET",
IF(ISNUMBER(SEARCH("ALUMINIO",INVENTARIO!C267)),"ALU",
IF(ISNUMBER(SEARCH("CANAL",INVENTARIO!C267)),"CAN",
IF(ISNUMBER(SEARCH("ESCUADRA",INVENTARIO!C267)),"ESC",
IF(ISNUMBER(SEARCH("SOPORTE",INVENTARIO!C267)),"SOP","OTR")
))))))))))))))))))))))))))))))</f>
        <v>TRA-PAP</v>
      </c>
      <c r="B267" t="str">
        <f>IF(ISNUMBER(SEARCH("CORTE",INVENTARIO!C267)),"COR",
IF(ISNUMBER(SEARCH("CITYLIGHT",INVENTARIO!C267)),"CIT",
IF(ISNUMBER(SEARCH("LINO",INVENTARIO!C267)),"LIN",
IF(ISNUMBER(SEARCH("FABRIANO",INVENTARIO!C267)),"FAB",
IF(ISNUMBER(SEARCH("SUNDANCE",INVENTARIO!C267)),"SUN",
IF(ISNUMBER(SEARCH("SINTETICA",INVENTARIO!C267)),"SIN",
IF(ISNUMBER(SEARCH("CONTROL",INVENTARIO!C267)),"CON",
IF(ISNUMBER(SEARCH("TERMICO",INVENTARIO!C267)),"TER",
IF(ISNUMBER(SEARCH("C-15",INVENTARIO!C267)),"C15",
IF(ISNUMBER(SEARCH("C-20",INVENTARIO!C267)),"C20",
IF(ISNUMBER(SEARCH("C-30",INVENTARIO!C267)),"C30",
IF(ISNUMBER(SEARCH("C-40",INVENTARIO!C267)),"C40",
IF(ISNUMBER(SEARCH("C-60",INVENTARIO!C267)),"C60",
IF(ISNUMBER(SEARCH("C-80",INVENTARIO!C267)),"C80",
IF(ISNUMBER(SEARCH("EQUIPO",INVENTARIO!C267)),"EQU",
IF(ISNUMBER(SEARCH("FLOOR",INVENTARIO!C267)),"FLO",
IF(ISNUMBER(SEARCH("CRISTAL",INVENTARIO!C267)),"CRI",
IF(ISNUMBER(SEARCH(" SULFATADA",INVENTARIO!C278)),"SUL",
IF(ISNUMBER(SEARCH("OPALINA",INVENTARIO!C267)),"OPA",
IF(ISNUMBER(SEARCH("ADHERIBLE",INVENTARIO!C267)),"ADH",
IF(ISNUMBER(SEARCH("MICRO",INVENTARIO!C267)),"MIC","")))))))))))))))))))))</f>
        <v/>
      </c>
      <c r="C267" t="str">
        <f>IF(ISNUMBER(SEARCH("PARED",INVENTARIO!C267)),"PAR",
IF(ISNUMBER(SEARCH("FRONT",INVENTARIO!C267)),"FRO",
IF(ISNUMBER(SEARCH("ALTA RESISTENCIA",INVENTARIO!C267)),
"ALT-RES",IF(ISNUMBER(SEARCH("BACKLITE",INVENTARIO!C267)),"BAC",
IF(ISNUMBER(SEARCH("MATE",INVENTARIO!C267)),"MAT",
IF(ISNUMBER(SEARCH("MESH",INVENTARIO!C267)),"MES",
IF(ISNUMBER(SEARCH("BRILLANTE",INVENTARIO!C267)),"BRI",
IF(ISNUMBER(SEARCH("DELGADA",INVENTARIO!C267)),"DEL",
IF(ISNUMBER(SEARCH("GRUESA",INVENTARIO!C267)),"GRU",
IF(ISNUMBER(SEARCH("ESTATICO",INVENTARIO!C267)),"EST",
IF(ISNUMBER(SEARCH("REFLECTIVO",INVENTARIO!C267)),"REF",
IF(ISNUMBER(SEARCH("LX700",INVENTARIO!C267)),"LX7",
IF(ISNUMBER(SEARCH("GRANDO",INVENTARIO!C267)),"GRA",
IF(ISNUMBER(SEARCH("FB700",INVENTARIO!C267)),"FB7",
IF(ISNUMBER(SEARCH("LX360",INVENTARIO!C267)),"LX3",
IF(ISNUMBER(SEARCH("XEROX",INVENTARIO!C267)),"XER",
IF(ISNUMBER(SEARCH("CEPILLADO",INVENTARIO!C267)),"CEP",
IF(ISNUMBER(SEARCH("ESPEJO",INVENTARIO!C267)),"ESP",
IF(ISNUMBER(SEARCH("10 PTS",INVENTARIO!C267)),"10PT",
IF(ISNUMBER(SEARCH("12 PTS",INVENTARIO!C267)),"12PT",
IF(ISNUMBER(SEARCH("14 PTS",INVENTARIO!C267)),"14PT",
IF(ISNUMBER(SEARCH("CLASICO",INVENTARIO!C267)),"CLA",
""))))))))))))))))))))))</f>
        <v/>
      </c>
      <c r="D267" t="str">
        <f>IF(ISNUMBER(SEARCH("GRAN FORMATO",INVENTARIO!C267)),"GRA-FOR",
IF(ISNUMBER(SEARCH("CAMA PLANA",INVENTARIO!C267)),"CAM-PLA",
IF(ISNUMBER(SEARCH("GRADO INGENIERIA",INVENTARIO!C267)),"GRA-ING",
IF(ISNUMBER(SEARCH("130 GRS",INVENTARIO!C267)),"130GR",
IF(ISNUMBER(SEARCH("150 GRS",INVENTARIO!C267)),"150GR",
IF(ISNUMBER(SEARCH("185 GRS",INVENTARIO!C267)),"185GR",
IF(ISNUMBER(SEARCH("200 GRS",INVENTARIO!C267)),"200GR",
IF(ISNUMBER(SEARCH("250 GRS",INVENTARIO!C267)),"250GR",
IF(ISNUMBER(SEARCH("300 GRS",INVENTARIO!C267)),"300GR",
IF(ISNUMBER(SEARCH("350 GRS",INVENTARIO!C267)),"350GR",
IF(ISNUMBER(SEARCH("18 OZ",INVENTARIO!C267)),"18OZ",
IF(ISNUMBER(SEARCH("15 OZ",INVENTARIO!C267)),"15OZ",
IF(OR(ISNUMBER(SEARCH("13 OZ",INVENTARIO!C267)),ISNUMBER(SEARCH("13 ONZAS",INVENTARIO!C267))),"13OZ",
IF(OR(ISNUMBER(SEARCH("9 OZ",INVENTARIO!C267)),ISNUMBER(SEARCH("9 ONZAS",INVENTARIO!C267))),"09OZ",
IF(ISNUMBER(SEARCH("DOBLE CARA",INVENTARIO!C267)),"DOB-CAR",
"")))))))))))))))</f>
        <v/>
      </c>
      <c r="E267" t="str">
        <f>IF(OR(ISNUMBER(SEARCH("TRANSPARENTE",INVENTARIO!C267)),ISNUMBER(SEARCH("TRANSPARENTES",INVENTARIO!C267))),"TRA",
IF(OR(ISNUMBER(SEARCH("BLANCO",INVENTARIO!C267)),ISNUMBER(SEARCH("BCO",INVENTARIO!C267))),"BLA",
IF(ISNUMBER(SEARCH("FOTOGRAFICO",INVENTARIO!C267)),"FOT",
IF(ISNUMBER(SEARCH("MARFIL",INVENTARIO!C267)),"MAR",
IF(ISNUMBER(SEARCH("VERDE",INVENTARIO!C267)),"VER",
IF(ISNUMBER(SEARCH("MORADO",INVENTARIO!C267)),"MOR",
IF(ISNUMBER(SEARCH("PLATA",INVENTARIO!C267)),"PLA",
IF(ISNUMBER(SEARCH("ORO",INVENTARIO!C267)),"ORO",
IF(ISNUMBER(SEARCH("AMARILLO",INVENTARIO!C267)),"AMA",
IF(ISNUMBER(SEARCH("NARANJA",INVENTARIO!C267)),"NAR",
IF(ISNUMBER(SEARCH("NEGRO",INVENTARIO!C267)),"NEG",
IF(ISNUMBER(SEARCH("ROJO",INVENTARIO!C267)),"ROJ",
IF(ISNUMBER(SEARCH("AZUL",INVENTARIO!C267)),"AZU","")))))))))))))</f>
        <v/>
      </c>
      <c r="F267" t="str">
        <f>IF(ISNUMBER(SEARCH("ARLON",INVENTARIO!C267)),"ARL",
IF(ISNUMBER(SEARCH("SUNTHINKS",INVENTARIO!C267)),"SUN",
IF(ISNUMBER(SEARCH("FRIO",INVENTARIO!C267)),"FRI",
IF(ISNUMBER(SEARCH("CALIDO",INVENTARIO!C267)),"CAL",
IF(ISNUMBER(SEARCH("CEPILLADO",INVENTARIO!C267)),"CEP",
IF(ISNUMBER(SEARCH("ESPEJO",INVENTARIO!C267)),"ESP",
""))))))</f>
        <v/>
      </c>
      <c r="G267" t="str">
        <f>IF(ISNUMBER(SEARCH("LATEX",INVENTARIO!C267)),"LAT",
IF(ISNUMBER(SEARCH("RESP. NEGRO",INVENTARIO!C267)),"RES-NEG",
IF(ISNUMBER(SEARCH("RESPALDO CAFE",INVENTARIO!C267)),"RES-CAF",
IF(ISNUMBER(SEARCH("RESPALDO GRIS",INVENTARIO!C267)),"RES-GRI",
IF(ISNUMBER(SEARCH("OPTICO",INVENTARIO!C267)),"OPT",
IF(ISNUMBER(SEARCH("1,2 MM",INVENTARIO!C267)),"1MM2",
IF(ISNUMBER(SEARCH("2 MM",INVENTARIO!C267)),"2MM",
IF(ISNUMBER(SEARCH("3 MM",INVENTARIO!C267)),"3MM",
IF(ISNUMBER(SEARCH("4 MM",INVENTARIO!C267)),"4MM",
IF(ISNUMBER(SEARCH("5 MM",INVENTARIO!C267)),"5MM",
IF(ISNUMBER(SEARCH("6 MM",INVENTARIO!C267)),"6MM",
IF(ISNUMBER(SEARCH("9 MM",INVENTARIO!C267)),"9MM",
IF(ISNUMBER(SEARCH("10 MM",INVENTARIO!C267)),"10MM","")))))))))))))</f>
        <v/>
      </c>
      <c r="H267" t="str">
        <f>IF(ISNUMBER(SEARCH("GAMA BAJA",INVENTARIO!C267)),"GAM-BAJ",
IF(ISNUMBER(SEARCH("OPTIMIZADOR",INVENTARIO!C267)),"OPT",
IF(ISNUMBER(SEARCH("OVERCOAT",INVENTARIO!C267)),"OVE",
IF(ISNUMBER(SEARCH("WHITE",INVENTARIO!C267)),"WHI",
IF(ISNUMBER(SEARCH("LIGHT CYAN",INVENTARIO!C267)),"LIG-CYA",
IF(ISNUMBER(SEARCH("CYAN",INVENTARIO!C267)),"CYA",
IF(ISNUMBER(SEARCH("LIGHT MAGENTA",INVENTARIO!C267)),"LIG-MAG",
IF(ISNUMBER(SEARCH("MAGENTA",INVENTARIO!C267)),"MAG",
IF(ISNUMBER(SEARCH("BLACK",INVENTARIO!C267)),"BLA",
IF(ISNUMBER(SEARCH("YELLOW",INVENTARIO!C267)),"YEL",
IF(ISNUMBER(SEARCH("2 DIODOS",INVENTARIO!C267)),"2DI",
IF(ISNUMBER(SEARCH("3 DIODOS",INVENTARIO!C267)),"3DI",
IF(OR(ISNUMBER(SEARCH("TRASLUCIDO",INVENTARIO!C267)),ISNUMBER(SEARCH("TRANSLUCIDO",INVENTARIO!C267))),"TRA",
"")))))))))))))</f>
        <v/>
      </c>
      <c r="I267" t="str">
        <f>IF(ISNUMBER(SEARCH("SILED",INVENTARIO!C256)),"SI",
IF(ISNUMBER(SEARCH("SYDEMEX",INVENTARIO!C256)),"SY",
IF(ISNUMBER(SEARCH("ROHS",INVENTARIO!C256)),"RO",
IF(ISNUMBER(SEARCH("RISHANG",INVENTARIO!C256)),"RS",
IF(ISNUMBER(SEARCH("VYG",INVENTARIO!C256)),"VYG",
IF(ISNUMBER(SEARCH("COLED",INVENTARIO!C256)),"CO",""))))))</f>
        <v/>
      </c>
    </row>
    <row r="268" spans="1:9">
      <c r="A268" t="str">
        <f>IF(ISNUMBER(SEARCH("LONA",INVENTARIO!C268)),"LON",
IF(ISNUMBER(SEARCH("VINIL",INVENTARIO!C268)),"VIN",
IF(ISNUMBER(SEARCH("KROMACOTE",INVENTARIO!C268)),"KRO",
IF(ISNUMBER(SEARCH("STARDREAM",INVENTARIO!C268)),"STA",
IF(ISNUMBER(SEARCH("DISPLAY",INVENTARIO!C268)),"DIS",
IF(ISNUMBER(SEARCH("ROLL UP",INVENTARIO!C268)),"ROL-UP",
IF(ISNUMBER(SEARCH("TRANSFER DE PAPEL",INVENTARIO!C268)),"TRA-PAP",
IF(ISNUMBER(SEARCH("TRANSFER",INVENTARIO!C268)),"TRA",IF(ISNUMBER(SEARCH("KOLA LOKA",INVENTARIO!C268)),"KOL-LOK",
IF(ISNUMBER(SEARCH("PETG",INVENTARIO!C268)),"PET",
IF(ISNUMBER(SEARCH("OJILLO",INVENTARIO!C268)),"OJI",
IF(ISNUMBER(SEARCH("COUCHE",INVENTARIO!C268)),"COU",
IF(ISNUMBER(SEARCH("PANEL DE ALUMINIO",INVENTARIO!C268)),"PAN-ALU",
IF(ISNUMBER(SEARCH("PVC",INVENTARIO!C268)),"PVC",
IF(ISNUMBER(SEARCH("PAPEL",INVENTARIO!C268)),"PAP",
IF(ISNUMBER(SEARCH("TELA",INVENTARIO!C268)),"TEL",
IF(ISNUMBER(SEARCH("CARTULINA",INVENTARIO!C268)),"CAR",
IF(OR(ISNUMBER(SEARCH("LAMINA",INVENTARIO!C268)),ISNUMBER(SEARCH("LÁMINA",INVENTARIO!C268)),ISNUMBER(SEARCH("LAMPARAS",INVENTARIO!C268))),"LAM",
IF(ISNUMBER(SEARCH("ESTIRENO",INVENTARIO!C268)),"EST",
IF(ISNUMBER(SEARCH("FOAMBOARD",INVENTARIO!C268)),"FOA",
IF(ISNUMBER(SEARCH("SOLVENTE",INVENTARIO!C268)),"SOL",
IF(ISNUMBER(SEARCH("TINTA",INVENTARIO!C268)),"TIN",
IF(ISNUMBER(SEARCH("ACRILICO",INVENTARIO!C268)),"ACR",
IF(ISNUMBER(SEARCH("MICROLED",INVENTARIO!C268)),"MIC",
IF(ISNUMBER(SEARCH("LED",INVENTARIO!C268)),"LED",
IF(ISNUMBER(SEARCH("FUENTE DE PODER",INVENTARIO!C268)),"FUE-POD",
IF(ISNUMBER(SEARCH("PETG",INVENTARIO!C268)),"PET",
IF(ISNUMBER(SEARCH("ALUMINIO",INVENTARIO!C268)),"ALU",
IF(ISNUMBER(SEARCH("CANAL",INVENTARIO!C268)),"CAN",
IF(ISNUMBER(SEARCH("ESCUADRA",INVENTARIO!C268)),"ESC",
IF(ISNUMBER(SEARCH("SOPORTE",INVENTARIO!C268)),"SOP","OTR")
))))))))))))))))))))))))))))))</f>
        <v>TRA</v>
      </c>
      <c r="B268" t="str">
        <f>IF(ISNUMBER(SEARCH("CORTE",INVENTARIO!C268)),"COR",
IF(ISNUMBER(SEARCH("CITYLIGHT",INVENTARIO!C268)),"CIT",
IF(ISNUMBER(SEARCH("LINO",INVENTARIO!C268)),"LIN",
IF(ISNUMBER(SEARCH("FABRIANO",INVENTARIO!C268)),"FAB",
IF(ISNUMBER(SEARCH("SUNDANCE",INVENTARIO!C268)),"SUN",
IF(ISNUMBER(SEARCH("SINTETICA",INVENTARIO!C268)),"SIN",
IF(ISNUMBER(SEARCH("CONTROL",INVENTARIO!C268)),"CON",
IF(ISNUMBER(SEARCH("TERMICO",INVENTARIO!C268)),"TER",
IF(ISNUMBER(SEARCH("C-15",INVENTARIO!C268)),"C15",
IF(ISNUMBER(SEARCH("C-20",INVENTARIO!C268)),"C20",
IF(ISNUMBER(SEARCH("C-30",INVENTARIO!C268)),"C30",
IF(ISNUMBER(SEARCH("C-40",INVENTARIO!C268)),"C40",
IF(ISNUMBER(SEARCH("C-60",INVENTARIO!C268)),"C60",
IF(ISNUMBER(SEARCH("C-80",INVENTARIO!C268)),"C80",
IF(ISNUMBER(SEARCH("EQUIPO",INVENTARIO!C268)),"EQU",
IF(ISNUMBER(SEARCH("FLOOR",INVENTARIO!C268)),"FLO",
IF(ISNUMBER(SEARCH("CRISTAL",INVENTARIO!C268)),"CRI",
IF(ISNUMBER(SEARCH(" SULFATADA",INVENTARIO!C279)),"SUL",
IF(ISNUMBER(SEARCH("OPALINA",INVENTARIO!C268)),"OPA",
IF(ISNUMBER(SEARCH("ADHERIBLE",INVENTARIO!C268)),"ADH",
IF(ISNUMBER(SEARCH("MICRO",INVENTARIO!C268)),"MIC","")))))))))))))))))))))</f>
        <v/>
      </c>
      <c r="C268" t="str">
        <f>IF(ISNUMBER(SEARCH("PARED",INVENTARIO!C268)),"PAR",
IF(ISNUMBER(SEARCH("FRONT",INVENTARIO!C268)),"FRO",
IF(ISNUMBER(SEARCH("ALTA RESISTENCIA",INVENTARIO!C268)),
"ALT-RES",IF(ISNUMBER(SEARCH("BACKLITE",INVENTARIO!C268)),"BAC",
IF(ISNUMBER(SEARCH("MATE",INVENTARIO!C268)),"MAT",
IF(ISNUMBER(SEARCH("MESH",INVENTARIO!C268)),"MES",
IF(ISNUMBER(SEARCH("BRILLANTE",INVENTARIO!C268)),"BRI",
IF(ISNUMBER(SEARCH("DELGADA",INVENTARIO!C268)),"DEL",
IF(ISNUMBER(SEARCH("GRUESA",INVENTARIO!C268)),"GRU",
IF(ISNUMBER(SEARCH("ESTATICO",INVENTARIO!C268)),"EST",
IF(ISNUMBER(SEARCH("REFLECTIVO",INVENTARIO!C268)),"REF",
IF(ISNUMBER(SEARCH("LX700",INVENTARIO!C268)),"LX7",
IF(ISNUMBER(SEARCH("GRANDO",INVENTARIO!C268)),"GRA",
IF(ISNUMBER(SEARCH("FB700",INVENTARIO!C268)),"FB7",
IF(ISNUMBER(SEARCH("LX360",INVENTARIO!C268)),"LX3",
IF(ISNUMBER(SEARCH("XEROX",INVENTARIO!C268)),"XER",
IF(ISNUMBER(SEARCH("CEPILLADO",INVENTARIO!C268)),"CEP",
IF(ISNUMBER(SEARCH("ESPEJO",INVENTARIO!C268)),"ESP",
IF(ISNUMBER(SEARCH("10 PTS",INVENTARIO!C268)),"10PT",
IF(ISNUMBER(SEARCH("12 PTS",INVENTARIO!C268)),"12PT",
IF(ISNUMBER(SEARCH("14 PTS",INVENTARIO!C268)),"14PT",
IF(ISNUMBER(SEARCH("CLASICO",INVENTARIO!C268)),"CLA",
""))))))))))))))))))))))</f>
        <v/>
      </c>
      <c r="D268" t="str">
        <f>IF(ISNUMBER(SEARCH("GRAN FORMATO",INVENTARIO!C268)),"GRA-FOR",
IF(ISNUMBER(SEARCH("CAMA PLANA",INVENTARIO!C268)),"CAM-PLA",
IF(ISNUMBER(SEARCH("GRADO INGENIERIA",INVENTARIO!C268)),"GRA-ING",
IF(ISNUMBER(SEARCH("130 GRS",INVENTARIO!C268)),"130GR",
IF(ISNUMBER(SEARCH("150 GRS",INVENTARIO!C268)),"150GR",
IF(ISNUMBER(SEARCH("185 GRS",INVENTARIO!C268)),"185GR",
IF(ISNUMBER(SEARCH("200 GRS",INVENTARIO!C268)),"200GR",
IF(ISNUMBER(SEARCH("250 GRS",INVENTARIO!C268)),"250GR",
IF(ISNUMBER(SEARCH("300 GRS",INVENTARIO!C268)),"300GR",
IF(ISNUMBER(SEARCH("350 GRS",INVENTARIO!C268)),"350GR",
IF(ISNUMBER(SEARCH("18 OZ",INVENTARIO!C268)),"18OZ",
IF(ISNUMBER(SEARCH("15 OZ",INVENTARIO!C268)),"15OZ",
IF(OR(ISNUMBER(SEARCH("13 OZ",INVENTARIO!C268)),ISNUMBER(SEARCH("13 ONZAS",INVENTARIO!C268))),"13OZ",
IF(OR(ISNUMBER(SEARCH("9 OZ",INVENTARIO!C268)),ISNUMBER(SEARCH("9 ONZAS",INVENTARIO!C268))),"09OZ",
IF(ISNUMBER(SEARCH("DOBLE CARA",INVENTARIO!C268)),"DOB-CAR",
"")))))))))))))))</f>
        <v/>
      </c>
      <c r="E268" t="str">
        <f>IF(OR(ISNUMBER(SEARCH("TRANSPARENTE",INVENTARIO!C268)),ISNUMBER(SEARCH("TRANSPARENTES",INVENTARIO!C268))),"TRA",
IF(OR(ISNUMBER(SEARCH("BLANCO",INVENTARIO!C268)),ISNUMBER(SEARCH("BCO",INVENTARIO!C268))),"BLA",
IF(ISNUMBER(SEARCH("FOTOGRAFICO",INVENTARIO!C268)),"FOT",
IF(ISNUMBER(SEARCH("MARFIL",INVENTARIO!C268)),"MAR",
IF(ISNUMBER(SEARCH("VERDE",INVENTARIO!C268)),"VER",
IF(ISNUMBER(SEARCH("MORADO",INVENTARIO!C268)),"MOR",
IF(ISNUMBER(SEARCH("PLATA",INVENTARIO!C268)),"PLA",
IF(ISNUMBER(SEARCH("ORO",INVENTARIO!C268)),"ORO",
IF(ISNUMBER(SEARCH("AMARILLO",INVENTARIO!C268)),"AMA",
IF(ISNUMBER(SEARCH("NARANJA",INVENTARIO!C268)),"NAR",
IF(ISNUMBER(SEARCH("NEGRO",INVENTARIO!C268)),"NEG",
IF(ISNUMBER(SEARCH("ROJO",INVENTARIO!C268)),"ROJ",
IF(ISNUMBER(SEARCH("AZUL",INVENTARIO!C268)),"AZU","")))))))))))))</f>
        <v>TRA</v>
      </c>
      <c r="F268" t="str">
        <f>IF(ISNUMBER(SEARCH("ARLON",INVENTARIO!C268)),"ARL",
IF(ISNUMBER(SEARCH("SUNTHINKS",INVENTARIO!C268)),"SUN",
IF(ISNUMBER(SEARCH("FRIO",INVENTARIO!C268)),"FRI",
IF(ISNUMBER(SEARCH("CALIDO",INVENTARIO!C268)),"CAL",
IF(ISNUMBER(SEARCH("CEPILLADO",INVENTARIO!C268)),"CEP",
IF(ISNUMBER(SEARCH("ESPEJO",INVENTARIO!C268)),"ESP",
""))))))</f>
        <v/>
      </c>
      <c r="G268" t="str">
        <f>IF(ISNUMBER(SEARCH("LATEX",INVENTARIO!C268)),"LAT",
IF(ISNUMBER(SEARCH("RESP. NEGRO",INVENTARIO!C268)),"RES-NEG",
IF(ISNUMBER(SEARCH("RESPALDO CAFE",INVENTARIO!C268)),"RES-CAF",
IF(ISNUMBER(SEARCH("RESPALDO GRIS",INVENTARIO!C268)),"RES-GRI",
IF(ISNUMBER(SEARCH("OPTICO",INVENTARIO!C268)),"OPT",
IF(ISNUMBER(SEARCH("1,2 MM",INVENTARIO!C268)),"1MM2",
IF(ISNUMBER(SEARCH("2 MM",INVENTARIO!C268)),"2MM",
IF(ISNUMBER(SEARCH("3 MM",INVENTARIO!C268)),"3MM",
IF(ISNUMBER(SEARCH("4 MM",INVENTARIO!C268)),"4MM",
IF(ISNUMBER(SEARCH("5 MM",INVENTARIO!C268)),"5MM",
IF(ISNUMBER(SEARCH("6 MM",INVENTARIO!C268)),"6MM",
IF(ISNUMBER(SEARCH("9 MM",INVENTARIO!C268)),"9MM",
IF(ISNUMBER(SEARCH("10 MM",INVENTARIO!C268)),"10MM","")))))))))))))</f>
        <v/>
      </c>
      <c r="H268" t="str">
        <f>IF(ISNUMBER(SEARCH("GAMA BAJA",INVENTARIO!C268)),"GAM-BAJ",
IF(ISNUMBER(SEARCH("OPTIMIZADOR",INVENTARIO!C268)),"OPT",
IF(ISNUMBER(SEARCH("OVERCOAT",INVENTARIO!C268)),"OVE",
IF(ISNUMBER(SEARCH("WHITE",INVENTARIO!C268)),"WHI",
IF(ISNUMBER(SEARCH("LIGHT CYAN",INVENTARIO!C268)),"LIG-CYA",
IF(ISNUMBER(SEARCH("CYAN",INVENTARIO!C268)),"CYA",
IF(ISNUMBER(SEARCH("LIGHT MAGENTA",INVENTARIO!C268)),"LIG-MAG",
IF(ISNUMBER(SEARCH("MAGENTA",INVENTARIO!C268)),"MAG",
IF(ISNUMBER(SEARCH("BLACK",INVENTARIO!C268)),"BLA",
IF(ISNUMBER(SEARCH("YELLOW",INVENTARIO!C268)),"YEL",
IF(ISNUMBER(SEARCH("2 DIODOS",INVENTARIO!C268)),"2DI",
IF(ISNUMBER(SEARCH("3 DIODOS",INVENTARIO!C268)),"3DI",
IF(OR(ISNUMBER(SEARCH("TRASLUCIDO",INVENTARIO!C268)),ISNUMBER(SEARCH("TRANSLUCIDO",INVENTARIO!C268))),"TRA",
"")))))))))))))</f>
        <v/>
      </c>
      <c r="I268" t="str">
        <f>IF(ISNUMBER(SEARCH("SILED",INVENTARIO!C257)),"SI",
IF(ISNUMBER(SEARCH("SYDEMEX",INVENTARIO!C257)),"SY",
IF(ISNUMBER(SEARCH("ROHS",INVENTARIO!C257)),"RO",
IF(ISNUMBER(SEARCH("RISHANG",INVENTARIO!C257)),"RS",
IF(ISNUMBER(SEARCH("VYG",INVENTARIO!C257)),"VYG",
IF(ISNUMBER(SEARCH("COLED",INVENTARIO!C257)),"CO",""))))))</f>
        <v/>
      </c>
    </row>
    <row r="269" spans="1:9">
      <c r="A269" t="str">
        <f>IF(ISNUMBER(SEARCH("LONA",INVENTARIO!C269)),"LON",
IF(ISNUMBER(SEARCH("VINIL",INVENTARIO!C269)),"VIN",
IF(ISNUMBER(SEARCH("KROMACOTE",INVENTARIO!C269)),"KRO",
IF(ISNUMBER(SEARCH("STARDREAM",INVENTARIO!C269)),"STA",
IF(ISNUMBER(SEARCH("DISPLAY",INVENTARIO!C269)),"DIS",
IF(ISNUMBER(SEARCH("ROLL UP",INVENTARIO!C269)),"ROL-UP",
IF(ISNUMBER(SEARCH("TRANSFER DE PAPEL",INVENTARIO!C269)),"TRA-PAP",
IF(ISNUMBER(SEARCH("TRANSFER",INVENTARIO!C269)),"TRA",IF(ISNUMBER(SEARCH("KOLA LOKA",INVENTARIO!C269)),"KOL-LOK",
IF(ISNUMBER(SEARCH("PETG",INVENTARIO!C269)),"PET",
IF(ISNUMBER(SEARCH("OJILLO",INVENTARIO!C269)),"OJI",
IF(ISNUMBER(SEARCH("COUCHE",INVENTARIO!C269)),"COU",
IF(ISNUMBER(SEARCH("PANEL DE ALUMINIO",INVENTARIO!C269)),"PAN-ALU",
IF(ISNUMBER(SEARCH("PVC",INVENTARIO!C269)),"PVC",
IF(ISNUMBER(SEARCH("PAPEL",INVENTARIO!C269)),"PAP",
IF(ISNUMBER(SEARCH("TELA",INVENTARIO!C269)),"TEL",
IF(ISNUMBER(SEARCH("CARTULINA",INVENTARIO!C269)),"CAR",
IF(OR(ISNUMBER(SEARCH("LAMINA",INVENTARIO!C269)),ISNUMBER(SEARCH("LÁMINA",INVENTARIO!C269)),ISNUMBER(SEARCH("LAMPARAS",INVENTARIO!C269))),"LAM",
IF(ISNUMBER(SEARCH("ESTIRENO",INVENTARIO!C269)),"EST",
IF(ISNUMBER(SEARCH("FOAMBOARD",INVENTARIO!C269)),"FOA",
IF(ISNUMBER(SEARCH("SOLVENTE",INVENTARIO!C269)),"SOL",
IF(ISNUMBER(SEARCH("TINTA",INVENTARIO!C269)),"TIN",
IF(ISNUMBER(SEARCH("ACRILICO",INVENTARIO!C269)),"ACR",
IF(ISNUMBER(SEARCH("MICROLED",INVENTARIO!C269)),"MIC",
IF(ISNUMBER(SEARCH("LED",INVENTARIO!C269)),"LED",
IF(ISNUMBER(SEARCH("FUENTE DE PODER",INVENTARIO!C269)),"FUE-POD",
IF(ISNUMBER(SEARCH("PETG",INVENTARIO!C269)),"PET",
IF(ISNUMBER(SEARCH("ALUMINIO",INVENTARIO!C269)),"ALU",
IF(ISNUMBER(SEARCH("CANAL",INVENTARIO!C269)),"CAN",
IF(ISNUMBER(SEARCH("ESCUADRA",INVENTARIO!C269)),"ESC",
IF(ISNUMBER(SEARCH("SOPORTE",INVENTARIO!C269)),"SOP","OTR")
))))))))))))))))))))))))))))))</f>
        <v>PVC</v>
      </c>
      <c r="B269" t="str">
        <f>IF(ISNUMBER(SEARCH("CORTE",INVENTARIO!C269)),"COR",
IF(ISNUMBER(SEARCH("CITYLIGHT",INVENTARIO!C269)),"CIT",
IF(ISNUMBER(SEARCH("LINO",INVENTARIO!C269)),"LIN",
IF(ISNUMBER(SEARCH("FABRIANO",INVENTARIO!C269)),"FAB",
IF(ISNUMBER(SEARCH("SUNDANCE",INVENTARIO!C269)),"SUN",
IF(ISNUMBER(SEARCH("SINTETICA",INVENTARIO!C269)),"SIN",
IF(ISNUMBER(SEARCH("CONTROL",INVENTARIO!C269)),"CON",
IF(ISNUMBER(SEARCH("TERMICO",INVENTARIO!C269)),"TER",
IF(ISNUMBER(SEARCH("C-15",INVENTARIO!C269)),"C15",
IF(ISNUMBER(SEARCH("C-20",INVENTARIO!C269)),"C20",
IF(ISNUMBER(SEARCH("C-30",INVENTARIO!C269)),"C30",
IF(ISNUMBER(SEARCH("C-40",INVENTARIO!C269)),"C40",
IF(ISNUMBER(SEARCH("C-60",INVENTARIO!C269)),"C60",
IF(ISNUMBER(SEARCH("C-80",INVENTARIO!C269)),"C80",
IF(ISNUMBER(SEARCH("EQUIPO",INVENTARIO!C269)),"EQU",
IF(ISNUMBER(SEARCH("FLOOR",INVENTARIO!C269)),"FLO",
IF(ISNUMBER(SEARCH("CRISTAL",INVENTARIO!C269)),"CRI",
IF(ISNUMBER(SEARCH(" SULFATADA",INVENTARIO!C280)),"SUL",
IF(ISNUMBER(SEARCH("OPALINA",INVENTARIO!C269)),"OPA",
IF(ISNUMBER(SEARCH("ADHERIBLE",INVENTARIO!C269)),"ADH",
IF(ISNUMBER(SEARCH("MICRO",INVENTARIO!C269)),"MIC","")))))))))))))))))))))</f>
        <v/>
      </c>
      <c r="C269" t="str">
        <f>IF(ISNUMBER(SEARCH("PARED",INVENTARIO!C269)),"PAR",
IF(ISNUMBER(SEARCH("FRONT",INVENTARIO!C269)),"FRO",
IF(ISNUMBER(SEARCH("ALTA RESISTENCIA",INVENTARIO!C269)),
"ALT-RES",IF(ISNUMBER(SEARCH("BACKLITE",INVENTARIO!C269)),"BAC",
IF(ISNUMBER(SEARCH("MATE",INVENTARIO!C269)),"MAT",
IF(ISNUMBER(SEARCH("MESH",INVENTARIO!C269)),"MES",
IF(ISNUMBER(SEARCH("BRILLANTE",INVENTARIO!C269)),"BRI",
IF(ISNUMBER(SEARCH("DELGADA",INVENTARIO!C269)),"DEL",
IF(ISNUMBER(SEARCH("GRUESA",INVENTARIO!C269)),"GRU",
IF(ISNUMBER(SEARCH("ESTATICO",INVENTARIO!C269)),"EST",
IF(ISNUMBER(SEARCH("REFLECTIVO",INVENTARIO!C269)),"REF",
IF(ISNUMBER(SEARCH("LX700",INVENTARIO!C269)),"LX7",
IF(ISNUMBER(SEARCH("GRANDO",INVENTARIO!C269)),"GRA",
IF(ISNUMBER(SEARCH("FB700",INVENTARIO!C269)),"FB7",
IF(ISNUMBER(SEARCH("LX360",INVENTARIO!C269)),"LX3",
IF(ISNUMBER(SEARCH("XEROX",INVENTARIO!C269)),"XER",
IF(ISNUMBER(SEARCH("CEPILLADO",INVENTARIO!C269)),"CEP",
IF(ISNUMBER(SEARCH("ESPEJO",INVENTARIO!C269)),"ESP",
IF(ISNUMBER(SEARCH("10 PTS",INVENTARIO!C269)),"10PT",
IF(ISNUMBER(SEARCH("12 PTS",INVENTARIO!C269)),"12PT",
IF(ISNUMBER(SEARCH("14 PTS",INVENTARIO!C269)),"14PT",
IF(ISNUMBER(SEARCH("CLASICO",INVENTARIO!C269)),"CLA",
""))))))))))))))))))))))</f>
        <v/>
      </c>
      <c r="D269" t="str">
        <f>IF(ISNUMBER(SEARCH("GRAN FORMATO",INVENTARIO!C269)),"GRA-FOR",
IF(ISNUMBER(SEARCH("CAMA PLANA",INVENTARIO!C269)),"CAM-PLA",
IF(ISNUMBER(SEARCH("GRADO INGENIERIA",INVENTARIO!C269)),"GRA-ING",
IF(ISNUMBER(SEARCH("130 GRS",INVENTARIO!C269)),"130GR",
IF(ISNUMBER(SEARCH("150 GRS",INVENTARIO!C269)),"150GR",
IF(ISNUMBER(SEARCH("185 GRS",INVENTARIO!C269)),"185GR",
IF(ISNUMBER(SEARCH("200 GRS",INVENTARIO!C269)),"200GR",
IF(ISNUMBER(SEARCH("250 GRS",INVENTARIO!C269)),"250GR",
IF(ISNUMBER(SEARCH("300 GRS",INVENTARIO!C269)),"300GR",
IF(ISNUMBER(SEARCH("350 GRS",INVENTARIO!C269)),"350GR",
IF(ISNUMBER(SEARCH("18 OZ",INVENTARIO!C269)),"18OZ",
IF(ISNUMBER(SEARCH("15 OZ",INVENTARIO!C269)),"15OZ",
IF(OR(ISNUMBER(SEARCH("13 OZ",INVENTARIO!C269)),ISNUMBER(SEARCH("13 ONZAS",INVENTARIO!C269))),"13OZ",
IF(OR(ISNUMBER(SEARCH("9 OZ",INVENTARIO!C269)),ISNUMBER(SEARCH("9 ONZAS",INVENTARIO!C269))),"09OZ",
IF(ISNUMBER(SEARCH("DOBLE CARA",INVENTARIO!C269)),"DOB-CAR",
"")))))))))))))))</f>
        <v/>
      </c>
      <c r="E269" t="str">
        <f>IF(OR(ISNUMBER(SEARCH("TRANSPARENTE",INVENTARIO!C269)),ISNUMBER(SEARCH("TRANSPARENTES",INVENTARIO!C269))),"TRA",
IF(OR(ISNUMBER(SEARCH("BLANCO",INVENTARIO!C269)),ISNUMBER(SEARCH("BCO",INVENTARIO!C269))),"BLA",
IF(ISNUMBER(SEARCH("FOTOGRAFICO",INVENTARIO!C269)),"FOT",
IF(ISNUMBER(SEARCH("MARFIL",INVENTARIO!C269)),"MAR",
IF(ISNUMBER(SEARCH("VERDE",INVENTARIO!C269)),"VER",
IF(ISNUMBER(SEARCH("MORADO",INVENTARIO!C269)),"MOR",
IF(ISNUMBER(SEARCH("PLATA",INVENTARIO!C269)),"PLA",
IF(ISNUMBER(SEARCH("ORO",INVENTARIO!C269)),"ORO",
IF(ISNUMBER(SEARCH("AMARILLO",INVENTARIO!C269)),"AMA",
IF(ISNUMBER(SEARCH("NARANJA",INVENTARIO!C269)),"NAR",
IF(ISNUMBER(SEARCH("NEGRO",INVENTARIO!C269)),"NEG",
IF(ISNUMBER(SEARCH("ROJO",INVENTARIO!C269)),"ROJ",
IF(ISNUMBER(SEARCH("AZUL",INVENTARIO!C269)),"AZU","")))))))))))))</f>
        <v/>
      </c>
      <c r="F269" t="str">
        <f>IF(ISNUMBER(SEARCH("ARLON",INVENTARIO!C269)),"ARL",
IF(ISNUMBER(SEARCH("SUNTHINKS",INVENTARIO!C269)),"SUN",
IF(ISNUMBER(SEARCH("FRIO",INVENTARIO!C269)),"FRI",
IF(ISNUMBER(SEARCH("CALIDO",INVENTARIO!C269)),"CAL",
IF(ISNUMBER(SEARCH("CEPILLADO",INVENTARIO!C269)),"CEP",
IF(ISNUMBER(SEARCH("ESPEJO",INVENTARIO!C269)),"ESP",
""))))))</f>
        <v/>
      </c>
      <c r="G269" t="str">
        <f>IF(ISNUMBER(SEARCH("LATEX",INVENTARIO!C269)),"LAT",
IF(ISNUMBER(SEARCH("RESP. NEGRO",INVENTARIO!C269)),"RES-NEG",
IF(ISNUMBER(SEARCH("RESPALDO CAFE",INVENTARIO!C269)),"RES-CAF",
IF(ISNUMBER(SEARCH("RESPALDO GRIS",INVENTARIO!C269)),"RES-GRI",
IF(ISNUMBER(SEARCH("OPTICO",INVENTARIO!C269)),"OPT",
IF(ISNUMBER(SEARCH("1,2 MM",INVENTARIO!C269)),"1MM2",
IF(ISNUMBER(SEARCH("2 MM",INVENTARIO!C269)),"2MM",
IF(ISNUMBER(SEARCH("3 MM",INVENTARIO!C269)),"3MM",
IF(ISNUMBER(SEARCH("4 MM",INVENTARIO!C269)),"4MM",
IF(ISNUMBER(SEARCH("5 MM",INVENTARIO!C269)),"5MM",
IF(ISNUMBER(SEARCH("6 MM",INVENTARIO!C269)),"6MM",
IF(ISNUMBER(SEARCH("9 MM",INVENTARIO!C269)),"9MM",
IF(ISNUMBER(SEARCH("10 MM",INVENTARIO!C269)),"10MM","")))))))))))))</f>
        <v/>
      </c>
      <c r="H269" t="str">
        <f>IF(ISNUMBER(SEARCH("GAMA BAJA",INVENTARIO!C269)),"GAM-BAJ",
IF(ISNUMBER(SEARCH("OPTIMIZADOR",INVENTARIO!C269)),"OPT",
IF(ISNUMBER(SEARCH("OVERCOAT",INVENTARIO!C269)),"OVE",
IF(ISNUMBER(SEARCH("WHITE",INVENTARIO!C269)),"WHI",
IF(ISNUMBER(SEARCH("LIGHT CYAN",INVENTARIO!C269)),"LIG-CYA",
IF(ISNUMBER(SEARCH("CYAN",INVENTARIO!C269)),"CYA",
IF(ISNUMBER(SEARCH("LIGHT MAGENTA",INVENTARIO!C269)),"LIG-MAG",
IF(ISNUMBER(SEARCH("MAGENTA",INVENTARIO!C269)),"MAG",
IF(ISNUMBER(SEARCH("BLACK",INVENTARIO!C269)),"BLA",
IF(ISNUMBER(SEARCH("YELLOW",INVENTARIO!C269)),"YEL",
IF(ISNUMBER(SEARCH("2 DIODOS",INVENTARIO!C269)),"2DI",
IF(ISNUMBER(SEARCH("3 DIODOS",INVENTARIO!C269)),"3DI",
IF(OR(ISNUMBER(SEARCH("TRASLUCIDO",INVENTARIO!C269)),ISNUMBER(SEARCH("TRANSLUCIDO",INVENTARIO!C269))),"TRA",
"")))))))))))))</f>
        <v/>
      </c>
      <c r="I269" t="str">
        <f>IF(ISNUMBER(SEARCH("SILED",INVENTARIO!C258)),"SI",
IF(ISNUMBER(SEARCH("SYDEMEX",INVENTARIO!C258)),"SY",
IF(ISNUMBER(SEARCH("ROHS",INVENTARIO!C258)),"RO",
IF(ISNUMBER(SEARCH("RISHANG",INVENTARIO!C258)),"RS",
IF(ISNUMBER(SEARCH("VYG",INVENTARIO!C258)),"VYG",
IF(ISNUMBER(SEARCH("COLED",INVENTARIO!C258)),"CO",""))))))</f>
        <v/>
      </c>
    </row>
    <row r="270" spans="1:9">
      <c r="A270" t="str">
        <f>IF(ISNUMBER(SEARCH("LONA",INVENTARIO!C270)),"LON",
IF(ISNUMBER(SEARCH("VINIL",INVENTARIO!C270)),"VIN",
IF(ISNUMBER(SEARCH("KROMACOTE",INVENTARIO!C270)),"KRO",
IF(ISNUMBER(SEARCH("STARDREAM",INVENTARIO!C270)),"STA",
IF(ISNUMBER(SEARCH("DISPLAY",INVENTARIO!C270)),"DIS",
IF(ISNUMBER(SEARCH("ROLL UP",INVENTARIO!C270)),"ROL-UP",
IF(ISNUMBER(SEARCH("TRANSFER DE PAPEL",INVENTARIO!C270)),"TRA-PAP",
IF(ISNUMBER(SEARCH("TRANSFER",INVENTARIO!C270)),"TRA",IF(ISNUMBER(SEARCH("KOLA LOKA",INVENTARIO!C270)),"KOL-LOK",
IF(ISNUMBER(SEARCH("PETG",INVENTARIO!C270)),"PET",
IF(ISNUMBER(SEARCH("OJILLO",INVENTARIO!C270)),"OJI",
IF(ISNUMBER(SEARCH("COUCHE",INVENTARIO!C270)),"COU",
IF(ISNUMBER(SEARCH("PANEL DE ALUMINIO",INVENTARIO!C270)),"PAN-ALU",
IF(ISNUMBER(SEARCH("PVC",INVENTARIO!C270)),"PVC",
IF(ISNUMBER(SEARCH("PAPEL",INVENTARIO!C270)),"PAP",
IF(ISNUMBER(SEARCH("TELA",INVENTARIO!C270)),"TEL",
IF(ISNUMBER(SEARCH("CARTULINA",INVENTARIO!C270)),"CAR",
IF(OR(ISNUMBER(SEARCH("LAMINA",INVENTARIO!C270)),ISNUMBER(SEARCH("LÁMINA",INVENTARIO!C270)),ISNUMBER(SEARCH("LAMPARAS",INVENTARIO!C270))),"LAM",
IF(ISNUMBER(SEARCH("ESTIRENO",INVENTARIO!C270)),"EST",
IF(ISNUMBER(SEARCH("FOAMBOARD",INVENTARIO!C270)),"FOA",
IF(ISNUMBER(SEARCH("SOLVENTE",INVENTARIO!C270)),"SOL",
IF(ISNUMBER(SEARCH("TINTA",INVENTARIO!C270)),"TIN",
IF(ISNUMBER(SEARCH("ACRILICO",INVENTARIO!C270)),"ACR",
IF(ISNUMBER(SEARCH("MICROLED",INVENTARIO!C270)),"MIC",
IF(ISNUMBER(SEARCH("LED",INVENTARIO!C270)),"LED",
IF(ISNUMBER(SEARCH("FUENTE DE PODER",INVENTARIO!C270)),"FUE-POD",
IF(ISNUMBER(SEARCH("PETG",INVENTARIO!C270)),"PET",
IF(ISNUMBER(SEARCH("ALUMINIO",INVENTARIO!C270)),"ALU",
IF(ISNUMBER(SEARCH("CANAL",INVENTARIO!C270)),"CAN",
IF(ISNUMBER(SEARCH("ESCUADRA",INVENTARIO!C270)),"ESC",
IF(ISNUMBER(SEARCH("SOPORTE",INVENTARIO!C270)),"SOP","OTR")
))))))))))))))))))))))))))))))</f>
        <v>OTR</v>
      </c>
      <c r="B270" t="str">
        <f>IF(ISNUMBER(SEARCH("CORTE",INVENTARIO!C270)),"COR",
IF(ISNUMBER(SEARCH("CITYLIGHT",INVENTARIO!C270)),"CIT",
IF(ISNUMBER(SEARCH("LINO",INVENTARIO!C270)),"LIN",
IF(ISNUMBER(SEARCH("FABRIANO",INVENTARIO!C270)),"FAB",
IF(ISNUMBER(SEARCH("SUNDANCE",INVENTARIO!C270)),"SUN",
IF(ISNUMBER(SEARCH("SINTETICA",INVENTARIO!C270)),"SIN",
IF(ISNUMBER(SEARCH("CONTROL",INVENTARIO!C270)),"CON",
IF(ISNUMBER(SEARCH("TERMICO",INVENTARIO!C270)),"TER",
IF(ISNUMBER(SEARCH("C-15",INVENTARIO!C270)),"C15",
IF(ISNUMBER(SEARCH("C-20",INVENTARIO!C270)),"C20",
IF(ISNUMBER(SEARCH("C-30",INVENTARIO!C270)),"C30",
IF(ISNUMBER(SEARCH("C-40",INVENTARIO!C270)),"C40",
IF(ISNUMBER(SEARCH("C-60",INVENTARIO!C270)),"C60",
IF(ISNUMBER(SEARCH("C-80",INVENTARIO!C270)),"C80",
IF(ISNUMBER(SEARCH("EQUIPO",INVENTARIO!C270)),"EQU",
IF(ISNUMBER(SEARCH("FLOOR",INVENTARIO!C270)),"FLO",
IF(ISNUMBER(SEARCH("CRISTAL",INVENTARIO!C270)),"CRI",
IF(ISNUMBER(SEARCH(" SULFATADA",INVENTARIO!C281)),"SUL",
IF(ISNUMBER(SEARCH("OPALINA",INVENTARIO!C270)),"OPA",
IF(ISNUMBER(SEARCH("ADHERIBLE",INVENTARIO!C270)),"ADH",
IF(ISNUMBER(SEARCH("MICRO",INVENTARIO!C270)),"MIC","")))))))))))))))))))))</f>
        <v/>
      </c>
      <c r="C270" t="str">
        <f>IF(ISNUMBER(SEARCH("PARED",INVENTARIO!C270)),"PAR",
IF(ISNUMBER(SEARCH("FRONT",INVENTARIO!C270)),"FRO",
IF(ISNUMBER(SEARCH("ALTA RESISTENCIA",INVENTARIO!C270)),
"ALT-RES",IF(ISNUMBER(SEARCH("BACKLITE",INVENTARIO!C270)),"BAC",
IF(ISNUMBER(SEARCH("MATE",INVENTARIO!C270)),"MAT",
IF(ISNUMBER(SEARCH("MESH",INVENTARIO!C270)),"MES",
IF(ISNUMBER(SEARCH("BRILLANTE",INVENTARIO!C270)),"BRI",
IF(ISNUMBER(SEARCH("DELGADA",INVENTARIO!C270)),"DEL",
IF(ISNUMBER(SEARCH("GRUESA",INVENTARIO!C270)),"GRU",
IF(ISNUMBER(SEARCH("ESTATICO",INVENTARIO!C270)),"EST",
IF(ISNUMBER(SEARCH("REFLECTIVO",INVENTARIO!C270)),"REF",
IF(ISNUMBER(SEARCH("LX700",INVENTARIO!C270)),"LX7",
IF(ISNUMBER(SEARCH("GRANDO",INVENTARIO!C270)),"GRA",
IF(ISNUMBER(SEARCH("FB700",INVENTARIO!C270)),"FB7",
IF(ISNUMBER(SEARCH("LX360",INVENTARIO!C270)),"LX3",
IF(ISNUMBER(SEARCH("XEROX",INVENTARIO!C270)),"XER",
IF(ISNUMBER(SEARCH("CEPILLADO",INVENTARIO!C270)),"CEP",
IF(ISNUMBER(SEARCH("ESPEJO",INVENTARIO!C270)),"ESP",
IF(ISNUMBER(SEARCH("10 PTS",INVENTARIO!C270)),"10PT",
IF(ISNUMBER(SEARCH("12 PTS",INVENTARIO!C270)),"12PT",
IF(ISNUMBER(SEARCH("14 PTS",INVENTARIO!C270)),"14PT",
IF(ISNUMBER(SEARCH("CLASICO",INVENTARIO!C270)),"CLA",
""))))))))))))))))))))))</f>
        <v/>
      </c>
      <c r="D270" t="str">
        <f>IF(ISNUMBER(SEARCH("GRAN FORMATO",INVENTARIO!C270)),"GRA-FOR",
IF(ISNUMBER(SEARCH("CAMA PLANA",INVENTARIO!C270)),"CAM-PLA",
IF(ISNUMBER(SEARCH("GRADO INGENIERIA",INVENTARIO!C270)),"GRA-ING",
IF(ISNUMBER(SEARCH("130 GRS",INVENTARIO!C270)),"130GR",
IF(ISNUMBER(SEARCH("150 GRS",INVENTARIO!C270)),"150GR",
IF(ISNUMBER(SEARCH("185 GRS",INVENTARIO!C270)),"185GR",
IF(ISNUMBER(SEARCH("200 GRS",INVENTARIO!C270)),"200GR",
IF(ISNUMBER(SEARCH("250 GRS",INVENTARIO!C270)),"250GR",
IF(ISNUMBER(SEARCH("300 GRS",INVENTARIO!C270)),"300GR",
IF(ISNUMBER(SEARCH("350 GRS",INVENTARIO!C270)),"350GR",
IF(ISNUMBER(SEARCH("18 OZ",INVENTARIO!C270)),"18OZ",
IF(ISNUMBER(SEARCH("15 OZ",INVENTARIO!C270)),"15OZ",
IF(OR(ISNUMBER(SEARCH("13 OZ",INVENTARIO!C270)),ISNUMBER(SEARCH("13 ONZAS",INVENTARIO!C270))),"13OZ",
IF(OR(ISNUMBER(SEARCH("9 OZ",INVENTARIO!C270)),ISNUMBER(SEARCH("9 ONZAS",INVENTARIO!C270))),"09OZ",
IF(ISNUMBER(SEARCH("DOBLE CARA",INVENTARIO!C270)),"DOB-CAR",
"")))))))))))))))</f>
        <v/>
      </c>
      <c r="E270" t="str">
        <f>IF(OR(ISNUMBER(SEARCH("TRANSPARENTE",INVENTARIO!C270)),ISNUMBER(SEARCH("TRANSPARENTES",INVENTARIO!C270))),"TRA",
IF(OR(ISNUMBER(SEARCH("BLANCO",INVENTARIO!C270)),ISNUMBER(SEARCH("BCO",INVENTARIO!C270))),"BLA",
IF(ISNUMBER(SEARCH("FOTOGRAFICO",INVENTARIO!C270)),"FOT",
IF(ISNUMBER(SEARCH("MARFIL",INVENTARIO!C270)),"MAR",
IF(ISNUMBER(SEARCH("VERDE",INVENTARIO!C270)),"VER",
IF(ISNUMBER(SEARCH("MORADO",INVENTARIO!C270)),"MOR",
IF(ISNUMBER(SEARCH("PLATA",INVENTARIO!C270)),"PLA",
IF(ISNUMBER(SEARCH("ORO",INVENTARIO!C270)),"ORO",
IF(ISNUMBER(SEARCH("AMARILLO",INVENTARIO!C270)),"AMA",
IF(ISNUMBER(SEARCH("NARANJA",INVENTARIO!C270)),"NAR",
IF(ISNUMBER(SEARCH("NEGRO",INVENTARIO!C270)),"NEG",
IF(ISNUMBER(SEARCH("ROJO",INVENTARIO!C270)),"ROJ",
IF(ISNUMBER(SEARCH("AZUL",INVENTARIO!C270)),"AZU","")))))))))))))</f>
        <v/>
      </c>
      <c r="F270" t="str">
        <f>IF(ISNUMBER(SEARCH("ARLON",INVENTARIO!C270)),"ARL",
IF(ISNUMBER(SEARCH("SUNTHINKS",INVENTARIO!C270)),"SUN",
IF(ISNUMBER(SEARCH("FRIO",INVENTARIO!C270)),"FRI",
IF(ISNUMBER(SEARCH("CALIDO",INVENTARIO!C270)),"CAL",
IF(ISNUMBER(SEARCH("CEPILLADO",INVENTARIO!C270)),"CEP",
IF(ISNUMBER(SEARCH("ESPEJO",INVENTARIO!C270)),"ESP",
""))))))</f>
        <v/>
      </c>
      <c r="G270" t="str">
        <f>IF(ISNUMBER(SEARCH("LATEX",INVENTARIO!C270)),"LAT",
IF(ISNUMBER(SEARCH("RESP. NEGRO",INVENTARIO!C270)),"RES-NEG",
IF(ISNUMBER(SEARCH("RESPALDO CAFE",INVENTARIO!C270)),"RES-CAF",
IF(ISNUMBER(SEARCH("RESPALDO GRIS",INVENTARIO!C270)),"RES-GRI",
IF(ISNUMBER(SEARCH("OPTICO",INVENTARIO!C270)),"OPT",
IF(ISNUMBER(SEARCH("1,2 MM",INVENTARIO!C270)),"1MM2",
IF(ISNUMBER(SEARCH("2 MM",INVENTARIO!C270)),"2MM",
IF(ISNUMBER(SEARCH("3 MM",INVENTARIO!C270)),"3MM",
IF(ISNUMBER(SEARCH("4 MM",INVENTARIO!C270)),"4MM",
IF(ISNUMBER(SEARCH("5 MM",INVENTARIO!C270)),"5MM",
IF(ISNUMBER(SEARCH("6 MM",INVENTARIO!C270)),"6MM",
IF(ISNUMBER(SEARCH("9 MM",INVENTARIO!C270)),"9MM",
IF(ISNUMBER(SEARCH("10 MM",INVENTARIO!C270)),"10MM","")))))))))))))</f>
        <v/>
      </c>
      <c r="H270" t="str">
        <f>IF(ISNUMBER(SEARCH("GAMA BAJA",INVENTARIO!C270)),"GAM-BAJ",
IF(ISNUMBER(SEARCH("OPTIMIZADOR",INVENTARIO!C270)),"OPT",
IF(ISNUMBER(SEARCH("OVERCOAT",INVENTARIO!C270)),"OVE",
IF(ISNUMBER(SEARCH("WHITE",INVENTARIO!C270)),"WHI",
IF(ISNUMBER(SEARCH("LIGHT CYAN",INVENTARIO!C270)),"LIG-CYA",
IF(ISNUMBER(SEARCH("CYAN",INVENTARIO!C270)),"CYA",
IF(ISNUMBER(SEARCH("LIGHT MAGENTA",INVENTARIO!C270)),"LIG-MAG",
IF(ISNUMBER(SEARCH("MAGENTA",INVENTARIO!C270)),"MAG",
IF(ISNUMBER(SEARCH("BLACK",INVENTARIO!C270)),"BLA",
IF(ISNUMBER(SEARCH("YELLOW",INVENTARIO!C270)),"YEL",
IF(ISNUMBER(SEARCH("2 DIODOS",INVENTARIO!C270)),"2DI",
IF(ISNUMBER(SEARCH("3 DIODOS",INVENTARIO!C270)),"3DI",
IF(OR(ISNUMBER(SEARCH("TRASLUCIDO",INVENTARIO!C270)),ISNUMBER(SEARCH("TRANSLUCIDO",INVENTARIO!C270))),"TRA",
"")))))))))))))</f>
        <v/>
      </c>
      <c r="I270" t="str">
        <f>IF(ISNUMBER(SEARCH("SILED",INVENTARIO!C259)),"SI",
IF(ISNUMBER(SEARCH("SYDEMEX",INVENTARIO!C259)),"SY",
IF(ISNUMBER(SEARCH("ROHS",INVENTARIO!C259)),"RO",
IF(ISNUMBER(SEARCH("RISHANG",INVENTARIO!C259)),"RS",
IF(ISNUMBER(SEARCH("VYG",INVENTARIO!C259)),"VYG",
IF(ISNUMBER(SEARCH("COLED",INVENTARIO!C259)),"CO",""))))))</f>
        <v/>
      </c>
    </row>
    <row r="271" spans="1:9">
      <c r="A271" t="str">
        <f>IF(ISNUMBER(SEARCH("LONA",INVENTARIO!C271)),"LON",
IF(ISNUMBER(SEARCH("VINIL",INVENTARIO!C271)),"VIN",
IF(ISNUMBER(SEARCH("KROMACOTE",INVENTARIO!C271)),"KRO",
IF(ISNUMBER(SEARCH("STARDREAM",INVENTARIO!C271)),"STA",
IF(ISNUMBER(SEARCH("DISPLAY",INVENTARIO!C271)),"DIS",
IF(ISNUMBER(SEARCH("ROLL UP",INVENTARIO!C271)),"ROL-UP",
IF(ISNUMBER(SEARCH("TRANSFER DE PAPEL",INVENTARIO!C271)),"TRA-PAP",
IF(ISNUMBER(SEARCH("TRANSFER",INVENTARIO!C271)),"TRA",IF(ISNUMBER(SEARCH("KOLA LOKA",INVENTARIO!C271)),"KOL-LOK",
IF(ISNUMBER(SEARCH("PETG",INVENTARIO!C271)),"PET",
IF(ISNUMBER(SEARCH("OJILLO",INVENTARIO!C271)),"OJI",
IF(ISNUMBER(SEARCH("COUCHE",INVENTARIO!C271)),"COU",
IF(ISNUMBER(SEARCH("PANEL DE ALUMINIO",INVENTARIO!C271)),"PAN-ALU",
IF(ISNUMBER(SEARCH("PVC",INVENTARIO!C271)),"PVC",
IF(ISNUMBER(SEARCH("PAPEL",INVENTARIO!C271)),"PAP",
IF(ISNUMBER(SEARCH("TELA",INVENTARIO!C271)),"TEL",
IF(ISNUMBER(SEARCH("CARTULINA",INVENTARIO!C271)),"CAR",
IF(OR(ISNUMBER(SEARCH("LAMINA",INVENTARIO!C271)),ISNUMBER(SEARCH("LÁMINA",INVENTARIO!C271)),ISNUMBER(SEARCH("LAMPARAS",INVENTARIO!C271))),"LAM",
IF(ISNUMBER(SEARCH("ESTIRENO",INVENTARIO!C271)),"EST",
IF(ISNUMBER(SEARCH("FOAMBOARD",INVENTARIO!C271)),"FOA",
IF(ISNUMBER(SEARCH("SOLVENTE",INVENTARIO!C271)),"SOL",
IF(ISNUMBER(SEARCH("TINTA",INVENTARIO!C271)),"TIN",
IF(ISNUMBER(SEARCH("ACRILICO",INVENTARIO!C271)),"ACR",
IF(ISNUMBER(SEARCH("MICROLED",INVENTARIO!C271)),"MIC",
IF(ISNUMBER(SEARCH("LED",INVENTARIO!C271)),"LED",
IF(ISNUMBER(SEARCH("FUENTE DE PODER",INVENTARIO!C271)),"FUE-POD",
IF(ISNUMBER(SEARCH("PETG",INVENTARIO!C271)),"PET",
IF(ISNUMBER(SEARCH("ALUMINIO",INVENTARIO!C271)),"ALU",
IF(ISNUMBER(SEARCH("CANAL",INVENTARIO!C271)),"CAN",
IF(ISNUMBER(SEARCH("ESCUADRA",INVENTARIO!C271)),"ESC",
IF(ISNUMBER(SEARCH("SOPORTE",INVENTARIO!C271)),"SOP","OTR")
))))))))))))))))))))))))))))))</f>
        <v>OTR</v>
      </c>
      <c r="B271" t="str">
        <f>IF(ISNUMBER(SEARCH("CORTE",INVENTARIO!C271)),"COR",
IF(ISNUMBER(SEARCH("CITYLIGHT",INVENTARIO!C271)),"CIT",
IF(ISNUMBER(SEARCH("LINO",INVENTARIO!C271)),"LIN",
IF(ISNUMBER(SEARCH("FABRIANO",INVENTARIO!C271)),"FAB",
IF(ISNUMBER(SEARCH("SUNDANCE",INVENTARIO!C271)),"SUN",
IF(ISNUMBER(SEARCH("SINTETICA",INVENTARIO!C271)),"SIN",
IF(ISNUMBER(SEARCH("CONTROL",INVENTARIO!C271)),"CON",
IF(ISNUMBER(SEARCH("TERMICO",INVENTARIO!C271)),"TER",
IF(ISNUMBER(SEARCH("C-15",INVENTARIO!C271)),"C15",
IF(ISNUMBER(SEARCH("C-20",INVENTARIO!C271)),"C20",
IF(ISNUMBER(SEARCH("C-30",INVENTARIO!C271)),"C30",
IF(ISNUMBER(SEARCH("C-40",INVENTARIO!C271)),"C40",
IF(ISNUMBER(SEARCH("C-60",INVENTARIO!C271)),"C60",
IF(ISNUMBER(SEARCH("C-80",INVENTARIO!C271)),"C80",
IF(ISNUMBER(SEARCH("EQUIPO",INVENTARIO!C271)),"EQU",
IF(ISNUMBER(SEARCH("FLOOR",INVENTARIO!C271)),"FLO",
IF(ISNUMBER(SEARCH("CRISTAL",INVENTARIO!C271)),"CRI",
IF(ISNUMBER(SEARCH(" SULFATADA",INVENTARIO!C282)),"SUL",
IF(ISNUMBER(SEARCH("OPALINA",INVENTARIO!C271)),"OPA",
IF(ISNUMBER(SEARCH("ADHERIBLE",INVENTARIO!C271)),"ADH",
IF(ISNUMBER(SEARCH("MICRO",INVENTARIO!C271)),"MIC","")))))))))))))))))))))</f>
        <v/>
      </c>
      <c r="C271" t="str">
        <f>IF(ISNUMBER(SEARCH("PARED",INVENTARIO!C271)),"PAR",
IF(ISNUMBER(SEARCH("FRONT",INVENTARIO!C271)),"FRO",
IF(ISNUMBER(SEARCH("ALTA RESISTENCIA",INVENTARIO!C271)),
"ALT-RES",IF(ISNUMBER(SEARCH("BACKLITE",INVENTARIO!C271)),"BAC",
IF(ISNUMBER(SEARCH("MATE",INVENTARIO!C271)),"MAT",
IF(ISNUMBER(SEARCH("MESH",INVENTARIO!C271)),"MES",
IF(ISNUMBER(SEARCH("BRILLANTE",INVENTARIO!C271)),"BRI",
IF(ISNUMBER(SEARCH("DELGADA",INVENTARIO!C271)),"DEL",
IF(ISNUMBER(SEARCH("GRUESA",INVENTARIO!C271)),"GRU",
IF(ISNUMBER(SEARCH("ESTATICO",INVENTARIO!C271)),"EST",
IF(ISNUMBER(SEARCH("REFLECTIVO",INVENTARIO!C271)),"REF",
IF(ISNUMBER(SEARCH("LX700",INVENTARIO!C271)),"LX7",
IF(ISNUMBER(SEARCH("GRANDO",INVENTARIO!C271)),"GRA",
IF(ISNUMBER(SEARCH("FB700",INVENTARIO!C271)),"FB7",
IF(ISNUMBER(SEARCH("LX360",INVENTARIO!C271)),"LX3",
IF(ISNUMBER(SEARCH("XEROX",INVENTARIO!C271)),"XER",
IF(ISNUMBER(SEARCH("CEPILLADO",INVENTARIO!C271)),"CEP",
IF(ISNUMBER(SEARCH("ESPEJO",INVENTARIO!C271)),"ESP",
IF(ISNUMBER(SEARCH("10 PTS",INVENTARIO!C271)),"10PT",
IF(ISNUMBER(SEARCH("12 PTS",INVENTARIO!C271)),"12PT",
IF(ISNUMBER(SEARCH("14 PTS",INVENTARIO!C271)),"14PT",
IF(ISNUMBER(SEARCH("CLASICO",INVENTARIO!C271)),"CLA",
""))))))))))))))))))))))</f>
        <v/>
      </c>
      <c r="D271" t="str">
        <f>IF(ISNUMBER(SEARCH("GRAN FORMATO",INVENTARIO!C271)),"GRA-FOR",
IF(ISNUMBER(SEARCH("CAMA PLANA",INVENTARIO!C271)),"CAM-PLA",
IF(ISNUMBER(SEARCH("GRADO INGENIERIA",INVENTARIO!C271)),"GRA-ING",
IF(ISNUMBER(SEARCH("130 GRS",INVENTARIO!C271)),"130GR",
IF(ISNUMBER(SEARCH("150 GRS",INVENTARIO!C271)),"150GR",
IF(ISNUMBER(SEARCH("185 GRS",INVENTARIO!C271)),"185GR",
IF(ISNUMBER(SEARCH("200 GRS",INVENTARIO!C271)),"200GR",
IF(ISNUMBER(SEARCH("250 GRS",INVENTARIO!C271)),"250GR",
IF(ISNUMBER(SEARCH("300 GRS",INVENTARIO!C271)),"300GR",
IF(ISNUMBER(SEARCH("350 GRS",INVENTARIO!C271)),"350GR",
IF(ISNUMBER(SEARCH("18 OZ",INVENTARIO!C271)),"18OZ",
IF(ISNUMBER(SEARCH("15 OZ",INVENTARIO!C271)),"15OZ",
IF(OR(ISNUMBER(SEARCH("13 OZ",INVENTARIO!C271)),ISNUMBER(SEARCH("13 ONZAS",INVENTARIO!C271))),"13OZ",
IF(OR(ISNUMBER(SEARCH("9 OZ",INVENTARIO!C271)),ISNUMBER(SEARCH("9 ONZAS",INVENTARIO!C271))),"09OZ",
IF(ISNUMBER(SEARCH("DOBLE CARA",INVENTARIO!C271)),"DOB-CAR",
"")))))))))))))))</f>
        <v/>
      </c>
      <c r="E271" t="str">
        <f>IF(OR(ISNUMBER(SEARCH("TRANSPARENTE",INVENTARIO!C271)),ISNUMBER(SEARCH("TRANSPARENTES",INVENTARIO!C271))),"TRA",
IF(OR(ISNUMBER(SEARCH("BLANCO",INVENTARIO!C271)),ISNUMBER(SEARCH("BCO",INVENTARIO!C271))),"BLA",
IF(ISNUMBER(SEARCH("FOTOGRAFICO",INVENTARIO!C271)),"FOT",
IF(ISNUMBER(SEARCH("MARFIL",INVENTARIO!C271)),"MAR",
IF(ISNUMBER(SEARCH("VERDE",INVENTARIO!C271)),"VER",
IF(ISNUMBER(SEARCH("MORADO",INVENTARIO!C271)),"MOR",
IF(ISNUMBER(SEARCH("PLATA",INVENTARIO!C271)),"PLA",
IF(ISNUMBER(SEARCH("ORO",INVENTARIO!C271)),"ORO",
IF(ISNUMBER(SEARCH("AMARILLO",INVENTARIO!C271)),"AMA",
IF(ISNUMBER(SEARCH("NARANJA",INVENTARIO!C271)),"NAR",
IF(ISNUMBER(SEARCH("NEGRO",INVENTARIO!C271)),"NEG",
IF(ISNUMBER(SEARCH("ROJO",INVENTARIO!C271)),"ROJ",
IF(ISNUMBER(SEARCH("AZUL",INVENTARIO!C271)),"AZU","")))))))))))))</f>
        <v/>
      </c>
      <c r="F271" t="str">
        <f>IF(ISNUMBER(SEARCH("ARLON",INVENTARIO!C271)),"ARL",
IF(ISNUMBER(SEARCH("SUNTHINKS",INVENTARIO!C271)),"SUN",
IF(ISNUMBER(SEARCH("FRIO",INVENTARIO!C271)),"FRI",
IF(ISNUMBER(SEARCH("CALIDO",INVENTARIO!C271)),"CAL",
IF(ISNUMBER(SEARCH("CEPILLADO",INVENTARIO!C271)),"CEP",
IF(ISNUMBER(SEARCH("ESPEJO",INVENTARIO!C271)),"ESP",
""))))))</f>
        <v/>
      </c>
      <c r="G271" t="str">
        <f>IF(ISNUMBER(SEARCH("LATEX",INVENTARIO!C271)),"LAT",
IF(ISNUMBER(SEARCH("RESP. NEGRO",INVENTARIO!C271)),"RES-NEG",
IF(ISNUMBER(SEARCH("RESPALDO CAFE",INVENTARIO!C271)),"RES-CAF",
IF(ISNUMBER(SEARCH("RESPALDO GRIS",INVENTARIO!C271)),"RES-GRI",
IF(ISNUMBER(SEARCH("OPTICO",INVENTARIO!C271)),"OPT",
IF(ISNUMBER(SEARCH("1,2 MM",INVENTARIO!C271)),"1MM2",
IF(ISNUMBER(SEARCH("2 MM",INVENTARIO!C271)),"2MM",
IF(ISNUMBER(SEARCH("3 MM",INVENTARIO!C271)),"3MM",
IF(ISNUMBER(SEARCH("4 MM",INVENTARIO!C271)),"4MM",
IF(ISNUMBER(SEARCH("5 MM",INVENTARIO!C271)),"5MM",
IF(ISNUMBER(SEARCH("6 MM",INVENTARIO!C271)),"6MM",
IF(ISNUMBER(SEARCH("9 MM",INVENTARIO!C271)),"9MM",
IF(ISNUMBER(SEARCH("10 MM",INVENTARIO!C271)),"10MM","")))))))))))))</f>
        <v/>
      </c>
      <c r="H271" t="str">
        <f>IF(ISNUMBER(SEARCH("GAMA BAJA",INVENTARIO!C271)),"GAM-BAJ",
IF(ISNUMBER(SEARCH("OPTIMIZADOR",INVENTARIO!C271)),"OPT",
IF(ISNUMBER(SEARCH("OVERCOAT",INVENTARIO!C271)),"OVE",
IF(ISNUMBER(SEARCH("WHITE",INVENTARIO!C271)),"WHI",
IF(ISNUMBER(SEARCH("LIGHT CYAN",INVENTARIO!C271)),"LIG-CYA",
IF(ISNUMBER(SEARCH("CYAN",INVENTARIO!C271)),"CYA",
IF(ISNUMBER(SEARCH("LIGHT MAGENTA",INVENTARIO!C271)),"LIG-MAG",
IF(ISNUMBER(SEARCH("MAGENTA",INVENTARIO!C271)),"MAG",
IF(ISNUMBER(SEARCH("BLACK",INVENTARIO!C271)),"BLA",
IF(ISNUMBER(SEARCH("YELLOW",INVENTARIO!C271)),"YEL",
IF(ISNUMBER(SEARCH("2 DIODOS",INVENTARIO!C271)),"2DI",
IF(ISNUMBER(SEARCH("3 DIODOS",INVENTARIO!C271)),"3DI",
IF(OR(ISNUMBER(SEARCH("TRASLUCIDO",INVENTARIO!C271)),ISNUMBER(SEARCH("TRANSLUCIDO",INVENTARIO!C271))),"TRA",
"")))))))))))))</f>
        <v/>
      </c>
      <c r="I271" t="str">
        <f>IF(ISNUMBER(SEARCH("SILED",INVENTARIO!C260)),"SI",
IF(ISNUMBER(SEARCH("SYDEMEX",INVENTARIO!C260)),"SY",
IF(ISNUMBER(SEARCH("ROHS",INVENTARIO!C260)),"RO",
IF(ISNUMBER(SEARCH("RISHANG",INVENTARIO!C260)),"RS",
IF(ISNUMBER(SEARCH("VYG",INVENTARIO!C260)),"VYG",
IF(ISNUMBER(SEARCH("COLED",INVENTARIO!C260)),"CO",""))))))</f>
        <v/>
      </c>
    </row>
    <row r="272" spans="1:9">
      <c r="A272" t="str">
        <f>IF(ISNUMBER(SEARCH("LONA",INVENTARIO!C272)),"LON",
IF(ISNUMBER(SEARCH("VINIL",INVENTARIO!C272)),"VIN",
IF(ISNUMBER(SEARCH("KROMACOTE",INVENTARIO!C272)),"KRO",
IF(ISNUMBER(SEARCH("STARDREAM",INVENTARIO!C272)),"STA",
IF(ISNUMBER(SEARCH("DISPLAY",INVENTARIO!C272)),"DIS",
IF(ISNUMBER(SEARCH("ROLL UP",INVENTARIO!C272)),"ROL-UP",
IF(ISNUMBER(SEARCH("TRANSFER DE PAPEL",INVENTARIO!C272)),"TRA-PAP",
IF(ISNUMBER(SEARCH("TRANSFER",INVENTARIO!C272)),"TRA",IF(ISNUMBER(SEARCH("KOLA LOKA",INVENTARIO!C272)),"KOL-LOK",
IF(ISNUMBER(SEARCH("PETG",INVENTARIO!C272)),"PET",
IF(ISNUMBER(SEARCH("OJILLO",INVENTARIO!C272)),"OJI",
IF(ISNUMBER(SEARCH("COUCHE",INVENTARIO!C272)),"COU",
IF(ISNUMBER(SEARCH("PANEL DE ALUMINIO",INVENTARIO!C272)),"PAN-ALU",
IF(ISNUMBER(SEARCH("PVC",INVENTARIO!C272)),"PVC",
IF(ISNUMBER(SEARCH("PAPEL",INVENTARIO!C272)),"PAP",
IF(ISNUMBER(SEARCH("TELA",INVENTARIO!C272)),"TEL",
IF(ISNUMBER(SEARCH("CARTULINA",INVENTARIO!C272)),"CAR",
IF(OR(ISNUMBER(SEARCH("LAMINA",INVENTARIO!C272)),ISNUMBER(SEARCH("LÁMINA",INVENTARIO!C272)),ISNUMBER(SEARCH("LAMPARAS",INVENTARIO!C272))),"LAM",
IF(ISNUMBER(SEARCH("ESTIRENO",INVENTARIO!C272)),"EST",
IF(ISNUMBER(SEARCH("FOAMBOARD",INVENTARIO!C272)),"FOA",
IF(ISNUMBER(SEARCH("SOLVENTE",INVENTARIO!C272)),"SOL",
IF(ISNUMBER(SEARCH("TINTA",INVENTARIO!C272)),"TIN",
IF(ISNUMBER(SEARCH("ACRILICO",INVENTARIO!C272)),"ACR",
IF(ISNUMBER(SEARCH("MICROLED",INVENTARIO!C272)),"MIC",
IF(ISNUMBER(SEARCH("LED",INVENTARIO!C272)),"LED",
IF(ISNUMBER(SEARCH("FUENTE DE PODER",INVENTARIO!C272)),"FUE-POD",
IF(ISNUMBER(SEARCH("PETG",INVENTARIO!C272)),"PET",
IF(ISNUMBER(SEARCH("ALUMINIO",INVENTARIO!C272)),"ALU",
IF(ISNUMBER(SEARCH("CANAL",INVENTARIO!C272)),"CAN",
IF(ISNUMBER(SEARCH("ESCUADRA",INVENTARIO!C272)),"ESC",
IF(ISNUMBER(SEARCH("SOPORTE",INVENTARIO!C272)),"SOP","OTR")
))))))))))))))))))))))))))))))</f>
        <v>OTR</v>
      </c>
      <c r="B272" t="str">
        <f>IF(ISNUMBER(SEARCH("CORTE",INVENTARIO!C272)),"COR",
IF(ISNUMBER(SEARCH("CITYLIGHT",INVENTARIO!C272)),"CIT",
IF(ISNUMBER(SEARCH("LINO",INVENTARIO!C272)),"LIN",
IF(ISNUMBER(SEARCH("FABRIANO",INVENTARIO!C272)),"FAB",
IF(ISNUMBER(SEARCH("SUNDANCE",INVENTARIO!C272)),"SUN",
IF(ISNUMBER(SEARCH("SINTETICA",INVENTARIO!C272)),"SIN",
IF(ISNUMBER(SEARCH("CONTROL",INVENTARIO!C272)),"CON",
IF(ISNUMBER(SEARCH("TERMICO",INVENTARIO!C272)),"TER",
IF(ISNUMBER(SEARCH("C-15",INVENTARIO!C272)),"C15",
IF(ISNUMBER(SEARCH("C-20",INVENTARIO!C272)),"C20",
IF(ISNUMBER(SEARCH("C-30",INVENTARIO!C272)),"C30",
IF(ISNUMBER(SEARCH("C-40",INVENTARIO!C272)),"C40",
IF(ISNUMBER(SEARCH("C-60",INVENTARIO!C272)),"C60",
IF(ISNUMBER(SEARCH("C-80",INVENTARIO!C272)),"C80",
IF(ISNUMBER(SEARCH("EQUIPO",INVENTARIO!C272)),"EQU",
IF(ISNUMBER(SEARCH("FLOOR",INVENTARIO!C272)),"FLO",
IF(ISNUMBER(SEARCH("CRISTAL",INVENTARIO!C272)),"CRI",
IF(ISNUMBER(SEARCH(" SULFATADA",INVENTARIO!C283)),"SUL",
IF(ISNUMBER(SEARCH("OPALINA",INVENTARIO!C272)),"OPA",
IF(ISNUMBER(SEARCH("ADHERIBLE",INVENTARIO!C272)),"ADH",
IF(ISNUMBER(SEARCH("MICRO",INVENTARIO!C272)),"MIC","")))))))))))))))))))))</f>
        <v/>
      </c>
      <c r="C272" t="str">
        <f>IF(ISNUMBER(SEARCH("PARED",INVENTARIO!C272)),"PAR",
IF(ISNUMBER(SEARCH("FRONT",INVENTARIO!C272)),"FRO",
IF(ISNUMBER(SEARCH("ALTA RESISTENCIA",INVENTARIO!C272)),
"ALT-RES",IF(ISNUMBER(SEARCH("BACKLITE",INVENTARIO!C272)),"BAC",
IF(ISNUMBER(SEARCH("MATE",INVENTARIO!C272)),"MAT",
IF(ISNUMBER(SEARCH("MESH",INVENTARIO!C272)),"MES",
IF(ISNUMBER(SEARCH("BRILLANTE",INVENTARIO!C272)),"BRI",
IF(ISNUMBER(SEARCH("DELGADA",INVENTARIO!C272)),"DEL",
IF(ISNUMBER(SEARCH("GRUESA",INVENTARIO!C272)),"GRU",
IF(ISNUMBER(SEARCH("ESTATICO",INVENTARIO!C272)),"EST",
IF(ISNUMBER(SEARCH("REFLECTIVO",INVENTARIO!C272)),"REF",
IF(ISNUMBER(SEARCH("LX700",INVENTARIO!C272)),"LX7",
IF(ISNUMBER(SEARCH("GRANDO",INVENTARIO!C272)),"GRA",
IF(ISNUMBER(SEARCH("FB700",INVENTARIO!C272)),"FB7",
IF(ISNUMBER(SEARCH("LX360",INVENTARIO!C272)),"LX3",
IF(ISNUMBER(SEARCH("XEROX",INVENTARIO!C272)),"XER",
IF(ISNUMBER(SEARCH("CEPILLADO",INVENTARIO!C272)),"CEP",
IF(ISNUMBER(SEARCH("ESPEJO",INVENTARIO!C272)),"ESP",
IF(ISNUMBER(SEARCH("10 PTS",INVENTARIO!C272)),"10PT",
IF(ISNUMBER(SEARCH("12 PTS",INVENTARIO!C272)),"12PT",
IF(ISNUMBER(SEARCH("14 PTS",INVENTARIO!C272)),"14PT",
IF(ISNUMBER(SEARCH("CLASICO",INVENTARIO!C272)),"CLA",
""))))))))))))))))))))))</f>
        <v/>
      </c>
      <c r="D272" t="str">
        <f>IF(ISNUMBER(SEARCH("GRAN FORMATO",INVENTARIO!C272)),"GRA-FOR",
IF(ISNUMBER(SEARCH("CAMA PLANA",INVENTARIO!C272)),"CAM-PLA",
IF(ISNUMBER(SEARCH("GRADO INGENIERIA",INVENTARIO!C272)),"GRA-ING",
IF(ISNUMBER(SEARCH("130 GRS",INVENTARIO!C272)),"130GR",
IF(ISNUMBER(SEARCH("150 GRS",INVENTARIO!C272)),"150GR",
IF(ISNUMBER(SEARCH("185 GRS",INVENTARIO!C272)),"185GR",
IF(ISNUMBER(SEARCH("200 GRS",INVENTARIO!C272)),"200GR",
IF(ISNUMBER(SEARCH("250 GRS",INVENTARIO!C272)),"250GR",
IF(ISNUMBER(SEARCH("300 GRS",INVENTARIO!C272)),"300GR",
IF(ISNUMBER(SEARCH("350 GRS",INVENTARIO!C272)),"350GR",
IF(ISNUMBER(SEARCH("18 OZ",INVENTARIO!C272)),"18OZ",
IF(ISNUMBER(SEARCH("15 OZ",INVENTARIO!C272)),"15OZ",
IF(OR(ISNUMBER(SEARCH("13 OZ",INVENTARIO!C272)),ISNUMBER(SEARCH("13 ONZAS",INVENTARIO!C272))),"13OZ",
IF(OR(ISNUMBER(SEARCH("9 OZ",INVENTARIO!C272)),ISNUMBER(SEARCH("9 ONZAS",INVENTARIO!C272))),"09OZ",
IF(ISNUMBER(SEARCH("DOBLE CARA",INVENTARIO!C272)),"DOB-CAR",
"")))))))))))))))</f>
        <v/>
      </c>
      <c r="E272" t="str">
        <f>IF(OR(ISNUMBER(SEARCH("TRANSPARENTE",INVENTARIO!C272)),ISNUMBER(SEARCH("TRANSPARENTES",INVENTARIO!C272))),"TRA",
IF(OR(ISNUMBER(SEARCH("BLANCO",INVENTARIO!C272)),ISNUMBER(SEARCH("BCO",INVENTARIO!C272))),"BLA",
IF(ISNUMBER(SEARCH("FOTOGRAFICO",INVENTARIO!C272)),"FOT",
IF(ISNUMBER(SEARCH("MARFIL",INVENTARIO!C272)),"MAR",
IF(ISNUMBER(SEARCH("VERDE",INVENTARIO!C272)),"VER",
IF(ISNUMBER(SEARCH("MORADO",INVENTARIO!C272)),"MOR",
IF(ISNUMBER(SEARCH("PLATA",INVENTARIO!C272)),"PLA",
IF(ISNUMBER(SEARCH("ORO",INVENTARIO!C272)),"ORO",
IF(ISNUMBER(SEARCH("AMARILLO",INVENTARIO!C272)),"AMA",
IF(ISNUMBER(SEARCH("NARANJA",INVENTARIO!C272)),"NAR",
IF(ISNUMBER(SEARCH("NEGRO",INVENTARIO!C272)),"NEG",
IF(ISNUMBER(SEARCH("ROJO",INVENTARIO!C272)),"ROJ",
IF(ISNUMBER(SEARCH("AZUL",INVENTARIO!C272)),"AZU","")))))))))))))</f>
        <v/>
      </c>
      <c r="F272" t="str">
        <f>IF(ISNUMBER(SEARCH("ARLON",INVENTARIO!C272)),"ARL",
IF(ISNUMBER(SEARCH("SUNTHINKS",INVENTARIO!C272)),"SUN",
IF(ISNUMBER(SEARCH("FRIO",INVENTARIO!C272)),"FRI",
IF(ISNUMBER(SEARCH("CALIDO",INVENTARIO!C272)),"CAL",
IF(ISNUMBER(SEARCH("CEPILLADO",INVENTARIO!C272)),"CEP",
IF(ISNUMBER(SEARCH("ESPEJO",INVENTARIO!C272)),"ESP",
""))))))</f>
        <v/>
      </c>
      <c r="G272" t="str">
        <f>IF(ISNUMBER(SEARCH("LATEX",INVENTARIO!C272)),"LAT",
IF(ISNUMBER(SEARCH("RESP. NEGRO",INVENTARIO!C272)),"RES-NEG",
IF(ISNUMBER(SEARCH("RESPALDO CAFE",INVENTARIO!C272)),"RES-CAF",
IF(ISNUMBER(SEARCH("RESPALDO GRIS",INVENTARIO!C272)),"RES-GRI",
IF(ISNUMBER(SEARCH("OPTICO",INVENTARIO!C272)),"OPT",
IF(ISNUMBER(SEARCH("1,2 MM",INVENTARIO!C272)),"1MM2",
IF(ISNUMBER(SEARCH("2 MM",INVENTARIO!C272)),"2MM",
IF(ISNUMBER(SEARCH("3 MM",INVENTARIO!C272)),"3MM",
IF(ISNUMBER(SEARCH("4 MM",INVENTARIO!C272)),"4MM",
IF(ISNUMBER(SEARCH("5 MM",INVENTARIO!C272)),"5MM",
IF(ISNUMBER(SEARCH("6 MM",INVENTARIO!C272)),"6MM",
IF(ISNUMBER(SEARCH("9 MM",INVENTARIO!C272)),"9MM",
IF(ISNUMBER(SEARCH("10 MM",INVENTARIO!C272)),"10MM","")))))))))))))</f>
        <v/>
      </c>
      <c r="H272" t="str">
        <f>IF(ISNUMBER(SEARCH("GAMA BAJA",INVENTARIO!C272)),"GAM-BAJ",
IF(ISNUMBER(SEARCH("OPTIMIZADOR",INVENTARIO!C272)),"OPT",
IF(ISNUMBER(SEARCH("OVERCOAT",INVENTARIO!C272)),"OVE",
IF(ISNUMBER(SEARCH("WHITE",INVENTARIO!C272)),"WHI",
IF(ISNUMBER(SEARCH("LIGHT CYAN",INVENTARIO!C272)),"LIG-CYA",
IF(ISNUMBER(SEARCH("CYAN",INVENTARIO!C272)),"CYA",
IF(ISNUMBER(SEARCH("LIGHT MAGENTA",INVENTARIO!C272)),"LIG-MAG",
IF(ISNUMBER(SEARCH("MAGENTA",INVENTARIO!C272)),"MAG",
IF(ISNUMBER(SEARCH("BLACK",INVENTARIO!C272)),"BLA",
IF(ISNUMBER(SEARCH("YELLOW",INVENTARIO!C272)),"YEL",
IF(ISNUMBER(SEARCH("2 DIODOS",INVENTARIO!C272)),"2DI",
IF(ISNUMBER(SEARCH("3 DIODOS",INVENTARIO!C272)),"3DI",
IF(OR(ISNUMBER(SEARCH("TRASLUCIDO",INVENTARIO!C272)),ISNUMBER(SEARCH("TRANSLUCIDO",INVENTARIO!C272))),"TRA",
"")))))))))))))</f>
        <v/>
      </c>
      <c r="I272" t="str">
        <f>IF(ISNUMBER(SEARCH("SILED",INVENTARIO!C261)),"SI",
IF(ISNUMBER(SEARCH("SYDEMEX",INVENTARIO!C261)),"SY",
IF(ISNUMBER(SEARCH("ROHS",INVENTARIO!C261)),"RO",
IF(ISNUMBER(SEARCH("RISHANG",INVENTARIO!C261)),"RS",
IF(ISNUMBER(SEARCH("VYG",INVENTARIO!C261)),"VYG",
IF(ISNUMBER(SEARCH("COLED",INVENTARIO!C261)),"CO",""))))))</f>
        <v/>
      </c>
    </row>
    <row r="273" spans="1:9">
      <c r="A273" t="str">
        <f>IF(ISNUMBER(SEARCH("LONA",INVENTARIO!C273)),"LON",
IF(ISNUMBER(SEARCH("VINIL",INVENTARIO!C273)),"VIN",
IF(ISNUMBER(SEARCH("KROMACOTE",INVENTARIO!C273)),"KRO",
IF(ISNUMBER(SEARCH("STARDREAM",INVENTARIO!C273)),"STA",
IF(ISNUMBER(SEARCH("DISPLAY",INVENTARIO!C273)),"DIS",
IF(ISNUMBER(SEARCH("ROLL UP",INVENTARIO!C273)),"ROL-UP",
IF(ISNUMBER(SEARCH("TRANSFER DE PAPEL",INVENTARIO!C273)),"TRA-PAP",
IF(ISNUMBER(SEARCH("TRANSFER",INVENTARIO!C273)),"TRA",IF(ISNUMBER(SEARCH("KOLA LOKA",INVENTARIO!C273)),"KOL-LOK",
IF(ISNUMBER(SEARCH("PETG",INVENTARIO!C273)),"PET",
IF(ISNUMBER(SEARCH("OJILLO",INVENTARIO!C273)),"OJI",
IF(ISNUMBER(SEARCH("COUCHE",INVENTARIO!C273)),"COU",
IF(ISNUMBER(SEARCH("PANEL DE ALUMINIO",INVENTARIO!C273)),"PAN-ALU",
IF(ISNUMBER(SEARCH("PVC",INVENTARIO!C273)),"PVC",
IF(ISNUMBER(SEARCH("PAPEL",INVENTARIO!C273)),"PAP",
IF(ISNUMBER(SEARCH("TELA",INVENTARIO!C273)),"TEL",
IF(ISNUMBER(SEARCH("CARTULINA",INVENTARIO!C273)),"CAR",
IF(OR(ISNUMBER(SEARCH("LAMINA",INVENTARIO!C273)),ISNUMBER(SEARCH("LÁMINA",INVENTARIO!C273)),ISNUMBER(SEARCH("LAMPARAS",INVENTARIO!C273))),"LAM",
IF(ISNUMBER(SEARCH("ESTIRENO",INVENTARIO!C273)),"EST",
IF(ISNUMBER(SEARCH("FOAMBOARD",INVENTARIO!C273)),"FOA",
IF(ISNUMBER(SEARCH("SOLVENTE",INVENTARIO!C273)),"SOL",
IF(ISNUMBER(SEARCH("TINTA",INVENTARIO!C273)),"TIN",
IF(ISNUMBER(SEARCH("ACRILICO",INVENTARIO!C273)),"ACR",
IF(ISNUMBER(SEARCH("MICROLED",INVENTARIO!C273)),"MIC",
IF(ISNUMBER(SEARCH("LED",INVENTARIO!C273)),"LED",
IF(ISNUMBER(SEARCH("FUENTE DE PODER",INVENTARIO!C273)),"FUE-POD",
IF(ISNUMBER(SEARCH("PETG",INVENTARIO!C273)),"PET",
IF(ISNUMBER(SEARCH("ALUMINIO",INVENTARIO!C273)),"ALU",
IF(ISNUMBER(SEARCH("CANAL",INVENTARIO!C273)),"CAN",
IF(ISNUMBER(SEARCH("ESCUADRA",INVENTARIO!C273)),"ESC",
IF(ISNUMBER(SEARCH("SOPORTE",INVENTARIO!C273)),"SOP","OTR")
))))))))))))))))))))))))))))))</f>
        <v>SOP</v>
      </c>
      <c r="B273" t="str">
        <f>IF(ISNUMBER(SEARCH("CORTE",INVENTARIO!C273)),"COR",
IF(ISNUMBER(SEARCH("CITYLIGHT",INVENTARIO!C273)),"CIT",
IF(ISNUMBER(SEARCH("LINO",INVENTARIO!C273)),"LIN",
IF(ISNUMBER(SEARCH("FABRIANO",INVENTARIO!C273)),"FAB",
IF(ISNUMBER(SEARCH("SUNDANCE",INVENTARIO!C273)),"SUN",
IF(ISNUMBER(SEARCH("SINTETICA",INVENTARIO!C273)),"SIN",
IF(ISNUMBER(SEARCH("CONTROL",INVENTARIO!C273)),"CON",
IF(ISNUMBER(SEARCH("TERMICO",INVENTARIO!C273)),"TER",
IF(ISNUMBER(SEARCH("C-15",INVENTARIO!C273)),"C15",
IF(ISNUMBER(SEARCH("C-20",INVENTARIO!C273)),"C20",
IF(ISNUMBER(SEARCH("C-30",INVENTARIO!C273)),"C30",
IF(ISNUMBER(SEARCH("C-40",INVENTARIO!C273)),"C40",
IF(ISNUMBER(SEARCH("C-60",INVENTARIO!C273)),"C60",
IF(ISNUMBER(SEARCH("C-80",INVENTARIO!C273)),"C80",
IF(ISNUMBER(SEARCH("EQUIPO",INVENTARIO!C273)),"EQU",
IF(ISNUMBER(SEARCH("FLOOR",INVENTARIO!C273)),"FLO",
IF(ISNUMBER(SEARCH("CRISTAL",INVENTARIO!C273)),"CRI",
IF(ISNUMBER(SEARCH(" SULFATADA",INVENTARIO!C284)),"SUL",
IF(ISNUMBER(SEARCH("OPALINA",INVENTARIO!C273)),"OPA",
IF(ISNUMBER(SEARCH("ADHERIBLE",INVENTARIO!C273)),"ADH",
IF(ISNUMBER(SEARCH("MICRO",INVENTARIO!C273)),"MIC","")))))))))))))))))))))</f>
        <v/>
      </c>
      <c r="C273" t="str">
        <f>IF(ISNUMBER(SEARCH("PARED",INVENTARIO!C273)),"PAR",
IF(ISNUMBER(SEARCH("FRONT",INVENTARIO!C273)),"FRO",
IF(ISNUMBER(SEARCH("ALTA RESISTENCIA",INVENTARIO!C273)),
"ALT-RES",IF(ISNUMBER(SEARCH("BACKLITE",INVENTARIO!C273)),"BAC",
IF(ISNUMBER(SEARCH("MATE",INVENTARIO!C273)),"MAT",
IF(ISNUMBER(SEARCH("MESH",INVENTARIO!C273)),"MES",
IF(ISNUMBER(SEARCH("BRILLANTE",INVENTARIO!C273)),"BRI",
IF(ISNUMBER(SEARCH("DELGADA",INVENTARIO!C273)),"DEL",
IF(ISNUMBER(SEARCH("GRUESA",INVENTARIO!C273)),"GRU",
IF(ISNUMBER(SEARCH("ESTATICO",INVENTARIO!C273)),"EST",
IF(ISNUMBER(SEARCH("REFLECTIVO",INVENTARIO!C273)),"REF",
IF(ISNUMBER(SEARCH("LX700",INVENTARIO!C273)),"LX7",
IF(ISNUMBER(SEARCH("GRANDO",INVENTARIO!C273)),"GRA",
IF(ISNUMBER(SEARCH("FB700",INVENTARIO!C273)),"FB7",
IF(ISNUMBER(SEARCH("LX360",INVENTARIO!C273)),"LX3",
IF(ISNUMBER(SEARCH("XEROX",INVENTARIO!C273)),"XER",
IF(ISNUMBER(SEARCH("CEPILLADO",INVENTARIO!C273)),"CEP",
IF(ISNUMBER(SEARCH("ESPEJO",INVENTARIO!C273)),"ESP",
IF(ISNUMBER(SEARCH("10 PTS",INVENTARIO!C273)),"10PT",
IF(ISNUMBER(SEARCH("12 PTS",INVENTARIO!C273)),"12PT",
IF(ISNUMBER(SEARCH("14 PTS",INVENTARIO!C273)),"14PT",
IF(ISNUMBER(SEARCH("CLASICO",INVENTARIO!C273)),"CLA",
""))))))))))))))))))))))</f>
        <v/>
      </c>
      <c r="D273" t="str">
        <f>IF(ISNUMBER(SEARCH("GRAN FORMATO",INVENTARIO!C273)),"GRA-FOR",
IF(ISNUMBER(SEARCH("CAMA PLANA",INVENTARIO!C273)),"CAM-PLA",
IF(ISNUMBER(SEARCH("GRADO INGENIERIA",INVENTARIO!C273)),"GRA-ING",
IF(ISNUMBER(SEARCH("130 GRS",INVENTARIO!C273)),"130GR",
IF(ISNUMBER(SEARCH("150 GRS",INVENTARIO!C273)),"150GR",
IF(ISNUMBER(SEARCH("185 GRS",INVENTARIO!C273)),"185GR",
IF(ISNUMBER(SEARCH("200 GRS",INVENTARIO!C273)),"200GR",
IF(ISNUMBER(SEARCH("250 GRS",INVENTARIO!C273)),"250GR",
IF(ISNUMBER(SEARCH("300 GRS",INVENTARIO!C273)),"300GR",
IF(ISNUMBER(SEARCH("350 GRS",INVENTARIO!C273)),"350GR",
IF(ISNUMBER(SEARCH("18 OZ",INVENTARIO!C273)),"18OZ",
IF(ISNUMBER(SEARCH("15 OZ",INVENTARIO!C273)),"15OZ",
IF(OR(ISNUMBER(SEARCH("13 OZ",INVENTARIO!C273)),ISNUMBER(SEARCH("13 ONZAS",INVENTARIO!C273))),"13OZ",
IF(OR(ISNUMBER(SEARCH("9 OZ",INVENTARIO!C273)),ISNUMBER(SEARCH("9 ONZAS",INVENTARIO!C273))),"09OZ",
IF(ISNUMBER(SEARCH("DOBLE CARA",INVENTARIO!C273)),"DOB-CAR",
"")))))))))))))))</f>
        <v/>
      </c>
      <c r="E273" t="str">
        <f>IF(OR(ISNUMBER(SEARCH("TRANSPARENTE",INVENTARIO!C273)),ISNUMBER(SEARCH("TRANSPARENTES",INVENTARIO!C273))),"TRA",
IF(OR(ISNUMBER(SEARCH("BLANCO",INVENTARIO!C273)),ISNUMBER(SEARCH("BCO",INVENTARIO!C273))),"BLA",
IF(ISNUMBER(SEARCH("FOTOGRAFICO",INVENTARIO!C273)),"FOT",
IF(ISNUMBER(SEARCH("MARFIL",INVENTARIO!C273)),"MAR",
IF(ISNUMBER(SEARCH("VERDE",INVENTARIO!C273)),"VER",
IF(ISNUMBER(SEARCH("MORADO",INVENTARIO!C273)),"MOR",
IF(ISNUMBER(SEARCH("PLATA",INVENTARIO!C273)),"PLA",
IF(ISNUMBER(SEARCH("ORO",INVENTARIO!C273)),"ORO",
IF(ISNUMBER(SEARCH("AMARILLO",INVENTARIO!C273)),"AMA",
IF(ISNUMBER(SEARCH("NARANJA",INVENTARIO!C273)),"NAR",
IF(ISNUMBER(SEARCH("NEGRO",INVENTARIO!C273)),"NEG",
IF(ISNUMBER(SEARCH("ROJO",INVENTARIO!C273)),"ROJ",
IF(ISNUMBER(SEARCH("AZUL",INVENTARIO!C273)),"AZU","")))))))))))))</f>
        <v/>
      </c>
      <c r="F273" t="str">
        <f>IF(ISNUMBER(SEARCH("ARLON",INVENTARIO!C273)),"ARL",
IF(ISNUMBER(SEARCH("SUNTHINKS",INVENTARIO!C273)),"SUN",
IF(ISNUMBER(SEARCH("FRIO",INVENTARIO!C273)),"FRI",
IF(ISNUMBER(SEARCH("CALIDO",INVENTARIO!C273)),"CAL",
IF(ISNUMBER(SEARCH("CEPILLADO",INVENTARIO!C273)),"CEP",
IF(ISNUMBER(SEARCH("ESPEJO",INVENTARIO!C273)),"ESP",
""))))))</f>
        <v/>
      </c>
      <c r="G273" t="str">
        <f>IF(ISNUMBER(SEARCH("LATEX",INVENTARIO!C273)),"LAT",
IF(ISNUMBER(SEARCH("RESP. NEGRO",INVENTARIO!C273)),"RES-NEG",
IF(ISNUMBER(SEARCH("RESPALDO CAFE",INVENTARIO!C273)),"RES-CAF",
IF(ISNUMBER(SEARCH("RESPALDO GRIS",INVENTARIO!C273)),"RES-GRI",
IF(ISNUMBER(SEARCH("OPTICO",INVENTARIO!C273)),"OPT",
IF(ISNUMBER(SEARCH("1,2 MM",INVENTARIO!C273)),"1MM2",
IF(ISNUMBER(SEARCH("2 MM",INVENTARIO!C273)),"2MM",
IF(ISNUMBER(SEARCH("3 MM",INVENTARIO!C273)),"3MM",
IF(ISNUMBER(SEARCH("4 MM",INVENTARIO!C273)),"4MM",
IF(ISNUMBER(SEARCH("5 MM",INVENTARIO!C273)),"5MM",
IF(ISNUMBER(SEARCH("6 MM",INVENTARIO!C273)),"6MM",
IF(ISNUMBER(SEARCH("9 MM",INVENTARIO!C273)),"9MM",
IF(ISNUMBER(SEARCH("10 MM",INVENTARIO!C273)),"10MM","")))))))))))))</f>
        <v/>
      </c>
      <c r="H273" t="str">
        <f>IF(ISNUMBER(SEARCH("GAMA BAJA",INVENTARIO!C273)),"GAM-BAJ",
IF(ISNUMBER(SEARCH("OPTIMIZADOR",INVENTARIO!C273)),"OPT",
IF(ISNUMBER(SEARCH("OVERCOAT",INVENTARIO!C273)),"OVE",
IF(ISNUMBER(SEARCH("WHITE",INVENTARIO!C273)),"WHI",
IF(ISNUMBER(SEARCH("LIGHT CYAN",INVENTARIO!C273)),"LIG-CYA",
IF(ISNUMBER(SEARCH("CYAN",INVENTARIO!C273)),"CYA",
IF(ISNUMBER(SEARCH("LIGHT MAGENTA",INVENTARIO!C273)),"LIG-MAG",
IF(ISNUMBER(SEARCH("MAGENTA",INVENTARIO!C273)),"MAG",
IF(ISNUMBER(SEARCH("BLACK",INVENTARIO!C273)),"BLA",
IF(ISNUMBER(SEARCH("YELLOW",INVENTARIO!C273)),"YEL",
IF(ISNUMBER(SEARCH("2 DIODOS",INVENTARIO!C273)),"2DI",
IF(ISNUMBER(SEARCH("3 DIODOS",INVENTARIO!C273)),"3DI",
IF(OR(ISNUMBER(SEARCH("TRASLUCIDO",INVENTARIO!C273)),ISNUMBER(SEARCH("TRANSLUCIDO",INVENTARIO!C273))),"TRA",
"")))))))))))))</f>
        <v/>
      </c>
      <c r="I273" t="str">
        <f>IF(ISNUMBER(SEARCH("SILED",INVENTARIO!C262)),"SI",
IF(ISNUMBER(SEARCH("SYDEMEX",INVENTARIO!C262)),"SY",
IF(ISNUMBER(SEARCH("ROHS",INVENTARIO!C262)),"RO",
IF(ISNUMBER(SEARCH("RISHANG",INVENTARIO!C262)),"RS",
IF(ISNUMBER(SEARCH("VYG",INVENTARIO!C262)),"VYG",
IF(ISNUMBER(SEARCH("COLED",INVENTARIO!C262)),"CO",""))))))</f>
        <v/>
      </c>
    </row>
    <row r="274" spans="1:9">
      <c r="A274" t="str">
        <f>IF(ISNUMBER(SEARCH("LONA",INVENTARIO!C274)),"LON",
IF(ISNUMBER(SEARCH("VINIL",INVENTARIO!C274)),"VIN",
IF(ISNUMBER(SEARCH("KROMACOTE",INVENTARIO!C274)),"KRO",
IF(ISNUMBER(SEARCH("STARDREAM",INVENTARIO!C274)),"STA",
IF(ISNUMBER(SEARCH("DISPLAY",INVENTARIO!C274)),"DIS",
IF(ISNUMBER(SEARCH("ROLL UP",INVENTARIO!C274)),"ROL-UP",
IF(ISNUMBER(SEARCH("TRANSFER DE PAPEL",INVENTARIO!C274)),"TRA-PAP",
IF(ISNUMBER(SEARCH("TRANSFER",INVENTARIO!C274)),"TRA",IF(ISNUMBER(SEARCH("KOLA LOKA",INVENTARIO!C274)),"KOL-LOK",
IF(ISNUMBER(SEARCH("PETG",INVENTARIO!C274)),"PET",
IF(ISNUMBER(SEARCH("OJILLO",INVENTARIO!C274)),"OJI",
IF(ISNUMBER(SEARCH("COUCHE",INVENTARIO!C274)),"COU",
IF(ISNUMBER(SEARCH("PANEL DE ALUMINIO",INVENTARIO!C274)),"PAN-ALU",
IF(ISNUMBER(SEARCH("PVC",INVENTARIO!C274)),"PVC",
IF(ISNUMBER(SEARCH("PAPEL",INVENTARIO!C274)),"PAP",
IF(ISNUMBER(SEARCH("TELA",INVENTARIO!C274)),"TEL",
IF(ISNUMBER(SEARCH("CARTULINA",INVENTARIO!C274)),"CAR",
IF(OR(ISNUMBER(SEARCH("LAMINA",INVENTARIO!C274)),ISNUMBER(SEARCH("LÁMINA",INVENTARIO!C274)),ISNUMBER(SEARCH("LAMPARAS",INVENTARIO!C274))),"LAM",
IF(ISNUMBER(SEARCH("ESTIRENO",INVENTARIO!C274)),"EST",
IF(ISNUMBER(SEARCH("FOAMBOARD",INVENTARIO!C274)),"FOA",
IF(ISNUMBER(SEARCH("SOLVENTE",INVENTARIO!C274)),"SOL",
IF(ISNUMBER(SEARCH("TINTA",INVENTARIO!C274)),"TIN",
IF(ISNUMBER(SEARCH("ACRILICO",INVENTARIO!C274)),"ACR",
IF(ISNUMBER(SEARCH("MICROLED",INVENTARIO!C274)),"MIC",
IF(ISNUMBER(SEARCH("LED",INVENTARIO!C274)),"LED",
IF(ISNUMBER(SEARCH("FUENTE DE PODER",INVENTARIO!C274)),"FUE-POD",
IF(ISNUMBER(SEARCH("PETG",INVENTARIO!C274)),"PET",
IF(ISNUMBER(SEARCH("ALUMINIO",INVENTARIO!C274)),"ALU",
IF(ISNUMBER(SEARCH("CANAL",INVENTARIO!C274)),"CAN",
IF(ISNUMBER(SEARCH("ESCUADRA",INVENTARIO!C274)),"ESC",
IF(ISNUMBER(SEARCH("SOPORTE",INVENTARIO!C274)),"SOP","OTR")
))))))))))))))))))))))))))))))</f>
        <v>CAR</v>
      </c>
      <c r="B274" t="str">
        <f>IF(ISNUMBER(SEARCH("CORTE",INVENTARIO!C274)),"COR",
IF(ISNUMBER(SEARCH("CITYLIGHT",INVENTARIO!C274)),"CIT",
IF(ISNUMBER(SEARCH("LINO",INVENTARIO!C274)),"LIN",
IF(ISNUMBER(SEARCH("FABRIANO",INVENTARIO!C274)),"FAB",
IF(ISNUMBER(SEARCH("SUNDANCE",INVENTARIO!C274)),"SUN",
IF(ISNUMBER(SEARCH("SINTETICA",INVENTARIO!C274)),"SIN",
IF(ISNUMBER(SEARCH("CONTROL",INVENTARIO!C274)),"CON",
IF(ISNUMBER(SEARCH("TERMICO",INVENTARIO!C274)),"TER",
IF(ISNUMBER(SEARCH("C-15",INVENTARIO!C274)),"C15",
IF(ISNUMBER(SEARCH("C-20",INVENTARIO!C274)),"C20",
IF(ISNUMBER(SEARCH("C-30",INVENTARIO!C274)),"C30",
IF(ISNUMBER(SEARCH("C-40",INVENTARIO!C274)),"C40",
IF(ISNUMBER(SEARCH("C-60",INVENTARIO!C274)),"C60",
IF(ISNUMBER(SEARCH("C-80",INVENTARIO!C274)),"C80",
IF(ISNUMBER(SEARCH("EQUIPO",INVENTARIO!C274)),"EQU",
IF(ISNUMBER(SEARCH("FLOOR",INVENTARIO!C274)),"FLO",
IF(ISNUMBER(SEARCH("CRISTAL",INVENTARIO!C274)),"CRI",
IF(ISNUMBER(SEARCH(" SULFATADA",INVENTARIO!C285)),"SUL",
IF(ISNUMBER(SEARCH("OPALINA",INVENTARIO!C274)),"OPA",
IF(ISNUMBER(SEARCH("ADHERIBLE",INVENTARIO!C274)),"ADH",
IF(ISNUMBER(SEARCH("MICRO",INVENTARIO!C274)),"MIC","")))))))))))))))))))))</f>
        <v/>
      </c>
      <c r="C274" t="str">
        <f>IF(ISNUMBER(SEARCH("PARED",INVENTARIO!C274)),"PAR",
IF(ISNUMBER(SEARCH("FRONT",INVENTARIO!C274)),"FRO",
IF(ISNUMBER(SEARCH("ALTA RESISTENCIA",INVENTARIO!C274)),
"ALT-RES",IF(ISNUMBER(SEARCH("BACKLITE",INVENTARIO!C274)),"BAC",
IF(ISNUMBER(SEARCH("MATE",INVENTARIO!C274)),"MAT",
IF(ISNUMBER(SEARCH("MESH",INVENTARIO!C274)),"MES",
IF(ISNUMBER(SEARCH("BRILLANTE",INVENTARIO!C274)),"BRI",
IF(ISNUMBER(SEARCH("DELGADA",INVENTARIO!C274)),"DEL",
IF(ISNUMBER(SEARCH("GRUESA",INVENTARIO!C274)),"GRU",
IF(ISNUMBER(SEARCH("ESTATICO",INVENTARIO!C274)),"EST",
IF(ISNUMBER(SEARCH("REFLECTIVO",INVENTARIO!C274)),"REF",
IF(ISNUMBER(SEARCH("LX700",INVENTARIO!C274)),"LX7",
IF(ISNUMBER(SEARCH("GRANDO",INVENTARIO!C274)),"GRA",
IF(ISNUMBER(SEARCH("FB700",INVENTARIO!C274)),"FB7",
IF(ISNUMBER(SEARCH("LX360",INVENTARIO!C274)),"LX3",
IF(ISNUMBER(SEARCH("XEROX",INVENTARIO!C274)),"XER",
IF(ISNUMBER(SEARCH("CEPILLADO",INVENTARIO!C274)),"CEP",
IF(ISNUMBER(SEARCH("ESPEJO",INVENTARIO!C274)),"ESP",
IF(ISNUMBER(SEARCH("10 PTS",INVENTARIO!C274)),"10PT",
IF(ISNUMBER(SEARCH("12 PTS",INVENTARIO!C274)),"12PT",
IF(ISNUMBER(SEARCH("14 PTS",INVENTARIO!C274)),"14PT",
IF(ISNUMBER(SEARCH("CLASICO",INVENTARIO!C274)),"CLA",
""))))))))))))))))))))))</f>
        <v/>
      </c>
      <c r="D274" t="str">
        <f>IF(ISNUMBER(SEARCH("GRAN FORMATO",INVENTARIO!C274)),"GRA-FOR",
IF(ISNUMBER(SEARCH("CAMA PLANA",INVENTARIO!C274)),"CAM-PLA",
IF(ISNUMBER(SEARCH("GRADO INGENIERIA",INVENTARIO!C274)),"GRA-ING",
IF(ISNUMBER(SEARCH("130 GRS",INVENTARIO!C274)),"130GR",
IF(ISNUMBER(SEARCH("150 GRS",INVENTARIO!C274)),"150GR",
IF(ISNUMBER(SEARCH("185 GRS",INVENTARIO!C274)),"185GR",
IF(ISNUMBER(SEARCH("200 GRS",INVENTARIO!C274)),"200GR",
IF(ISNUMBER(SEARCH("250 GRS",INVENTARIO!C274)),"250GR",
IF(ISNUMBER(SEARCH("300 GRS",INVENTARIO!C274)),"300GR",
IF(ISNUMBER(SEARCH("350 GRS",INVENTARIO!C274)),"350GR",
IF(ISNUMBER(SEARCH("18 OZ",INVENTARIO!C274)),"18OZ",
IF(ISNUMBER(SEARCH("15 OZ",INVENTARIO!C274)),"15OZ",
IF(OR(ISNUMBER(SEARCH("13 OZ",INVENTARIO!C274)),ISNUMBER(SEARCH("13 ONZAS",INVENTARIO!C274))),"13OZ",
IF(OR(ISNUMBER(SEARCH("9 OZ",INVENTARIO!C274)),ISNUMBER(SEARCH("9 ONZAS",INVENTARIO!C274))),"09OZ",
IF(ISNUMBER(SEARCH("DOBLE CARA",INVENTARIO!C274)),"DOB-CAR",
"")))))))))))))))</f>
        <v/>
      </c>
      <c r="E274" t="str">
        <f>IF(OR(ISNUMBER(SEARCH("TRANSPARENTE",INVENTARIO!C274)),ISNUMBER(SEARCH("TRANSPARENTES",INVENTARIO!C274))),"TRA",
IF(OR(ISNUMBER(SEARCH("BLANCO",INVENTARIO!C274)),ISNUMBER(SEARCH("BCO",INVENTARIO!C274))),"BLA",
IF(ISNUMBER(SEARCH("FOTOGRAFICO",INVENTARIO!C274)),"FOT",
IF(ISNUMBER(SEARCH("MARFIL",INVENTARIO!C274)),"MAR",
IF(ISNUMBER(SEARCH("VERDE",INVENTARIO!C274)),"VER",
IF(ISNUMBER(SEARCH("MORADO",INVENTARIO!C274)),"MOR",
IF(ISNUMBER(SEARCH("PLATA",INVENTARIO!C274)),"PLA",
IF(ISNUMBER(SEARCH("ORO",INVENTARIO!C274)),"ORO",
IF(ISNUMBER(SEARCH("AMARILLO",INVENTARIO!C274)),"AMA",
IF(ISNUMBER(SEARCH("NARANJA",INVENTARIO!C274)),"NAR",
IF(ISNUMBER(SEARCH("NEGRO",INVENTARIO!C274)),"NEG",
IF(ISNUMBER(SEARCH("ROJO",INVENTARIO!C274)),"ROJ",
IF(ISNUMBER(SEARCH("AZUL",INVENTARIO!C274)),"AZU","")))))))))))))</f>
        <v/>
      </c>
      <c r="F274" t="str">
        <f>IF(ISNUMBER(SEARCH("ARLON",INVENTARIO!C274)),"ARL",
IF(ISNUMBER(SEARCH("SUNTHINKS",INVENTARIO!C274)),"SUN",
IF(ISNUMBER(SEARCH("FRIO",INVENTARIO!C274)),"FRI",
IF(ISNUMBER(SEARCH("CALIDO",INVENTARIO!C274)),"CAL",
IF(ISNUMBER(SEARCH("CEPILLADO",INVENTARIO!C274)),"CEP",
IF(ISNUMBER(SEARCH("ESPEJO",INVENTARIO!C274)),"ESP",
""))))))</f>
        <v/>
      </c>
      <c r="G274" t="str">
        <f>IF(ISNUMBER(SEARCH("LATEX",INVENTARIO!C274)),"LAT",
IF(ISNUMBER(SEARCH("RESP. NEGRO",INVENTARIO!C274)),"RES-NEG",
IF(ISNUMBER(SEARCH("RESPALDO CAFE",INVENTARIO!C274)),"RES-CAF",
IF(ISNUMBER(SEARCH("RESPALDO GRIS",INVENTARIO!C274)),"RES-GRI",
IF(ISNUMBER(SEARCH("OPTICO",INVENTARIO!C274)),"OPT",
IF(ISNUMBER(SEARCH("1,2 MM",INVENTARIO!C274)),"1MM2",
IF(ISNUMBER(SEARCH("2 MM",INVENTARIO!C274)),"2MM",
IF(ISNUMBER(SEARCH("3 MM",INVENTARIO!C274)),"3MM",
IF(ISNUMBER(SEARCH("4 MM",INVENTARIO!C274)),"4MM",
IF(ISNUMBER(SEARCH("5 MM",INVENTARIO!C274)),"5MM",
IF(ISNUMBER(SEARCH("6 MM",INVENTARIO!C274)),"6MM",
IF(ISNUMBER(SEARCH("9 MM",INVENTARIO!C274)),"9MM",
IF(ISNUMBER(SEARCH("10 MM",INVENTARIO!C274)),"10MM","")))))))))))))</f>
        <v/>
      </c>
      <c r="H274" t="str">
        <f>IF(ISNUMBER(SEARCH("GAMA BAJA",INVENTARIO!C274)),"GAM-BAJ",
IF(ISNUMBER(SEARCH("OPTIMIZADOR",INVENTARIO!C274)),"OPT",
IF(ISNUMBER(SEARCH("OVERCOAT",INVENTARIO!C274)),"OVE",
IF(ISNUMBER(SEARCH("WHITE",INVENTARIO!C274)),"WHI",
IF(ISNUMBER(SEARCH("LIGHT CYAN",INVENTARIO!C274)),"LIG-CYA",
IF(ISNUMBER(SEARCH("CYAN",INVENTARIO!C274)),"CYA",
IF(ISNUMBER(SEARCH("LIGHT MAGENTA",INVENTARIO!C274)),"LIG-MAG",
IF(ISNUMBER(SEARCH("MAGENTA",INVENTARIO!C274)),"MAG",
IF(ISNUMBER(SEARCH("BLACK",INVENTARIO!C274)),"BLA",
IF(ISNUMBER(SEARCH("YELLOW",INVENTARIO!C274)),"YEL",
IF(ISNUMBER(SEARCH("2 DIODOS",INVENTARIO!C274)),"2DI",
IF(ISNUMBER(SEARCH("3 DIODOS",INVENTARIO!C274)),"3DI",
IF(OR(ISNUMBER(SEARCH("TRASLUCIDO",INVENTARIO!C274)),ISNUMBER(SEARCH("TRANSLUCIDO",INVENTARIO!C274))),"TRA",
"")))))))))))))</f>
        <v/>
      </c>
      <c r="I274" t="str">
        <f>IF(ISNUMBER(SEARCH("SILED",INVENTARIO!C264)),"SI",
IF(ISNUMBER(SEARCH("SYDEMEX",INVENTARIO!C264)),"SY",
IF(ISNUMBER(SEARCH("ROHS",INVENTARIO!C264)),"RO",
IF(ISNUMBER(SEARCH("RISHANG",INVENTARIO!C264)),"RS",
IF(ISNUMBER(SEARCH("VYG",INVENTARIO!C264)),"VYG",
IF(ISNUMBER(SEARCH("COLED",INVENTARIO!C264)),"CO",""))))))</f>
        <v/>
      </c>
    </row>
    <row r="275" spans="1:9">
      <c r="A275" t="str">
        <f>IF(ISNUMBER(SEARCH("LONA",INVENTARIO!C275)),"LON",
IF(ISNUMBER(SEARCH("VINIL",INVENTARIO!C275)),"VIN",
IF(ISNUMBER(SEARCH("KROMACOTE",INVENTARIO!C275)),"KRO",
IF(ISNUMBER(SEARCH("STARDREAM",INVENTARIO!C275)),"STA",
IF(ISNUMBER(SEARCH("DISPLAY",INVENTARIO!C275)),"DIS",
IF(ISNUMBER(SEARCH("ROLL UP",INVENTARIO!C275)),"ROL-UP",
IF(ISNUMBER(SEARCH("TRANSFER DE PAPEL",INVENTARIO!C275)),"TRA-PAP",
IF(ISNUMBER(SEARCH("TRANSFER",INVENTARIO!C275)),"TRA",IF(ISNUMBER(SEARCH("KOLA LOKA",INVENTARIO!C275)),"KOL-LOK",
IF(ISNUMBER(SEARCH("PETG",INVENTARIO!C275)),"PET",
IF(ISNUMBER(SEARCH("OJILLO",INVENTARIO!C275)),"OJI",
IF(ISNUMBER(SEARCH("COUCHE",INVENTARIO!C275)),"COU",
IF(ISNUMBER(SEARCH("PANEL DE ALUMINIO",INVENTARIO!C275)),"PAN-ALU",
IF(ISNUMBER(SEARCH("PVC",INVENTARIO!C275)),"PVC",
IF(ISNUMBER(SEARCH("PAPEL",INVENTARIO!C275)),"PAP",
IF(ISNUMBER(SEARCH("TELA",INVENTARIO!C275)),"TEL",
IF(ISNUMBER(SEARCH("CARTULINA",INVENTARIO!C275)),"CAR",
IF(OR(ISNUMBER(SEARCH("LAMINA",INVENTARIO!C275)),ISNUMBER(SEARCH("LÁMINA",INVENTARIO!C275)),ISNUMBER(SEARCH("LAMPARAS",INVENTARIO!C275))),"LAM",
IF(ISNUMBER(SEARCH("ESTIRENO",INVENTARIO!C275)),"EST",
IF(ISNUMBER(SEARCH("FOAMBOARD",INVENTARIO!C275)),"FOA",
IF(ISNUMBER(SEARCH("SOLVENTE",INVENTARIO!C275)),"SOL",
IF(ISNUMBER(SEARCH("TINTA",INVENTARIO!C275)),"TIN",
IF(ISNUMBER(SEARCH("ACRILICO",INVENTARIO!C275)),"ACR",
IF(ISNUMBER(SEARCH("MICROLED",INVENTARIO!C275)),"MIC",
IF(ISNUMBER(SEARCH("LED",INVENTARIO!C275)),"LED",
IF(ISNUMBER(SEARCH("FUENTE DE PODER",INVENTARIO!C275)),"FUE-POD",
IF(ISNUMBER(SEARCH("PETG",INVENTARIO!C275)),"PET",
IF(ISNUMBER(SEARCH("ALUMINIO",INVENTARIO!C275)),"ALU",
IF(ISNUMBER(SEARCH("CANAL",INVENTARIO!C275)),"CAN",
IF(ISNUMBER(SEARCH("ESCUADRA",INVENTARIO!C275)),"ESC",
IF(ISNUMBER(SEARCH("SOPORTE",INVENTARIO!C275)),"SOP","OTR")
))))))))))))))))))))))))))))))</f>
        <v>SOP</v>
      </c>
      <c r="B275" t="str">
        <f>IF(ISNUMBER(SEARCH("CORTE",INVENTARIO!C275)),"COR",
IF(ISNUMBER(SEARCH("CITYLIGHT",INVENTARIO!C275)),"CIT",
IF(ISNUMBER(SEARCH("LINO",INVENTARIO!C275)),"LIN",
IF(ISNUMBER(SEARCH("FABRIANO",INVENTARIO!C275)),"FAB",
IF(ISNUMBER(SEARCH("SUNDANCE",INVENTARIO!C275)),"SUN",
IF(ISNUMBER(SEARCH("SINTETICA",INVENTARIO!C275)),"SIN",
IF(ISNUMBER(SEARCH("CONTROL",INVENTARIO!C275)),"CON",
IF(ISNUMBER(SEARCH("TERMICO",INVENTARIO!C275)),"TER",
IF(ISNUMBER(SEARCH("C-15",INVENTARIO!C275)),"C15",
IF(ISNUMBER(SEARCH("C-20",INVENTARIO!C275)),"C20",
IF(ISNUMBER(SEARCH("C-30",INVENTARIO!C275)),"C30",
IF(ISNUMBER(SEARCH("C-40",INVENTARIO!C275)),"C40",
IF(ISNUMBER(SEARCH("C-60",INVENTARIO!C275)),"C60",
IF(ISNUMBER(SEARCH("C-80",INVENTARIO!C275)),"C80",
IF(ISNUMBER(SEARCH("EQUIPO",INVENTARIO!C275)),"EQU",
IF(ISNUMBER(SEARCH("FLOOR",INVENTARIO!C275)),"FLO",
IF(ISNUMBER(SEARCH("CRISTAL",INVENTARIO!C275)),"CRI",
IF(ISNUMBER(SEARCH(" SULFATADA",INVENTARIO!C286)),"SUL",
IF(ISNUMBER(SEARCH("OPALINA",INVENTARIO!C275)),"OPA",
IF(ISNUMBER(SEARCH("ADHERIBLE",INVENTARIO!C275)),"ADH",
IF(ISNUMBER(SEARCH("MICRO",INVENTARIO!C275)),"MIC","")))))))))))))))))))))</f>
        <v/>
      </c>
      <c r="C275" t="str">
        <f>IF(ISNUMBER(SEARCH("PARED",INVENTARIO!C275)),"PAR",
IF(ISNUMBER(SEARCH("FRONT",INVENTARIO!C275)),"FRO",
IF(ISNUMBER(SEARCH("ALTA RESISTENCIA",INVENTARIO!C275)),
"ALT-RES",IF(ISNUMBER(SEARCH("BACKLITE",INVENTARIO!C275)),"BAC",
IF(ISNUMBER(SEARCH("MATE",INVENTARIO!C275)),"MAT",
IF(ISNUMBER(SEARCH("MESH",INVENTARIO!C275)),"MES",
IF(ISNUMBER(SEARCH("BRILLANTE",INVENTARIO!C275)),"BRI",
IF(ISNUMBER(SEARCH("DELGADA",INVENTARIO!C275)),"DEL",
IF(ISNUMBER(SEARCH("GRUESA",INVENTARIO!C275)),"GRU",
IF(ISNUMBER(SEARCH("ESTATICO",INVENTARIO!C275)),"EST",
IF(ISNUMBER(SEARCH("REFLECTIVO",INVENTARIO!C275)),"REF",
IF(ISNUMBER(SEARCH("LX700",INVENTARIO!C275)),"LX7",
IF(ISNUMBER(SEARCH("GRANDO",INVENTARIO!C275)),"GRA",
IF(ISNUMBER(SEARCH("FB700",INVENTARIO!C275)),"FB7",
IF(ISNUMBER(SEARCH("LX360",INVENTARIO!C275)),"LX3",
IF(ISNUMBER(SEARCH("XEROX",INVENTARIO!C275)),"XER",
IF(ISNUMBER(SEARCH("CEPILLADO",INVENTARIO!C275)),"CEP",
IF(ISNUMBER(SEARCH("ESPEJO",INVENTARIO!C275)),"ESP",
IF(ISNUMBER(SEARCH("10 PTS",INVENTARIO!C275)),"10PT",
IF(ISNUMBER(SEARCH("12 PTS",INVENTARIO!C275)),"12PT",
IF(ISNUMBER(SEARCH("14 PTS",INVENTARIO!C275)),"14PT",
IF(ISNUMBER(SEARCH("CLASICO",INVENTARIO!C275)),"CLA",
""))))))))))))))))))))))</f>
        <v/>
      </c>
      <c r="D275" t="str">
        <f>IF(ISNUMBER(SEARCH("GRAN FORMATO",INVENTARIO!C275)),"GRA-FOR",
IF(ISNUMBER(SEARCH("CAMA PLANA",INVENTARIO!C275)),"CAM-PLA",
IF(ISNUMBER(SEARCH("GRADO INGENIERIA",INVENTARIO!C275)),"GRA-ING",
IF(ISNUMBER(SEARCH("130 GRS",INVENTARIO!C275)),"130GR",
IF(ISNUMBER(SEARCH("150 GRS",INVENTARIO!C275)),"150GR",
IF(ISNUMBER(SEARCH("185 GRS",INVENTARIO!C275)),"185GR",
IF(ISNUMBER(SEARCH("200 GRS",INVENTARIO!C275)),"200GR",
IF(ISNUMBER(SEARCH("250 GRS",INVENTARIO!C275)),"250GR",
IF(ISNUMBER(SEARCH("300 GRS",INVENTARIO!C275)),"300GR",
IF(ISNUMBER(SEARCH("350 GRS",INVENTARIO!C275)),"350GR",
IF(ISNUMBER(SEARCH("18 OZ",INVENTARIO!C275)),"18OZ",
IF(ISNUMBER(SEARCH("15 OZ",INVENTARIO!C275)),"15OZ",
IF(OR(ISNUMBER(SEARCH("13 OZ",INVENTARIO!C275)),ISNUMBER(SEARCH("13 ONZAS",INVENTARIO!C275))),"13OZ",
IF(OR(ISNUMBER(SEARCH("9 OZ",INVENTARIO!C275)),ISNUMBER(SEARCH("9 ONZAS",INVENTARIO!C275))),"09OZ",
IF(ISNUMBER(SEARCH("DOBLE CARA",INVENTARIO!C275)),"DOB-CAR",
"")))))))))))))))</f>
        <v/>
      </c>
      <c r="E275" t="str">
        <f>IF(OR(ISNUMBER(SEARCH("TRANSPARENTE",INVENTARIO!C275)),ISNUMBER(SEARCH("TRANSPARENTES",INVENTARIO!C275))),"TRA",
IF(OR(ISNUMBER(SEARCH("BLANCO",INVENTARIO!C275)),ISNUMBER(SEARCH("BCO",INVENTARIO!C275))),"BLA",
IF(ISNUMBER(SEARCH("FOTOGRAFICO",INVENTARIO!C275)),"FOT",
IF(ISNUMBER(SEARCH("MARFIL",INVENTARIO!C275)),"MAR",
IF(ISNUMBER(SEARCH("VERDE",INVENTARIO!C275)),"VER",
IF(ISNUMBER(SEARCH("MORADO",INVENTARIO!C275)),"MOR",
IF(ISNUMBER(SEARCH("PLATA",INVENTARIO!C275)),"PLA",
IF(ISNUMBER(SEARCH("ORO",INVENTARIO!C275)),"ORO",
IF(ISNUMBER(SEARCH("AMARILLO",INVENTARIO!C275)),"AMA",
IF(ISNUMBER(SEARCH("NARANJA",INVENTARIO!C275)),"NAR",
IF(ISNUMBER(SEARCH("NEGRO",INVENTARIO!C275)),"NEG",
IF(ISNUMBER(SEARCH("ROJO",INVENTARIO!C275)),"ROJ",
IF(ISNUMBER(SEARCH("AZUL",INVENTARIO!C275)),"AZU","")))))))))))))</f>
        <v/>
      </c>
      <c r="F275" t="str">
        <f>IF(ISNUMBER(SEARCH("ARLON",INVENTARIO!C275)),"ARL",
IF(ISNUMBER(SEARCH("SUNTHINKS",INVENTARIO!C275)),"SUN",
IF(ISNUMBER(SEARCH("FRIO",INVENTARIO!C275)),"FRI",
IF(ISNUMBER(SEARCH("CALIDO",INVENTARIO!C275)),"CAL",
IF(ISNUMBER(SEARCH("CEPILLADO",INVENTARIO!C275)),"CEP",
IF(ISNUMBER(SEARCH("ESPEJO",INVENTARIO!C275)),"ESP",
""))))))</f>
        <v/>
      </c>
      <c r="G275" t="str">
        <f>IF(ISNUMBER(SEARCH("LATEX",INVENTARIO!C275)),"LAT",
IF(ISNUMBER(SEARCH("RESP. NEGRO",INVENTARIO!C275)),"RES-NEG",
IF(ISNUMBER(SEARCH("RESPALDO CAFE",INVENTARIO!C275)),"RES-CAF",
IF(ISNUMBER(SEARCH("RESPALDO GRIS",INVENTARIO!C275)),"RES-GRI",
IF(ISNUMBER(SEARCH("OPTICO",INVENTARIO!C275)),"OPT",
IF(ISNUMBER(SEARCH("1,2 MM",INVENTARIO!C275)),"1MM2",
IF(ISNUMBER(SEARCH("2 MM",INVENTARIO!C275)),"2MM",
IF(ISNUMBER(SEARCH("3 MM",INVENTARIO!C275)),"3MM",
IF(ISNUMBER(SEARCH("4 MM",INVENTARIO!C275)),"4MM",
IF(ISNUMBER(SEARCH("5 MM",INVENTARIO!C275)),"5MM",
IF(ISNUMBER(SEARCH("6 MM",INVENTARIO!C275)),"6MM",
IF(ISNUMBER(SEARCH("9 MM",INVENTARIO!C275)),"9MM",
IF(ISNUMBER(SEARCH("10 MM",INVENTARIO!C275)),"10MM","")))))))))))))</f>
        <v/>
      </c>
      <c r="H275" t="str">
        <f>IF(ISNUMBER(SEARCH("GAMA BAJA",INVENTARIO!C275)),"GAM-BAJ",
IF(ISNUMBER(SEARCH("OPTIMIZADOR",INVENTARIO!C275)),"OPT",
IF(ISNUMBER(SEARCH("OVERCOAT",INVENTARIO!C275)),"OVE",
IF(ISNUMBER(SEARCH("WHITE",INVENTARIO!C275)),"WHI",
IF(ISNUMBER(SEARCH("LIGHT CYAN",INVENTARIO!C275)),"LIG-CYA",
IF(ISNUMBER(SEARCH("CYAN",INVENTARIO!C275)),"CYA",
IF(ISNUMBER(SEARCH("LIGHT MAGENTA",INVENTARIO!C275)),"LIG-MAG",
IF(ISNUMBER(SEARCH("MAGENTA",INVENTARIO!C275)),"MAG",
IF(ISNUMBER(SEARCH("BLACK",INVENTARIO!C275)),"BLA",
IF(ISNUMBER(SEARCH("YELLOW",INVENTARIO!C275)),"YEL",
IF(ISNUMBER(SEARCH("2 DIODOS",INVENTARIO!C275)),"2DI",
IF(ISNUMBER(SEARCH("3 DIODOS",INVENTARIO!C275)),"3DI",
IF(OR(ISNUMBER(SEARCH("TRASLUCIDO",INVENTARIO!C275)),ISNUMBER(SEARCH("TRANSLUCIDO",INVENTARIO!C275))),"TRA",
"")))))))))))))</f>
        <v/>
      </c>
      <c r="I275" t="str">
        <f>IF(ISNUMBER(SEARCH("SILED",INVENTARIO!C265)),"SI",
IF(ISNUMBER(SEARCH("SYDEMEX",INVENTARIO!C265)),"SY",
IF(ISNUMBER(SEARCH("ROHS",INVENTARIO!C265)),"RO",
IF(ISNUMBER(SEARCH("RISHANG",INVENTARIO!C265)),"RS",
IF(ISNUMBER(SEARCH("VYG",INVENTARIO!C265)),"VYG",
IF(ISNUMBER(SEARCH("COLED",INVENTARIO!C265)),"CO",""))))))</f>
        <v/>
      </c>
    </row>
    <row r="276" spans="1:9">
      <c r="A276" t="str">
        <f>IF(ISNUMBER(SEARCH("LONA",INVENTARIO!C276)),"LON",
IF(ISNUMBER(SEARCH("VINIL",INVENTARIO!C276)),"VIN",
IF(ISNUMBER(SEARCH("KROMACOTE",INVENTARIO!C276)),"KRO",
IF(ISNUMBER(SEARCH("STARDREAM",INVENTARIO!C276)),"STA",
IF(ISNUMBER(SEARCH("DISPLAY",INVENTARIO!C276)),"DIS",
IF(ISNUMBER(SEARCH("ROLL UP",INVENTARIO!C276)),"ROL-UP",
IF(ISNUMBER(SEARCH("TRANSFER DE PAPEL",INVENTARIO!C276)),"TRA-PAP",
IF(ISNUMBER(SEARCH("TRANSFER",INVENTARIO!C276)),"TRA",IF(ISNUMBER(SEARCH("KOLA LOKA",INVENTARIO!C276)),"KOL-LOK",
IF(ISNUMBER(SEARCH("PETG",INVENTARIO!C276)),"PET",
IF(ISNUMBER(SEARCH("OJILLO",INVENTARIO!C276)),"OJI",
IF(ISNUMBER(SEARCH("COUCHE",INVENTARIO!C276)),"COU",
IF(ISNUMBER(SEARCH("PANEL DE ALUMINIO",INVENTARIO!C276)),"PAN-ALU",
IF(ISNUMBER(SEARCH("PVC",INVENTARIO!C276)),"PVC",
IF(ISNUMBER(SEARCH("PAPEL",INVENTARIO!C276)),"PAP",
IF(ISNUMBER(SEARCH("TELA",INVENTARIO!C276)),"TEL",
IF(ISNUMBER(SEARCH("CARTULINA",INVENTARIO!C276)),"CAR",
IF(OR(ISNUMBER(SEARCH("LAMINA",INVENTARIO!C276)),ISNUMBER(SEARCH("LÁMINA",INVENTARIO!C276)),ISNUMBER(SEARCH("LAMPARAS",INVENTARIO!C276))),"LAM",
IF(ISNUMBER(SEARCH("ESTIRENO",INVENTARIO!C276)),"EST",
IF(ISNUMBER(SEARCH("FOAMBOARD",INVENTARIO!C276)),"FOA",
IF(ISNUMBER(SEARCH("SOLVENTE",INVENTARIO!C276)),"SOL",
IF(ISNUMBER(SEARCH("TINTA",INVENTARIO!C276)),"TIN",
IF(ISNUMBER(SEARCH("ACRILICO",INVENTARIO!C276)),"ACR",
IF(ISNUMBER(SEARCH("MICROLED",INVENTARIO!C276)),"MIC",
IF(ISNUMBER(SEARCH("LED",INVENTARIO!C276)),"LED",
IF(ISNUMBER(SEARCH("FUENTE DE PODER",INVENTARIO!C276)),"FUE-POD",
IF(ISNUMBER(SEARCH("PETG",INVENTARIO!C276)),"PET",
IF(ISNUMBER(SEARCH("ALUMINIO",INVENTARIO!C276)),"ALU",
IF(ISNUMBER(SEARCH("CANAL",INVENTARIO!C276)),"CAN",
IF(ISNUMBER(SEARCH("ESCUADRA",INVENTARIO!C276)),"ESC",
IF(ISNUMBER(SEARCH("SOPORTE",INVENTARIO!C276)),"SOP","OTR")
))))))))))))))))))))))))))))))</f>
        <v>CAN</v>
      </c>
      <c r="B276" t="str">
        <f>IF(ISNUMBER(SEARCH("CORTE",INVENTARIO!C276)),"COR",
IF(ISNUMBER(SEARCH("CITYLIGHT",INVENTARIO!C276)),"CIT",
IF(ISNUMBER(SEARCH("LINO",INVENTARIO!C276)),"LIN",
IF(ISNUMBER(SEARCH("FABRIANO",INVENTARIO!C276)),"FAB",
IF(ISNUMBER(SEARCH("SUNDANCE",INVENTARIO!C276)),"SUN",
IF(ISNUMBER(SEARCH("SINTETICA",INVENTARIO!C276)),"SIN",
IF(ISNUMBER(SEARCH("CONTROL",INVENTARIO!C276)),"CON",
IF(ISNUMBER(SEARCH("TERMICO",INVENTARIO!C276)),"TER",
IF(ISNUMBER(SEARCH("C-15",INVENTARIO!C276)),"C15",
IF(ISNUMBER(SEARCH("C-20",INVENTARIO!C276)),"C20",
IF(ISNUMBER(SEARCH("C-30",INVENTARIO!C276)),"C30",
IF(ISNUMBER(SEARCH("C-40",INVENTARIO!C276)),"C40",
IF(ISNUMBER(SEARCH("C-60",INVENTARIO!C276)),"C60",
IF(ISNUMBER(SEARCH("C-80",INVENTARIO!C276)),"C80",
IF(ISNUMBER(SEARCH("EQUIPO",INVENTARIO!C276)),"EQU",
IF(ISNUMBER(SEARCH("FLOOR",INVENTARIO!C276)),"FLO",
IF(ISNUMBER(SEARCH("CRISTAL",INVENTARIO!C276)),"CRI",
IF(ISNUMBER(SEARCH(" SULFATADA",INVENTARIO!C287)),"SUL",
IF(ISNUMBER(SEARCH("OPALINA",INVENTARIO!C276)),"OPA",
IF(ISNUMBER(SEARCH("ADHERIBLE",INVENTARIO!C276)),"ADH",
IF(ISNUMBER(SEARCH("MICRO",INVENTARIO!C276)),"MIC","")))))))))))))))))))))</f>
        <v/>
      </c>
      <c r="C276" t="str">
        <f>IF(ISNUMBER(SEARCH("PARED",INVENTARIO!C276)),"PAR",
IF(ISNUMBER(SEARCH("FRONT",INVENTARIO!C276)),"FRO",
IF(ISNUMBER(SEARCH("ALTA RESISTENCIA",INVENTARIO!C276)),
"ALT-RES",IF(ISNUMBER(SEARCH("BACKLITE",INVENTARIO!C276)),"BAC",
IF(ISNUMBER(SEARCH("MATE",INVENTARIO!C276)),"MAT",
IF(ISNUMBER(SEARCH("MESH",INVENTARIO!C276)),"MES",
IF(ISNUMBER(SEARCH("BRILLANTE",INVENTARIO!C276)),"BRI",
IF(ISNUMBER(SEARCH("DELGADA",INVENTARIO!C276)),"DEL",
IF(ISNUMBER(SEARCH("GRUESA",INVENTARIO!C276)),"GRU",
IF(ISNUMBER(SEARCH("ESTATICO",INVENTARIO!C276)),"EST",
IF(ISNUMBER(SEARCH("REFLECTIVO",INVENTARIO!C276)),"REF",
IF(ISNUMBER(SEARCH("LX700",INVENTARIO!C276)),"LX7",
IF(ISNUMBER(SEARCH("GRANDO",INVENTARIO!C276)),"GRA",
IF(ISNUMBER(SEARCH("FB700",INVENTARIO!C276)),"FB7",
IF(ISNUMBER(SEARCH("LX360",INVENTARIO!C276)),"LX3",
IF(ISNUMBER(SEARCH("XEROX",INVENTARIO!C276)),"XER",
IF(ISNUMBER(SEARCH("CEPILLADO",INVENTARIO!C276)),"CEP",
IF(ISNUMBER(SEARCH("ESPEJO",INVENTARIO!C276)),"ESP",
IF(ISNUMBER(SEARCH("10 PTS",INVENTARIO!C276)),"10PT",
IF(ISNUMBER(SEARCH("12 PTS",INVENTARIO!C276)),"12PT",
IF(ISNUMBER(SEARCH("14 PTS",INVENTARIO!C276)),"14PT",
IF(ISNUMBER(SEARCH("CLASICO",INVENTARIO!C276)),"CLA",
""))))))))))))))))))))))</f>
        <v/>
      </c>
      <c r="D276" t="str">
        <f>IF(ISNUMBER(SEARCH("GRAN FORMATO",INVENTARIO!C276)),"GRA-FOR",
IF(ISNUMBER(SEARCH("CAMA PLANA",INVENTARIO!C276)),"CAM-PLA",
IF(ISNUMBER(SEARCH("GRADO INGENIERIA",INVENTARIO!C276)),"GRA-ING",
IF(ISNUMBER(SEARCH("130 GRS",INVENTARIO!C276)),"130GR",
IF(ISNUMBER(SEARCH("150 GRS",INVENTARIO!C276)),"150GR",
IF(ISNUMBER(SEARCH("185 GRS",INVENTARIO!C276)),"185GR",
IF(ISNUMBER(SEARCH("200 GRS",INVENTARIO!C276)),"200GR",
IF(ISNUMBER(SEARCH("250 GRS",INVENTARIO!C276)),"250GR",
IF(ISNUMBER(SEARCH("300 GRS",INVENTARIO!C276)),"300GR",
IF(ISNUMBER(SEARCH("350 GRS",INVENTARIO!C276)),"350GR",
IF(ISNUMBER(SEARCH("18 OZ",INVENTARIO!C276)),"18OZ",
IF(ISNUMBER(SEARCH("15 OZ",INVENTARIO!C276)),"15OZ",
IF(OR(ISNUMBER(SEARCH("13 OZ",INVENTARIO!C276)),ISNUMBER(SEARCH("13 ONZAS",INVENTARIO!C276))),"13OZ",
IF(OR(ISNUMBER(SEARCH("9 OZ",INVENTARIO!C276)),ISNUMBER(SEARCH("9 ONZAS",INVENTARIO!C276))),"09OZ",
IF(ISNUMBER(SEARCH("DOBLE CARA",INVENTARIO!C276)),"DOB-CAR",
"")))))))))))))))</f>
        <v/>
      </c>
      <c r="E276" t="str">
        <f>IF(OR(ISNUMBER(SEARCH("TRANSPARENTE",INVENTARIO!C276)),ISNUMBER(SEARCH("TRANSPARENTES",INVENTARIO!C276))),"TRA",
IF(OR(ISNUMBER(SEARCH("BLANCO",INVENTARIO!C276)),ISNUMBER(SEARCH("BCO",INVENTARIO!C276))),"BLA",
IF(ISNUMBER(SEARCH("FOTOGRAFICO",INVENTARIO!C276)),"FOT",
IF(ISNUMBER(SEARCH("MARFIL",INVENTARIO!C276)),"MAR",
IF(ISNUMBER(SEARCH("VERDE",INVENTARIO!C276)),"VER",
IF(ISNUMBER(SEARCH("MORADO",INVENTARIO!C276)),"MOR",
IF(ISNUMBER(SEARCH("PLATA",INVENTARIO!C276)),"PLA",
IF(ISNUMBER(SEARCH("ORO",INVENTARIO!C276)),"ORO",
IF(ISNUMBER(SEARCH("AMARILLO",INVENTARIO!C276)),"AMA",
IF(ISNUMBER(SEARCH("NARANJA",INVENTARIO!C276)),"NAR",
IF(ISNUMBER(SEARCH("NEGRO",INVENTARIO!C276)),"NEG",
IF(ISNUMBER(SEARCH("ROJO",INVENTARIO!C276)),"ROJ",
IF(ISNUMBER(SEARCH("AZUL",INVENTARIO!C276)),"AZU","")))))))))))))</f>
        <v>BLA</v>
      </c>
      <c r="F276" t="str">
        <f>IF(ISNUMBER(SEARCH("ARLON",INVENTARIO!C276)),"ARL",
IF(ISNUMBER(SEARCH("SUNTHINKS",INVENTARIO!C276)),"SUN",
IF(ISNUMBER(SEARCH("FRIO",INVENTARIO!C276)),"FRI",
IF(ISNUMBER(SEARCH("CALIDO",INVENTARIO!C276)),"CAL",
IF(ISNUMBER(SEARCH("CEPILLADO",INVENTARIO!C276)),"CEP",
IF(ISNUMBER(SEARCH("ESPEJO",INVENTARIO!C276)),"ESP",
""))))))</f>
        <v/>
      </c>
      <c r="G276" t="str">
        <f>IF(ISNUMBER(SEARCH("LATEX",INVENTARIO!C276)),"LAT",
IF(ISNUMBER(SEARCH("RESP. NEGRO",INVENTARIO!C276)),"RES-NEG",
IF(ISNUMBER(SEARCH("RESPALDO CAFE",INVENTARIO!C276)),"RES-CAF",
IF(ISNUMBER(SEARCH("RESPALDO GRIS",INVENTARIO!C276)),"RES-GRI",
IF(ISNUMBER(SEARCH("OPTICO",INVENTARIO!C276)),"OPT",
IF(ISNUMBER(SEARCH("1,2 MM",INVENTARIO!C276)),"1MM2",
IF(ISNUMBER(SEARCH("2 MM",INVENTARIO!C276)),"2MM",
IF(ISNUMBER(SEARCH("3 MM",INVENTARIO!C276)),"3MM",
IF(ISNUMBER(SEARCH("4 MM",INVENTARIO!C276)),"4MM",
IF(ISNUMBER(SEARCH("5 MM",INVENTARIO!C276)),"5MM",
IF(ISNUMBER(SEARCH("6 MM",INVENTARIO!C276)),"6MM",
IF(ISNUMBER(SEARCH("9 MM",INVENTARIO!C276)),"9MM",
IF(ISNUMBER(SEARCH("10 MM",INVENTARIO!C276)),"10MM","")))))))))))))</f>
        <v/>
      </c>
      <c r="H276" t="str">
        <f>IF(ISNUMBER(SEARCH("GAMA BAJA",INVENTARIO!C276)),"GAM-BAJ",
IF(ISNUMBER(SEARCH("OPTIMIZADOR",INVENTARIO!C276)),"OPT",
IF(ISNUMBER(SEARCH("OVERCOAT",INVENTARIO!C276)),"OVE",
IF(ISNUMBER(SEARCH("WHITE",INVENTARIO!C276)),"WHI",
IF(ISNUMBER(SEARCH("LIGHT CYAN",INVENTARIO!C276)),"LIG-CYA",
IF(ISNUMBER(SEARCH("CYAN",INVENTARIO!C276)),"CYA",
IF(ISNUMBER(SEARCH("LIGHT MAGENTA",INVENTARIO!C276)),"LIG-MAG",
IF(ISNUMBER(SEARCH("MAGENTA",INVENTARIO!C276)),"MAG",
IF(ISNUMBER(SEARCH("BLACK",INVENTARIO!C276)),"BLA",
IF(ISNUMBER(SEARCH("YELLOW",INVENTARIO!C276)),"YEL",
IF(ISNUMBER(SEARCH("2 DIODOS",INVENTARIO!C276)),"2DI",
IF(ISNUMBER(SEARCH("3 DIODOS",INVENTARIO!C276)),"3DI",
IF(OR(ISNUMBER(SEARCH("TRASLUCIDO",INVENTARIO!C276)),ISNUMBER(SEARCH("TRANSLUCIDO",INVENTARIO!C276))),"TRA",
"")))))))))))))</f>
        <v/>
      </c>
      <c r="I276" t="str">
        <f>IF(ISNUMBER(SEARCH("SILED",INVENTARIO!C263)),"SI",
IF(ISNUMBER(SEARCH("SYDEMEX",INVENTARIO!C263)),"SY",
IF(ISNUMBER(SEARCH("ROHS",INVENTARIO!C263)),"RO",
IF(ISNUMBER(SEARCH("RISHANG",INVENTARIO!C263)),"RS",
IF(ISNUMBER(SEARCH("VYG",INVENTARIO!C263)),"VYG",
IF(ISNUMBER(SEARCH("COLED",INVENTARIO!C263)),"CO",""))))))</f>
        <v/>
      </c>
    </row>
    <row r="277" spans="1:9">
      <c r="A277" t="str">
        <f>IF(ISNUMBER(SEARCH("LONA",INVENTARIO!C277)),"LON",
IF(ISNUMBER(SEARCH("VINIL",INVENTARIO!C277)),"VIN",
IF(ISNUMBER(SEARCH("KROMACOTE",INVENTARIO!C277)),"KRO",
IF(ISNUMBER(SEARCH("STARDREAM",INVENTARIO!C277)),"STA",
IF(ISNUMBER(SEARCH("DISPLAY",INVENTARIO!C277)),"DIS",
IF(ISNUMBER(SEARCH("ROLL UP",INVENTARIO!C277)),"ROL-UP",
IF(ISNUMBER(SEARCH("TRANSFER DE PAPEL",INVENTARIO!C277)),"TRA-PAP",
IF(ISNUMBER(SEARCH("TRANSFER",INVENTARIO!C277)),"TRA",IF(ISNUMBER(SEARCH("KOLA LOKA",INVENTARIO!C277)),"KOL-LOK",
IF(ISNUMBER(SEARCH("PETG",INVENTARIO!C277)),"PET",
IF(ISNUMBER(SEARCH("OJILLO",INVENTARIO!C277)),"OJI",
IF(ISNUMBER(SEARCH("COUCHE",INVENTARIO!C277)),"COU",
IF(ISNUMBER(SEARCH("PANEL DE ALUMINIO",INVENTARIO!C277)),"PAN-ALU",
IF(ISNUMBER(SEARCH("PVC",INVENTARIO!C277)),"PVC",
IF(ISNUMBER(SEARCH("PAPEL",INVENTARIO!C277)),"PAP",
IF(ISNUMBER(SEARCH("TELA",INVENTARIO!C277)),"TEL",
IF(ISNUMBER(SEARCH("CARTULINA",INVENTARIO!C277)),"CAR",
IF(OR(ISNUMBER(SEARCH("LAMINA",INVENTARIO!C277)),ISNUMBER(SEARCH("LÁMINA",INVENTARIO!C277)),ISNUMBER(SEARCH("LAMPARAS",INVENTARIO!C277))),"LAM",
IF(ISNUMBER(SEARCH("ESTIRENO",INVENTARIO!C277)),"EST",
IF(ISNUMBER(SEARCH("FOAMBOARD",INVENTARIO!C277)),"FOA",
IF(ISNUMBER(SEARCH("SOLVENTE",INVENTARIO!C277)),"SOL",
IF(ISNUMBER(SEARCH("TINTA",INVENTARIO!C277)),"TIN",
IF(ISNUMBER(SEARCH("ACRILICO",INVENTARIO!C277)),"ACR",
IF(ISNUMBER(SEARCH("MICROLED",INVENTARIO!C277)),"MIC",
IF(ISNUMBER(SEARCH("LED",INVENTARIO!C277)),"LED",
IF(ISNUMBER(SEARCH("FUENTE DE PODER",INVENTARIO!C277)),"FUE-POD",
IF(ISNUMBER(SEARCH("PETG",INVENTARIO!C277)),"PET",
IF(ISNUMBER(SEARCH("ALUMINIO",INVENTARIO!C277)),"ALU",
IF(ISNUMBER(SEARCH("CANAL",INVENTARIO!C277)),"CAN",
IF(ISNUMBER(SEARCH("ESCUADRA",INVENTARIO!C277)),"ESC",
IF(ISNUMBER(SEARCH("SOPORTE",INVENTARIO!C277)),"SOP","OTR")
))))))))))))))))))))))))))))))</f>
        <v>CAN</v>
      </c>
      <c r="B277" t="str">
        <f>IF(ISNUMBER(SEARCH("CORTE",INVENTARIO!C277)),"COR",
IF(ISNUMBER(SEARCH("CITYLIGHT",INVENTARIO!C277)),"CIT",
IF(ISNUMBER(SEARCH("LINO",INVENTARIO!C277)),"LIN",
IF(ISNUMBER(SEARCH("FABRIANO",INVENTARIO!C277)),"FAB",
IF(ISNUMBER(SEARCH("SUNDANCE",INVENTARIO!C277)),"SUN",
IF(ISNUMBER(SEARCH("SINTETICA",INVENTARIO!C277)),"SIN",
IF(ISNUMBER(SEARCH("CONTROL",INVENTARIO!C277)),"CON",
IF(ISNUMBER(SEARCH("TERMICO",INVENTARIO!C277)),"TER",
IF(ISNUMBER(SEARCH("C-15",INVENTARIO!C277)),"C15",
IF(ISNUMBER(SEARCH("C-20",INVENTARIO!C277)),"C20",
IF(ISNUMBER(SEARCH("C-30",INVENTARIO!C277)),"C30",
IF(ISNUMBER(SEARCH("C-40",INVENTARIO!C277)),"C40",
IF(ISNUMBER(SEARCH("C-60",INVENTARIO!C277)),"C60",
IF(ISNUMBER(SEARCH("C-80",INVENTARIO!C277)),"C80",
IF(ISNUMBER(SEARCH("EQUIPO",INVENTARIO!C277)),"EQU",
IF(ISNUMBER(SEARCH("FLOOR",INVENTARIO!C277)),"FLO",
IF(ISNUMBER(SEARCH("CRISTAL",INVENTARIO!C277)),"CRI",
IF(ISNUMBER(SEARCH(" SULFATADA",INVENTARIO!C288)),"SUL",
IF(ISNUMBER(SEARCH("OPALINA",INVENTARIO!C277)),"OPA",
IF(ISNUMBER(SEARCH("ADHERIBLE",INVENTARIO!C277)),"ADH",
IF(ISNUMBER(SEARCH("MICRO",INVENTARIO!C277)),"MIC","")))))))))))))))))))))</f>
        <v/>
      </c>
      <c r="C277" t="str">
        <f>IF(ISNUMBER(SEARCH("PARED",INVENTARIO!C277)),"PAR",
IF(ISNUMBER(SEARCH("FRONT",INVENTARIO!C277)),"FRO",
IF(ISNUMBER(SEARCH("ALTA RESISTENCIA",INVENTARIO!C277)),
"ALT-RES",IF(ISNUMBER(SEARCH("BACKLITE",INVENTARIO!C277)),"BAC",
IF(ISNUMBER(SEARCH("MATE",INVENTARIO!C277)),"MAT",
IF(ISNUMBER(SEARCH("MESH",INVENTARIO!C277)),"MES",
IF(ISNUMBER(SEARCH("BRILLANTE",INVENTARIO!C277)),"BRI",
IF(ISNUMBER(SEARCH("DELGADA",INVENTARIO!C277)),"DEL",
IF(ISNUMBER(SEARCH("GRUESA",INVENTARIO!C277)),"GRU",
IF(ISNUMBER(SEARCH("ESTATICO",INVENTARIO!C277)),"EST",
IF(ISNUMBER(SEARCH("REFLECTIVO",INVENTARIO!C277)),"REF",
IF(ISNUMBER(SEARCH("LX700",INVENTARIO!C277)),"LX7",
IF(ISNUMBER(SEARCH("GRANDO",INVENTARIO!C277)),"GRA",
IF(ISNUMBER(SEARCH("FB700",INVENTARIO!C277)),"FB7",
IF(ISNUMBER(SEARCH("LX360",INVENTARIO!C277)),"LX3",
IF(ISNUMBER(SEARCH("XEROX",INVENTARIO!C277)),"XER",
IF(ISNUMBER(SEARCH("CEPILLADO",INVENTARIO!C277)),"CEP",
IF(ISNUMBER(SEARCH("ESPEJO",INVENTARIO!C277)),"ESP",
IF(ISNUMBER(SEARCH("10 PTS",INVENTARIO!C277)),"10PT",
IF(ISNUMBER(SEARCH("12 PTS",INVENTARIO!C277)),"12PT",
IF(ISNUMBER(SEARCH("14 PTS",INVENTARIO!C277)),"14PT",
IF(ISNUMBER(SEARCH("CLASICO",INVENTARIO!C277)),"CLA",
""))))))))))))))))))))))</f>
        <v/>
      </c>
      <c r="D277" t="str">
        <f>IF(ISNUMBER(SEARCH("GRAN FORMATO",INVENTARIO!C277)),"GRA-FOR",
IF(ISNUMBER(SEARCH("CAMA PLANA",INVENTARIO!C277)),"CAM-PLA",
IF(ISNUMBER(SEARCH("GRADO INGENIERIA",INVENTARIO!C277)),"GRA-ING",
IF(ISNUMBER(SEARCH("130 GRS",INVENTARIO!C277)),"130GR",
IF(ISNUMBER(SEARCH("150 GRS",INVENTARIO!C277)),"150GR",
IF(ISNUMBER(SEARCH("185 GRS",INVENTARIO!C277)),"185GR",
IF(ISNUMBER(SEARCH("200 GRS",INVENTARIO!C277)),"200GR",
IF(ISNUMBER(SEARCH("250 GRS",INVENTARIO!C277)),"250GR",
IF(ISNUMBER(SEARCH("300 GRS",INVENTARIO!C277)),"300GR",
IF(ISNUMBER(SEARCH("350 GRS",INVENTARIO!C277)),"350GR",
IF(ISNUMBER(SEARCH("18 OZ",INVENTARIO!C277)),"18OZ",
IF(ISNUMBER(SEARCH("15 OZ",INVENTARIO!C277)),"15OZ",
IF(OR(ISNUMBER(SEARCH("13 OZ",INVENTARIO!C277)),ISNUMBER(SEARCH("13 ONZAS",INVENTARIO!C277))),"13OZ",
IF(OR(ISNUMBER(SEARCH("9 OZ",INVENTARIO!C277)),ISNUMBER(SEARCH("9 ONZAS",INVENTARIO!C277))),"09OZ",
IF(ISNUMBER(SEARCH("DOBLE CARA",INVENTARIO!C277)),"DOB-CAR",
"")))))))))))))))</f>
        <v/>
      </c>
      <c r="E277" t="str">
        <f>IF(OR(ISNUMBER(SEARCH("TRANSPARENTE",INVENTARIO!C277)),ISNUMBER(SEARCH("TRANSPARENTES",INVENTARIO!C277))),"TRA",
IF(OR(ISNUMBER(SEARCH("BLANCO",INVENTARIO!C277)),ISNUMBER(SEARCH("BCO",INVENTARIO!C277))),"BLA",
IF(ISNUMBER(SEARCH("FOTOGRAFICO",INVENTARIO!C277)),"FOT",
IF(ISNUMBER(SEARCH("MARFIL",INVENTARIO!C277)),"MAR",
IF(ISNUMBER(SEARCH("VERDE",INVENTARIO!C277)),"VER",
IF(ISNUMBER(SEARCH("MORADO",INVENTARIO!C277)),"MOR",
IF(ISNUMBER(SEARCH("PLATA",INVENTARIO!C277)),"PLA",
IF(ISNUMBER(SEARCH("ORO",INVENTARIO!C277)),"ORO",
IF(ISNUMBER(SEARCH("AMARILLO",INVENTARIO!C277)),"AMA",
IF(ISNUMBER(SEARCH("NARANJA",INVENTARIO!C277)),"NAR",
IF(ISNUMBER(SEARCH("NEGRO",INVENTARIO!C277)),"NEG",
IF(ISNUMBER(SEARCH("ROJO",INVENTARIO!C277)),"ROJ",
IF(ISNUMBER(SEARCH("AZUL",INVENTARIO!C277)),"AZU","")))))))))))))</f>
        <v>BLA</v>
      </c>
      <c r="F277" t="str">
        <f>IF(ISNUMBER(SEARCH("ARLON",INVENTARIO!C277)),"ARL",
IF(ISNUMBER(SEARCH("SUNTHINKS",INVENTARIO!C277)),"SUN",
IF(ISNUMBER(SEARCH("FRIO",INVENTARIO!C277)),"FRI",
IF(ISNUMBER(SEARCH("CALIDO",INVENTARIO!C277)),"CAL",
IF(ISNUMBER(SEARCH("CEPILLADO",INVENTARIO!C277)),"CEP",
IF(ISNUMBER(SEARCH("ESPEJO",INVENTARIO!C277)),"ESP",
""))))))</f>
        <v/>
      </c>
      <c r="G277" t="str">
        <f>IF(ISNUMBER(SEARCH("LATEX",INVENTARIO!C277)),"LAT",
IF(ISNUMBER(SEARCH("RESP. NEGRO",INVENTARIO!C277)),"RES-NEG",
IF(ISNUMBER(SEARCH("RESPALDO CAFE",INVENTARIO!C277)),"RES-CAF",
IF(ISNUMBER(SEARCH("RESPALDO GRIS",INVENTARIO!C277)),"RES-GRI",
IF(ISNUMBER(SEARCH("OPTICO",INVENTARIO!C277)),"OPT",
IF(ISNUMBER(SEARCH("1,2 MM",INVENTARIO!C277)),"1MM2",
IF(ISNUMBER(SEARCH("2 MM",INVENTARIO!C277)),"2MM",
IF(ISNUMBER(SEARCH("3 MM",INVENTARIO!C277)),"3MM",
IF(ISNUMBER(SEARCH("4 MM",INVENTARIO!C277)),"4MM",
IF(ISNUMBER(SEARCH("5 MM",INVENTARIO!C277)),"5MM",
IF(ISNUMBER(SEARCH("6 MM",INVENTARIO!C277)),"6MM",
IF(ISNUMBER(SEARCH("9 MM",INVENTARIO!C277)),"9MM",
IF(ISNUMBER(SEARCH("10 MM",INVENTARIO!C277)),"10MM","")))))))))))))</f>
        <v/>
      </c>
      <c r="H277" t="str">
        <f>IF(ISNUMBER(SEARCH("GAMA BAJA",INVENTARIO!C277)),"GAM-BAJ",
IF(ISNUMBER(SEARCH("OPTIMIZADOR",INVENTARIO!C277)),"OPT",
IF(ISNUMBER(SEARCH("OVERCOAT",INVENTARIO!C277)),"OVE",
IF(ISNUMBER(SEARCH("WHITE",INVENTARIO!C277)),"WHI",
IF(ISNUMBER(SEARCH("LIGHT CYAN",INVENTARIO!C277)),"LIG-CYA",
IF(ISNUMBER(SEARCH("CYAN",INVENTARIO!C277)),"CYA",
IF(ISNUMBER(SEARCH("LIGHT MAGENTA",INVENTARIO!C277)),"LIG-MAG",
IF(ISNUMBER(SEARCH("MAGENTA",INVENTARIO!C277)),"MAG",
IF(ISNUMBER(SEARCH("BLACK",INVENTARIO!C277)),"BLA",
IF(ISNUMBER(SEARCH("YELLOW",INVENTARIO!C277)),"YEL",
IF(ISNUMBER(SEARCH("2 DIODOS",INVENTARIO!C277)),"2DI",
IF(ISNUMBER(SEARCH("3 DIODOS",INVENTARIO!C277)),"3DI",
IF(OR(ISNUMBER(SEARCH("TRASLUCIDO",INVENTARIO!C277)),ISNUMBER(SEARCH("TRANSLUCIDO",INVENTARIO!C277))),"TRA",
"")))))))))))))</f>
        <v/>
      </c>
      <c r="I277" t="str">
        <f>IF(ISNUMBER(SEARCH("SILED",INVENTARIO!C266)),"SI",
IF(ISNUMBER(SEARCH("SYDEMEX",INVENTARIO!C266)),"SY",
IF(ISNUMBER(SEARCH("ROHS",INVENTARIO!C266)),"RO",
IF(ISNUMBER(SEARCH("RISHANG",INVENTARIO!C266)),"RS",
IF(ISNUMBER(SEARCH("VYG",INVENTARIO!C266)),"VYG",
IF(ISNUMBER(SEARCH("COLED",INVENTARIO!C266)),"CO",""))))))</f>
        <v/>
      </c>
    </row>
    <row r="278" spans="1:9">
      <c r="A278" t="str">
        <f>IF(ISNUMBER(SEARCH("LONA",INVENTARIO!C278)),"LON",
IF(ISNUMBER(SEARCH("VINIL",INVENTARIO!C278)),"VIN",
IF(ISNUMBER(SEARCH("KROMACOTE",INVENTARIO!C278)),"KRO",
IF(ISNUMBER(SEARCH("STARDREAM",INVENTARIO!C278)),"STA",
IF(ISNUMBER(SEARCH("DISPLAY",INVENTARIO!C278)),"DIS",
IF(ISNUMBER(SEARCH("ROLL UP",INVENTARIO!C278)),"ROL-UP",
IF(ISNUMBER(SEARCH("TRANSFER DE PAPEL",INVENTARIO!C278)),"TRA-PAP",
IF(ISNUMBER(SEARCH("TRANSFER",INVENTARIO!C278)),"TRA",IF(ISNUMBER(SEARCH("KOLA LOKA",INVENTARIO!C278)),"KOL-LOK",
IF(ISNUMBER(SEARCH("PETG",INVENTARIO!C278)),"PET",
IF(ISNUMBER(SEARCH("OJILLO",INVENTARIO!C278)),"OJI",
IF(ISNUMBER(SEARCH("COUCHE",INVENTARIO!C278)),"COU",
IF(ISNUMBER(SEARCH("PANEL DE ALUMINIO",INVENTARIO!C278)),"PAN-ALU",
IF(ISNUMBER(SEARCH("PVC",INVENTARIO!C278)),"PVC",
IF(ISNUMBER(SEARCH("PAPEL",INVENTARIO!C278)),"PAP",
IF(ISNUMBER(SEARCH("TELA",INVENTARIO!C278)),"TEL",
IF(ISNUMBER(SEARCH("CARTULINA",INVENTARIO!C278)),"CAR",
IF(OR(ISNUMBER(SEARCH("LAMINA",INVENTARIO!C278)),ISNUMBER(SEARCH("LÁMINA",INVENTARIO!C278)),ISNUMBER(SEARCH("LAMPARAS",INVENTARIO!C278))),"LAM",
IF(ISNUMBER(SEARCH("ESTIRENO",INVENTARIO!C278)),"EST",
IF(ISNUMBER(SEARCH("FOAMBOARD",INVENTARIO!C278)),"FOA",
IF(ISNUMBER(SEARCH("SOLVENTE",INVENTARIO!C278)),"SOL",
IF(ISNUMBER(SEARCH("TINTA",INVENTARIO!C278)),"TIN",
IF(ISNUMBER(SEARCH("ACRILICO",INVENTARIO!C278)),"ACR",
IF(ISNUMBER(SEARCH("MICROLED",INVENTARIO!C278)),"MIC",
IF(ISNUMBER(SEARCH("LED",INVENTARIO!C278)),"LED",
IF(ISNUMBER(SEARCH("FUENTE DE PODER",INVENTARIO!C278)),"FUE-POD",
IF(ISNUMBER(SEARCH("PETG",INVENTARIO!C278)),"PET",
IF(ISNUMBER(SEARCH("ALUMINIO",INVENTARIO!C278)),"ALU",
IF(ISNUMBER(SEARCH("CANAL",INVENTARIO!C278)),"CAN",
IF(ISNUMBER(SEARCH("ESCUADRA",INVENTARIO!C278)),"ESC",
IF(ISNUMBER(SEARCH("SOPORTE",INVENTARIO!C278)),"SOP","OTR")
))))))))))))))))))))))))))))))</f>
        <v>CAN</v>
      </c>
      <c r="B278" t="str">
        <f>IF(ISNUMBER(SEARCH("CORTE",INVENTARIO!C278)),"COR",
IF(ISNUMBER(SEARCH("CITYLIGHT",INVENTARIO!C278)),"CIT",
IF(ISNUMBER(SEARCH("LINO",INVENTARIO!C278)),"LIN",
IF(ISNUMBER(SEARCH("FABRIANO",INVENTARIO!C278)),"FAB",
IF(ISNUMBER(SEARCH("SUNDANCE",INVENTARIO!C278)),"SUN",
IF(ISNUMBER(SEARCH("SINTETICA",INVENTARIO!C278)),"SIN",
IF(ISNUMBER(SEARCH("CONTROL",INVENTARIO!C278)),"CON",
IF(ISNUMBER(SEARCH("TERMICO",INVENTARIO!C278)),"TER",
IF(ISNUMBER(SEARCH("C-15",INVENTARIO!C278)),"C15",
IF(ISNUMBER(SEARCH("C-20",INVENTARIO!C278)),"C20",
IF(ISNUMBER(SEARCH("C-30",INVENTARIO!C278)),"C30",
IF(ISNUMBER(SEARCH("C-40",INVENTARIO!C278)),"C40",
IF(ISNUMBER(SEARCH("C-60",INVENTARIO!C278)),"C60",
IF(ISNUMBER(SEARCH("C-80",INVENTARIO!C278)),"C80",
IF(ISNUMBER(SEARCH("EQUIPO",INVENTARIO!C278)),"EQU",
IF(ISNUMBER(SEARCH("FLOOR",INVENTARIO!C278)),"FLO",
IF(ISNUMBER(SEARCH("CRISTAL",INVENTARIO!C278)),"CRI",
IF(ISNUMBER(SEARCH(" SULFATADA",INVENTARIO!C289)),"SUL",
IF(ISNUMBER(SEARCH("OPALINA",INVENTARIO!C278)),"OPA",
IF(ISNUMBER(SEARCH("ADHERIBLE",INVENTARIO!C278)),"ADH",
IF(ISNUMBER(SEARCH("MICRO",INVENTARIO!C278)),"MIC","")))))))))))))))))))))</f>
        <v/>
      </c>
      <c r="C278" t="str">
        <f>IF(ISNUMBER(SEARCH("PARED",INVENTARIO!C278)),"PAR",
IF(ISNUMBER(SEARCH("FRONT",INVENTARIO!C278)),"FRO",
IF(ISNUMBER(SEARCH("ALTA RESISTENCIA",INVENTARIO!C278)),
"ALT-RES",IF(ISNUMBER(SEARCH("BACKLITE",INVENTARIO!C278)),"BAC",
IF(ISNUMBER(SEARCH("MATE",INVENTARIO!C278)),"MAT",
IF(ISNUMBER(SEARCH("MESH",INVENTARIO!C278)),"MES",
IF(ISNUMBER(SEARCH("BRILLANTE",INVENTARIO!C278)),"BRI",
IF(ISNUMBER(SEARCH("DELGADA",INVENTARIO!C278)),"DEL",
IF(ISNUMBER(SEARCH("GRUESA",INVENTARIO!C278)),"GRU",
IF(ISNUMBER(SEARCH("ESTATICO",INVENTARIO!C278)),"EST",
IF(ISNUMBER(SEARCH("REFLECTIVO",INVENTARIO!C278)),"REF",
IF(ISNUMBER(SEARCH("LX700",INVENTARIO!C278)),"LX7",
IF(ISNUMBER(SEARCH("GRANDO",INVENTARIO!C278)),"GRA",
IF(ISNUMBER(SEARCH("FB700",INVENTARIO!C278)),"FB7",
IF(ISNUMBER(SEARCH("LX360",INVENTARIO!C278)),"LX3",
IF(ISNUMBER(SEARCH("XEROX",INVENTARIO!C278)),"XER",
IF(ISNUMBER(SEARCH("CEPILLADO",INVENTARIO!C278)),"CEP",
IF(ISNUMBER(SEARCH("ESPEJO",INVENTARIO!C278)),"ESP",
IF(ISNUMBER(SEARCH("10 PTS",INVENTARIO!C278)),"10PT",
IF(ISNUMBER(SEARCH("12 PTS",INVENTARIO!C278)),"12PT",
IF(ISNUMBER(SEARCH("14 PTS",INVENTARIO!C278)),"14PT",
IF(ISNUMBER(SEARCH("CLASICO",INVENTARIO!C278)),"CLA",
""))))))))))))))))))))))</f>
        <v/>
      </c>
      <c r="D278" t="str">
        <f>IF(ISNUMBER(SEARCH("GRAN FORMATO",INVENTARIO!C278)),"GRA-FOR",
IF(ISNUMBER(SEARCH("CAMA PLANA",INVENTARIO!C278)),"CAM-PLA",
IF(ISNUMBER(SEARCH("GRADO INGENIERIA",INVENTARIO!C278)),"GRA-ING",
IF(ISNUMBER(SEARCH("130 GRS",INVENTARIO!C278)),"130GR",
IF(ISNUMBER(SEARCH("150 GRS",INVENTARIO!C278)),"150GR",
IF(ISNUMBER(SEARCH("185 GRS",INVENTARIO!C278)),"185GR",
IF(ISNUMBER(SEARCH("200 GRS",INVENTARIO!C278)),"200GR",
IF(ISNUMBER(SEARCH("250 GRS",INVENTARIO!C278)),"250GR",
IF(ISNUMBER(SEARCH("300 GRS",INVENTARIO!C278)),"300GR",
IF(ISNUMBER(SEARCH("350 GRS",INVENTARIO!C278)),"350GR",
IF(ISNUMBER(SEARCH("18 OZ",INVENTARIO!C278)),"18OZ",
IF(ISNUMBER(SEARCH("15 OZ",INVENTARIO!C278)),"15OZ",
IF(OR(ISNUMBER(SEARCH("13 OZ",INVENTARIO!C278)),ISNUMBER(SEARCH("13 ONZAS",INVENTARIO!C278))),"13OZ",
IF(OR(ISNUMBER(SEARCH("9 OZ",INVENTARIO!C278)),ISNUMBER(SEARCH("9 ONZAS",INVENTARIO!C278))),"09OZ",
IF(ISNUMBER(SEARCH("DOBLE CARA",INVENTARIO!C278)),"DOB-CAR",
"")))))))))))))))</f>
        <v/>
      </c>
      <c r="E278" t="str">
        <f>IF(OR(ISNUMBER(SEARCH("TRANSPARENTE",INVENTARIO!C278)),ISNUMBER(SEARCH("TRANSPARENTES",INVENTARIO!C278))),"TRA",
IF(OR(ISNUMBER(SEARCH("BLANCO",INVENTARIO!C278)),ISNUMBER(SEARCH("BCO",INVENTARIO!C278))),"BLA",
IF(ISNUMBER(SEARCH("FOTOGRAFICO",INVENTARIO!C278)),"FOT",
IF(ISNUMBER(SEARCH("MARFIL",INVENTARIO!C278)),"MAR",
IF(ISNUMBER(SEARCH("VERDE",INVENTARIO!C278)),"VER",
IF(ISNUMBER(SEARCH("MORADO",INVENTARIO!C278)),"MOR",
IF(ISNUMBER(SEARCH("PLATA",INVENTARIO!C278)),"PLA",
IF(ISNUMBER(SEARCH("ORO",INVENTARIO!C278)),"ORO",
IF(ISNUMBER(SEARCH("AMARILLO",INVENTARIO!C278)),"AMA",
IF(ISNUMBER(SEARCH("NARANJA",INVENTARIO!C278)),"NAR",
IF(ISNUMBER(SEARCH("NEGRO",INVENTARIO!C278)),"NEG",
IF(ISNUMBER(SEARCH("ROJO",INVENTARIO!C278)),"ROJ",
IF(ISNUMBER(SEARCH("AZUL",INVENTARIO!C278)),"AZU","")))))))))))))</f>
        <v>NEG</v>
      </c>
      <c r="F278" t="str">
        <f>IF(ISNUMBER(SEARCH("ARLON",INVENTARIO!C278)),"ARL",
IF(ISNUMBER(SEARCH("SUNTHINKS",INVENTARIO!C278)),"SUN",
IF(ISNUMBER(SEARCH("FRIO",INVENTARIO!C278)),"FRI",
IF(ISNUMBER(SEARCH("CALIDO",INVENTARIO!C278)),"CAL",
IF(ISNUMBER(SEARCH("CEPILLADO",INVENTARIO!C278)),"CEP",
IF(ISNUMBER(SEARCH("ESPEJO",INVENTARIO!C278)),"ESP",
""))))))</f>
        <v/>
      </c>
      <c r="G278" t="str">
        <f>IF(ISNUMBER(SEARCH("LATEX",INVENTARIO!C278)),"LAT",
IF(ISNUMBER(SEARCH("RESP. NEGRO",INVENTARIO!C278)),"RES-NEG",
IF(ISNUMBER(SEARCH("RESPALDO CAFE",INVENTARIO!C278)),"RES-CAF",
IF(ISNUMBER(SEARCH("RESPALDO GRIS",INVENTARIO!C278)),"RES-GRI",
IF(ISNUMBER(SEARCH("OPTICO",INVENTARIO!C278)),"OPT",
IF(ISNUMBER(SEARCH("1,2 MM",INVENTARIO!C278)),"1MM2",
IF(ISNUMBER(SEARCH("2 MM",INVENTARIO!C278)),"2MM",
IF(ISNUMBER(SEARCH("3 MM",INVENTARIO!C278)),"3MM",
IF(ISNUMBER(SEARCH("4 MM",INVENTARIO!C278)),"4MM",
IF(ISNUMBER(SEARCH("5 MM",INVENTARIO!C278)),"5MM",
IF(ISNUMBER(SEARCH("6 MM",INVENTARIO!C278)),"6MM",
IF(ISNUMBER(SEARCH("9 MM",INVENTARIO!C278)),"9MM",
IF(ISNUMBER(SEARCH("10 MM",INVENTARIO!C278)),"10MM","")))))))))))))</f>
        <v/>
      </c>
      <c r="H278" t="str">
        <f>IF(ISNUMBER(SEARCH("GAMA BAJA",INVENTARIO!C278)),"GAM-BAJ",
IF(ISNUMBER(SEARCH("OPTIMIZADOR",INVENTARIO!C278)),"OPT",
IF(ISNUMBER(SEARCH("OVERCOAT",INVENTARIO!C278)),"OVE",
IF(ISNUMBER(SEARCH("WHITE",INVENTARIO!C278)),"WHI",
IF(ISNUMBER(SEARCH("LIGHT CYAN",INVENTARIO!C278)),"LIG-CYA",
IF(ISNUMBER(SEARCH("CYAN",INVENTARIO!C278)),"CYA",
IF(ISNUMBER(SEARCH("LIGHT MAGENTA",INVENTARIO!C278)),"LIG-MAG",
IF(ISNUMBER(SEARCH("MAGENTA",INVENTARIO!C278)),"MAG",
IF(ISNUMBER(SEARCH("BLACK",INVENTARIO!C278)),"BLA",
IF(ISNUMBER(SEARCH("YELLOW",INVENTARIO!C278)),"YEL",
IF(ISNUMBER(SEARCH("2 DIODOS",INVENTARIO!C278)),"2DI",
IF(ISNUMBER(SEARCH("3 DIODOS",INVENTARIO!C278)),"3DI",
IF(OR(ISNUMBER(SEARCH("TRASLUCIDO",INVENTARIO!C278)),ISNUMBER(SEARCH("TRANSLUCIDO",INVENTARIO!C278))),"TRA",
"")))))))))))))</f>
        <v/>
      </c>
      <c r="I278" t="str">
        <f>IF(ISNUMBER(SEARCH("SILED",INVENTARIO!C267)),"SI",
IF(ISNUMBER(SEARCH("SYDEMEX",INVENTARIO!C267)),"SY",
IF(ISNUMBER(SEARCH("ROHS",INVENTARIO!C267)),"RO",
IF(ISNUMBER(SEARCH("RISHANG",INVENTARIO!C267)),"RS",
IF(ISNUMBER(SEARCH("VYG",INVENTARIO!C267)),"VYG",
IF(ISNUMBER(SEARCH("COLED",INVENTARIO!C267)),"CO",""))))))</f>
        <v/>
      </c>
    </row>
    <row r="279" spans="1:9">
      <c r="A279" t="str">
        <f>IF(ISNUMBER(SEARCH("LONA",INVENTARIO!C279)),"LON",
IF(ISNUMBER(SEARCH("VINIL",INVENTARIO!C279)),"VIN",
IF(ISNUMBER(SEARCH("KROMACOTE",INVENTARIO!C279)),"KRO",
IF(ISNUMBER(SEARCH("STARDREAM",INVENTARIO!C279)),"STA",
IF(ISNUMBER(SEARCH("DISPLAY",INVENTARIO!C279)),"DIS",
IF(ISNUMBER(SEARCH("ROLL UP",INVENTARIO!C279)),"ROL-UP",
IF(ISNUMBER(SEARCH("TRANSFER DE PAPEL",INVENTARIO!C279)),"TRA-PAP",
IF(ISNUMBER(SEARCH("TRANSFER",INVENTARIO!C279)),"TRA",IF(ISNUMBER(SEARCH("KOLA LOKA",INVENTARIO!C279)),"KOL-LOK",
IF(ISNUMBER(SEARCH("PETG",INVENTARIO!C279)),"PET",
IF(ISNUMBER(SEARCH("OJILLO",INVENTARIO!C279)),"OJI",
IF(ISNUMBER(SEARCH("COUCHE",INVENTARIO!C279)),"COU",
IF(ISNUMBER(SEARCH("PANEL DE ALUMINIO",INVENTARIO!C279)),"PAN-ALU",
IF(ISNUMBER(SEARCH("PVC",INVENTARIO!C279)),"PVC",
IF(ISNUMBER(SEARCH("PAPEL",INVENTARIO!C279)),"PAP",
IF(ISNUMBER(SEARCH("TELA",INVENTARIO!C279)),"TEL",
IF(ISNUMBER(SEARCH("CARTULINA",INVENTARIO!C279)),"CAR",
IF(OR(ISNUMBER(SEARCH("LAMINA",INVENTARIO!C279)),ISNUMBER(SEARCH("LÁMINA",INVENTARIO!C279)),ISNUMBER(SEARCH("LAMPARAS",INVENTARIO!C279))),"LAM",
IF(ISNUMBER(SEARCH("ESTIRENO",INVENTARIO!C279)),"EST",
IF(ISNUMBER(SEARCH("FOAMBOARD",INVENTARIO!C279)),"FOA",
IF(ISNUMBER(SEARCH("SOLVENTE",INVENTARIO!C279)),"SOL",
IF(ISNUMBER(SEARCH("TINTA",INVENTARIO!C279)),"TIN",
IF(ISNUMBER(SEARCH("ACRILICO",INVENTARIO!C279)),"ACR",
IF(ISNUMBER(SEARCH("MICROLED",INVENTARIO!C279)),"MIC",
IF(ISNUMBER(SEARCH("LED",INVENTARIO!C279)),"LED",
IF(ISNUMBER(SEARCH("FUENTE DE PODER",INVENTARIO!C279)),"FUE-POD",
IF(ISNUMBER(SEARCH("PETG",INVENTARIO!C279)),"PET",
IF(ISNUMBER(SEARCH("ALUMINIO",INVENTARIO!C279)),"ALU",
IF(ISNUMBER(SEARCH("CANAL",INVENTARIO!C279)),"CAN",
IF(ISNUMBER(SEARCH("ESCUADRA",INVENTARIO!C279)),"ESC",
IF(ISNUMBER(SEARCH("SOPORTE",INVENTARIO!C279)),"SOP","OTR")
))))))))))))))))))))))))))))))</f>
        <v>CAN</v>
      </c>
      <c r="B279" t="str">
        <f>IF(ISNUMBER(SEARCH("CORTE",INVENTARIO!C279)),"COR",
IF(ISNUMBER(SEARCH("CITYLIGHT",INVENTARIO!C279)),"CIT",
IF(ISNUMBER(SEARCH("LINO",INVENTARIO!C279)),"LIN",
IF(ISNUMBER(SEARCH("FABRIANO",INVENTARIO!C279)),"FAB",
IF(ISNUMBER(SEARCH("SUNDANCE",INVENTARIO!C279)),"SUN",
IF(ISNUMBER(SEARCH("SINTETICA",INVENTARIO!C279)),"SIN",
IF(ISNUMBER(SEARCH("CONTROL",INVENTARIO!C279)),"CON",
IF(ISNUMBER(SEARCH("TERMICO",INVENTARIO!C279)),"TER",
IF(ISNUMBER(SEARCH("C-15",INVENTARIO!C279)),"C15",
IF(ISNUMBER(SEARCH("C-20",INVENTARIO!C279)),"C20",
IF(ISNUMBER(SEARCH("C-30",INVENTARIO!C279)),"C30",
IF(ISNUMBER(SEARCH("C-40",INVENTARIO!C279)),"C40",
IF(ISNUMBER(SEARCH("C-60",INVENTARIO!C279)),"C60",
IF(ISNUMBER(SEARCH("C-80",INVENTARIO!C279)),"C80",
IF(ISNUMBER(SEARCH("EQUIPO",INVENTARIO!C279)),"EQU",
IF(ISNUMBER(SEARCH("FLOOR",INVENTARIO!C279)),"FLO",
IF(ISNUMBER(SEARCH("CRISTAL",INVENTARIO!C279)),"CRI",
IF(ISNUMBER(SEARCH(" SULFATADA",INVENTARIO!C290)),"SUL",
IF(ISNUMBER(SEARCH("OPALINA",INVENTARIO!C279)),"OPA",
IF(ISNUMBER(SEARCH("ADHERIBLE",INVENTARIO!C279)),"ADH",
IF(ISNUMBER(SEARCH("MICRO",INVENTARIO!C279)),"MIC","")))))))))))))))))))))</f>
        <v/>
      </c>
      <c r="C279" t="str">
        <f>IF(ISNUMBER(SEARCH("PARED",INVENTARIO!C279)),"PAR",
IF(ISNUMBER(SEARCH("FRONT",INVENTARIO!C279)),"FRO",
IF(ISNUMBER(SEARCH("ALTA RESISTENCIA",INVENTARIO!C279)),
"ALT-RES",IF(ISNUMBER(SEARCH("BACKLITE",INVENTARIO!C279)),"BAC",
IF(ISNUMBER(SEARCH("MATE",INVENTARIO!C279)),"MAT",
IF(ISNUMBER(SEARCH("MESH",INVENTARIO!C279)),"MES",
IF(ISNUMBER(SEARCH("BRILLANTE",INVENTARIO!C279)),"BRI",
IF(ISNUMBER(SEARCH("DELGADA",INVENTARIO!C279)),"DEL",
IF(ISNUMBER(SEARCH("GRUESA",INVENTARIO!C279)),"GRU",
IF(ISNUMBER(SEARCH("ESTATICO",INVENTARIO!C279)),"EST",
IF(ISNUMBER(SEARCH("REFLECTIVO",INVENTARIO!C279)),"REF",
IF(ISNUMBER(SEARCH("LX700",INVENTARIO!C279)),"LX7",
IF(ISNUMBER(SEARCH("GRANDO",INVENTARIO!C279)),"GRA",
IF(ISNUMBER(SEARCH("FB700",INVENTARIO!C279)),"FB7",
IF(ISNUMBER(SEARCH("LX360",INVENTARIO!C279)),"LX3",
IF(ISNUMBER(SEARCH("XEROX",INVENTARIO!C279)),"XER",
IF(ISNUMBER(SEARCH("CEPILLADO",INVENTARIO!C279)),"CEP",
IF(ISNUMBER(SEARCH("ESPEJO",INVENTARIO!C279)),"ESP",
IF(ISNUMBER(SEARCH("10 PTS",INVENTARIO!C279)),"10PT",
IF(ISNUMBER(SEARCH("12 PTS",INVENTARIO!C279)),"12PT",
IF(ISNUMBER(SEARCH("14 PTS",INVENTARIO!C279)),"14PT",
IF(ISNUMBER(SEARCH("CLASICO",INVENTARIO!C279)),"CLA",
""))))))))))))))))))))))</f>
        <v/>
      </c>
      <c r="D279" t="str">
        <f>IF(ISNUMBER(SEARCH("GRAN FORMATO",INVENTARIO!C279)),"GRA-FOR",
IF(ISNUMBER(SEARCH("CAMA PLANA",INVENTARIO!C279)),"CAM-PLA",
IF(ISNUMBER(SEARCH("GRADO INGENIERIA",INVENTARIO!C279)),"GRA-ING",
IF(ISNUMBER(SEARCH("130 GRS",INVENTARIO!C279)),"130GR",
IF(ISNUMBER(SEARCH("150 GRS",INVENTARIO!C279)),"150GR",
IF(ISNUMBER(SEARCH("185 GRS",INVENTARIO!C279)),"185GR",
IF(ISNUMBER(SEARCH("200 GRS",INVENTARIO!C279)),"200GR",
IF(ISNUMBER(SEARCH("250 GRS",INVENTARIO!C279)),"250GR",
IF(ISNUMBER(SEARCH("300 GRS",INVENTARIO!C279)),"300GR",
IF(ISNUMBER(SEARCH("350 GRS",INVENTARIO!C279)),"350GR",
IF(ISNUMBER(SEARCH("18 OZ",INVENTARIO!C279)),"18OZ",
IF(ISNUMBER(SEARCH("15 OZ",INVENTARIO!C279)),"15OZ",
IF(OR(ISNUMBER(SEARCH("13 OZ",INVENTARIO!C279)),ISNUMBER(SEARCH("13 ONZAS",INVENTARIO!C279))),"13OZ",
IF(OR(ISNUMBER(SEARCH("9 OZ",INVENTARIO!C279)),ISNUMBER(SEARCH("9 ONZAS",INVENTARIO!C279))),"09OZ",
IF(ISNUMBER(SEARCH("DOBLE CARA",INVENTARIO!C279)),"DOB-CAR",
"")))))))))))))))</f>
        <v/>
      </c>
      <c r="E279" t="str">
        <f>IF(OR(ISNUMBER(SEARCH("TRANSPARENTE",INVENTARIO!C279)),ISNUMBER(SEARCH("TRANSPARENTES",INVENTARIO!C279))),"TRA",
IF(OR(ISNUMBER(SEARCH("BLANCO",INVENTARIO!C279)),ISNUMBER(SEARCH("BCO",INVENTARIO!C279))),"BLA",
IF(ISNUMBER(SEARCH("FOTOGRAFICO",INVENTARIO!C279)),"FOT",
IF(ISNUMBER(SEARCH("MARFIL",INVENTARIO!C279)),"MAR",
IF(ISNUMBER(SEARCH("VERDE",INVENTARIO!C279)),"VER",
IF(ISNUMBER(SEARCH("MORADO",INVENTARIO!C279)),"MOR",
IF(ISNUMBER(SEARCH("PLATA",INVENTARIO!C279)),"PLA",
IF(ISNUMBER(SEARCH("ORO",INVENTARIO!C279)),"ORO",
IF(ISNUMBER(SEARCH("AMARILLO",INVENTARIO!C279)),"AMA",
IF(ISNUMBER(SEARCH("NARANJA",INVENTARIO!C279)),"NAR",
IF(ISNUMBER(SEARCH("NEGRO",INVENTARIO!C279)),"NEG",
IF(ISNUMBER(SEARCH("ROJO",INVENTARIO!C279)),"ROJ",
IF(ISNUMBER(SEARCH("AZUL",INVENTARIO!C279)),"AZU","")))))))))))))</f>
        <v>NEG</v>
      </c>
      <c r="F279" t="str">
        <f>IF(ISNUMBER(SEARCH("ARLON",INVENTARIO!C279)),"ARL",
IF(ISNUMBER(SEARCH("SUNTHINKS",INVENTARIO!C279)),"SUN",
IF(ISNUMBER(SEARCH("FRIO",INVENTARIO!C279)),"FRI",
IF(ISNUMBER(SEARCH("CALIDO",INVENTARIO!C279)),"CAL",
IF(ISNUMBER(SEARCH("CEPILLADO",INVENTARIO!C279)),"CEP",
IF(ISNUMBER(SEARCH("ESPEJO",INVENTARIO!C279)),"ESP",
""))))))</f>
        <v/>
      </c>
      <c r="G279" t="str">
        <f>IF(ISNUMBER(SEARCH("LATEX",INVENTARIO!C279)),"LAT",
IF(ISNUMBER(SEARCH("RESP. NEGRO",INVENTARIO!C279)),"RES-NEG",
IF(ISNUMBER(SEARCH("RESPALDO CAFE",INVENTARIO!C279)),"RES-CAF",
IF(ISNUMBER(SEARCH("RESPALDO GRIS",INVENTARIO!C279)),"RES-GRI",
IF(ISNUMBER(SEARCH("OPTICO",INVENTARIO!C279)),"OPT",
IF(ISNUMBER(SEARCH("1,2 MM",INVENTARIO!C279)),"1MM2",
IF(ISNUMBER(SEARCH("2 MM",INVENTARIO!C279)),"2MM",
IF(ISNUMBER(SEARCH("3 MM",INVENTARIO!C279)),"3MM",
IF(ISNUMBER(SEARCH("4 MM",INVENTARIO!C279)),"4MM",
IF(ISNUMBER(SEARCH("5 MM",INVENTARIO!C279)),"5MM",
IF(ISNUMBER(SEARCH("6 MM",INVENTARIO!C279)),"6MM",
IF(ISNUMBER(SEARCH("9 MM",INVENTARIO!C279)),"9MM",
IF(ISNUMBER(SEARCH("10 MM",INVENTARIO!C279)),"10MM","")))))))))))))</f>
        <v/>
      </c>
      <c r="H279" t="str">
        <f>IF(ISNUMBER(SEARCH("GAMA BAJA",INVENTARIO!C279)),"GAM-BAJ",
IF(ISNUMBER(SEARCH("OPTIMIZADOR",INVENTARIO!C279)),"OPT",
IF(ISNUMBER(SEARCH("OVERCOAT",INVENTARIO!C279)),"OVE",
IF(ISNUMBER(SEARCH("WHITE",INVENTARIO!C279)),"WHI",
IF(ISNUMBER(SEARCH("LIGHT CYAN",INVENTARIO!C279)),"LIG-CYA",
IF(ISNUMBER(SEARCH("CYAN",INVENTARIO!C279)),"CYA",
IF(ISNUMBER(SEARCH("LIGHT MAGENTA",INVENTARIO!C279)),"LIG-MAG",
IF(ISNUMBER(SEARCH("MAGENTA",INVENTARIO!C279)),"MAG",
IF(ISNUMBER(SEARCH("BLACK",INVENTARIO!C279)),"BLA",
IF(ISNUMBER(SEARCH("YELLOW",INVENTARIO!C279)),"YEL",
IF(ISNUMBER(SEARCH("2 DIODOS",INVENTARIO!C279)),"2DI",
IF(ISNUMBER(SEARCH("3 DIODOS",INVENTARIO!C279)),"3DI",
IF(OR(ISNUMBER(SEARCH("TRASLUCIDO",INVENTARIO!C279)),ISNUMBER(SEARCH("TRANSLUCIDO",INVENTARIO!C279))),"TRA",
"")))))))))))))</f>
        <v/>
      </c>
      <c r="I279" t="str">
        <f>IF(ISNUMBER(SEARCH("SILED",INVENTARIO!C290)),"SI",
IF(ISNUMBER(SEARCH("SYDEMEX",INVENTARIO!C290)),"SY",
IF(ISNUMBER(SEARCH("ROHS",INVENTARIO!C290)),"RO",
IF(ISNUMBER(SEARCH("RISHANG",INVENTARIO!C290)),"RS",
IF(ISNUMBER(SEARCH("VYG",INVENTARIO!C290)),"VYG",
IF(ISNUMBER(SEARCH("COLED",INVENTARIO!C290)),"CO",""))))))</f>
        <v/>
      </c>
    </row>
    <row r="280" spans="1:9">
      <c r="A280" t="str">
        <f>IF(ISNUMBER(SEARCH("LONA",INVENTARIO!C280)),"LON",
IF(ISNUMBER(SEARCH("VINIL",INVENTARIO!C280)),"VIN",
IF(ISNUMBER(SEARCH("KROMACOTE",INVENTARIO!C280)),"KRO",
IF(ISNUMBER(SEARCH("STARDREAM",INVENTARIO!C280)),"STA",
IF(ISNUMBER(SEARCH("DISPLAY",INVENTARIO!C280)),"DIS",
IF(ISNUMBER(SEARCH("ROLL UP",INVENTARIO!C280)),"ROL-UP",
IF(ISNUMBER(SEARCH("TRANSFER DE PAPEL",INVENTARIO!C280)),"TRA-PAP",
IF(ISNUMBER(SEARCH("TRANSFER",INVENTARIO!C280)),"TRA",IF(ISNUMBER(SEARCH("KOLA LOKA",INVENTARIO!C280)),"KOL-LOK",
IF(ISNUMBER(SEARCH("PETG",INVENTARIO!C280)),"PET",
IF(ISNUMBER(SEARCH("OJILLO",INVENTARIO!C280)),"OJI",
IF(ISNUMBER(SEARCH("COUCHE",INVENTARIO!C280)),"COU",
IF(ISNUMBER(SEARCH("PANEL DE ALUMINIO",INVENTARIO!C280)),"PAN-ALU",
IF(ISNUMBER(SEARCH("PVC",INVENTARIO!C280)),"PVC",
IF(ISNUMBER(SEARCH("PAPEL",INVENTARIO!C280)),"PAP",
IF(ISNUMBER(SEARCH("TELA",INVENTARIO!C280)),"TEL",
IF(ISNUMBER(SEARCH("CARTULINA",INVENTARIO!C280)),"CAR",
IF(OR(ISNUMBER(SEARCH("LAMINA",INVENTARIO!C280)),ISNUMBER(SEARCH("LÁMINA",INVENTARIO!C280)),ISNUMBER(SEARCH("LAMPARAS",INVENTARIO!C280))),"LAM",
IF(ISNUMBER(SEARCH("ESTIRENO",INVENTARIO!C280)),"EST",
IF(ISNUMBER(SEARCH("FOAMBOARD",INVENTARIO!C280)),"FOA",
IF(ISNUMBER(SEARCH("SOLVENTE",INVENTARIO!C280)),"SOL",
IF(ISNUMBER(SEARCH("TINTA",INVENTARIO!C280)),"TIN",
IF(ISNUMBER(SEARCH("ACRILICO",INVENTARIO!C280)),"ACR",
IF(ISNUMBER(SEARCH("MICROLED",INVENTARIO!C280)),"MIC",
IF(ISNUMBER(SEARCH("LED",INVENTARIO!C280)),"LED",
IF(ISNUMBER(SEARCH("FUENTE DE PODER",INVENTARIO!C280)),"FUE-POD",
IF(ISNUMBER(SEARCH("PETG",INVENTARIO!C280)),"PET",
IF(ISNUMBER(SEARCH("ALUMINIO",INVENTARIO!C280)),"ALU",
IF(ISNUMBER(SEARCH("CANAL",INVENTARIO!C280)),"CAN",
IF(ISNUMBER(SEARCH("ESCUADRA",INVENTARIO!C280)),"ESC",
IF(ISNUMBER(SEARCH("SOPORTE",INVENTARIO!C280)),"SOP","OTR")
))))))))))))))))))))))))))))))</f>
        <v>CAN</v>
      </c>
      <c r="B280" t="str">
        <f>IF(ISNUMBER(SEARCH("CORTE",INVENTARIO!C280)),"COR",
IF(ISNUMBER(SEARCH("CITYLIGHT",INVENTARIO!C280)),"CIT",
IF(ISNUMBER(SEARCH("LINO",INVENTARIO!C280)),"LIN",
IF(ISNUMBER(SEARCH("FABRIANO",INVENTARIO!C280)),"FAB",
IF(ISNUMBER(SEARCH("SUNDANCE",INVENTARIO!C280)),"SUN",
IF(ISNUMBER(SEARCH("SINTETICA",INVENTARIO!C280)),"SIN",
IF(ISNUMBER(SEARCH("CONTROL",INVENTARIO!C280)),"CON",
IF(ISNUMBER(SEARCH("TERMICO",INVENTARIO!C280)),"TER",
IF(ISNUMBER(SEARCH("C-15",INVENTARIO!C280)),"C15",
IF(ISNUMBER(SEARCH("C-20",INVENTARIO!C280)),"C20",
IF(ISNUMBER(SEARCH("C-30",INVENTARIO!C280)),"C30",
IF(ISNUMBER(SEARCH("C-40",INVENTARIO!C280)),"C40",
IF(ISNUMBER(SEARCH("C-60",INVENTARIO!C280)),"C60",
IF(ISNUMBER(SEARCH("C-80",INVENTARIO!C280)),"C80",
IF(ISNUMBER(SEARCH("EQUIPO",INVENTARIO!C280)),"EQU",
IF(ISNUMBER(SEARCH("FLOOR",INVENTARIO!C280)),"FLO",
IF(ISNUMBER(SEARCH("CRISTAL",INVENTARIO!C280)),"CRI",
IF(ISNUMBER(SEARCH(" SULFATADA",INVENTARIO!C291)),"SUL",
IF(ISNUMBER(SEARCH("OPALINA",INVENTARIO!C280)),"OPA",
IF(ISNUMBER(SEARCH("ADHERIBLE",INVENTARIO!C280)),"ADH",
IF(ISNUMBER(SEARCH("MICRO",INVENTARIO!C280)),"MIC","")))))))))))))))))))))</f>
        <v/>
      </c>
      <c r="C280" t="str">
        <f>IF(ISNUMBER(SEARCH("PARED",INVENTARIO!C280)),"PAR",
IF(ISNUMBER(SEARCH("FRONT",INVENTARIO!C280)),"FRO",
IF(ISNUMBER(SEARCH("ALTA RESISTENCIA",INVENTARIO!C280)),
"ALT-RES",IF(ISNUMBER(SEARCH("BACKLITE",INVENTARIO!C280)),"BAC",
IF(ISNUMBER(SEARCH("MATE",INVENTARIO!C280)),"MAT",
IF(ISNUMBER(SEARCH("MESH",INVENTARIO!C280)),"MES",
IF(ISNUMBER(SEARCH("BRILLANTE",INVENTARIO!C280)),"BRI",
IF(ISNUMBER(SEARCH("DELGADA",INVENTARIO!C280)),"DEL",
IF(ISNUMBER(SEARCH("GRUESA",INVENTARIO!C280)),"GRU",
IF(ISNUMBER(SEARCH("ESTATICO",INVENTARIO!C280)),"EST",
IF(ISNUMBER(SEARCH("REFLECTIVO",INVENTARIO!C280)),"REF",
IF(ISNUMBER(SEARCH("LX700",INVENTARIO!C280)),"LX7",
IF(ISNUMBER(SEARCH("GRANDO",INVENTARIO!C280)),"GRA",
IF(ISNUMBER(SEARCH("FB700",INVENTARIO!C280)),"FB7",
IF(ISNUMBER(SEARCH("LX360",INVENTARIO!C280)),"LX3",
IF(ISNUMBER(SEARCH("XEROX",INVENTARIO!C280)),"XER",
IF(ISNUMBER(SEARCH("CEPILLADO",INVENTARIO!C280)),"CEP",
IF(ISNUMBER(SEARCH("ESPEJO",INVENTARIO!C280)),"ESP",
IF(ISNUMBER(SEARCH("10 PTS",INVENTARIO!C280)),"10PT",
IF(ISNUMBER(SEARCH("12 PTS",INVENTARIO!C280)),"12PT",
IF(ISNUMBER(SEARCH("14 PTS",INVENTARIO!C280)),"14PT",
IF(ISNUMBER(SEARCH("CLASICO",INVENTARIO!C280)),"CLA",
""))))))))))))))))))))))</f>
        <v/>
      </c>
      <c r="D280" t="str">
        <f>IF(ISNUMBER(SEARCH("GRAN FORMATO",INVENTARIO!C280)),"GRA-FOR",
IF(ISNUMBER(SEARCH("CAMA PLANA",INVENTARIO!C280)),"CAM-PLA",
IF(ISNUMBER(SEARCH("GRADO INGENIERIA",INVENTARIO!C280)),"GRA-ING",
IF(ISNUMBER(SEARCH("130 GRS",INVENTARIO!C280)),"130GR",
IF(ISNUMBER(SEARCH("150 GRS",INVENTARIO!C280)),"150GR",
IF(ISNUMBER(SEARCH("185 GRS",INVENTARIO!C280)),"185GR",
IF(ISNUMBER(SEARCH("200 GRS",INVENTARIO!C280)),"200GR",
IF(ISNUMBER(SEARCH("250 GRS",INVENTARIO!C280)),"250GR",
IF(ISNUMBER(SEARCH("300 GRS",INVENTARIO!C280)),"300GR",
IF(ISNUMBER(SEARCH("350 GRS",INVENTARIO!C280)),"350GR",
IF(ISNUMBER(SEARCH("18 OZ",INVENTARIO!C280)),"18OZ",
IF(ISNUMBER(SEARCH("15 OZ",INVENTARIO!C280)),"15OZ",
IF(OR(ISNUMBER(SEARCH("13 OZ",INVENTARIO!C280)),ISNUMBER(SEARCH("13 ONZAS",INVENTARIO!C280))),"13OZ",
IF(OR(ISNUMBER(SEARCH("9 OZ",INVENTARIO!C280)),ISNUMBER(SEARCH("9 ONZAS",INVENTARIO!C280))),"09OZ",
IF(ISNUMBER(SEARCH("DOBLE CARA",INVENTARIO!C280)),"DOB-CAR",
"")))))))))))))))</f>
        <v/>
      </c>
      <c r="E280" t="str">
        <f>IF(OR(ISNUMBER(SEARCH("TRANSPARENTE",INVENTARIO!C280)),ISNUMBER(SEARCH("TRANSPARENTES",INVENTARIO!C280))),"TRA",
IF(OR(ISNUMBER(SEARCH("BLANCO",INVENTARIO!C280)),ISNUMBER(SEARCH("BCO",INVENTARIO!C280))),"BLA",
IF(ISNUMBER(SEARCH("FOTOGRAFICO",INVENTARIO!C280)),"FOT",
IF(ISNUMBER(SEARCH("MARFIL",INVENTARIO!C280)),"MAR",
IF(ISNUMBER(SEARCH("VERDE",INVENTARIO!C280)),"VER",
IF(ISNUMBER(SEARCH("MORADO",INVENTARIO!C280)),"MOR",
IF(ISNUMBER(SEARCH("PLATA",INVENTARIO!C280)),"PLA",
IF(ISNUMBER(SEARCH("ORO",INVENTARIO!C280)),"ORO",
IF(ISNUMBER(SEARCH("AMARILLO",INVENTARIO!C280)),"AMA",
IF(ISNUMBER(SEARCH("NARANJA",INVENTARIO!C280)),"NAR",
IF(ISNUMBER(SEARCH("NEGRO",INVENTARIO!C280)),"NEG",
IF(ISNUMBER(SEARCH("ROJO",INVENTARIO!C280)),"ROJ",
IF(ISNUMBER(SEARCH("AZUL",INVENTARIO!C280)),"AZU","")))))))))))))</f>
        <v>TRA</v>
      </c>
      <c r="F280" t="str">
        <f>IF(ISNUMBER(SEARCH("ARLON",INVENTARIO!C280)),"ARL",
IF(ISNUMBER(SEARCH("SUNTHINKS",INVENTARIO!C280)),"SUN",
IF(ISNUMBER(SEARCH("FRIO",INVENTARIO!C280)),"FRI",
IF(ISNUMBER(SEARCH("CALIDO",INVENTARIO!C280)),"CAL",
IF(ISNUMBER(SEARCH("CEPILLADO",INVENTARIO!C280)),"CEP",
IF(ISNUMBER(SEARCH("ESPEJO",INVENTARIO!C280)),"ESP",
""))))))</f>
        <v/>
      </c>
      <c r="G280" t="str">
        <f>IF(ISNUMBER(SEARCH("LATEX",INVENTARIO!C280)),"LAT",
IF(ISNUMBER(SEARCH("RESP. NEGRO",INVENTARIO!C280)),"RES-NEG",
IF(ISNUMBER(SEARCH("RESPALDO CAFE",INVENTARIO!C280)),"RES-CAF",
IF(ISNUMBER(SEARCH("RESPALDO GRIS",INVENTARIO!C280)),"RES-GRI",
IF(ISNUMBER(SEARCH("OPTICO",INVENTARIO!C280)),"OPT",
IF(ISNUMBER(SEARCH("1,2 MM",INVENTARIO!C280)),"1MM2",
IF(ISNUMBER(SEARCH("2 MM",INVENTARIO!C280)),"2MM",
IF(ISNUMBER(SEARCH("3 MM",INVENTARIO!C280)),"3MM",
IF(ISNUMBER(SEARCH("4 MM",INVENTARIO!C280)),"4MM",
IF(ISNUMBER(SEARCH("5 MM",INVENTARIO!C280)),"5MM",
IF(ISNUMBER(SEARCH("6 MM",INVENTARIO!C280)),"6MM",
IF(ISNUMBER(SEARCH("9 MM",INVENTARIO!C280)),"9MM",
IF(ISNUMBER(SEARCH("10 MM",INVENTARIO!C280)),"10MM","")))))))))))))</f>
        <v/>
      </c>
      <c r="H280" t="str">
        <f>IF(ISNUMBER(SEARCH("GAMA BAJA",INVENTARIO!C280)),"GAM-BAJ",
IF(ISNUMBER(SEARCH("OPTIMIZADOR",INVENTARIO!C280)),"OPT",
IF(ISNUMBER(SEARCH("OVERCOAT",INVENTARIO!C280)),"OVE",
IF(ISNUMBER(SEARCH("WHITE",INVENTARIO!C280)),"WHI",
IF(ISNUMBER(SEARCH("LIGHT CYAN",INVENTARIO!C280)),"LIG-CYA",
IF(ISNUMBER(SEARCH("CYAN",INVENTARIO!C280)),"CYA",
IF(ISNUMBER(SEARCH("LIGHT MAGENTA",INVENTARIO!C280)),"LIG-MAG",
IF(ISNUMBER(SEARCH("MAGENTA",INVENTARIO!C280)),"MAG",
IF(ISNUMBER(SEARCH("BLACK",INVENTARIO!C280)),"BLA",
IF(ISNUMBER(SEARCH("YELLOW",INVENTARIO!C280)),"YEL",
IF(ISNUMBER(SEARCH("2 DIODOS",INVENTARIO!C280)),"2DI",
IF(ISNUMBER(SEARCH("3 DIODOS",INVENTARIO!C280)),"3DI",
IF(OR(ISNUMBER(SEARCH("TRASLUCIDO",INVENTARIO!C280)),ISNUMBER(SEARCH("TRANSLUCIDO",INVENTARIO!C280))),"TRA",
"")))))))))))))</f>
        <v/>
      </c>
      <c r="I280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1" spans="1:9">
      <c r="A281" t="str">
        <f>IF(ISNUMBER(SEARCH("LONA",INVENTARIO!C281)),"LON",
IF(ISNUMBER(SEARCH("VINIL",INVENTARIO!C281)),"VIN",
IF(ISNUMBER(SEARCH("KROMACOTE",INVENTARIO!C281)),"KRO",
IF(ISNUMBER(SEARCH("STARDREAM",INVENTARIO!C281)),"STA",
IF(ISNUMBER(SEARCH("DISPLAY",INVENTARIO!C281)),"DIS",
IF(ISNUMBER(SEARCH("ROLL UP",INVENTARIO!C281)),"ROL-UP",
IF(ISNUMBER(SEARCH("TRANSFER DE PAPEL",INVENTARIO!C281)),"TRA-PAP",
IF(ISNUMBER(SEARCH("TRANSFER",INVENTARIO!C281)),"TRA",IF(ISNUMBER(SEARCH("KOLA LOKA",INVENTARIO!C281)),"KOL-LOK",
IF(ISNUMBER(SEARCH("PETG",INVENTARIO!C281)),"PET",
IF(ISNUMBER(SEARCH("OJILLO",INVENTARIO!C281)),"OJI",
IF(ISNUMBER(SEARCH("COUCHE",INVENTARIO!C281)),"COU",
IF(ISNUMBER(SEARCH("PANEL DE ALUMINIO",INVENTARIO!C281)),"PAN-ALU",
IF(ISNUMBER(SEARCH("PVC",INVENTARIO!C281)),"PVC",
IF(ISNUMBER(SEARCH("PAPEL",INVENTARIO!C281)),"PAP",
IF(ISNUMBER(SEARCH("TELA",INVENTARIO!C281)),"TEL",
IF(ISNUMBER(SEARCH("CARTULINA",INVENTARIO!C281)),"CAR",
IF(OR(ISNUMBER(SEARCH("LAMINA",INVENTARIO!C281)),ISNUMBER(SEARCH("LÁMINA",INVENTARIO!C281)),ISNUMBER(SEARCH("LAMPARAS",INVENTARIO!C281))),"LAM",
IF(ISNUMBER(SEARCH("ESTIRENO",INVENTARIO!C281)),"EST",
IF(ISNUMBER(SEARCH("FOAMBOARD",INVENTARIO!C281)),"FOA",
IF(ISNUMBER(SEARCH("SOLVENTE",INVENTARIO!C281)),"SOL",
IF(ISNUMBER(SEARCH("TINTA",INVENTARIO!C281)),"TIN",
IF(ISNUMBER(SEARCH("ACRILICO",INVENTARIO!C281)),"ACR",
IF(ISNUMBER(SEARCH("MICROLED",INVENTARIO!C281)),"MIC",
IF(ISNUMBER(SEARCH("LED",INVENTARIO!C281)),"LED",
IF(ISNUMBER(SEARCH("FUENTE DE PODER",INVENTARIO!C281)),"FUE-POD",
IF(ISNUMBER(SEARCH("PETG",INVENTARIO!C281)),"PET",
IF(ISNUMBER(SEARCH("ALUMINIO",INVENTARIO!C281)),"ALU",
IF(ISNUMBER(SEARCH("CANAL",INVENTARIO!C281)),"CAN",
IF(ISNUMBER(SEARCH("ESCUADRA",INVENTARIO!C281)),"ESC",
IF(ISNUMBER(SEARCH("SOPORTE",INVENTARIO!C281)),"SOP","OTR")
))))))))))))))))))))))))))))))</f>
        <v>CAN</v>
      </c>
      <c r="B281" t="str">
        <f>IF(ISNUMBER(SEARCH("CORTE",INVENTARIO!C281)),"COR",
IF(ISNUMBER(SEARCH("CITYLIGHT",INVENTARIO!C281)),"CIT",
IF(ISNUMBER(SEARCH("LINO",INVENTARIO!C281)),"LIN",
IF(ISNUMBER(SEARCH("FABRIANO",INVENTARIO!C281)),"FAB",
IF(ISNUMBER(SEARCH("SUNDANCE",INVENTARIO!C281)),"SUN",
IF(ISNUMBER(SEARCH("SINTETICA",INVENTARIO!C281)),"SIN",
IF(ISNUMBER(SEARCH("CONTROL",INVENTARIO!C281)),"CON",
IF(ISNUMBER(SEARCH("TERMICO",INVENTARIO!C281)),"TER",
IF(ISNUMBER(SEARCH("C-15",INVENTARIO!C281)),"C15",
IF(ISNUMBER(SEARCH("C-20",INVENTARIO!C281)),"C20",
IF(ISNUMBER(SEARCH("C-30",INVENTARIO!C281)),"C30",
IF(ISNUMBER(SEARCH("C-40",INVENTARIO!C281)),"C40",
IF(ISNUMBER(SEARCH("C-60",INVENTARIO!C281)),"C60",
IF(ISNUMBER(SEARCH("C-80",INVENTARIO!C281)),"C80",
IF(ISNUMBER(SEARCH("EQUIPO",INVENTARIO!C281)),"EQU",
IF(ISNUMBER(SEARCH("FLOOR",INVENTARIO!C281)),"FLO",
IF(ISNUMBER(SEARCH("CRISTAL",INVENTARIO!C281)),"CRI",
IF(ISNUMBER(SEARCH(" SULFATADA",INVENTARIO!C292)),"SUL",
IF(ISNUMBER(SEARCH("OPALINA",INVENTARIO!C281)),"OPA",
IF(ISNUMBER(SEARCH("ADHERIBLE",INVENTARIO!C281)),"ADH",
IF(ISNUMBER(SEARCH("MICRO",INVENTARIO!C281)),"MIC","")))))))))))))))))))))</f>
        <v/>
      </c>
      <c r="C281" t="str">
        <f>IF(ISNUMBER(SEARCH("PARED",INVENTARIO!C281)),"PAR",
IF(ISNUMBER(SEARCH("FRONT",INVENTARIO!C281)),"FRO",
IF(ISNUMBER(SEARCH("ALTA RESISTENCIA",INVENTARIO!C281)),
"ALT-RES",IF(ISNUMBER(SEARCH("BACKLITE",INVENTARIO!C281)),"BAC",
IF(ISNUMBER(SEARCH("MATE",INVENTARIO!C281)),"MAT",
IF(ISNUMBER(SEARCH("MESH",INVENTARIO!C281)),"MES",
IF(ISNUMBER(SEARCH("BRILLANTE",INVENTARIO!C281)),"BRI",
IF(ISNUMBER(SEARCH("DELGADA",INVENTARIO!C281)),"DEL",
IF(ISNUMBER(SEARCH("GRUESA",INVENTARIO!C281)),"GRU",
IF(ISNUMBER(SEARCH("ESTATICO",INVENTARIO!C281)),"EST",
IF(ISNUMBER(SEARCH("REFLECTIVO",INVENTARIO!C281)),"REF",
IF(ISNUMBER(SEARCH("LX700",INVENTARIO!C281)),"LX7",
IF(ISNUMBER(SEARCH("GRANDO",INVENTARIO!C281)),"GRA",
IF(ISNUMBER(SEARCH("FB700",INVENTARIO!C281)),"FB7",
IF(ISNUMBER(SEARCH("LX360",INVENTARIO!C281)),"LX3",
IF(ISNUMBER(SEARCH("XEROX",INVENTARIO!C281)),"XER",
IF(ISNUMBER(SEARCH("CEPILLADO",INVENTARIO!C281)),"CEP",
IF(ISNUMBER(SEARCH("ESPEJO",INVENTARIO!C281)),"ESP",
IF(ISNUMBER(SEARCH("10 PTS",INVENTARIO!C281)),"10PT",
IF(ISNUMBER(SEARCH("12 PTS",INVENTARIO!C281)),"12PT",
IF(ISNUMBER(SEARCH("14 PTS",INVENTARIO!C281)),"14PT",
IF(ISNUMBER(SEARCH("CLASICO",INVENTARIO!C281)),"CLA",
""))))))))))))))))))))))</f>
        <v/>
      </c>
      <c r="D281" t="str">
        <f>IF(ISNUMBER(SEARCH("GRAN FORMATO",INVENTARIO!C281)),"GRA-FOR",
IF(ISNUMBER(SEARCH("CAMA PLANA",INVENTARIO!C281)),"CAM-PLA",
IF(ISNUMBER(SEARCH("GRADO INGENIERIA",INVENTARIO!C281)),"GRA-ING",
IF(ISNUMBER(SEARCH("130 GRS",INVENTARIO!C281)),"130GR",
IF(ISNUMBER(SEARCH("150 GRS",INVENTARIO!C281)),"150GR",
IF(ISNUMBER(SEARCH("185 GRS",INVENTARIO!C281)),"185GR",
IF(ISNUMBER(SEARCH("200 GRS",INVENTARIO!C281)),"200GR",
IF(ISNUMBER(SEARCH("250 GRS",INVENTARIO!C281)),"250GR",
IF(ISNUMBER(SEARCH("300 GRS",INVENTARIO!C281)),"300GR",
IF(ISNUMBER(SEARCH("350 GRS",INVENTARIO!C281)),"350GR",
IF(ISNUMBER(SEARCH("18 OZ",INVENTARIO!C281)),"18OZ",
IF(ISNUMBER(SEARCH("15 OZ",INVENTARIO!C281)),"15OZ",
IF(OR(ISNUMBER(SEARCH("13 OZ",INVENTARIO!C281)),ISNUMBER(SEARCH("13 ONZAS",INVENTARIO!C281))),"13OZ",
IF(OR(ISNUMBER(SEARCH("9 OZ",INVENTARIO!C281)),ISNUMBER(SEARCH("9 ONZAS",INVENTARIO!C281))),"09OZ",
IF(ISNUMBER(SEARCH("DOBLE CARA",INVENTARIO!C281)),"DOB-CAR",
"")))))))))))))))</f>
        <v/>
      </c>
      <c r="E281" t="str">
        <f>IF(OR(ISNUMBER(SEARCH("TRANSPARENTE",INVENTARIO!C281)),ISNUMBER(SEARCH("TRANSPARENTES",INVENTARIO!C281))),"TRA",
IF(OR(ISNUMBER(SEARCH("BLANCO",INVENTARIO!C281)),ISNUMBER(SEARCH("BCO",INVENTARIO!C281))),"BLA",
IF(ISNUMBER(SEARCH("FOTOGRAFICO",INVENTARIO!C281)),"FOT",
IF(ISNUMBER(SEARCH("MARFIL",INVENTARIO!C281)),"MAR",
IF(ISNUMBER(SEARCH("VERDE",INVENTARIO!C281)),"VER",
IF(ISNUMBER(SEARCH("MORADO",INVENTARIO!C281)),"MOR",
IF(ISNUMBER(SEARCH("PLATA",INVENTARIO!C281)),"PLA",
IF(ISNUMBER(SEARCH("ORO",INVENTARIO!C281)),"ORO",
IF(ISNUMBER(SEARCH("AMARILLO",INVENTARIO!C281)),"AMA",
IF(ISNUMBER(SEARCH("NARANJA",INVENTARIO!C281)),"NAR",
IF(ISNUMBER(SEARCH("NEGRO",INVENTARIO!C281)),"NEG",
IF(ISNUMBER(SEARCH("ROJO",INVENTARIO!C281)),"ROJ",
IF(ISNUMBER(SEARCH("AZUL",INVENTARIO!C281)),"AZU","")))))))))))))</f>
        <v>TRA</v>
      </c>
      <c r="F281" t="str">
        <f>IF(ISNUMBER(SEARCH("ARLON",INVENTARIO!C281)),"ARL",
IF(ISNUMBER(SEARCH("SUNTHINKS",INVENTARIO!C281)),"SUN",
IF(ISNUMBER(SEARCH("FRIO",INVENTARIO!C281)),"FRI",
IF(ISNUMBER(SEARCH("CALIDO",INVENTARIO!C281)),"CAL",
IF(ISNUMBER(SEARCH("CEPILLADO",INVENTARIO!C281)),"CEP",
IF(ISNUMBER(SEARCH("ESPEJO",INVENTARIO!C281)),"ESP",
""))))))</f>
        <v/>
      </c>
      <c r="G281" t="str">
        <f>IF(ISNUMBER(SEARCH("LATEX",INVENTARIO!C281)),"LAT",
IF(ISNUMBER(SEARCH("RESP. NEGRO",INVENTARIO!C281)),"RES-NEG",
IF(ISNUMBER(SEARCH("RESPALDO CAFE",INVENTARIO!C281)),"RES-CAF",
IF(ISNUMBER(SEARCH("RESPALDO GRIS",INVENTARIO!C281)),"RES-GRI",
IF(ISNUMBER(SEARCH("OPTICO",INVENTARIO!C281)),"OPT",
IF(ISNUMBER(SEARCH("1,2 MM",INVENTARIO!C281)),"1MM2",
IF(ISNUMBER(SEARCH("2 MM",INVENTARIO!C281)),"2MM",
IF(ISNUMBER(SEARCH("3 MM",INVENTARIO!C281)),"3MM",
IF(ISNUMBER(SEARCH("4 MM",INVENTARIO!C281)),"4MM",
IF(ISNUMBER(SEARCH("5 MM",INVENTARIO!C281)),"5MM",
IF(ISNUMBER(SEARCH("6 MM",INVENTARIO!C281)),"6MM",
IF(ISNUMBER(SEARCH("9 MM",INVENTARIO!C281)),"9MM",
IF(ISNUMBER(SEARCH("10 MM",INVENTARIO!C281)),"10MM","")))))))))))))</f>
        <v/>
      </c>
      <c r="H281" t="str">
        <f>IF(ISNUMBER(SEARCH("GAMA BAJA",INVENTARIO!C281)),"GAM-BAJ",
IF(ISNUMBER(SEARCH("OPTIMIZADOR",INVENTARIO!C281)),"OPT",
IF(ISNUMBER(SEARCH("OVERCOAT",INVENTARIO!C281)),"OVE",
IF(ISNUMBER(SEARCH("WHITE",INVENTARIO!C281)),"WHI",
IF(ISNUMBER(SEARCH("LIGHT CYAN",INVENTARIO!C281)),"LIG-CYA",
IF(ISNUMBER(SEARCH("CYAN",INVENTARIO!C281)),"CYA",
IF(ISNUMBER(SEARCH("LIGHT MAGENTA",INVENTARIO!C281)),"LIG-MAG",
IF(ISNUMBER(SEARCH("MAGENTA",INVENTARIO!C281)),"MAG",
IF(ISNUMBER(SEARCH("BLACK",INVENTARIO!C281)),"BLA",
IF(ISNUMBER(SEARCH("YELLOW",INVENTARIO!C281)),"YEL",
IF(ISNUMBER(SEARCH("2 DIODOS",INVENTARIO!C281)),"2DI",
IF(ISNUMBER(SEARCH("3 DIODOS",INVENTARIO!C281)),"3DI",
IF(OR(ISNUMBER(SEARCH("TRASLUCIDO",INVENTARIO!C281)),ISNUMBER(SEARCH("TRANSLUCIDO",INVENTARIO!C281))),"TRA",
"")))))))))))))</f>
        <v/>
      </c>
      <c r="I281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2" spans="1:9">
      <c r="A282" t="str">
        <f>IF(ISNUMBER(SEARCH("LONA",INVENTARIO!C282)),"LON",
IF(ISNUMBER(SEARCH("VINIL",INVENTARIO!C282)),"VIN",
IF(ISNUMBER(SEARCH("KROMACOTE",INVENTARIO!C282)),"KRO",
IF(ISNUMBER(SEARCH("STARDREAM",INVENTARIO!C282)),"STA",
IF(ISNUMBER(SEARCH("DISPLAY",INVENTARIO!C282)),"DIS",
IF(ISNUMBER(SEARCH("ROLL UP",INVENTARIO!C282)),"ROL-UP",
IF(ISNUMBER(SEARCH("TRANSFER DE PAPEL",INVENTARIO!C282)),"TRA-PAP",
IF(ISNUMBER(SEARCH("TRANSFER",INVENTARIO!C282)),"TRA",IF(ISNUMBER(SEARCH("KOLA LOKA",INVENTARIO!C282)),"KOL-LOK",
IF(ISNUMBER(SEARCH("PETG",INVENTARIO!C282)),"PET",
IF(ISNUMBER(SEARCH("OJILLO",INVENTARIO!C282)),"OJI",
IF(ISNUMBER(SEARCH("COUCHE",INVENTARIO!C282)),"COU",
IF(ISNUMBER(SEARCH("PANEL DE ALUMINIO",INVENTARIO!C282)),"PAN-ALU",
IF(ISNUMBER(SEARCH("PVC",INVENTARIO!C282)),"PVC",
IF(ISNUMBER(SEARCH("PAPEL",INVENTARIO!C282)),"PAP",
IF(ISNUMBER(SEARCH("TELA",INVENTARIO!C282)),"TEL",
IF(ISNUMBER(SEARCH("CARTULINA",INVENTARIO!C282)),"CAR",
IF(OR(ISNUMBER(SEARCH("LAMINA",INVENTARIO!C282)),ISNUMBER(SEARCH("LÁMINA",INVENTARIO!C282)),ISNUMBER(SEARCH("LAMPARAS",INVENTARIO!C282))),"LAM",
IF(ISNUMBER(SEARCH("ESTIRENO",INVENTARIO!C282)),"EST",
IF(ISNUMBER(SEARCH("FOAMBOARD",INVENTARIO!C282)),"FOA",
IF(ISNUMBER(SEARCH("SOLVENTE",INVENTARIO!C282)),"SOL",
IF(ISNUMBER(SEARCH("TINTA",INVENTARIO!C282)),"TIN",
IF(ISNUMBER(SEARCH("ACRILICO",INVENTARIO!C282)),"ACR",
IF(ISNUMBER(SEARCH("MICROLED",INVENTARIO!C282)),"MIC",
IF(ISNUMBER(SEARCH("LED",INVENTARIO!C282)),"LED",
IF(ISNUMBER(SEARCH("FUENTE DE PODER",INVENTARIO!C282)),"FUE-POD",
IF(ISNUMBER(SEARCH("PETG",INVENTARIO!C282)),"PET",
IF(ISNUMBER(SEARCH("ALUMINIO",INVENTARIO!C282)),"ALU",
IF(ISNUMBER(SEARCH("CANAL",INVENTARIO!C282)),"CAN",
IF(ISNUMBER(SEARCH("ESCUADRA",INVENTARIO!C282)),"ESC",
IF(ISNUMBER(SEARCH("SOPORTE",INVENTARIO!C282)),"SOP","OTR")
))))))))))))))))))))))))))))))</f>
        <v>SOP</v>
      </c>
      <c r="B282" t="str">
        <f>IF(ISNUMBER(SEARCH("CORTE",INVENTARIO!C282)),"COR",
IF(ISNUMBER(SEARCH("CITYLIGHT",INVENTARIO!C282)),"CIT",
IF(ISNUMBER(SEARCH("LINO",INVENTARIO!C282)),"LIN",
IF(ISNUMBER(SEARCH("FABRIANO",INVENTARIO!C282)),"FAB",
IF(ISNUMBER(SEARCH("SUNDANCE",INVENTARIO!C282)),"SUN",
IF(ISNUMBER(SEARCH("SINTETICA",INVENTARIO!C282)),"SIN",
IF(ISNUMBER(SEARCH("CONTROL",INVENTARIO!C282)),"CON",
IF(ISNUMBER(SEARCH("TERMICO",INVENTARIO!C282)),"TER",
IF(ISNUMBER(SEARCH("C-15",INVENTARIO!C282)),"C15",
IF(ISNUMBER(SEARCH("C-20",INVENTARIO!C282)),"C20",
IF(ISNUMBER(SEARCH("C-30",INVENTARIO!C282)),"C30",
IF(ISNUMBER(SEARCH("C-40",INVENTARIO!C282)),"C40",
IF(ISNUMBER(SEARCH("C-60",INVENTARIO!C282)),"C60",
IF(ISNUMBER(SEARCH("C-80",INVENTARIO!C282)),"C80",
IF(ISNUMBER(SEARCH("EQUIPO",INVENTARIO!C282)),"EQU",
IF(ISNUMBER(SEARCH("FLOOR",INVENTARIO!C282)),"FLO",
IF(ISNUMBER(SEARCH("CRISTAL",INVENTARIO!C282)),"CRI",
IF(ISNUMBER(SEARCH(" SULFATADA",INVENTARIO!C293)),"SUL",
IF(ISNUMBER(SEARCH("OPALINA",INVENTARIO!C282)),"OPA",
IF(ISNUMBER(SEARCH("ADHERIBLE",INVENTARIO!C282)),"ADH",
IF(ISNUMBER(SEARCH("MICRO",INVENTARIO!C282)),"MIC","")))))))))))))))))))))</f>
        <v/>
      </c>
      <c r="C282" t="str">
        <f>IF(ISNUMBER(SEARCH("PARED",INVENTARIO!C282)),"PAR",
IF(ISNUMBER(SEARCH("FRONT",INVENTARIO!C282)),"FRO",
IF(ISNUMBER(SEARCH("ALTA RESISTENCIA",INVENTARIO!C282)),
"ALT-RES",IF(ISNUMBER(SEARCH("BACKLITE",INVENTARIO!C282)),"BAC",
IF(ISNUMBER(SEARCH("MATE",INVENTARIO!C282)),"MAT",
IF(ISNUMBER(SEARCH("MESH",INVENTARIO!C282)),"MES",
IF(ISNUMBER(SEARCH("BRILLANTE",INVENTARIO!C282)),"BRI",
IF(ISNUMBER(SEARCH("DELGADA",INVENTARIO!C282)),"DEL",
IF(ISNUMBER(SEARCH("GRUESA",INVENTARIO!C282)),"GRU",
IF(ISNUMBER(SEARCH("ESTATICO",INVENTARIO!C282)),"EST",
IF(ISNUMBER(SEARCH("REFLECTIVO",INVENTARIO!C282)),"REF",
IF(ISNUMBER(SEARCH("LX700",INVENTARIO!C282)),"LX7",
IF(ISNUMBER(SEARCH("GRANDO",INVENTARIO!C282)),"GRA",
IF(ISNUMBER(SEARCH("FB700",INVENTARIO!C282)),"FB7",
IF(ISNUMBER(SEARCH("LX360",INVENTARIO!C282)),"LX3",
IF(ISNUMBER(SEARCH("XEROX",INVENTARIO!C282)),"XER",
IF(ISNUMBER(SEARCH("CEPILLADO",INVENTARIO!C282)),"CEP",
IF(ISNUMBER(SEARCH("ESPEJO",INVENTARIO!C282)),"ESP",
IF(ISNUMBER(SEARCH("10 PTS",INVENTARIO!C282)),"10PT",
IF(ISNUMBER(SEARCH("12 PTS",INVENTARIO!C282)),"12PT",
IF(ISNUMBER(SEARCH("14 PTS",INVENTARIO!C282)),"14PT",
IF(ISNUMBER(SEARCH("CLASICO",INVENTARIO!C282)),"CLA",
""))))))))))))))))))))))</f>
        <v/>
      </c>
      <c r="D282" t="str">
        <f>IF(ISNUMBER(SEARCH("GRAN FORMATO",INVENTARIO!C282)),"GRA-FOR",
IF(ISNUMBER(SEARCH("CAMA PLANA",INVENTARIO!C282)),"CAM-PLA",
IF(ISNUMBER(SEARCH("GRADO INGENIERIA",INVENTARIO!C282)),"GRA-ING",
IF(ISNUMBER(SEARCH("130 GRS",INVENTARIO!C282)),"130GR",
IF(ISNUMBER(SEARCH("150 GRS",INVENTARIO!C282)),"150GR",
IF(ISNUMBER(SEARCH("185 GRS",INVENTARIO!C282)),"185GR",
IF(ISNUMBER(SEARCH("200 GRS",INVENTARIO!C282)),"200GR",
IF(ISNUMBER(SEARCH("250 GRS",INVENTARIO!C282)),"250GR",
IF(ISNUMBER(SEARCH("300 GRS",INVENTARIO!C282)),"300GR",
IF(ISNUMBER(SEARCH("350 GRS",INVENTARIO!C282)),"350GR",
IF(ISNUMBER(SEARCH("18 OZ",INVENTARIO!C282)),"18OZ",
IF(ISNUMBER(SEARCH("15 OZ",INVENTARIO!C282)),"15OZ",
IF(OR(ISNUMBER(SEARCH("13 OZ",INVENTARIO!C282)),ISNUMBER(SEARCH("13 ONZAS",INVENTARIO!C282))),"13OZ",
IF(OR(ISNUMBER(SEARCH("9 OZ",INVENTARIO!C282)),ISNUMBER(SEARCH("9 ONZAS",INVENTARIO!C282))),"09OZ",
IF(ISNUMBER(SEARCH("DOBLE CARA",INVENTARIO!C282)),"DOB-CAR",
"")))))))))))))))</f>
        <v/>
      </c>
      <c r="E282" t="str">
        <f>IF(OR(ISNUMBER(SEARCH("TRANSPARENTE",INVENTARIO!C282)),ISNUMBER(SEARCH("TRANSPARENTES",INVENTARIO!C282))),"TRA",
IF(OR(ISNUMBER(SEARCH("BLANCO",INVENTARIO!C282)),ISNUMBER(SEARCH("BCO",INVENTARIO!C282))),"BLA",
IF(ISNUMBER(SEARCH("FOTOGRAFICO",INVENTARIO!C282)),"FOT",
IF(ISNUMBER(SEARCH("MARFIL",INVENTARIO!C282)),"MAR",
IF(ISNUMBER(SEARCH("VERDE",INVENTARIO!C282)),"VER",
IF(ISNUMBER(SEARCH("MORADO",INVENTARIO!C282)),"MOR",
IF(ISNUMBER(SEARCH("PLATA",INVENTARIO!C282)),"PLA",
IF(ISNUMBER(SEARCH("ORO",INVENTARIO!C282)),"ORO",
IF(ISNUMBER(SEARCH("AMARILLO",INVENTARIO!C282)),"AMA",
IF(ISNUMBER(SEARCH("NARANJA",INVENTARIO!C282)),"NAR",
IF(ISNUMBER(SEARCH("NEGRO",INVENTARIO!C282)),"NEG",
IF(ISNUMBER(SEARCH("ROJO",INVENTARIO!C282)),"ROJ",
IF(ISNUMBER(SEARCH("AZUL",INVENTARIO!C282)),"AZU","")))))))))))))</f>
        <v/>
      </c>
      <c r="F282" t="str">
        <f>IF(ISNUMBER(SEARCH("ARLON",INVENTARIO!C282)),"ARL",
IF(ISNUMBER(SEARCH("SUNTHINKS",INVENTARIO!C282)),"SUN",
IF(ISNUMBER(SEARCH("FRIO",INVENTARIO!C282)),"FRI",
IF(ISNUMBER(SEARCH("CALIDO",INVENTARIO!C282)),"CAL",
IF(ISNUMBER(SEARCH("CEPILLADO",INVENTARIO!C282)),"CEP",
IF(ISNUMBER(SEARCH("ESPEJO",INVENTARIO!C282)),"ESP",
""))))))</f>
        <v/>
      </c>
      <c r="G282" t="str">
        <f>IF(ISNUMBER(SEARCH("LATEX",INVENTARIO!C282)),"LAT",
IF(ISNUMBER(SEARCH("RESP. NEGRO",INVENTARIO!C282)),"RES-NEG",
IF(ISNUMBER(SEARCH("RESPALDO CAFE",INVENTARIO!C282)),"RES-CAF",
IF(ISNUMBER(SEARCH("RESPALDO GRIS",INVENTARIO!C282)),"RES-GRI",
IF(ISNUMBER(SEARCH("OPTICO",INVENTARIO!C282)),"OPT",
IF(ISNUMBER(SEARCH("1,2 MM",INVENTARIO!C282)),"1MM2",
IF(ISNUMBER(SEARCH("2 MM",INVENTARIO!C282)),"2MM",
IF(ISNUMBER(SEARCH("3 MM",INVENTARIO!C282)),"3MM",
IF(ISNUMBER(SEARCH("4 MM",INVENTARIO!C282)),"4MM",
IF(ISNUMBER(SEARCH("5 MM",INVENTARIO!C282)),"5MM",
IF(ISNUMBER(SEARCH("6 MM",INVENTARIO!C282)),"6MM",
IF(ISNUMBER(SEARCH("9 MM",INVENTARIO!C282)),"9MM",
IF(ISNUMBER(SEARCH("10 MM",INVENTARIO!C282)),"10MM","")))))))))))))</f>
        <v/>
      </c>
      <c r="H282" t="str">
        <f>IF(ISNUMBER(SEARCH("GAMA BAJA",INVENTARIO!C282)),"GAM-BAJ",
IF(ISNUMBER(SEARCH("OPTIMIZADOR",INVENTARIO!C282)),"OPT",
IF(ISNUMBER(SEARCH("OVERCOAT",INVENTARIO!C282)),"OVE",
IF(ISNUMBER(SEARCH("WHITE",INVENTARIO!C282)),"WHI",
IF(ISNUMBER(SEARCH("LIGHT CYAN",INVENTARIO!C282)),"LIG-CYA",
IF(ISNUMBER(SEARCH("CYAN",INVENTARIO!C282)),"CYA",
IF(ISNUMBER(SEARCH("LIGHT MAGENTA",INVENTARIO!C282)),"LIG-MAG",
IF(ISNUMBER(SEARCH("MAGENTA",INVENTARIO!C282)),"MAG",
IF(ISNUMBER(SEARCH("BLACK",INVENTARIO!C282)),"BLA",
IF(ISNUMBER(SEARCH("YELLOW",INVENTARIO!C282)),"YEL",
IF(ISNUMBER(SEARCH("2 DIODOS",INVENTARIO!C282)),"2DI",
IF(ISNUMBER(SEARCH("3 DIODOS",INVENTARIO!C282)),"3DI",
IF(OR(ISNUMBER(SEARCH("TRASLUCIDO",INVENTARIO!C282)),ISNUMBER(SEARCH("TRANSLUCIDO",INVENTARIO!C282))),"TRA",
"")))))))))))))</f>
        <v/>
      </c>
      <c r="I28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3" spans="1:9">
      <c r="A283" t="str">
        <f>IF(ISNUMBER(SEARCH("LONA",INVENTARIO!C283)),"LON",
IF(ISNUMBER(SEARCH("VINIL",INVENTARIO!C283)),"VIN",
IF(ISNUMBER(SEARCH("KROMACOTE",INVENTARIO!C283)),"KRO",
IF(ISNUMBER(SEARCH("STARDREAM",INVENTARIO!C283)),"STA",
IF(ISNUMBER(SEARCH("DISPLAY",INVENTARIO!C283)),"DIS",
IF(ISNUMBER(SEARCH("ROLL UP",INVENTARIO!C283)),"ROL-UP",
IF(ISNUMBER(SEARCH("TRANSFER DE PAPEL",INVENTARIO!C283)),"TRA-PAP",
IF(ISNUMBER(SEARCH("TRANSFER",INVENTARIO!C283)),"TRA",IF(ISNUMBER(SEARCH("KOLA LOKA",INVENTARIO!C283)),"KOL-LOK",
IF(ISNUMBER(SEARCH("PETG",INVENTARIO!C283)),"PET",
IF(ISNUMBER(SEARCH("OJILLO",INVENTARIO!C283)),"OJI",
IF(ISNUMBER(SEARCH("COUCHE",INVENTARIO!C283)),"COU",
IF(ISNUMBER(SEARCH("PANEL DE ALUMINIO",INVENTARIO!C283)),"PAN-ALU",
IF(ISNUMBER(SEARCH("PVC",INVENTARIO!C283)),"PVC",
IF(ISNUMBER(SEARCH("PAPEL",INVENTARIO!C283)),"PAP",
IF(ISNUMBER(SEARCH("TELA",INVENTARIO!C283)),"TEL",
IF(ISNUMBER(SEARCH("CARTULINA",INVENTARIO!C283)),"CAR",
IF(OR(ISNUMBER(SEARCH("LAMINA",INVENTARIO!C283)),ISNUMBER(SEARCH("LÁMINA",INVENTARIO!C283)),ISNUMBER(SEARCH("LAMPARAS",INVENTARIO!C283))),"LAM",
IF(ISNUMBER(SEARCH("ESTIRENO",INVENTARIO!C283)),"EST",
IF(ISNUMBER(SEARCH("FOAMBOARD",INVENTARIO!C283)),"FOA",
IF(ISNUMBER(SEARCH("SOLVENTE",INVENTARIO!C283)),"SOL",
IF(ISNUMBER(SEARCH("TINTA",INVENTARIO!C283)),"TIN",
IF(ISNUMBER(SEARCH("ACRILICO",INVENTARIO!C283)),"ACR",
IF(ISNUMBER(SEARCH("MICROLED",INVENTARIO!C283)),"MIC",
IF(ISNUMBER(SEARCH("LED",INVENTARIO!C283)),"LED",
IF(ISNUMBER(SEARCH("FUENTE DE PODER",INVENTARIO!C283)),"FUE-POD",
IF(ISNUMBER(SEARCH("PETG",INVENTARIO!C283)),"PET",
IF(ISNUMBER(SEARCH("ALUMINIO",INVENTARIO!C283)),"ALU",
IF(ISNUMBER(SEARCH("CANAL",INVENTARIO!C283)),"CAN",
IF(ISNUMBER(SEARCH("ESCUADRA",INVENTARIO!C283)),"ESC",
IF(ISNUMBER(SEARCH("SOPORTE",INVENTARIO!C283)),"SOP","OTR")
))))))))))))))))))))))))))))))</f>
        <v>SOP</v>
      </c>
      <c r="B283" t="str">
        <f>IF(ISNUMBER(SEARCH("CORTE",INVENTARIO!C283)),"COR",
IF(ISNUMBER(SEARCH("CITYLIGHT",INVENTARIO!C283)),"CIT",
IF(ISNUMBER(SEARCH("LINO",INVENTARIO!C283)),"LIN",
IF(ISNUMBER(SEARCH("FABRIANO",INVENTARIO!C283)),"FAB",
IF(ISNUMBER(SEARCH("SUNDANCE",INVENTARIO!C283)),"SUN",
IF(ISNUMBER(SEARCH("SINTETICA",INVENTARIO!C283)),"SIN",
IF(ISNUMBER(SEARCH("CONTROL",INVENTARIO!C283)),"CON",
IF(ISNUMBER(SEARCH("TERMICO",INVENTARIO!C283)),"TER",
IF(ISNUMBER(SEARCH("C-15",INVENTARIO!C283)),"C15",
IF(ISNUMBER(SEARCH("C-20",INVENTARIO!C283)),"C20",
IF(ISNUMBER(SEARCH("C-30",INVENTARIO!C283)),"C30",
IF(ISNUMBER(SEARCH("C-40",INVENTARIO!C283)),"C40",
IF(ISNUMBER(SEARCH("C-60",INVENTARIO!C283)),"C60",
IF(ISNUMBER(SEARCH("C-80",INVENTARIO!C283)),"C80",
IF(ISNUMBER(SEARCH("EQUIPO",INVENTARIO!C283)),"EQU",
IF(ISNUMBER(SEARCH("FLOOR",INVENTARIO!C283)),"FLO",
IF(ISNUMBER(SEARCH("CRISTAL",INVENTARIO!C283)),"CRI",
IF(ISNUMBER(SEARCH(" SULFATADA",INVENTARIO!C294)),"SUL",
IF(ISNUMBER(SEARCH("OPALINA",INVENTARIO!C283)),"OPA",
IF(ISNUMBER(SEARCH("ADHERIBLE",INVENTARIO!C283)),"ADH",
IF(ISNUMBER(SEARCH("MICRO",INVENTARIO!C283)),"MIC","")))))))))))))))))))))</f>
        <v/>
      </c>
      <c r="C283" t="str">
        <f>IF(ISNUMBER(SEARCH("PARED",INVENTARIO!C283)),"PAR",
IF(ISNUMBER(SEARCH("FRONT",INVENTARIO!C283)),"FRO",
IF(ISNUMBER(SEARCH("ALTA RESISTENCIA",INVENTARIO!C283)),
"ALT-RES",IF(ISNUMBER(SEARCH("BACKLITE",INVENTARIO!C283)),"BAC",
IF(ISNUMBER(SEARCH("MATE",INVENTARIO!C283)),"MAT",
IF(ISNUMBER(SEARCH("MESH",INVENTARIO!C283)),"MES",
IF(ISNUMBER(SEARCH("BRILLANTE",INVENTARIO!C283)),"BRI",
IF(ISNUMBER(SEARCH("DELGADA",INVENTARIO!C283)),"DEL",
IF(ISNUMBER(SEARCH("GRUESA",INVENTARIO!C283)),"GRU",
IF(ISNUMBER(SEARCH("ESTATICO",INVENTARIO!C283)),"EST",
IF(ISNUMBER(SEARCH("REFLECTIVO",INVENTARIO!C283)),"REF",
IF(ISNUMBER(SEARCH("LX700",INVENTARIO!C283)),"LX7",
IF(ISNUMBER(SEARCH("GRANDO",INVENTARIO!C283)),"GRA",
IF(ISNUMBER(SEARCH("FB700",INVENTARIO!C283)),"FB7",
IF(ISNUMBER(SEARCH("LX360",INVENTARIO!C283)),"LX3",
IF(ISNUMBER(SEARCH("XEROX",INVENTARIO!C283)),"XER",
IF(ISNUMBER(SEARCH("CEPILLADO",INVENTARIO!C283)),"CEP",
IF(ISNUMBER(SEARCH("ESPEJO",INVENTARIO!C283)),"ESP",
IF(ISNUMBER(SEARCH("10 PTS",INVENTARIO!C283)),"10PT",
IF(ISNUMBER(SEARCH("12 PTS",INVENTARIO!C283)),"12PT",
IF(ISNUMBER(SEARCH("14 PTS",INVENTARIO!C283)),"14PT",
IF(ISNUMBER(SEARCH("CLASICO",INVENTARIO!C283)),"CLA",
""))))))))))))))))))))))</f>
        <v/>
      </c>
      <c r="D283" t="str">
        <f>IF(ISNUMBER(SEARCH("GRAN FORMATO",INVENTARIO!C283)),"GRA-FOR",
IF(ISNUMBER(SEARCH("CAMA PLANA",INVENTARIO!C283)),"CAM-PLA",
IF(ISNUMBER(SEARCH("GRADO INGENIERIA",INVENTARIO!C283)),"GRA-ING",
IF(ISNUMBER(SEARCH("130 GRS",INVENTARIO!C283)),"130GR",
IF(ISNUMBER(SEARCH("150 GRS",INVENTARIO!C283)),"150GR",
IF(ISNUMBER(SEARCH("185 GRS",INVENTARIO!C283)),"185GR",
IF(ISNUMBER(SEARCH("200 GRS",INVENTARIO!C283)),"200GR",
IF(ISNUMBER(SEARCH("250 GRS",INVENTARIO!C283)),"250GR",
IF(ISNUMBER(SEARCH("300 GRS",INVENTARIO!C283)),"300GR",
IF(ISNUMBER(SEARCH("350 GRS",INVENTARIO!C283)),"350GR",
IF(ISNUMBER(SEARCH("18 OZ",INVENTARIO!C283)),"18OZ",
IF(ISNUMBER(SEARCH("15 OZ",INVENTARIO!C283)),"15OZ",
IF(OR(ISNUMBER(SEARCH("13 OZ",INVENTARIO!C283)),ISNUMBER(SEARCH("13 ONZAS",INVENTARIO!C283))),"13OZ",
IF(OR(ISNUMBER(SEARCH("9 OZ",INVENTARIO!C283)),ISNUMBER(SEARCH("9 ONZAS",INVENTARIO!C283))),"09OZ",
IF(ISNUMBER(SEARCH("DOBLE CARA",INVENTARIO!C283)),"DOB-CAR",
"")))))))))))))))</f>
        <v/>
      </c>
      <c r="E283" t="str">
        <f>IF(OR(ISNUMBER(SEARCH("TRANSPARENTE",INVENTARIO!C283)),ISNUMBER(SEARCH("TRANSPARENTES",INVENTARIO!C283))),"TRA",
IF(OR(ISNUMBER(SEARCH("BLANCO",INVENTARIO!C283)),ISNUMBER(SEARCH("BCO",INVENTARIO!C283))),"BLA",
IF(ISNUMBER(SEARCH("FOTOGRAFICO",INVENTARIO!C283)),"FOT",
IF(ISNUMBER(SEARCH("MARFIL",INVENTARIO!C283)),"MAR",
IF(ISNUMBER(SEARCH("VERDE",INVENTARIO!C283)),"VER",
IF(ISNUMBER(SEARCH("MORADO",INVENTARIO!C283)),"MOR",
IF(ISNUMBER(SEARCH("PLATA",INVENTARIO!C283)),"PLA",
IF(ISNUMBER(SEARCH("ORO",INVENTARIO!C283)),"ORO",
IF(ISNUMBER(SEARCH("AMARILLO",INVENTARIO!C283)),"AMA",
IF(ISNUMBER(SEARCH("NARANJA",INVENTARIO!C283)),"NAR",
IF(ISNUMBER(SEARCH("NEGRO",INVENTARIO!C283)),"NEG",
IF(ISNUMBER(SEARCH("ROJO",INVENTARIO!C283)),"ROJ",
IF(ISNUMBER(SEARCH("AZUL",INVENTARIO!C283)),"AZU","")))))))))))))</f>
        <v/>
      </c>
      <c r="F283" t="str">
        <f>IF(ISNUMBER(SEARCH("ARLON",INVENTARIO!C283)),"ARL",
IF(ISNUMBER(SEARCH("SUNTHINKS",INVENTARIO!C283)),"SUN",
IF(ISNUMBER(SEARCH("FRIO",INVENTARIO!C283)),"FRI",
IF(ISNUMBER(SEARCH("CALIDO",INVENTARIO!C283)),"CAL",
IF(ISNUMBER(SEARCH("CEPILLADO",INVENTARIO!C283)),"CEP",
IF(ISNUMBER(SEARCH("ESPEJO",INVENTARIO!C283)),"ESP",
""))))))</f>
        <v/>
      </c>
      <c r="G283" t="str">
        <f>IF(ISNUMBER(SEARCH("LATEX",INVENTARIO!C283)),"LAT",
IF(ISNUMBER(SEARCH("RESP. NEGRO",INVENTARIO!C283)),"RES-NEG",
IF(ISNUMBER(SEARCH("RESPALDO CAFE",INVENTARIO!C283)),"RES-CAF",
IF(ISNUMBER(SEARCH("RESPALDO GRIS",INVENTARIO!C283)),"RES-GRI",
IF(ISNUMBER(SEARCH("OPTICO",INVENTARIO!C283)),"OPT",
IF(ISNUMBER(SEARCH("1,2 MM",INVENTARIO!C283)),"1MM2",
IF(ISNUMBER(SEARCH("2 MM",INVENTARIO!C283)),"2MM",
IF(ISNUMBER(SEARCH("3 MM",INVENTARIO!C283)),"3MM",
IF(ISNUMBER(SEARCH("4 MM",INVENTARIO!C283)),"4MM",
IF(ISNUMBER(SEARCH("5 MM",INVENTARIO!C283)),"5MM",
IF(ISNUMBER(SEARCH("6 MM",INVENTARIO!C283)),"6MM",
IF(ISNUMBER(SEARCH("9 MM",INVENTARIO!C283)),"9MM",
IF(ISNUMBER(SEARCH("10 MM",INVENTARIO!C283)),"10MM","")))))))))))))</f>
        <v/>
      </c>
      <c r="H283" t="str">
        <f>IF(ISNUMBER(SEARCH("GAMA BAJA",INVENTARIO!C283)),"GAM-BAJ",
IF(ISNUMBER(SEARCH("OPTIMIZADOR",INVENTARIO!C283)),"OPT",
IF(ISNUMBER(SEARCH("OVERCOAT",INVENTARIO!C283)),"OVE",
IF(ISNUMBER(SEARCH("WHITE",INVENTARIO!C283)),"WHI",
IF(ISNUMBER(SEARCH("LIGHT CYAN",INVENTARIO!C283)),"LIG-CYA",
IF(ISNUMBER(SEARCH("CYAN",INVENTARIO!C283)),"CYA",
IF(ISNUMBER(SEARCH("LIGHT MAGENTA",INVENTARIO!C283)),"LIG-MAG",
IF(ISNUMBER(SEARCH("MAGENTA",INVENTARIO!C283)),"MAG",
IF(ISNUMBER(SEARCH("BLACK",INVENTARIO!C283)),"BLA",
IF(ISNUMBER(SEARCH("YELLOW",INVENTARIO!C283)),"YEL",
IF(ISNUMBER(SEARCH("2 DIODOS",INVENTARIO!C283)),"2DI",
IF(ISNUMBER(SEARCH("3 DIODOS",INVENTARIO!C283)),"3DI",
IF(OR(ISNUMBER(SEARCH("TRASLUCIDO",INVENTARIO!C283)),ISNUMBER(SEARCH("TRANSLUCIDO",INVENTARIO!C283))),"TRA",
"")))))))))))))</f>
        <v/>
      </c>
      <c r="I28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4" spans="1:9">
      <c r="A284" t="str">
        <f>IF(ISNUMBER(SEARCH("LONA",INVENTARIO!C284)),"LON",
IF(ISNUMBER(SEARCH("VINIL",INVENTARIO!C284)),"VIN",
IF(ISNUMBER(SEARCH("KROMACOTE",INVENTARIO!C284)),"KRO",
IF(ISNUMBER(SEARCH("STARDREAM",INVENTARIO!C284)),"STA",
IF(ISNUMBER(SEARCH("DISPLAY",INVENTARIO!C284)),"DIS",
IF(ISNUMBER(SEARCH("ROLL UP",INVENTARIO!C284)),"ROL-UP",
IF(ISNUMBER(SEARCH("TRANSFER DE PAPEL",INVENTARIO!C284)),"TRA-PAP",
IF(ISNUMBER(SEARCH("TRANSFER",INVENTARIO!C284)),"TRA",IF(ISNUMBER(SEARCH("KOLA LOKA",INVENTARIO!C284)),"KOL-LOK",
IF(ISNUMBER(SEARCH("PETG",INVENTARIO!C284)),"PET",
IF(ISNUMBER(SEARCH("OJILLO",INVENTARIO!C284)),"OJI",
IF(ISNUMBER(SEARCH("COUCHE",INVENTARIO!C284)),"COU",
IF(ISNUMBER(SEARCH("PANEL DE ALUMINIO",INVENTARIO!C284)),"PAN-ALU",
IF(ISNUMBER(SEARCH("PVC",INVENTARIO!C284)),"PVC",
IF(ISNUMBER(SEARCH("PAPEL",INVENTARIO!C284)),"PAP",
IF(ISNUMBER(SEARCH("TELA",INVENTARIO!C284)),"TEL",
IF(ISNUMBER(SEARCH("CARTULINA",INVENTARIO!C284)),"CAR",
IF(OR(ISNUMBER(SEARCH("LAMINA",INVENTARIO!C284)),ISNUMBER(SEARCH("LÁMINA",INVENTARIO!C284)),ISNUMBER(SEARCH("LAMPARAS",INVENTARIO!C284))),"LAM",
IF(ISNUMBER(SEARCH("ESTIRENO",INVENTARIO!C284)),"EST",
IF(ISNUMBER(SEARCH("FOAMBOARD",INVENTARIO!C284)),"FOA",
IF(ISNUMBER(SEARCH("SOLVENTE",INVENTARIO!C284)),"SOL",
IF(ISNUMBER(SEARCH("TINTA",INVENTARIO!C284)),"TIN",
IF(ISNUMBER(SEARCH("ACRILICO",INVENTARIO!C284)),"ACR",
IF(ISNUMBER(SEARCH("MICROLED",INVENTARIO!C284)),"MIC",
IF(ISNUMBER(SEARCH("LED",INVENTARIO!C284)),"LED",
IF(ISNUMBER(SEARCH("FUENTE DE PODER",INVENTARIO!C284)),"FUE-POD",
IF(ISNUMBER(SEARCH("PETG",INVENTARIO!C284)),"PET",
IF(ISNUMBER(SEARCH("ALUMINIO",INVENTARIO!C284)),"ALU",
IF(ISNUMBER(SEARCH("CANAL",INVENTARIO!C284)),"CAN",
IF(ISNUMBER(SEARCH("ESCUADRA",INVENTARIO!C284)),"ESC",
IF(ISNUMBER(SEARCH("SOPORTE",INVENTARIO!C284)),"SOP","OTR")
))))))))))))))))))))))))))))))</f>
        <v>OTR</v>
      </c>
      <c r="B284" t="str">
        <f>IF(ISNUMBER(SEARCH("CORTE",INVENTARIO!C284)),"COR",
IF(ISNUMBER(SEARCH("CITYLIGHT",INVENTARIO!C284)),"CIT",
IF(ISNUMBER(SEARCH("LINO",INVENTARIO!C284)),"LIN",
IF(ISNUMBER(SEARCH("FABRIANO",INVENTARIO!C284)),"FAB",
IF(ISNUMBER(SEARCH("SUNDANCE",INVENTARIO!C284)),"SUN",
IF(ISNUMBER(SEARCH("SINTETICA",INVENTARIO!C284)),"SIN",
IF(ISNUMBER(SEARCH("CONTROL",INVENTARIO!C284)),"CON",
IF(ISNUMBER(SEARCH("TERMICO",INVENTARIO!C284)),"TER",
IF(ISNUMBER(SEARCH("C-15",INVENTARIO!C284)),"C15",
IF(ISNUMBER(SEARCH("C-20",INVENTARIO!C284)),"C20",
IF(ISNUMBER(SEARCH("C-30",INVENTARIO!C284)),"C30",
IF(ISNUMBER(SEARCH("C-40",INVENTARIO!C284)),"C40",
IF(ISNUMBER(SEARCH("C-60",INVENTARIO!C284)),"C60",
IF(ISNUMBER(SEARCH("C-80",INVENTARIO!C284)),"C80",
IF(ISNUMBER(SEARCH("EQUIPO",INVENTARIO!C284)),"EQU",
IF(ISNUMBER(SEARCH("FLOOR",INVENTARIO!C284)),"FLO",
IF(ISNUMBER(SEARCH("CRISTAL",INVENTARIO!C284)),"CRI",
IF(ISNUMBER(SEARCH(" SULFATADA",INVENTARIO!C295)),"SUL",
IF(ISNUMBER(SEARCH("OPALINA",INVENTARIO!C284)),"OPA",
IF(ISNUMBER(SEARCH("ADHERIBLE",INVENTARIO!C284)),"ADH",
IF(ISNUMBER(SEARCH("MICRO",INVENTARIO!C284)),"MIC","")))))))))))))))))))))</f>
        <v/>
      </c>
      <c r="C284" t="str">
        <f>IF(ISNUMBER(SEARCH("PARED",INVENTARIO!C284)),"PAR",
IF(ISNUMBER(SEARCH("FRONT",INVENTARIO!C284)),"FRO",
IF(ISNUMBER(SEARCH("ALTA RESISTENCIA",INVENTARIO!C284)),
"ALT-RES",IF(ISNUMBER(SEARCH("BACKLITE",INVENTARIO!C284)),"BAC",
IF(ISNUMBER(SEARCH("MATE",INVENTARIO!C284)),"MAT",
IF(ISNUMBER(SEARCH("MESH",INVENTARIO!C284)),"MES",
IF(ISNUMBER(SEARCH("BRILLANTE",INVENTARIO!C284)),"BRI",
IF(ISNUMBER(SEARCH("DELGADA",INVENTARIO!C284)),"DEL",
IF(ISNUMBER(SEARCH("GRUESA",INVENTARIO!C284)),"GRU",
IF(ISNUMBER(SEARCH("ESTATICO",INVENTARIO!C284)),"EST",
IF(ISNUMBER(SEARCH("REFLECTIVO",INVENTARIO!C284)),"REF",
IF(ISNUMBER(SEARCH("LX700",INVENTARIO!C284)),"LX7",
IF(ISNUMBER(SEARCH("GRANDO",INVENTARIO!C284)),"GRA",
IF(ISNUMBER(SEARCH("FB700",INVENTARIO!C284)),"FB7",
IF(ISNUMBER(SEARCH("LX360",INVENTARIO!C284)),"LX3",
IF(ISNUMBER(SEARCH("XEROX",INVENTARIO!C284)),"XER",
IF(ISNUMBER(SEARCH("CEPILLADO",INVENTARIO!C284)),"CEP",
IF(ISNUMBER(SEARCH("ESPEJO",INVENTARIO!C284)),"ESP",
IF(ISNUMBER(SEARCH("10 PTS",INVENTARIO!C284)),"10PT",
IF(ISNUMBER(SEARCH("12 PTS",INVENTARIO!C284)),"12PT",
IF(ISNUMBER(SEARCH("14 PTS",INVENTARIO!C284)),"14PT",
IF(ISNUMBER(SEARCH("CLASICO",INVENTARIO!C284)),"CLA",
""))))))))))))))))))))))</f>
        <v/>
      </c>
      <c r="D284" t="str">
        <f>IF(ISNUMBER(SEARCH("GRAN FORMATO",INVENTARIO!C284)),"GRA-FOR",
IF(ISNUMBER(SEARCH("CAMA PLANA",INVENTARIO!C284)),"CAM-PLA",
IF(ISNUMBER(SEARCH("GRADO INGENIERIA",INVENTARIO!C284)),"GRA-ING",
IF(ISNUMBER(SEARCH("130 GRS",INVENTARIO!C284)),"130GR",
IF(ISNUMBER(SEARCH("150 GRS",INVENTARIO!C284)),"150GR",
IF(ISNUMBER(SEARCH("185 GRS",INVENTARIO!C284)),"185GR",
IF(ISNUMBER(SEARCH("200 GRS",INVENTARIO!C284)),"200GR",
IF(ISNUMBER(SEARCH("250 GRS",INVENTARIO!C284)),"250GR",
IF(ISNUMBER(SEARCH("300 GRS",INVENTARIO!C284)),"300GR",
IF(ISNUMBER(SEARCH("350 GRS",INVENTARIO!C284)),"350GR",
IF(ISNUMBER(SEARCH("18 OZ",INVENTARIO!C284)),"18OZ",
IF(ISNUMBER(SEARCH("15 OZ",INVENTARIO!C284)),"15OZ",
IF(OR(ISNUMBER(SEARCH("13 OZ",INVENTARIO!C284)),ISNUMBER(SEARCH("13 ONZAS",INVENTARIO!C284))),"13OZ",
IF(OR(ISNUMBER(SEARCH("9 OZ",INVENTARIO!C284)),ISNUMBER(SEARCH("9 ONZAS",INVENTARIO!C284))),"09OZ",
IF(ISNUMBER(SEARCH("DOBLE CARA",INVENTARIO!C284)),"DOB-CAR",
"")))))))))))))))</f>
        <v/>
      </c>
      <c r="E284" t="str">
        <f>IF(OR(ISNUMBER(SEARCH("TRANSPARENTE",INVENTARIO!C284)),ISNUMBER(SEARCH("TRANSPARENTES",INVENTARIO!C284))),"TRA",
IF(OR(ISNUMBER(SEARCH("BLANCO",INVENTARIO!C284)),ISNUMBER(SEARCH("BCO",INVENTARIO!C284))),"BLA",
IF(ISNUMBER(SEARCH("FOTOGRAFICO",INVENTARIO!C284)),"FOT",
IF(ISNUMBER(SEARCH("MARFIL",INVENTARIO!C284)),"MAR",
IF(ISNUMBER(SEARCH("VERDE",INVENTARIO!C284)),"VER",
IF(ISNUMBER(SEARCH("MORADO",INVENTARIO!C284)),"MOR",
IF(ISNUMBER(SEARCH("PLATA",INVENTARIO!C284)),"PLA",
IF(ISNUMBER(SEARCH("ORO",INVENTARIO!C284)),"ORO",
IF(ISNUMBER(SEARCH("AMARILLO",INVENTARIO!C284)),"AMA",
IF(ISNUMBER(SEARCH("NARANJA",INVENTARIO!C284)),"NAR",
IF(ISNUMBER(SEARCH("NEGRO",INVENTARIO!C284)),"NEG",
IF(ISNUMBER(SEARCH("ROJO",INVENTARIO!C284)),"ROJ",
IF(ISNUMBER(SEARCH("AZUL",INVENTARIO!C284)),"AZU","")))))))))))))</f>
        <v/>
      </c>
      <c r="F284" t="str">
        <f>IF(ISNUMBER(SEARCH("ARLON",INVENTARIO!C284)),"ARL",
IF(ISNUMBER(SEARCH("SUNTHINKS",INVENTARIO!C284)),"SUN",
IF(ISNUMBER(SEARCH("FRIO",INVENTARIO!C284)),"FRI",
IF(ISNUMBER(SEARCH("CALIDO",INVENTARIO!C284)),"CAL",
IF(ISNUMBER(SEARCH("CEPILLADO",INVENTARIO!C284)),"CEP",
IF(ISNUMBER(SEARCH("ESPEJO",INVENTARIO!C284)),"ESP",
""))))))</f>
        <v/>
      </c>
      <c r="G284" t="str">
        <f>IF(ISNUMBER(SEARCH("LATEX",INVENTARIO!C284)),"LAT",
IF(ISNUMBER(SEARCH("RESP. NEGRO",INVENTARIO!C284)),"RES-NEG",
IF(ISNUMBER(SEARCH("RESPALDO CAFE",INVENTARIO!C284)),"RES-CAF",
IF(ISNUMBER(SEARCH("RESPALDO GRIS",INVENTARIO!C284)),"RES-GRI",
IF(ISNUMBER(SEARCH("OPTICO",INVENTARIO!C284)),"OPT",
IF(ISNUMBER(SEARCH("1,2 MM",INVENTARIO!C284)),"1MM2",
IF(ISNUMBER(SEARCH("2 MM",INVENTARIO!C284)),"2MM",
IF(ISNUMBER(SEARCH("3 MM",INVENTARIO!C284)),"3MM",
IF(ISNUMBER(SEARCH("4 MM",INVENTARIO!C284)),"4MM",
IF(ISNUMBER(SEARCH("5 MM",INVENTARIO!C284)),"5MM",
IF(ISNUMBER(SEARCH("6 MM",INVENTARIO!C284)),"6MM",
IF(ISNUMBER(SEARCH("9 MM",INVENTARIO!C284)),"9MM",
IF(ISNUMBER(SEARCH("10 MM",INVENTARIO!C284)),"10MM","")))))))))))))</f>
        <v/>
      </c>
      <c r="H284" t="str">
        <f>IF(ISNUMBER(SEARCH("GAMA BAJA",INVENTARIO!C284)),"GAM-BAJ",
IF(ISNUMBER(SEARCH("OPTIMIZADOR",INVENTARIO!C284)),"OPT",
IF(ISNUMBER(SEARCH("OVERCOAT",INVENTARIO!C284)),"OVE",
IF(ISNUMBER(SEARCH("WHITE",INVENTARIO!C284)),"WHI",
IF(ISNUMBER(SEARCH("LIGHT CYAN",INVENTARIO!C284)),"LIG-CYA",
IF(ISNUMBER(SEARCH("CYAN",INVENTARIO!C284)),"CYA",
IF(ISNUMBER(SEARCH("LIGHT MAGENTA",INVENTARIO!C284)),"LIG-MAG",
IF(ISNUMBER(SEARCH("MAGENTA",INVENTARIO!C284)),"MAG",
IF(ISNUMBER(SEARCH("BLACK",INVENTARIO!C284)),"BLA",
IF(ISNUMBER(SEARCH("YELLOW",INVENTARIO!C284)),"YEL",
IF(ISNUMBER(SEARCH("2 DIODOS",INVENTARIO!C284)),"2DI",
IF(ISNUMBER(SEARCH("3 DIODOS",INVENTARIO!C284)),"3DI",
IF(OR(ISNUMBER(SEARCH("TRASLUCIDO",INVENTARIO!C284)),ISNUMBER(SEARCH("TRANSLUCIDO",INVENTARIO!C284))),"TRA",
"")))))))))))))</f>
        <v/>
      </c>
      <c r="I284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5" spans="1:9">
      <c r="A285" t="str">
        <f>IF(ISNUMBER(SEARCH("LONA",INVENTARIO!C285)),"LON",
IF(ISNUMBER(SEARCH("VINIL",INVENTARIO!C285)),"VIN",
IF(ISNUMBER(SEARCH("KROMACOTE",INVENTARIO!C285)),"KRO",
IF(ISNUMBER(SEARCH("STARDREAM",INVENTARIO!C285)),"STA",
IF(ISNUMBER(SEARCH("DISPLAY",INVENTARIO!C285)),"DIS",
IF(ISNUMBER(SEARCH("ROLL UP",INVENTARIO!C285)),"ROL-UP",
IF(ISNUMBER(SEARCH("TRANSFER DE PAPEL",INVENTARIO!C285)),"TRA-PAP",
IF(ISNUMBER(SEARCH("TRANSFER",INVENTARIO!C285)),"TRA",IF(ISNUMBER(SEARCH("KOLA LOKA",INVENTARIO!C285)),"KOL-LOK",
IF(ISNUMBER(SEARCH("PETG",INVENTARIO!C285)),"PET",
IF(ISNUMBER(SEARCH("OJILLO",INVENTARIO!C285)),"OJI",
IF(ISNUMBER(SEARCH("COUCHE",INVENTARIO!C285)),"COU",
IF(ISNUMBER(SEARCH("PANEL DE ALUMINIO",INVENTARIO!C285)),"PAN-ALU",
IF(ISNUMBER(SEARCH("PVC",INVENTARIO!C285)),"PVC",
IF(ISNUMBER(SEARCH("PAPEL",INVENTARIO!C285)),"PAP",
IF(ISNUMBER(SEARCH("TELA",INVENTARIO!C285)),"TEL",
IF(ISNUMBER(SEARCH("CARTULINA",INVENTARIO!C285)),"CAR",
IF(OR(ISNUMBER(SEARCH("LAMINA",INVENTARIO!C285)),ISNUMBER(SEARCH("LÁMINA",INVENTARIO!C285)),ISNUMBER(SEARCH("LAMPARAS",INVENTARIO!C285))),"LAM",
IF(ISNUMBER(SEARCH("ESTIRENO",INVENTARIO!C285)),"EST",
IF(ISNUMBER(SEARCH("FOAMBOARD",INVENTARIO!C285)),"FOA",
IF(ISNUMBER(SEARCH("SOLVENTE",INVENTARIO!C285)),"SOL",
IF(ISNUMBER(SEARCH("TINTA",INVENTARIO!C285)),"TIN",
IF(ISNUMBER(SEARCH("ACRILICO",INVENTARIO!C285)),"ACR",
IF(ISNUMBER(SEARCH("MICROLED",INVENTARIO!C285)),"MIC",
IF(ISNUMBER(SEARCH("LED",INVENTARIO!C285)),"LED",
IF(ISNUMBER(SEARCH("FUENTE DE PODER",INVENTARIO!C285)),"FUE-POD",
IF(ISNUMBER(SEARCH("PETG",INVENTARIO!C285)),"PET",
IF(ISNUMBER(SEARCH("ALUMINIO",INVENTARIO!C285)),"ALU",
IF(ISNUMBER(SEARCH("CANAL",INVENTARIO!C285)),"CAN",
IF(ISNUMBER(SEARCH("ESCUADRA",INVENTARIO!C285)),"ESC",
IF(ISNUMBER(SEARCH("SOPORTE",INVENTARIO!C285)),"SOP","OTR")
))))))))))))))))))))))))))))))</f>
        <v>OTR</v>
      </c>
      <c r="B285" t="str">
        <f>IF(ISNUMBER(SEARCH("CORTE",INVENTARIO!C285)),"COR",
IF(ISNUMBER(SEARCH("CITYLIGHT",INVENTARIO!C285)),"CIT",
IF(ISNUMBER(SEARCH("LINO",INVENTARIO!C285)),"LIN",
IF(ISNUMBER(SEARCH("FABRIANO",INVENTARIO!C285)),"FAB",
IF(ISNUMBER(SEARCH("SUNDANCE",INVENTARIO!C285)),"SUN",
IF(ISNUMBER(SEARCH("SINTETICA",INVENTARIO!C285)),"SIN",
IF(ISNUMBER(SEARCH("CONTROL",INVENTARIO!C285)),"CON",
IF(ISNUMBER(SEARCH("TERMICO",INVENTARIO!C285)),"TER",
IF(ISNUMBER(SEARCH("C-15",INVENTARIO!C285)),"C15",
IF(ISNUMBER(SEARCH("C-20",INVENTARIO!C285)),"C20",
IF(ISNUMBER(SEARCH("C-30",INVENTARIO!C285)),"C30",
IF(ISNUMBER(SEARCH("C-40",INVENTARIO!C285)),"C40",
IF(ISNUMBER(SEARCH("C-60",INVENTARIO!C285)),"C60",
IF(ISNUMBER(SEARCH("C-80",INVENTARIO!C285)),"C80",
IF(ISNUMBER(SEARCH("EQUIPO",INVENTARIO!C285)),"EQU",
IF(ISNUMBER(SEARCH("FLOOR",INVENTARIO!C285)),"FLO",
IF(ISNUMBER(SEARCH("CRISTAL",INVENTARIO!C285)),"CRI",
IF(ISNUMBER(SEARCH(" SULFATADA",INVENTARIO!C296)),"SUL",
IF(ISNUMBER(SEARCH("OPALINA",INVENTARIO!C285)),"OPA",
IF(ISNUMBER(SEARCH("ADHERIBLE",INVENTARIO!C285)),"ADH",
IF(ISNUMBER(SEARCH("MICRO",INVENTARIO!C285)),"MIC","")))))))))))))))))))))</f>
        <v>SUL</v>
      </c>
      <c r="C285" t="str">
        <f>IF(ISNUMBER(SEARCH("PARED",INVENTARIO!C285)),"PAR",
IF(ISNUMBER(SEARCH("FRONT",INVENTARIO!C285)),"FRO",
IF(ISNUMBER(SEARCH("ALTA RESISTENCIA",INVENTARIO!C285)),
"ALT-RES",IF(ISNUMBER(SEARCH("BACKLITE",INVENTARIO!C285)),"BAC",
IF(ISNUMBER(SEARCH("MATE",INVENTARIO!C285)),"MAT",
IF(ISNUMBER(SEARCH("MESH",INVENTARIO!C285)),"MES",
IF(ISNUMBER(SEARCH("BRILLANTE",INVENTARIO!C285)),"BRI",
IF(ISNUMBER(SEARCH("DELGADA",INVENTARIO!C285)),"DEL",
IF(ISNUMBER(SEARCH("GRUESA",INVENTARIO!C285)),"GRU",
IF(ISNUMBER(SEARCH("ESTATICO",INVENTARIO!C285)),"EST",
IF(ISNUMBER(SEARCH("REFLECTIVO",INVENTARIO!C285)),"REF",
IF(ISNUMBER(SEARCH("LX700",INVENTARIO!C285)),"LX7",
IF(ISNUMBER(SEARCH("GRANDO",INVENTARIO!C285)),"GRA",
IF(ISNUMBER(SEARCH("FB700",INVENTARIO!C285)),"FB7",
IF(ISNUMBER(SEARCH("LX360",INVENTARIO!C285)),"LX3",
IF(ISNUMBER(SEARCH("XEROX",INVENTARIO!C285)),"XER",
IF(ISNUMBER(SEARCH("CEPILLADO",INVENTARIO!C285)),"CEP",
IF(ISNUMBER(SEARCH("ESPEJO",INVENTARIO!C285)),"ESP",
IF(ISNUMBER(SEARCH("10 PTS",INVENTARIO!C285)),"10PT",
IF(ISNUMBER(SEARCH("12 PTS",INVENTARIO!C285)),"12PT",
IF(ISNUMBER(SEARCH("14 PTS",INVENTARIO!C285)),"14PT",
IF(ISNUMBER(SEARCH("CLASICO",INVENTARIO!C285)),"CLA",
""))))))))))))))))))))))</f>
        <v/>
      </c>
      <c r="D285" t="str">
        <f>IF(ISNUMBER(SEARCH("GRAN FORMATO",INVENTARIO!C285)),"GRA-FOR",
IF(ISNUMBER(SEARCH("CAMA PLANA",INVENTARIO!C285)),"CAM-PLA",
IF(ISNUMBER(SEARCH("GRADO INGENIERIA",INVENTARIO!C285)),"GRA-ING",
IF(ISNUMBER(SEARCH("130 GRS",INVENTARIO!C285)),"130GR",
IF(ISNUMBER(SEARCH("150 GRS",INVENTARIO!C285)),"150GR",
IF(ISNUMBER(SEARCH("185 GRS",INVENTARIO!C285)),"185GR",
IF(ISNUMBER(SEARCH("200 GRS",INVENTARIO!C285)),"200GR",
IF(ISNUMBER(SEARCH("250 GRS",INVENTARIO!C285)),"250GR",
IF(ISNUMBER(SEARCH("300 GRS",INVENTARIO!C285)),"300GR",
IF(ISNUMBER(SEARCH("350 GRS",INVENTARIO!C285)),"350GR",
IF(ISNUMBER(SEARCH("18 OZ",INVENTARIO!C285)),"18OZ",
IF(ISNUMBER(SEARCH("15 OZ",INVENTARIO!C285)),"15OZ",
IF(OR(ISNUMBER(SEARCH("13 OZ",INVENTARIO!C285)),ISNUMBER(SEARCH("13 ONZAS",INVENTARIO!C285))),"13OZ",
IF(OR(ISNUMBER(SEARCH("9 OZ",INVENTARIO!C285)),ISNUMBER(SEARCH("9 ONZAS",INVENTARIO!C285))),"09OZ",
IF(ISNUMBER(SEARCH("DOBLE CARA",INVENTARIO!C285)),"DOB-CAR",
"")))))))))))))))</f>
        <v/>
      </c>
      <c r="E285" t="str">
        <f>IF(OR(ISNUMBER(SEARCH("TRANSPARENTE",INVENTARIO!C285)),ISNUMBER(SEARCH("TRANSPARENTES",INVENTARIO!C285))),"TRA",
IF(OR(ISNUMBER(SEARCH("BLANCO",INVENTARIO!C285)),ISNUMBER(SEARCH("BCO",INVENTARIO!C285))),"BLA",
IF(ISNUMBER(SEARCH("FOTOGRAFICO",INVENTARIO!C285)),"FOT",
IF(ISNUMBER(SEARCH("MARFIL",INVENTARIO!C285)),"MAR",
IF(ISNUMBER(SEARCH("VERDE",INVENTARIO!C285)),"VER",
IF(ISNUMBER(SEARCH("MORADO",INVENTARIO!C285)),"MOR",
IF(ISNUMBER(SEARCH("PLATA",INVENTARIO!C285)),"PLA",
IF(ISNUMBER(SEARCH("ORO",INVENTARIO!C285)),"ORO",
IF(ISNUMBER(SEARCH("AMARILLO",INVENTARIO!C285)),"AMA",
IF(ISNUMBER(SEARCH("NARANJA",INVENTARIO!C285)),"NAR",
IF(ISNUMBER(SEARCH("NEGRO",INVENTARIO!C285)),"NEG",
IF(ISNUMBER(SEARCH("ROJO",INVENTARIO!C285)),"ROJ",
IF(ISNUMBER(SEARCH("AZUL",INVENTARIO!C285)),"AZU","")))))))))))))</f>
        <v/>
      </c>
      <c r="F285" t="str">
        <f>IF(ISNUMBER(SEARCH("ARLON",INVENTARIO!C285)),"ARL",
IF(ISNUMBER(SEARCH("SUNTHINKS",INVENTARIO!C285)),"SUN",
IF(ISNUMBER(SEARCH("FRIO",INVENTARIO!C285)),"FRI",
IF(ISNUMBER(SEARCH("CALIDO",INVENTARIO!C285)),"CAL",
IF(ISNUMBER(SEARCH("CEPILLADO",INVENTARIO!C285)),"CEP",
IF(ISNUMBER(SEARCH("ESPEJO",INVENTARIO!C285)),"ESP",
""))))))</f>
        <v/>
      </c>
      <c r="G285" t="str">
        <f>IF(ISNUMBER(SEARCH("LATEX",INVENTARIO!C285)),"LAT",
IF(ISNUMBER(SEARCH("RESP. NEGRO",INVENTARIO!C285)),"RES-NEG",
IF(ISNUMBER(SEARCH("RESPALDO CAFE",INVENTARIO!C285)),"RES-CAF",
IF(ISNUMBER(SEARCH("RESPALDO GRIS",INVENTARIO!C285)),"RES-GRI",
IF(ISNUMBER(SEARCH("OPTICO",INVENTARIO!C285)),"OPT",
IF(ISNUMBER(SEARCH("1,2 MM",INVENTARIO!C285)),"1MM2",
IF(ISNUMBER(SEARCH("2 MM",INVENTARIO!C285)),"2MM",
IF(ISNUMBER(SEARCH("3 MM",INVENTARIO!C285)),"3MM",
IF(ISNUMBER(SEARCH("4 MM",INVENTARIO!C285)),"4MM",
IF(ISNUMBER(SEARCH("5 MM",INVENTARIO!C285)),"5MM",
IF(ISNUMBER(SEARCH("6 MM",INVENTARIO!C285)),"6MM",
IF(ISNUMBER(SEARCH("9 MM",INVENTARIO!C285)),"9MM",
IF(ISNUMBER(SEARCH("10 MM",INVENTARIO!C285)),"10MM","")))))))))))))</f>
        <v/>
      </c>
      <c r="H285" t="str">
        <f>IF(ISNUMBER(SEARCH("GAMA BAJA",INVENTARIO!C285)),"GAM-BAJ",
IF(ISNUMBER(SEARCH("OPTIMIZADOR",INVENTARIO!C285)),"OPT",
IF(ISNUMBER(SEARCH("OVERCOAT",INVENTARIO!C285)),"OVE",
IF(ISNUMBER(SEARCH("WHITE",INVENTARIO!C285)),"WHI",
IF(ISNUMBER(SEARCH("LIGHT CYAN",INVENTARIO!C285)),"LIG-CYA",
IF(ISNUMBER(SEARCH("CYAN",INVENTARIO!C285)),"CYA",
IF(ISNUMBER(SEARCH("LIGHT MAGENTA",INVENTARIO!C285)),"LIG-MAG",
IF(ISNUMBER(SEARCH("MAGENTA",INVENTARIO!C285)),"MAG",
IF(ISNUMBER(SEARCH("BLACK",INVENTARIO!C285)),"BLA",
IF(ISNUMBER(SEARCH("YELLOW",INVENTARIO!C285)),"YEL",
IF(ISNUMBER(SEARCH("2 DIODOS",INVENTARIO!C285)),"2DI",
IF(ISNUMBER(SEARCH("3 DIODOS",INVENTARIO!C285)),"3DI",
IF(OR(ISNUMBER(SEARCH("TRASLUCIDO",INVENTARIO!C285)),ISNUMBER(SEARCH("TRANSLUCIDO",INVENTARIO!C285))),"TRA",
"")))))))))))))</f>
        <v/>
      </c>
      <c r="I285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6" spans="1:9">
      <c r="A286" t="str">
        <f>IF(ISNUMBER(SEARCH("LONA",INVENTARIO!C286)),"LON",
IF(ISNUMBER(SEARCH("VINIL",INVENTARIO!C286)),"VIN",
IF(ISNUMBER(SEARCH("KROMACOTE",INVENTARIO!C286)),"KRO",
IF(ISNUMBER(SEARCH("STARDREAM",INVENTARIO!C286)),"STA",
IF(ISNUMBER(SEARCH("DISPLAY",INVENTARIO!C286)),"DIS",
IF(ISNUMBER(SEARCH("ROLL UP",INVENTARIO!C286)),"ROL-UP",
IF(ISNUMBER(SEARCH("TRANSFER DE PAPEL",INVENTARIO!C286)),"TRA-PAP",
IF(ISNUMBER(SEARCH("TRANSFER",INVENTARIO!C286)),"TRA",IF(ISNUMBER(SEARCH("KOLA LOKA",INVENTARIO!C286)),"KOL-LOK",
IF(ISNUMBER(SEARCH("PETG",INVENTARIO!C286)),"PET",
IF(ISNUMBER(SEARCH("OJILLO",INVENTARIO!C286)),"OJI",
IF(ISNUMBER(SEARCH("COUCHE",INVENTARIO!C286)),"COU",
IF(ISNUMBER(SEARCH("PANEL DE ALUMINIO",INVENTARIO!C286)),"PAN-ALU",
IF(ISNUMBER(SEARCH("PVC",INVENTARIO!C286)),"PVC",
IF(ISNUMBER(SEARCH("PAPEL",INVENTARIO!C286)),"PAP",
IF(ISNUMBER(SEARCH("TELA",INVENTARIO!C286)),"TEL",
IF(ISNUMBER(SEARCH("CARTULINA",INVENTARIO!C286)),"CAR",
IF(OR(ISNUMBER(SEARCH("LAMINA",INVENTARIO!C286)),ISNUMBER(SEARCH("LÁMINA",INVENTARIO!C286)),ISNUMBER(SEARCH("LAMPARAS",INVENTARIO!C286))),"LAM",
IF(ISNUMBER(SEARCH("ESTIRENO",INVENTARIO!C286)),"EST",
IF(ISNUMBER(SEARCH("FOAMBOARD",INVENTARIO!C286)),"FOA",
IF(ISNUMBER(SEARCH("SOLVENTE",INVENTARIO!C286)),"SOL",
IF(ISNUMBER(SEARCH("TINTA",INVENTARIO!C286)),"TIN",
IF(ISNUMBER(SEARCH("ACRILICO",INVENTARIO!C286)),"ACR",
IF(ISNUMBER(SEARCH("MICROLED",INVENTARIO!C286)),"MIC",
IF(ISNUMBER(SEARCH("LED",INVENTARIO!C286)),"LED",
IF(ISNUMBER(SEARCH("FUENTE DE PODER",INVENTARIO!C286)),"FUE-POD",
IF(ISNUMBER(SEARCH("PETG",INVENTARIO!C286)),"PET",
IF(ISNUMBER(SEARCH("ALUMINIO",INVENTARIO!C286)),"ALU",
IF(ISNUMBER(SEARCH("CANAL",INVENTARIO!C286)),"CAN",
IF(ISNUMBER(SEARCH("ESCUADRA",INVENTARIO!C286)),"ESC",
IF(ISNUMBER(SEARCH("SOPORTE",INVENTARIO!C286)),"SOP","OTR")
))))))))))))))))))))))))))))))</f>
        <v>PVC</v>
      </c>
      <c r="B286" t="str">
        <f>IF(ISNUMBER(SEARCH("CORTE",INVENTARIO!C286)),"COR",
IF(ISNUMBER(SEARCH("CITYLIGHT",INVENTARIO!C286)),"CIT",
IF(ISNUMBER(SEARCH("LINO",INVENTARIO!C286)),"LIN",
IF(ISNUMBER(SEARCH("FABRIANO",INVENTARIO!C286)),"FAB",
IF(ISNUMBER(SEARCH("SUNDANCE",INVENTARIO!C286)),"SUN",
IF(ISNUMBER(SEARCH("SINTETICA",INVENTARIO!C286)),"SIN",
IF(ISNUMBER(SEARCH("CONTROL",INVENTARIO!C286)),"CON",
IF(ISNUMBER(SEARCH("TERMICO",INVENTARIO!C286)),"TER",
IF(ISNUMBER(SEARCH("C-15",INVENTARIO!C286)),"C15",
IF(ISNUMBER(SEARCH("C-20",INVENTARIO!C286)),"C20",
IF(ISNUMBER(SEARCH("C-30",INVENTARIO!C286)),"C30",
IF(ISNUMBER(SEARCH("C-40",INVENTARIO!C286)),"C40",
IF(ISNUMBER(SEARCH("C-60",INVENTARIO!C286)),"C60",
IF(ISNUMBER(SEARCH("C-80",INVENTARIO!C286)),"C80",
IF(ISNUMBER(SEARCH("EQUIPO",INVENTARIO!C286)),"EQU",
IF(ISNUMBER(SEARCH("FLOOR",INVENTARIO!C286)),"FLO",
IF(ISNUMBER(SEARCH("CRISTAL",INVENTARIO!C286)),"CRI",
IF(ISNUMBER(SEARCH(" SULFATADA",INVENTARIO!C297)),"SUL",
IF(ISNUMBER(SEARCH("OPALINA",INVENTARIO!C286)),"OPA",
IF(ISNUMBER(SEARCH("ADHERIBLE",INVENTARIO!C286)),"ADH",
IF(ISNUMBER(SEARCH("MICRO",INVENTARIO!C286)),"MIC","")))))))))))))))))))))</f>
        <v>SUL</v>
      </c>
      <c r="C286" t="str">
        <f>IF(ISNUMBER(SEARCH("PARED",INVENTARIO!C286)),"PAR",
IF(ISNUMBER(SEARCH("FRONT",INVENTARIO!C286)),"FRO",
IF(ISNUMBER(SEARCH("ALTA RESISTENCIA",INVENTARIO!C286)),
"ALT-RES",IF(ISNUMBER(SEARCH("BACKLITE",INVENTARIO!C286)),"BAC",
IF(ISNUMBER(SEARCH("MATE",INVENTARIO!C286)),"MAT",
IF(ISNUMBER(SEARCH("MESH",INVENTARIO!C286)),"MES",
IF(ISNUMBER(SEARCH("BRILLANTE",INVENTARIO!C286)),"BRI",
IF(ISNUMBER(SEARCH("DELGADA",INVENTARIO!C286)),"DEL",
IF(ISNUMBER(SEARCH("GRUESA",INVENTARIO!C286)),"GRU",
IF(ISNUMBER(SEARCH("ESTATICO",INVENTARIO!C286)),"EST",
IF(ISNUMBER(SEARCH("REFLECTIVO",INVENTARIO!C286)),"REF",
IF(ISNUMBER(SEARCH("LX700",INVENTARIO!C286)),"LX7",
IF(ISNUMBER(SEARCH("GRANDO",INVENTARIO!C286)),"GRA",
IF(ISNUMBER(SEARCH("FB700",INVENTARIO!C286)),"FB7",
IF(ISNUMBER(SEARCH("LX360",INVENTARIO!C286)),"LX3",
IF(ISNUMBER(SEARCH("XEROX",INVENTARIO!C286)),"XER",
IF(ISNUMBER(SEARCH("CEPILLADO",INVENTARIO!C286)),"CEP",
IF(ISNUMBER(SEARCH("ESPEJO",INVENTARIO!C286)),"ESP",
IF(ISNUMBER(SEARCH("10 PTS",INVENTARIO!C286)),"10PT",
IF(ISNUMBER(SEARCH("12 PTS",INVENTARIO!C286)),"12PT",
IF(ISNUMBER(SEARCH("14 PTS",INVENTARIO!C286)),"14PT",
IF(ISNUMBER(SEARCH("CLASICO",INVENTARIO!C286)),"CLA",
""))))))))))))))))))))))</f>
        <v/>
      </c>
      <c r="D286" t="str">
        <f>IF(ISNUMBER(SEARCH("GRAN FORMATO",INVENTARIO!C286)),"GRA-FOR",
IF(ISNUMBER(SEARCH("CAMA PLANA",INVENTARIO!C286)),"CAM-PLA",
IF(ISNUMBER(SEARCH("GRADO INGENIERIA",INVENTARIO!C286)),"GRA-ING",
IF(ISNUMBER(SEARCH("130 GRS",INVENTARIO!C286)),"130GR",
IF(ISNUMBER(SEARCH("150 GRS",INVENTARIO!C286)),"150GR",
IF(ISNUMBER(SEARCH("185 GRS",INVENTARIO!C286)),"185GR",
IF(ISNUMBER(SEARCH("200 GRS",INVENTARIO!C286)),"200GR",
IF(ISNUMBER(SEARCH("250 GRS",INVENTARIO!C286)),"250GR",
IF(ISNUMBER(SEARCH("300 GRS",INVENTARIO!C286)),"300GR",
IF(ISNUMBER(SEARCH("350 GRS",INVENTARIO!C286)),"350GR",
IF(ISNUMBER(SEARCH("18 OZ",INVENTARIO!C286)),"18OZ",
IF(ISNUMBER(SEARCH("15 OZ",INVENTARIO!C286)),"15OZ",
IF(OR(ISNUMBER(SEARCH("13 OZ",INVENTARIO!C286)),ISNUMBER(SEARCH("13 ONZAS",INVENTARIO!C286))),"13OZ",
IF(OR(ISNUMBER(SEARCH("9 OZ",INVENTARIO!C286)),ISNUMBER(SEARCH("9 ONZAS",INVENTARIO!C286))),"09OZ",
IF(ISNUMBER(SEARCH("DOBLE CARA",INVENTARIO!C286)),"DOB-CAR",
"")))))))))))))))</f>
        <v/>
      </c>
      <c r="E286" t="str">
        <f>IF(OR(ISNUMBER(SEARCH("TRANSPARENTE",INVENTARIO!C286)),ISNUMBER(SEARCH("TRANSPARENTES",INVENTARIO!C286))),"TRA",
IF(OR(ISNUMBER(SEARCH("BLANCO",INVENTARIO!C286)),ISNUMBER(SEARCH("BCO",INVENTARIO!C286))),"BLA",
IF(ISNUMBER(SEARCH("FOTOGRAFICO",INVENTARIO!C286)),"FOT",
IF(ISNUMBER(SEARCH("MARFIL",INVENTARIO!C286)),"MAR",
IF(ISNUMBER(SEARCH("VERDE",INVENTARIO!C286)),"VER",
IF(ISNUMBER(SEARCH("MORADO",INVENTARIO!C286)),"MOR",
IF(ISNUMBER(SEARCH("PLATA",INVENTARIO!C286)),"PLA",
IF(ISNUMBER(SEARCH("ORO",INVENTARIO!C286)),"ORO",
IF(ISNUMBER(SEARCH("AMARILLO",INVENTARIO!C286)),"AMA",
IF(ISNUMBER(SEARCH("NARANJA",INVENTARIO!C286)),"NAR",
IF(ISNUMBER(SEARCH("NEGRO",INVENTARIO!C286)),"NEG",
IF(ISNUMBER(SEARCH("ROJO",INVENTARIO!C286)),"ROJ",
IF(ISNUMBER(SEARCH("AZUL",INVENTARIO!C286)),"AZU","")))))))))))))</f>
        <v>TRA</v>
      </c>
      <c r="F286" t="str">
        <f>IF(ISNUMBER(SEARCH("ARLON",INVENTARIO!C286)),"ARL",
IF(ISNUMBER(SEARCH("SUNTHINKS",INVENTARIO!C286)),"SUN",
IF(ISNUMBER(SEARCH("FRIO",INVENTARIO!C286)),"FRI",
IF(ISNUMBER(SEARCH("CALIDO",INVENTARIO!C286)),"CAL",
IF(ISNUMBER(SEARCH("CEPILLADO",INVENTARIO!C286)),"CEP",
IF(ISNUMBER(SEARCH("ESPEJO",INVENTARIO!C286)),"ESP",
""))))))</f>
        <v/>
      </c>
      <c r="G286" t="str">
        <f>IF(ISNUMBER(SEARCH("LATEX",INVENTARIO!C286)),"LAT",
IF(ISNUMBER(SEARCH("RESP. NEGRO",INVENTARIO!C286)),"RES-NEG",
IF(ISNUMBER(SEARCH("RESPALDO CAFE",INVENTARIO!C286)),"RES-CAF",
IF(ISNUMBER(SEARCH("RESPALDO GRIS",INVENTARIO!C286)),"RES-GRI",
IF(ISNUMBER(SEARCH("OPTICO",INVENTARIO!C286)),"OPT",
IF(ISNUMBER(SEARCH("1,2 MM",INVENTARIO!C286)),"1MM2",
IF(ISNUMBER(SEARCH("2 MM",INVENTARIO!C286)),"2MM",
IF(ISNUMBER(SEARCH("3 MM",INVENTARIO!C286)),"3MM",
IF(ISNUMBER(SEARCH("4 MM",INVENTARIO!C286)),"4MM",
IF(ISNUMBER(SEARCH("5 MM",INVENTARIO!C286)),"5MM",
IF(ISNUMBER(SEARCH("6 MM",INVENTARIO!C286)),"6MM",
IF(ISNUMBER(SEARCH("9 MM",INVENTARIO!C286)),"9MM",
IF(ISNUMBER(SEARCH("10 MM",INVENTARIO!C286)),"10MM","")))))))))))))</f>
        <v/>
      </c>
      <c r="H286" t="str">
        <f>IF(ISNUMBER(SEARCH("GAMA BAJA",INVENTARIO!C286)),"GAM-BAJ",
IF(ISNUMBER(SEARCH("OPTIMIZADOR",INVENTARIO!C286)),"OPT",
IF(ISNUMBER(SEARCH("OVERCOAT",INVENTARIO!C286)),"OVE",
IF(ISNUMBER(SEARCH("WHITE",INVENTARIO!C286)),"WHI",
IF(ISNUMBER(SEARCH("LIGHT CYAN",INVENTARIO!C286)),"LIG-CYA",
IF(ISNUMBER(SEARCH("CYAN",INVENTARIO!C286)),"CYA",
IF(ISNUMBER(SEARCH("LIGHT MAGENTA",INVENTARIO!C286)),"LIG-MAG",
IF(ISNUMBER(SEARCH("MAGENTA",INVENTARIO!C286)),"MAG",
IF(ISNUMBER(SEARCH("BLACK",INVENTARIO!C286)),"BLA",
IF(ISNUMBER(SEARCH("YELLOW",INVENTARIO!C286)),"YEL",
IF(ISNUMBER(SEARCH("2 DIODOS",INVENTARIO!C286)),"2DI",
IF(ISNUMBER(SEARCH("3 DIODOS",INVENTARIO!C286)),"3DI",
IF(OR(ISNUMBER(SEARCH("TRASLUCIDO",INVENTARIO!C286)),ISNUMBER(SEARCH("TRANSLUCIDO",INVENTARIO!C286))),"TRA",
"")))))))))))))</f>
        <v/>
      </c>
      <c r="I28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7" spans="1:9">
      <c r="A287" t="str">
        <f>IF(ISNUMBER(SEARCH("LONA",INVENTARIO!C287)),"LON",
IF(ISNUMBER(SEARCH("VINIL",INVENTARIO!C287)),"VIN",
IF(ISNUMBER(SEARCH("KROMACOTE",INVENTARIO!C287)),"KRO",
IF(ISNUMBER(SEARCH("STARDREAM",INVENTARIO!C287)),"STA",
IF(ISNUMBER(SEARCH("DISPLAY",INVENTARIO!C287)),"DIS",
IF(ISNUMBER(SEARCH("ROLL UP",INVENTARIO!C287)),"ROL-UP",
IF(ISNUMBER(SEARCH("TRANSFER DE PAPEL",INVENTARIO!C287)),"TRA-PAP",
IF(ISNUMBER(SEARCH("TRANSFER",INVENTARIO!C287)),"TRA",IF(ISNUMBER(SEARCH("KOLA LOKA",INVENTARIO!C287)),"KOL-LOK",
IF(ISNUMBER(SEARCH("PETG",INVENTARIO!C287)),"PET",
IF(ISNUMBER(SEARCH("OJILLO",INVENTARIO!C287)),"OJI",
IF(ISNUMBER(SEARCH("COUCHE",INVENTARIO!C287)),"COU",
IF(ISNUMBER(SEARCH("PANEL DE ALUMINIO",INVENTARIO!C287)),"PAN-ALU",
IF(ISNUMBER(SEARCH("PVC",INVENTARIO!C287)),"PVC",
IF(ISNUMBER(SEARCH("PAPEL",INVENTARIO!C287)),"PAP",
IF(ISNUMBER(SEARCH("TELA",INVENTARIO!C287)),"TEL",
IF(ISNUMBER(SEARCH("CARTULINA",INVENTARIO!C287)),"CAR",
IF(OR(ISNUMBER(SEARCH("LAMINA",INVENTARIO!C287)),ISNUMBER(SEARCH("LÁMINA",INVENTARIO!C287)),ISNUMBER(SEARCH("LAMPARAS",INVENTARIO!C287))),"LAM",
IF(ISNUMBER(SEARCH("ESTIRENO",INVENTARIO!C287)),"EST",
IF(ISNUMBER(SEARCH("FOAMBOARD",INVENTARIO!C287)),"FOA",
IF(ISNUMBER(SEARCH("SOLVENTE",INVENTARIO!C287)),"SOL",
IF(ISNUMBER(SEARCH("TINTA",INVENTARIO!C287)),"TIN",
IF(ISNUMBER(SEARCH("ACRILICO",INVENTARIO!C287)),"ACR",
IF(ISNUMBER(SEARCH("MICROLED",INVENTARIO!C287)),"MIC",
IF(ISNUMBER(SEARCH("LED",INVENTARIO!C287)),"LED",
IF(ISNUMBER(SEARCH("FUENTE DE PODER",INVENTARIO!C287)),"FUE-POD",
IF(ISNUMBER(SEARCH("PETG",INVENTARIO!C287)),"PET",
IF(ISNUMBER(SEARCH("ALUMINIO",INVENTARIO!C287)),"ALU",
IF(ISNUMBER(SEARCH("CANAL",INVENTARIO!C287)),"CAN",
IF(ISNUMBER(SEARCH("ESCUADRA",INVENTARIO!C287)),"ESC",
IF(ISNUMBER(SEARCH("SOPORTE",INVENTARIO!C287)),"SOP","OTR")
))))))))))))))))))))))))))))))</f>
        <v>OTR</v>
      </c>
      <c r="B287" t="str">
        <f>IF(ISNUMBER(SEARCH("CORTE",INVENTARIO!C287)),"COR",
IF(ISNUMBER(SEARCH("CITYLIGHT",INVENTARIO!C287)),"CIT",
IF(ISNUMBER(SEARCH("LINO",INVENTARIO!C287)),"LIN",
IF(ISNUMBER(SEARCH("FABRIANO",INVENTARIO!C287)),"FAB",
IF(ISNUMBER(SEARCH("SUNDANCE",INVENTARIO!C287)),"SUN",
IF(ISNUMBER(SEARCH("SINTETICA",INVENTARIO!C287)),"SIN",
IF(ISNUMBER(SEARCH("CONTROL",INVENTARIO!C287)),"CON",
IF(ISNUMBER(SEARCH("TERMICO",INVENTARIO!C287)),"TER",
IF(ISNUMBER(SEARCH("C-15",INVENTARIO!C287)),"C15",
IF(ISNUMBER(SEARCH("C-20",INVENTARIO!C287)),"C20",
IF(ISNUMBER(SEARCH("C-30",INVENTARIO!C287)),"C30",
IF(ISNUMBER(SEARCH("C-40",INVENTARIO!C287)),"C40",
IF(ISNUMBER(SEARCH("C-60",INVENTARIO!C287)),"C60",
IF(ISNUMBER(SEARCH("C-80",INVENTARIO!C287)),"C80",
IF(ISNUMBER(SEARCH("EQUIPO",INVENTARIO!C287)),"EQU",
IF(ISNUMBER(SEARCH("FLOOR",INVENTARIO!C287)),"FLO",
IF(ISNUMBER(SEARCH("CRISTAL",INVENTARIO!C287)),"CRI",
IF(ISNUMBER(SEARCH(" SULFATADA",INVENTARIO!C298)),"SUL",
IF(ISNUMBER(SEARCH("OPALINA",INVENTARIO!C287)),"OPA",
IF(ISNUMBER(SEARCH("ADHERIBLE",INVENTARIO!C287)),"ADH",
IF(ISNUMBER(SEARCH("MICRO",INVENTARIO!C287)),"MIC","")))))))))))))))))))))</f>
        <v>SUL</v>
      </c>
      <c r="C287" t="str">
        <f>IF(ISNUMBER(SEARCH("PARED",INVENTARIO!C287)),"PAR",
IF(ISNUMBER(SEARCH("FRONT",INVENTARIO!C287)),"FRO",
IF(ISNUMBER(SEARCH("ALTA RESISTENCIA",INVENTARIO!C287)),
"ALT-RES",IF(ISNUMBER(SEARCH("BACKLITE",INVENTARIO!C287)),"BAC",
IF(ISNUMBER(SEARCH("MATE",INVENTARIO!C287)),"MAT",
IF(ISNUMBER(SEARCH("MESH",INVENTARIO!C287)),"MES",
IF(ISNUMBER(SEARCH("BRILLANTE",INVENTARIO!C287)),"BRI",
IF(ISNUMBER(SEARCH("DELGADA",INVENTARIO!C287)),"DEL",
IF(ISNUMBER(SEARCH("GRUESA",INVENTARIO!C287)),"GRU",
IF(ISNUMBER(SEARCH("ESTATICO",INVENTARIO!C287)),"EST",
IF(ISNUMBER(SEARCH("REFLECTIVO",INVENTARIO!C287)),"REF",
IF(ISNUMBER(SEARCH("LX700",INVENTARIO!C287)),"LX7",
IF(ISNUMBER(SEARCH("GRANDO",INVENTARIO!C287)),"GRA",
IF(ISNUMBER(SEARCH("FB700",INVENTARIO!C287)),"FB7",
IF(ISNUMBER(SEARCH("LX360",INVENTARIO!C287)),"LX3",
IF(ISNUMBER(SEARCH("XEROX",INVENTARIO!C287)),"XER",
IF(ISNUMBER(SEARCH("CEPILLADO",INVENTARIO!C287)),"CEP",
IF(ISNUMBER(SEARCH("ESPEJO",INVENTARIO!C287)),"ESP",
IF(ISNUMBER(SEARCH("10 PTS",INVENTARIO!C287)),"10PT",
IF(ISNUMBER(SEARCH("12 PTS",INVENTARIO!C287)),"12PT",
IF(ISNUMBER(SEARCH("14 PTS",INVENTARIO!C287)),"14PT",
IF(ISNUMBER(SEARCH("CLASICO",INVENTARIO!C287)),"CLA",
""))))))))))))))))))))))</f>
        <v/>
      </c>
      <c r="D287" t="str">
        <f>IF(ISNUMBER(SEARCH("GRAN FORMATO",INVENTARIO!C287)),"GRA-FOR",
IF(ISNUMBER(SEARCH("CAMA PLANA",INVENTARIO!C287)),"CAM-PLA",
IF(ISNUMBER(SEARCH("GRADO INGENIERIA",INVENTARIO!C287)),"GRA-ING",
IF(ISNUMBER(SEARCH("130 GRS",INVENTARIO!C287)),"130GR",
IF(ISNUMBER(SEARCH("150 GRS",INVENTARIO!C287)),"150GR",
IF(ISNUMBER(SEARCH("185 GRS",INVENTARIO!C287)),"185GR",
IF(ISNUMBER(SEARCH("200 GRS",INVENTARIO!C287)),"200GR",
IF(ISNUMBER(SEARCH("250 GRS",INVENTARIO!C287)),"250GR",
IF(ISNUMBER(SEARCH("300 GRS",INVENTARIO!C287)),"300GR",
IF(ISNUMBER(SEARCH("350 GRS",INVENTARIO!C287)),"350GR",
IF(ISNUMBER(SEARCH("18 OZ",INVENTARIO!C287)),"18OZ",
IF(ISNUMBER(SEARCH("15 OZ",INVENTARIO!C287)),"15OZ",
IF(OR(ISNUMBER(SEARCH("13 OZ",INVENTARIO!C287)),ISNUMBER(SEARCH("13 ONZAS",INVENTARIO!C287))),"13OZ",
IF(OR(ISNUMBER(SEARCH("9 OZ",INVENTARIO!C287)),ISNUMBER(SEARCH("9 ONZAS",INVENTARIO!C287))),"09OZ",
IF(ISNUMBER(SEARCH("DOBLE CARA",INVENTARIO!C287)),"DOB-CAR",
"")))))))))))))))</f>
        <v/>
      </c>
      <c r="E287" t="str">
        <f>IF(OR(ISNUMBER(SEARCH("TRANSPARENTE",INVENTARIO!C287)),ISNUMBER(SEARCH("TRANSPARENTES",INVENTARIO!C287))),"TRA",
IF(OR(ISNUMBER(SEARCH("BLANCO",INVENTARIO!C287)),ISNUMBER(SEARCH("BCO",INVENTARIO!C287))),"BLA",
IF(ISNUMBER(SEARCH("FOTOGRAFICO",INVENTARIO!C287)),"FOT",
IF(ISNUMBER(SEARCH("MARFIL",INVENTARIO!C287)),"MAR",
IF(ISNUMBER(SEARCH("VERDE",INVENTARIO!C287)),"VER",
IF(ISNUMBER(SEARCH("MORADO",INVENTARIO!C287)),"MOR",
IF(ISNUMBER(SEARCH("PLATA",INVENTARIO!C287)),"PLA",
IF(ISNUMBER(SEARCH("ORO",INVENTARIO!C287)),"ORO",
IF(ISNUMBER(SEARCH("AMARILLO",INVENTARIO!C287)),"AMA",
IF(ISNUMBER(SEARCH("NARANJA",INVENTARIO!C287)),"NAR",
IF(ISNUMBER(SEARCH("NEGRO",INVENTARIO!C287)),"NEG",
IF(ISNUMBER(SEARCH("ROJO",INVENTARIO!C287)),"ROJ",
IF(ISNUMBER(SEARCH("AZUL",INVENTARIO!C287)),"AZU","")))))))))))))</f>
        <v/>
      </c>
      <c r="F287" t="str">
        <f>IF(ISNUMBER(SEARCH("ARLON",INVENTARIO!C287)),"ARL",
IF(ISNUMBER(SEARCH("SUNTHINKS",INVENTARIO!C287)),"SUN",
IF(ISNUMBER(SEARCH("FRIO",INVENTARIO!C287)),"FRI",
IF(ISNUMBER(SEARCH("CALIDO",INVENTARIO!C287)),"CAL",
IF(ISNUMBER(SEARCH("CEPILLADO",INVENTARIO!C287)),"CEP",
IF(ISNUMBER(SEARCH("ESPEJO",INVENTARIO!C287)),"ESP",
""))))))</f>
        <v/>
      </c>
      <c r="G287" t="str">
        <f>IF(ISNUMBER(SEARCH("LATEX",INVENTARIO!C287)),"LAT",
IF(ISNUMBER(SEARCH("RESP. NEGRO",INVENTARIO!C287)),"RES-NEG",
IF(ISNUMBER(SEARCH("RESPALDO CAFE",INVENTARIO!C287)),"RES-CAF",
IF(ISNUMBER(SEARCH("RESPALDO GRIS",INVENTARIO!C287)),"RES-GRI",
IF(ISNUMBER(SEARCH("OPTICO",INVENTARIO!C287)),"OPT",
IF(ISNUMBER(SEARCH("1,2 MM",INVENTARIO!C287)),"1MM2",
IF(ISNUMBER(SEARCH("2 MM",INVENTARIO!C287)),"2MM",
IF(ISNUMBER(SEARCH("3 MM",INVENTARIO!C287)),"3MM",
IF(ISNUMBER(SEARCH("4 MM",INVENTARIO!C287)),"4MM",
IF(ISNUMBER(SEARCH("5 MM",INVENTARIO!C287)),"5MM",
IF(ISNUMBER(SEARCH("6 MM",INVENTARIO!C287)),"6MM",
IF(ISNUMBER(SEARCH("9 MM",INVENTARIO!C287)),"9MM",
IF(ISNUMBER(SEARCH("10 MM",INVENTARIO!C287)),"10MM","")))))))))))))</f>
        <v/>
      </c>
      <c r="H287" t="str">
        <f>IF(ISNUMBER(SEARCH("GAMA BAJA",INVENTARIO!C287)),"GAM-BAJ",
IF(ISNUMBER(SEARCH("OPTIMIZADOR",INVENTARIO!C287)),"OPT",
IF(ISNUMBER(SEARCH("OVERCOAT",INVENTARIO!C287)),"OVE",
IF(ISNUMBER(SEARCH("WHITE",INVENTARIO!C287)),"WHI",
IF(ISNUMBER(SEARCH("LIGHT CYAN",INVENTARIO!C287)),"LIG-CYA",
IF(ISNUMBER(SEARCH("CYAN",INVENTARIO!C287)),"CYA",
IF(ISNUMBER(SEARCH("LIGHT MAGENTA",INVENTARIO!C287)),"LIG-MAG",
IF(ISNUMBER(SEARCH("MAGENTA",INVENTARIO!C287)),"MAG",
IF(ISNUMBER(SEARCH("BLACK",INVENTARIO!C287)),"BLA",
IF(ISNUMBER(SEARCH("YELLOW",INVENTARIO!C287)),"YEL",
IF(ISNUMBER(SEARCH("2 DIODOS",INVENTARIO!C287)),"2DI",
IF(ISNUMBER(SEARCH("3 DIODOS",INVENTARIO!C287)),"3DI",
IF(OR(ISNUMBER(SEARCH("TRASLUCIDO",INVENTARIO!C287)),ISNUMBER(SEARCH("TRANSLUCIDO",INVENTARIO!C287))),"TRA",
"")))))))))))))</f>
        <v/>
      </c>
      <c r="I287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8" spans="1:9">
      <c r="A288" t="str">
        <f>IF(ISNUMBER(SEARCH("LONA",INVENTARIO!C288)),"LON",
IF(ISNUMBER(SEARCH("VINIL",INVENTARIO!C288)),"VIN",
IF(ISNUMBER(SEARCH("KROMACOTE",INVENTARIO!C288)),"KRO",
IF(ISNUMBER(SEARCH("STARDREAM",INVENTARIO!C288)),"STA",
IF(ISNUMBER(SEARCH("DISPLAY",INVENTARIO!C288)),"DIS",
IF(ISNUMBER(SEARCH("ROLL UP",INVENTARIO!C288)),"ROL-UP",
IF(ISNUMBER(SEARCH("TRANSFER DE PAPEL",INVENTARIO!C288)),"TRA-PAP",
IF(ISNUMBER(SEARCH("TRANSFER",INVENTARIO!C288)),"TRA",IF(ISNUMBER(SEARCH("KOLA LOKA",INVENTARIO!C288)),"KOL-LOK",
IF(ISNUMBER(SEARCH("PETG",INVENTARIO!C288)),"PET",
IF(ISNUMBER(SEARCH("OJILLO",INVENTARIO!C288)),"OJI",
IF(ISNUMBER(SEARCH("COUCHE",INVENTARIO!C288)),"COU",
IF(ISNUMBER(SEARCH("PANEL DE ALUMINIO",INVENTARIO!C288)),"PAN-ALU",
IF(ISNUMBER(SEARCH("PVC",INVENTARIO!C288)),"PVC",
IF(ISNUMBER(SEARCH("PAPEL",INVENTARIO!C288)),"PAP",
IF(ISNUMBER(SEARCH("TELA",INVENTARIO!C288)),"TEL",
IF(ISNUMBER(SEARCH("CARTULINA",INVENTARIO!C288)),"CAR",
IF(OR(ISNUMBER(SEARCH("LAMINA",INVENTARIO!C288)),ISNUMBER(SEARCH("LÁMINA",INVENTARIO!C288)),ISNUMBER(SEARCH("LAMPARAS",INVENTARIO!C288))),"LAM",
IF(ISNUMBER(SEARCH("ESTIRENO",INVENTARIO!C288)),"EST",
IF(ISNUMBER(SEARCH("FOAMBOARD",INVENTARIO!C288)),"FOA",
IF(ISNUMBER(SEARCH("SOLVENTE",INVENTARIO!C288)),"SOL",
IF(ISNUMBER(SEARCH("TINTA",INVENTARIO!C288)),"TIN",
IF(ISNUMBER(SEARCH("ACRILICO",INVENTARIO!C288)),"ACR",
IF(ISNUMBER(SEARCH("MICROLED",INVENTARIO!C288)),"MIC",
IF(ISNUMBER(SEARCH("LED",INVENTARIO!C288)),"LED",
IF(ISNUMBER(SEARCH("FUENTE DE PODER",INVENTARIO!C288)),"FUE-POD",
IF(ISNUMBER(SEARCH("PETG",INVENTARIO!C288)),"PET",
IF(ISNUMBER(SEARCH("ALUMINIO",INVENTARIO!C288)),"ALU",
IF(ISNUMBER(SEARCH("CANAL",INVENTARIO!C288)),"CAN",
IF(ISNUMBER(SEARCH("ESCUADRA",INVENTARIO!C288)),"ESC",
IF(ISNUMBER(SEARCH("SOPORTE",INVENTARIO!C288)),"SOP","OTR")
))))))))))))))))))))))))))))))</f>
        <v>OTR</v>
      </c>
      <c r="B288" t="str">
        <f>IF(ISNUMBER(SEARCH("CORTE",INVENTARIO!C288)),"COR",
IF(ISNUMBER(SEARCH("CITYLIGHT",INVENTARIO!C288)),"CIT",
IF(ISNUMBER(SEARCH("LINO",INVENTARIO!C288)),"LIN",
IF(ISNUMBER(SEARCH("FABRIANO",INVENTARIO!C288)),"FAB",
IF(ISNUMBER(SEARCH("SUNDANCE",INVENTARIO!C288)),"SUN",
IF(ISNUMBER(SEARCH("SINTETICA",INVENTARIO!C288)),"SIN",
IF(ISNUMBER(SEARCH("CONTROL",INVENTARIO!C288)),"CON",
IF(ISNUMBER(SEARCH("TERMICO",INVENTARIO!C288)),"TER",
IF(ISNUMBER(SEARCH("C-15",INVENTARIO!C288)),"C15",
IF(ISNUMBER(SEARCH("C-20",INVENTARIO!C288)),"C20",
IF(ISNUMBER(SEARCH("C-30",INVENTARIO!C288)),"C30",
IF(ISNUMBER(SEARCH("C-40",INVENTARIO!C288)),"C40",
IF(ISNUMBER(SEARCH("C-60",INVENTARIO!C288)),"C60",
IF(ISNUMBER(SEARCH("C-80",INVENTARIO!C288)),"C80",
IF(ISNUMBER(SEARCH("EQUIPO",INVENTARIO!C288)),"EQU",
IF(ISNUMBER(SEARCH("FLOOR",INVENTARIO!C288)),"FLO",
IF(ISNUMBER(SEARCH("CRISTAL",INVENTARIO!C288)),"CRI",
IF(ISNUMBER(SEARCH(" SULFATADA",INVENTARIO!C299)),"SUL",
IF(ISNUMBER(SEARCH("OPALINA",INVENTARIO!C288)),"OPA",
IF(ISNUMBER(SEARCH("ADHERIBLE",INVENTARIO!C288)),"ADH",
IF(ISNUMBER(SEARCH("MICRO",INVENTARIO!C288)),"MIC","")))))))))))))))))))))</f>
        <v>SUL</v>
      </c>
      <c r="C288" t="str">
        <f>IF(ISNUMBER(SEARCH("PARED",INVENTARIO!C288)),"PAR",
IF(ISNUMBER(SEARCH("FRONT",INVENTARIO!C288)),"FRO",
IF(ISNUMBER(SEARCH("ALTA RESISTENCIA",INVENTARIO!C288)),
"ALT-RES",IF(ISNUMBER(SEARCH("BACKLITE",INVENTARIO!C288)),"BAC",
IF(ISNUMBER(SEARCH("MATE",INVENTARIO!C288)),"MAT",
IF(ISNUMBER(SEARCH("MESH",INVENTARIO!C288)),"MES",
IF(ISNUMBER(SEARCH("BRILLANTE",INVENTARIO!C288)),"BRI",
IF(ISNUMBER(SEARCH("DELGADA",INVENTARIO!C288)),"DEL",
IF(ISNUMBER(SEARCH("GRUESA",INVENTARIO!C288)),"GRU",
IF(ISNUMBER(SEARCH("ESTATICO",INVENTARIO!C288)),"EST",
IF(ISNUMBER(SEARCH("REFLECTIVO",INVENTARIO!C288)),"REF",
IF(ISNUMBER(SEARCH("LX700",INVENTARIO!C288)),"LX7",
IF(ISNUMBER(SEARCH("GRANDO",INVENTARIO!C288)),"GRA",
IF(ISNUMBER(SEARCH("FB700",INVENTARIO!C288)),"FB7",
IF(ISNUMBER(SEARCH("LX360",INVENTARIO!C288)),"LX3",
IF(ISNUMBER(SEARCH("XEROX",INVENTARIO!C288)),"XER",
IF(ISNUMBER(SEARCH("CEPILLADO",INVENTARIO!C288)),"CEP",
IF(ISNUMBER(SEARCH("ESPEJO",INVENTARIO!C288)),"ESP",
IF(ISNUMBER(SEARCH("10 PTS",INVENTARIO!C288)),"10PT",
IF(ISNUMBER(SEARCH("12 PTS",INVENTARIO!C288)),"12PT",
IF(ISNUMBER(SEARCH("14 PTS",INVENTARIO!C288)),"14PT",
IF(ISNUMBER(SEARCH("CLASICO",INVENTARIO!C288)),"CLA",
""))))))))))))))))))))))</f>
        <v/>
      </c>
      <c r="D288" t="str">
        <f>IF(ISNUMBER(SEARCH("GRAN FORMATO",INVENTARIO!C288)),"GRA-FOR",
IF(ISNUMBER(SEARCH("CAMA PLANA",INVENTARIO!C288)),"CAM-PLA",
IF(ISNUMBER(SEARCH("GRADO INGENIERIA",INVENTARIO!C288)),"GRA-ING",
IF(ISNUMBER(SEARCH("130 GRS",INVENTARIO!C288)),"130GR",
IF(ISNUMBER(SEARCH("150 GRS",INVENTARIO!C288)),"150GR",
IF(ISNUMBER(SEARCH("185 GRS",INVENTARIO!C288)),"185GR",
IF(ISNUMBER(SEARCH("200 GRS",INVENTARIO!C288)),"200GR",
IF(ISNUMBER(SEARCH("250 GRS",INVENTARIO!C288)),"250GR",
IF(ISNUMBER(SEARCH("300 GRS",INVENTARIO!C288)),"300GR",
IF(ISNUMBER(SEARCH("350 GRS",INVENTARIO!C288)),"350GR",
IF(ISNUMBER(SEARCH("18 OZ",INVENTARIO!C288)),"18OZ",
IF(ISNUMBER(SEARCH("15 OZ",INVENTARIO!C288)),"15OZ",
IF(OR(ISNUMBER(SEARCH("13 OZ",INVENTARIO!C288)),ISNUMBER(SEARCH("13 ONZAS",INVENTARIO!C288))),"13OZ",
IF(OR(ISNUMBER(SEARCH("9 OZ",INVENTARIO!C288)),ISNUMBER(SEARCH("9 ONZAS",INVENTARIO!C288))),"09OZ",
IF(ISNUMBER(SEARCH("DOBLE CARA",INVENTARIO!C288)),"DOB-CAR",
"")))))))))))))))</f>
        <v/>
      </c>
      <c r="E288" t="str">
        <f>IF(OR(ISNUMBER(SEARCH("TRANSPARENTE",INVENTARIO!C288)),ISNUMBER(SEARCH("TRANSPARENTES",INVENTARIO!C288))),"TRA",
IF(OR(ISNUMBER(SEARCH("BLANCO",INVENTARIO!C288)),ISNUMBER(SEARCH("BCO",INVENTARIO!C288))),"BLA",
IF(ISNUMBER(SEARCH("FOTOGRAFICO",INVENTARIO!C288)),"FOT",
IF(ISNUMBER(SEARCH("MARFIL",INVENTARIO!C288)),"MAR",
IF(ISNUMBER(SEARCH("VERDE",INVENTARIO!C288)),"VER",
IF(ISNUMBER(SEARCH("MORADO",INVENTARIO!C288)),"MOR",
IF(ISNUMBER(SEARCH("PLATA",INVENTARIO!C288)),"PLA",
IF(ISNUMBER(SEARCH("ORO",INVENTARIO!C288)),"ORO",
IF(ISNUMBER(SEARCH("AMARILLO",INVENTARIO!C288)),"AMA",
IF(ISNUMBER(SEARCH("NARANJA",INVENTARIO!C288)),"NAR",
IF(ISNUMBER(SEARCH("NEGRO",INVENTARIO!C288)),"NEG",
IF(ISNUMBER(SEARCH("ROJO",INVENTARIO!C288)),"ROJ",
IF(ISNUMBER(SEARCH("AZUL",INVENTARIO!C288)),"AZU","")))))))))))))</f>
        <v/>
      </c>
      <c r="F288" t="str">
        <f>IF(ISNUMBER(SEARCH("ARLON",INVENTARIO!C288)),"ARL",
IF(ISNUMBER(SEARCH("SUNTHINKS",INVENTARIO!C288)),"SUN",
IF(ISNUMBER(SEARCH("FRIO",INVENTARIO!C288)),"FRI",
IF(ISNUMBER(SEARCH("CALIDO",INVENTARIO!C288)),"CAL",
IF(ISNUMBER(SEARCH("CEPILLADO",INVENTARIO!C288)),"CEP",
IF(ISNUMBER(SEARCH("ESPEJO",INVENTARIO!C288)),"ESP",
""))))))</f>
        <v/>
      </c>
      <c r="G288" t="str">
        <f>IF(ISNUMBER(SEARCH("LATEX",INVENTARIO!C288)),"LAT",
IF(ISNUMBER(SEARCH("RESP. NEGRO",INVENTARIO!C288)),"RES-NEG",
IF(ISNUMBER(SEARCH("RESPALDO CAFE",INVENTARIO!C288)),"RES-CAF",
IF(ISNUMBER(SEARCH("RESPALDO GRIS",INVENTARIO!C288)),"RES-GRI",
IF(ISNUMBER(SEARCH("OPTICO",INVENTARIO!C288)),"OPT",
IF(ISNUMBER(SEARCH("1,2 MM",INVENTARIO!C288)),"1MM2",
IF(ISNUMBER(SEARCH("2 MM",INVENTARIO!C288)),"2MM",
IF(ISNUMBER(SEARCH("3 MM",INVENTARIO!C288)),"3MM",
IF(ISNUMBER(SEARCH("4 MM",INVENTARIO!C288)),"4MM",
IF(ISNUMBER(SEARCH("5 MM",INVENTARIO!C288)),"5MM",
IF(ISNUMBER(SEARCH("6 MM",INVENTARIO!C288)),"6MM",
IF(ISNUMBER(SEARCH("9 MM",INVENTARIO!C288)),"9MM",
IF(ISNUMBER(SEARCH("10 MM",INVENTARIO!C288)),"10MM","")))))))))))))</f>
        <v/>
      </c>
      <c r="H288" t="str">
        <f>IF(ISNUMBER(SEARCH("GAMA BAJA",INVENTARIO!C288)),"GAM-BAJ",
IF(ISNUMBER(SEARCH("OPTIMIZADOR",INVENTARIO!C288)),"OPT",
IF(ISNUMBER(SEARCH("OVERCOAT",INVENTARIO!C288)),"OVE",
IF(ISNUMBER(SEARCH("WHITE",INVENTARIO!C288)),"WHI",
IF(ISNUMBER(SEARCH("LIGHT CYAN",INVENTARIO!C288)),"LIG-CYA",
IF(ISNUMBER(SEARCH("CYAN",INVENTARIO!C288)),"CYA",
IF(ISNUMBER(SEARCH("LIGHT MAGENTA",INVENTARIO!C288)),"LIG-MAG",
IF(ISNUMBER(SEARCH("MAGENTA",INVENTARIO!C288)),"MAG",
IF(ISNUMBER(SEARCH("BLACK",INVENTARIO!C288)),"BLA",
IF(ISNUMBER(SEARCH("YELLOW",INVENTARIO!C288)),"YEL",
IF(ISNUMBER(SEARCH("2 DIODOS",INVENTARIO!C288)),"2DI",
IF(ISNUMBER(SEARCH("3 DIODOS",INVENTARIO!C288)),"3DI",
IF(OR(ISNUMBER(SEARCH("TRASLUCIDO",INVENTARIO!C288)),ISNUMBER(SEARCH("TRANSLUCIDO",INVENTARIO!C288))),"TRA",
"")))))))))))))</f>
        <v/>
      </c>
      <c r="I288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89" spans="1:9">
      <c r="A289" t="str">
        <f>IF(ISNUMBER(SEARCH("LONA",INVENTARIO!C289)),"LON",
IF(ISNUMBER(SEARCH("VINIL",INVENTARIO!C289)),"VIN",
IF(ISNUMBER(SEARCH("KROMACOTE",INVENTARIO!C289)),"KRO",
IF(ISNUMBER(SEARCH("STARDREAM",INVENTARIO!C289)),"STA",
IF(ISNUMBER(SEARCH("DISPLAY",INVENTARIO!C289)),"DIS",
IF(ISNUMBER(SEARCH("ROLL UP",INVENTARIO!C289)),"ROL-UP",
IF(ISNUMBER(SEARCH("TRANSFER DE PAPEL",INVENTARIO!C289)),"TRA-PAP",
IF(ISNUMBER(SEARCH("TRANSFER",INVENTARIO!C289)),"TRA",IF(ISNUMBER(SEARCH("KOLA LOKA",INVENTARIO!C289)),"KOL-LOK",
IF(ISNUMBER(SEARCH("PETG",INVENTARIO!C289)),"PET",
IF(ISNUMBER(SEARCH("OJILLO",INVENTARIO!C289)),"OJI",
IF(ISNUMBER(SEARCH("COUCHE",INVENTARIO!C289)),"COU",
IF(ISNUMBER(SEARCH("PANEL DE ALUMINIO",INVENTARIO!C289)),"PAN-ALU",
IF(ISNUMBER(SEARCH("PVC",INVENTARIO!C289)),"PVC",
IF(ISNUMBER(SEARCH("PAPEL",INVENTARIO!C289)),"PAP",
IF(ISNUMBER(SEARCH("TELA",INVENTARIO!C289)),"TEL",
IF(ISNUMBER(SEARCH("CARTULINA",INVENTARIO!C289)),"CAR",
IF(OR(ISNUMBER(SEARCH("LAMINA",INVENTARIO!C289)),ISNUMBER(SEARCH("LÁMINA",INVENTARIO!C289)),ISNUMBER(SEARCH("LAMPARAS",INVENTARIO!C289))),"LAM",
IF(ISNUMBER(SEARCH("ESTIRENO",INVENTARIO!C289)),"EST",
IF(ISNUMBER(SEARCH("FOAMBOARD",INVENTARIO!C289)),"FOA",
IF(ISNUMBER(SEARCH("SOLVENTE",INVENTARIO!C289)),"SOL",
IF(ISNUMBER(SEARCH("TINTA",INVENTARIO!C289)),"TIN",
IF(ISNUMBER(SEARCH("ACRILICO",INVENTARIO!C289)),"ACR",
IF(ISNUMBER(SEARCH("MICROLED",INVENTARIO!C289)),"MIC",
IF(ISNUMBER(SEARCH("LED",INVENTARIO!C289)),"LED",
IF(ISNUMBER(SEARCH("FUENTE DE PODER",INVENTARIO!C289)),"FUE-POD",
IF(ISNUMBER(SEARCH("PETG",INVENTARIO!C289)),"PET",
IF(ISNUMBER(SEARCH("ALUMINIO",INVENTARIO!C289)),"ALU",
IF(ISNUMBER(SEARCH("CANAL",INVENTARIO!C289)),"CAN",
IF(ISNUMBER(SEARCH("ESCUADRA",INVENTARIO!C289)),"ESC",
IF(ISNUMBER(SEARCH("SOPORTE",INVENTARIO!C289)),"SOP","OTR")
))))))))))))))))))))))))))))))</f>
        <v>OTR</v>
      </c>
      <c r="B289" t="str">
        <f>IF(ISNUMBER(SEARCH("CORTE",INVENTARIO!C289)),"COR",
IF(ISNUMBER(SEARCH("CITYLIGHT",INVENTARIO!C289)),"CIT",
IF(ISNUMBER(SEARCH("LINO",INVENTARIO!C289)),"LIN",
IF(ISNUMBER(SEARCH("FABRIANO",INVENTARIO!C289)),"FAB",
IF(ISNUMBER(SEARCH("SUNDANCE",INVENTARIO!C289)),"SUN",
IF(ISNUMBER(SEARCH("SINTETICA",INVENTARIO!C289)),"SIN",
IF(ISNUMBER(SEARCH("CONTROL",INVENTARIO!C289)),"CON",
IF(ISNUMBER(SEARCH("TERMICO",INVENTARIO!C289)),"TER",
IF(ISNUMBER(SEARCH("C-15",INVENTARIO!C289)),"C15",
IF(ISNUMBER(SEARCH("C-20",INVENTARIO!C289)),"C20",
IF(ISNUMBER(SEARCH("C-30",INVENTARIO!C289)),"C30",
IF(ISNUMBER(SEARCH("C-40",INVENTARIO!C289)),"C40",
IF(ISNUMBER(SEARCH("C-60",INVENTARIO!C289)),"C60",
IF(ISNUMBER(SEARCH("C-80",INVENTARIO!C289)),"C80",
IF(ISNUMBER(SEARCH("EQUIPO",INVENTARIO!C289)),"EQU",
IF(ISNUMBER(SEARCH("FLOOR",INVENTARIO!C289)),"FLO",
IF(ISNUMBER(SEARCH("CRISTAL",INVENTARIO!C289)),"CRI",
IF(ISNUMBER(SEARCH(" SULFATADA",INVENTARIO!C300)),"SUL",
IF(ISNUMBER(SEARCH("OPALINA",INVENTARIO!C289)),"OPA",
IF(ISNUMBER(SEARCH("ADHERIBLE",INVENTARIO!C289)),"ADH",
IF(ISNUMBER(SEARCH("MICRO",INVENTARIO!C289)),"MIC","")))))))))))))))))))))</f>
        <v/>
      </c>
      <c r="C289" t="str">
        <f>IF(ISNUMBER(SEARCH("PARED",INVENTARIO!C289)),"PAR",
IF(ISNUMBER(SEARCH("FRONT",INVENTARIO!C289)),"FRO",
IF(ISNUMBER(SEARCH("ALTA RESISTENCIA",INVENTARIO!C289)),
"ALT-RES",IF(ISNUMBER(SEARCH("BACKLITE",INVENTARIO!C289)),"BAC",
IF(ISNUMBER(SEARCH("MATE",INVENTARIO!C289)),"MAT",
IF(ISNUMBER(SEARCH("MESH",INVENTARIO!C289)),"MES",
IF(ISNUMBER(SEARCH("BRILLANTE",INVENTARIO!C289)),"BRI",
IF(ISNUMBER(SEARCH("DELGADA",INVENTARIO!C289)),"DEL",
IF(ISNUMBER(SEARCH("GRUESA",INVENTARIO!C289)),"GRU",
IF(ISNUMBER(SEARCH("ESTATICO",INVENTARIO!C289)),"EST",
IF(ISNUMBER(SEARCH("REFLECTIVO",INVENTARIO!C289)),"REF",
IF(ISNUMBER(SEARCH("LX700",INVENTARIO!C289)),"LX7",
IF(ISNUMBER(SEARCH("GRANDO",INVENTARIO!C289)),"GRA",
IF(ISNUMBER(SEARCH("FB700",INVENTARIO!C289)),"FB7",
IF(ISNUMBER(SEARCH("LX360",INVENTARIO!C289)),"LX3",
IF(ISNUMBER(SEARCH("XEROX",INVENTARIO!C289)),"XER",
IF(ISNUMBER(SEARCH("CEPILLADO",INVENTARIO!C289)),"CEP",
IF(ISNUMBER(SEARCH("ESPEJO",INVENTARIO!C289)),"ESP",
IF(ISNUMBER(SEARCH("10 PTS",INVENTARIO!C289)),"10PT",
IF(ISNUMBER(SEARCH("12 PTS",INVENTARIO!C289)),"12PT",
IF(ISNUMBER(SEARCH("14 PTS",INVENTARIO!C289)),"14PT",
IF(ISNUMBER(SEARCH("CLASICO",INVENTARIO!C289)),"CLA",
""))))))))))))))))))))))</f>
        <v/>
      </c>
      <c r="D289" t="str">
        <f>IF(ISNUMBER(SEARCH("GRAN FORMATO",INVENTARIO!C289)),"GRA-FOR",
IF(ISNUMBER(SEARCH("CAMA PLANA",INVENTARIO!C289)),"CAM-PLA",
IF(ISNUMBER(SEARCH("GRADO INGENIERIA",INVENTARIO!C289)),"GRA-ING",
IF(ISNUMBER(SEARCH("130 GRS",INVENTARIO!C289)),"130GR",
IF(ISNUMBER(SEARCH("150 GRS",INVENTARIO!C289)),"150GR",
IF(ISNUMBER(SEARCH("185 GRS",INVENTARIO!C289)),"185GR",
IF(ISNUMBER(SEARCH("200 GRS",INVENTARIO!C289)),"200GR",
IF(ISNUMBER(SEARCH("250 GRS",INVENTARIO!C289)),"250GR",
IF(ISNUMBER(SEARCH("300 GRS",INVENTARIO!C289)),"300GR",
IF(ISNUMBER(SEARCH("350 GRS",INVENTARIO!C289)),"350GR",
IF(ISNUMBER(SEARCH("18 OZ",INVENTARIO!C289)),"18OZ",
IF(ISNUMBER(SEARCH("15 OZ",INVENTARIO!C289)),"15OZ",
IF(OR(ISNUMBER(SEARCH("13 OZ",INVENTARIO!C289)),ISNUMBER(SEARCH("13 ONZAS",INVENTARIO!C289))),"13OZ",
IF(OR(ISNUMBER(SEARCH("9 OZ",INVENTARIO!C289)),ISNUMBER(SEARCH("9 ONZAS",INVENTARIO!C289))),"09OZ",
IF(ISNUMBER(SEARCH("DOBLE CARA",INVENTARIO!C289)),"DOB-CAR",
"")))))))))))))))</f>
        <v/>
      </c>
      <c r="E289" t="str">
        <f>IF(OR(ISNUMBER(SEARCH("TRANSPARENTE",INVENTARIO!C289)),ISNUMBER(SEARCH("TRANSPARENTES",INVENTARIO!C289))),"TRA",
IF(OR(ISNUMBER(SEARCH("BLANCO",INVENTARIO!C289)),ISNUMBER(SEARCH("BCO",INVENTARIO!C289))),"BLA",
IF(ISNUMBER(SEARCH("FOTOGRAFICO",INVENTARIO!C289)),"FOT",
IF(ISNUMBER(SEARCH("MARFIL",INVENTARIO!C289)),"MAR",
IF(ISNUMBER(SEARCH("VERDE",INVENTARIO!C289)),"VER",
IF(ISNUMBER(SEARCH("MORADO",INVENTARIO!C289)),"MOR",
IF(ISNUMBER(SEARCH("PLATA",INVENTARIO!C289)),"PLA",
IF(ISNUMBER(SEARCH("ORO",INVENTARIO!C289)),"ORO",
IF(ISNUMBER(SEARCH("AMARILLO",INVENTARIO!C289)),"AMA",
IF(ISNUMBER(SEARCH("NARANJA",INVENTARIO!C289)),"NAR",
IF(ISNUMBER(SEARCH("NEGRO",INVENTARIO!C289)),"NEG",
IF(ISNUMBER(SEARCH("ROJO",INVENTARIO!C289)),"ROJ",
IF(ISNUMBER(SEARCH("AZUL",INVENTARIO!C289)),"AZU","")))))))))))))</f>
        <v/>
      </c>
      <c r="F289" t="str">
        <f>IF(ISNUMBER(SEARCH("ARLON",INVENTARIO!C289)),"ARL",
IF(ISNUMBER(SEARCH("SUNTHINKS",INVENTARIO!C289)),"SUN",
IF(ISNUMBER(SEARCH("FRIO",INVENTARIO!C289)),"FRI",
IF(ISNUMBER(SEARCH("CALIDO",INVENTARIO!C289)),"CAL",
IF(ISNUMBER(SEARCH("CEPILLADO",INVENTARIO!C289)),"CEP",
IF(ISNUMBER(SEARCH("ESPEJO",INVENTARIO!C289)),"ESP",
""))))))</f>
        <v/>
      </c>
      <c r="G289" t="str">
        <f>IF(ISNUMBER(SEARCH("LATEX",INVENTARIO!C289)),"LAT",
IF(ISNUMBER(SEARCH("RESP. NEGRO",INVENTARIO!C289)),"RES-NEG",
IF(ISNUMBER(SEARCH("RESPALDO CAFE",INVENTARIO!C289)),"RES-CAF",
IF(ISNUMBER(SEARCH("RESPALDO GRIS",INVENTARIO!C289)),"RES-GRI",
IF(ISNUMBER(SEARCH("OPTICO",INVENTARIO!C289)),"OPT",
IF(ISNUMBER(SEARCH("1,2 MM",INVENTARIO!C289)),"1MM2",
IF(ISNUMBER(SEARCH("2 MM",INVENTARIO!C289)),"2MM",
IF(ISNUMBER(SEARCH("3 MM",INVENTARIO!C289)),"3MM",
IF(ISNUMBER(SEARCH("4 MM",INVENTARIO!C289)),"4MM",
IF(ISNUMBER(SEARCH("5 MM",INVENTARIO!C289)),"5MM",
IF(ISNUMBER(SEARCH("6 MM",INVENTARIO!C289)),"6MM",
IF(ISNUMBER(SEARCH("9 MM",INVENTARIO!C289)),"9MM",
IF(ISNUMBER(SEARCH("10 MM",INVENTARIO!C289)),"10MM","")))))))))))))</f>
        <v/>
      </c>
      <c r="H289" t="str">
        <f>IF(ISNUMBER(SEARCH("GAMA BAJA",INVENTARIO!C289)),"GAM-BAJ",
IF(ISNUMBER(SEARCH("OPTIMIZADOR",INVENTARIO!C289)),"OPT",
IF(ISNUMBER(SEARCH("OVERCOAT",INVENTARIO!C289)),"OVE",
IF(ISNUMBER(SEARCH("WHITE",INVENTARIO!C289)),"WHI",
IF(ISNUMBER(SEARCH("LIGHT CYAN",INVENTARIO!C289)),"LIG-CYA",
IF(ISNUMBER(SEARCH("CYAN",INVENTARIO!C289)),"CYA",
IF(ISNUMBER(SEARCH("LIGHT MAGENTA",INVENTARIO!C289)),"LIG-MAG",
IF(ISNUMBER(SEARCH("MAGENTA",INVENTARIO!C289)),"MAG",
IF(ISNUMBER(SEARCH("BLACK",INVENTARIO!C289)),"BLA",
IF(ISNUMBER(SEARCH("YELLOW",INVENTARIO!C289)),"YEL",
IF(ISNUMBER(SEARCH("2 DIODOS",INVENTARIO!C289)),"2DI",
IF(ISNUMBER(SEARCH("3 DIODOS",INVENTARIO!C289)),"3DI",
IF(OR(ISNUMBER(SEARCH("TRASLUCIDO",INVENTARIO!C289)),ISNUMBER(SEARCH("TRANSLUCIDO",INVENTARIO!C289))),"TRA",
"")))))))))))))</f>
        <v/>
      </c>
      <c r="I289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90" spans="1:9">
      <c r="A290" t="str">
        <f>IF(ISNUMBER(SEARCH("LONA",INVENTARIO!C290)),"LON",
IF(ISNUMBER(SEARCH("VINIL",INVENTARIO!C290)),"VIN",
IF(ISNUMBER(SEARCH("KROMACOTE",INVENTARIO!C290)),"KRO",
IF(ISNUMBER(SEARCH("STARDREAM",INVENTARIO!C290)),"STA",
IF(ISNUMBER(SEARCH("DISPLAY",INVENTARIO!C290)),"DIS",
IF(ISNUMBER(SEARCH("ROLL UP",INVENTARIO!C290)),"ROL-UP",
IF(ISNUMBER(SEARCH("TRANSFER DE PAPEL",INVENTARIO!C290)),"TRA-PAP",
IF(ISNUMBER(SEARCH("TRANSFER",INVENTARIO!C290)),"TRA",IF(ISNUMBER(SEARCH("KOLA LOKA",INVENTARIO!C290)),"KOL-LOK",
IF(ISNUMBER(SEARCH("PETG",INVENTARIO!C290)),"PET",
IF(ISNUMBER(SEARCH("OJILLO",INVENTARIO!C290)),"OJI",
IF(ISNUMBER(SEARCH("COUCHE",INVENTARIO!C290)),"COU",
IF(ISNUMBER(SEARCH("PANEL DE ALUMINIO",INVENTARIO!C290)),"PAN-ALU",
IF(ISNUMBER(SEARCH("PVC",INVENTARIO!C290)),"PVC",
IF(ISNUMBER(SEARCH("PAPEL",INVENTARIO!C290)),"PAP",
IF(ISNUMBER(SEARCH("TELA",INVENTARIO!C290)),"TEL",
IF(ISNUMBER(SEARCH("CARTULINA",INVENTARIO!C290)),"CAR",
IF(OR(ISNUMBER(SEARCH("LAMINA",INVENTARIO!C290)),ISNUMBER(SEARCH("LÁMINA",INVENTARIO!C290)),ISNUMBER(SEARCH("LAMPARAS",INVENTARIO!C290))),"LAM",
IF(ISNUMBER(SEARCH("ESTIRENO",INVENTARIO!C290)),"EST",
IF(ISNUMBER(SEARCH("FOAMBOARD",INVENTARIO!C290)),"FOA",
IF(ISNUMBER(SEARCH("SOLVENTE",INVENTARIO!C290)),"SOL",
IF(ISNUMBER(SEARCH("TINTA",INVENTARIO!C290)),"TIN",
IF(ISNUMBER(SEARCH("ACRILICO",INVENTARIO!C290)),"ACR",
IF(ISNUMBER(SEARCH("MICROLED",INVENTARIO!C290)),"MIC",
IF(ISNUMBER(SEARCH("LED",INVENTARIO!C290)),"LED",
IF(ISNUMBER(SEARCH("FUENTE DE PODER",INVENTARIO!C290)),"FUE-POD",
IF(ISNUMBER(SEARCH("PETG",INVENTARIO!C290)),"PET",
IF(ISNUMBER(SEARCH("ALUMINIO",INVENTARIO!C290)),"ALU",
IF(ISNUMBER(SEARCH("CANAL",INVENTARIO!C290)),"CAN",
IF(ISNUMBER(SEARCH("ESCUADRA",INVENTARIO!C290)),"ESC",
IF(ISNUMBER(SEARCH("SOPORTE",INVENTARIO!C290)),"SOP","OTR")
))))))))))))))))))))))))))))))</f>
        <v>OTR</v>
      </c>
      <c r="B290" t="str">
        <f>IF(ISNUMBER(SEARCH("CORTE",INVENTARIO!C290)),"COR",
IF(ISNUMBER(SEARCH("CITYLIGHT",INVENTARIO!C290)),"CIT",
IF(ISNUMBER(SEARCH("LINO",INVENTARIO!C290)),"LIN",
IF(ISNUMBER(SEARCH("FABRIANO",INVENTARIO!C290)),"FAB",
IF(ISNUMBER(SEARCH("SUNDANCE",INVENTARIO!C290)),"SUN",
IF(ISNUMBER(SEARCH("SINTETICA",INVENTARIO!C290)),"SIN",
IF(ISNUMBER(SEARCH("CONTROL",INVENTARIO!C290)),"CON",
IF(ISNUMBER(SEARCH("TERMICO",INVENTARIO!C290)),"TER",
IF(ISNUMBER(SEARCH("C-15",INVENTARIO!C290)),"C15",
IF(ISNUMBER(SEARCH("C-20",INVENTARIO!C290)),"C20",
IF(ISNUMBER(SEARCH("C-30",INVENTARIO!C290)),"C30",
IF(ISNUMBER(SEARCH("C-40",INVENTARIO!C290)),"C40",
IF(ISNUMBER(SEARCH("C-60",INVENTARIO!C290)),"C60",
IF(ISNUMBER(SEARCH("C-80",INVENTARIO!C290)),"C80",
IF(ISNUMBER(SEARCH("EQUIPO",INVENTARIO!C290)),"EQU",
IF(ISNUMBER(SEARCH("FLOOR",INVENTARIO!C290)),"FLO",
IF(ISNUMBER(SEARCH("CRISTAL",INVENTARIO!C290)),"CRI",
IF(ISNUMBER(SEARCH(" SULFATADA",INVENTARIO!C301)),"SUL",
IF(ISNUMBER(SEARCH("OPALINA",INVENTARIO!C290)),"OPA",
IF(ISNUMBER(SEARCH("ADHERIBLE",INVENTARIO!C290)),"ADH",
IF(ISNUMBER(SEARCH("MICRO",INVENTARIO!C290)),"MIC","")))))))))))))))))))))</f>
        <v/>
      </c>
      <c r="C290" t="str">
        <f>IF(ISNUMBER(SEARCH("PARED",INVENTARIO!C290)),"PAR",
IF(ISNUMBER(SEARCH("FRONT",INVENTARIO!C290)),"FRO",
IF(ISNUMBER(SEARCH("ALTA RESISTENCIA",INVENTARIO!C290)),
"ALT-RES",IF(ISNUMBER(SEARCH("BACKLITE",INVENTARIO!C290)),"BAC",
IF(ISNUMBER(SEARCH("MATE",INVENTARIO!C290)),"MAT",
IF(ISNUMBER(SEARCH("MESH",INVENTARIO!C290)),"MES",
IF(ISNUMBER(SEARCH("BRILLANTE",INVENTARIO!C290)),"BRI",
IF(ISNUMBER(SEARCH("DELGADA",INVENTARIO!C290)),"DEL",
IF(ISNUMBER(SEARCH("GRUESA",INVENTARIO!C290)),"GRU",
IF(ISNUMBER(SEARCH("ESTATICO",INVENTARIO!C290)),"EST",
IF(ISNUMBER(SEARCH("REFLECTIVO",INVENTARIO!C290)),"REF",
IF(ISNUMBER(SEARCH("LX700",INVENTARIO!C290)),"LX7",
IF(ISNUMBER(SEARCH("GRANDO",INVENTARIO!C290)),"GRA",
IF(ISNUMBER(SEARCH("FB700",INVENTARIO!C290)),"FB7",
IF(ISNUMBER(SEARCH("LX360",INVENTARIO!C290)),"LX3",
IF(ISNUMBER(SEARCH("XEROX",INVENTARIO!C290)),"XER",
IF(ISNUMBER(SEARCH("CEPILLADO",INVENTARIO!C290)),"CEP",
IF(ISNUMBER(SEARCH("ESPEJO",INVENTARIO!C290)),"ESP",
IF(ISNUMBER(SEARCH("10 PTS",INVENTARIO!C290)),"10PT",
IF(ISNUMBER(SEARCH("12 PTS",INVENTARIO!C290)),"12PT",
IF(ISNUMBER(SEARCH("14 PTS",INVENTARIO!C290)),"14PT",
IF(ISNUMBER(SEARCH("CLASICO",INVENTARIO!C290)),"CLA",
""))))))))))))))))))))))</f>
        <v/>
      </c>
      <c r="D290" t="str">
        <f>IF(ISNUMBER(SEARCH("GRAN FORMATO",INVENTARIO!C290)),"GRA-FOR",
IF(ISNUMBER(SEARCH("CAMA PLANA",INVENTARIO!C290)),"CAM-PLA",
IF(ISNUMBER(SEARCH("GRADO INGENIERIA",INVENTARIO!C290)),"GRA-ING",
IF(ISNUMBER(SEARCH("130 GRS",INVENTARIO!C290)),"130GR",
IF(ISNUMBER(SEARCH("150 GRS",INVENTARIO!C290)),"150GR",
IF(ISNUMBER(SEARCH("185 GRS",INVENTARIO!C290)),"185GR",
IF(ISNUMBER(SEARCH("200 GRS",INVENTARIO!C290)),"200GR",
IF(ISNUMBER(SEARCH("250 GRS",INVENTARIO!C290)),"250GR",
IF(ISNUMBER(SEARCH("300 GRS",INVENTARIO!C290)),"300GR",
IF(ISNUMBER(SEARCH("350 GRS",INVENTARIO!C290)),"350GR",
IF(ISNUMBER(SEARCH("18 OZ",INVENTARIO!C290)),"18OZ",
IF(ISNUMBER(SEARCH("15 OZ",INVENTARIO!C290)),"15OZ",
IF(OR(ISNUMBER(SEARCH("13 OZ",INVENTARIO!C290)),ISNUMBER(SEARCH("13 ONZAS",INVENTARIO!C290))),"13OZ",
IF(OR(ISNUMBER(SEARCH("9 OZ",INVENTARIO!C290)),ISNUMBER(SEARCH("9 ONZAS",INVENTARIO!C290))),"09OZ",
IF(ISNUMBER(SEARCH("DOBLE CARA",INVENTARIO!C290)),"DOB-CAR",
"")))))))))))))))</f>
        <v/>
      </c>
      <c r="E290" t="str">
        <f>IF(OR(ISNUMBER(SEARCH("TRANSPARENTE",INVENTARIO!C290)),ISNUMBER(SEARCH("TRANSPARENTES",INVENTARIO!C290))),"TRA",
IF(OR(ISNUMBER(SEARCH("BLANCO",INVENTARIO!C290)),ISNUMBER(SEARCH("BCO",INVENTARIO!C290))),"BLA",
IF(ISNUMBER(SEARCH("FOTOGRAFICO",INVENTARIO!C290)),"FOT",
IF(ISNUMBER(SEARCH("MARFIL",INVENTARIO!C290)),"MAR",
IF(ISNUMBER(SEARCH("VERDE",INVENTARIO!C290)),"VER",
IF(ISNUMBER(SEARCH("MORADO",INVENTARIO!C290)),"MOR",
IF(ISNUMBER(SEARCH("PLATA",INVENTARIO!C290)),"PLA",
IF(ISNUMBER(SEARCH("ORO",INVENTARIO!C290)),"ORO",
IF(ISNUMBER(SEARCH("AMARILLO",INVENTARIO!C290)),"AMA",
IF(ISNUMBER(SEARCH("NARANJA",INVENTARIO!C290)),"NAR",
IF(ISNUMBER(SEARCH("NEGRO",INVENTARIO!C290)),"NEG",
IF(ISNUMBER(SEARCH("ROJO",INVENTARIO!C290)),"ROJ",
IF(ISNUMBER(SEARCH("AZUL",INVENTARIO!C290)),"AZU","")))))))))))))</f>
        <v>VER</v>
      </c>
      <c r="F290" t="str">
        <f>IF(ISNUMBER(SEARCH("ARLON",INVENTARIO!C290)),"ARL",
IF(ISNUMBER(SEARCH("SUNTHINKS",INVENTARIO!C290)),"SUN",
IF(ISNUMBER(SEARCH("FRIO",INVENTARIO!C290)),"FRI",
IF(ISNUMBER(SEARCH("CALIDO",INVENTARIO!C290)),"CAL",
IF(ISNUMBER(SEARCH("CEPILLADO",INVENTARIO!C290)),"CEP",
IF(ISNUMBER(SEARCH("ESPEJO",INVENTARIO!C290)),"ESP",
""))))))</f>
        <v/>
      </c>
      <c r="G290" t="str">
        <f>IF(ISNUMBER(SEARCH("LATEX",INVENTARIO!C290)),"LAT",
IF(ISNUMBER(SEARCH("RESP. NEGRO",INVENTARIO!C290)),"RES-NEG",
IF(ISNUMBER(SEARCH("RESPALDO CAFE",INVENTARIO!C290)),"RES-CAF",
IF(ISNUMBER(SEARCH("RESPALDO GRIS",INVENTARIO!C290)),"RES-GRI",
IF(ISNUMBER(SEARCH("OPTICO",INVENTARIO!C290)),"OPT",
IF(ISNUMBER(SEARCH("1,2 MM",INVENTARIO!C290)),"1MM2",
IF(ISNUMBER(SEARCH("2 MM",INVENTARIO!C290)),"2MM",
IF(ISNUMBER(SEARCH("3 MM",INVENTARIO!C290)),"3MM",
IF(ISNUMBER(SEARCH("4 MM",INVENTARIO!C290)),"4MM",
IF(ISNUMBER(SEARCH("5 MM",INVENTARIO!C290)),"5MM",
IF(ISNUMBER(SEARCH("6 MM",INVENTARIO!C290)),"6MM",
IF(ISNUMBER(SEARCH("9 MM",INVENTARIO!C290)),"9MM",
IF(ISNUMBER(SEARCH("10 MM",INVENTARIO!C290)),"10MM","")))))))))))))</f>
        <v/>
      </c>
      <c r="H290" t="str">
        <f>IF(ISNUMBER(SEARCH("GAMA BAJA",INVENTARIO!C290)),"GAM-BAJ",
IF(ISNUMBER(SEARCH("OPTIMIZADOR",INVENTARIO!C290)),"OPT",
IF(ISNUMBER(SEARCH("OVERCOAT",INVENTARIO!C290)),"OVE",
IF(ISNUMBER(SEARCH("WHITE",INVENTARIO!C290)),"WHI",
IF(ISNUMBER(SEARCH("LIGHT CYAN",INVENTARIO!C290)),"LIG-CYA",
IF(ISNUMBER(SEARCH("CYAN",INVENTARIO!C290)),"CYA",
IF(ISNUMBER(SEARCH("LIGHT MAGENTA",INVENTARIO!C290)),"LIG-MAG",
IF(ISNUMBER(SEARCH("MAGENTA",INVENTARIO!C290)),"MAG",
IF(ISNUMBER(SEARCH("BLACK",INVENTARIO!C290)),"BLA",
IF(ISNUMBER(SEARCH("YELLOW",INVENTARIO!C290)),"YEL",
IF(ISNUMBER(SEARCH("2 DIODOS",INVENTARIO!C290)),"2DI",
IF(ISNUMBER(SEARCH("3 DIODOS",INVENTARIO!C290)),"3DI",
IF(OR(ISNUMBER(SEARCH("TRASLUCIDO",INVENTARIO!C290)),ISNUMBER(SEARCH("TRANSLUCIDO",INVENTARIO!C290))),"TRA",
"")))))))))))))</f>
        <v/>
      </c>
      <c r="I290" t="str">
        <f>IF(ISNUMBER(SEARCH("SILED",INVENTARIO!C291)),"SI",
IF(ISNUMBER(SEARCH("SYDEMEX",INVENTARIO!C291)),"SY",
IF(ISNUMBER(SEARCH("ROHS",INVENTARIO!C291)),"RO",
IF(ISNUMBER(SEARCH("RISHANG",INVENTARIO!C291)),"RS",
IF(ISNUMBER(SEARCH("VYG",INVENTARIO!C291)),"VYG",
IF(ISNUMBER(SEARCH("COLED",INVENTARIO!C291)),"CO",""))))))</f>
        <v/>
      </c>
    </row>
    <row r="291" spans="1:9">
      <c r="A291" t="str">
        <f>IF(ISNUMBER(SEARCH("LONA",INVENTARIO!C291)),"LON",
IF(ISNUMBER(SEARCH("VINIL",INVENTARIO!C291)),"VIN",
IF(ISNUMBER(SEARCH("KROMACOTE",INVENTARIO!C291)),"KRO",
IF(ISNUMBER(SEARCH("STARDREAM",INVENTARIO!C291)),"STA",
IF(ISNUMBER(SEARCH("DISPLAY",INVENTARIO!C291)),"DIS",
IF(ISNUMBER(SEARCH("ROLL UP",INVENTARIO!C291)),"ROL-UP",
IF(ISNUMBER(SEARCH("TRANSFER DE PAPEL",INVENTARIO!C291)),"TRA-PAP",
IF(ISNUMBER(SEARCH("TRANSFER",INVENTARIO!C291)),"TRA",IF(ISNUMBER(SEARCH("KOLA LOKA",INVENTARIO!C291)),"KOL-LOK",
IF(ISNUMBER(SEARCH("PETG",INVENTARIO!C291)),"PET",
IF(ISNUMBER(SEARCH("OJILLO",INVENTARIO!C291)),"OJI",
IF(ISNUMBER(SEARCH("COUCHE",INVENTARIO!C291)),"COU",
IF(ISNUMBER(SEARCH("PANEL DE ALUMINIO",INVENTARIO!C291)),"PAN-ALU",
IF(ISNUMBER(SEARCH("PVC",INVENTARIO!C291)),"PVC",
IF(ISNUMBER(SEARCH("PAPEL",INVENTARIO!C291)),"PAP",
IF(ISNUMBER(SEARCH("TELA",INVENTARIO!C291)),"TEL",
IF(ISNUMBER(SEARCH("CARTULINA",INVENTARIO!C291)),"CAR",
IF(OR(ISNUMBER(SEARCH("LAMINA",INVENTARIO!C291)),ISNUMBER(SEARCH("LÁMINA",INVENTARIO!C291)),ISNUMBER(SEARCH("LAMPARAS",INVENTARIO!C291))),"LAM",
IF(ISNUMBER(SEARCH("ESTIRENO",INVENTARIO!C291)),"EST",
IF(ISNUMBER(SEARCH("FOAMBOARD",INVENTARIO!C291)),"FOA",
IF(ISNUMBER(SEARCH("SOLVENTE",INVENTARIO!C291)),"SOL",
IF(ISNUMBER(SEARCH("TINTA",INVENTARIO!C291)),"TIN",
IF(ISNUMBER(SEARCH("ACRILICO",INVENTARIO!C291)),"ACR",
IF(ISNUMBER(SEARCH("MICROLED",INVENTARIO!C291)),"MIC",
IF(ISNUMBER(SEARCH("LED",INVENTARIO!C291)),"LED",
IF(ISNUMBER(SEARCH("FUENTE DE PODER",INVENTARIO!C291)),"FUE-POD",
IF(ISNUMBER(SEARCH("PETG",INVENTARIO!C291)),"PET",
IF(ISNUMBER(SEARCH("ALUMINIO",INVENTARIO!C291)),"ALU",
IF(ISNUMBER(SEARCH("CANAL",INVENTARIO!C291)),"CAN",
IF(ISNUMBER(SEARCH("ESCUADRA",INVENTARIO!C291)),"ESC",
IF(ISNUMBER(SEARCH("SOPORTE",INVENTARIO!C291)),"SOP","OTR")
))))))))))))))))))))))))))))))</f>
        <v>ESC</v>
      </c>
      <c r="B291" t="str">
        <f>IF(ISNUMBER(SEARCH("CORTE",INVENTARIO!C291)),"COR",
IF(ISNUMBER(SEARCH("CITYLIGHT",INVENTARIO!C291)),"CIT",
IF(ISNUMBER(SEARCH("LINO",INVENTARIO!C291)),"LIN",
IF(ISNUMBER(SEARCH("FABRIANO",INVENTARIO!C291)),"FAB",
IF(ISNUMBER(SEARCH("SUNDANCE",INVENTARIO!C291)),"SUN",
IF(ISNUMBER(SEARCH("SINTETICA",INVENTARIO!C291)),"SIN",
IF(ISNUMBER(SEARCH("CONTROL",INVENTARIO!C291)),"CON",
IF(ISNUMBER(SEARCH("TERMICO",INVENTARIO!C291)),"TER",
IF(ISNUMBER(SEARCH("C-15",INVENTARIO!C291)),"C15",
IF(ISNUMBER(SEARCH("C-20",INVENTARIO!C291)),"C20",
IF(ISNUMBER(SEARCH("C-30",INVENTARIO!C291)),"C30",
IF(ISNUMBER(SEARCH("C-40",INVENTARIO!C291)),"C40",
IF(ISNUMBER(SEARCH("C-60",INVENTARIO!C291)),"C60",
IF(ISNUMBER(SEARCH("C-80",INVENTARIO!C291)),"C80",
IF(ISNUMBER(SEARCH("EQUIPO",INVENTARIO!C291)),"EQU",
IF(ISNUMBER(SEARCH("FLOOR",INVENTARIO!C291)),"FLO",
IF(ISNUMBER(SEARCH("CRISTAL",INVENTARIO!C291)),"CRI",
IF(ISNUMBER(SEARCH(" SULFATADA",INVENTARIO!C302)),"SUL",
IF(ISNUMBER(SEARCH("OPALINA",INVENTARIO!C291)),"OPA",
IF(ISNUMBER(SEARCH("ADHERIBLE",INVENTARIO!C291)),"ADH",
IF(ISNUMBER(SEARCH("MICRO",INVENTARIO!C291)),"MIC","")))))))))))))))))))))</f>
        <v/>
      </c>
      <c r="C291" t="str">
        <f>IF(ISNUMBER(SEARCH("PARED",INVENTARIO!C291)),"PAR",
IF(ISNUMBER(SEARCH("FRONT",INVENTARIO!C291)),"FRO",
IF(ISNUMBER(SEARCH("ALTA RESISTENCIA",INVENTARIO!C291)),
"ALT-RES",IF(ISNUMBER(SEARCH("BACKLITE",INVENTARIO!C291)),"BAC",
IF(ISNUMBER(SEARCH("MATE",INVENTARIO!C291)),"MAT",
IF(ISNUMBER(SEARCH("MESH",INVENTARIO!C291)),"MES",
IF(ISNUMBER(SEARCH("BRILLANTE",INVENTARIO!C291)),"BRI",
IF(ISNUMBER(SEARCH("DELGADA",INVENTARIO!C291)),"DEL",
IF(ISNUMBER(SEARCH("GRUESA",INVENTARIO!C291)),"GRU",
IF(ISNUMBER(SEARCH("ESTATICO",INVENTARIO!C291)),"EST",
IF(ISNUMBER(SEARCH("REFLECTIVO",INVENTARIO!C291)),"REF",
IF(ISNUMBER(SEARCH("LX700",INVENTARIO!C291)),"LX7",
IF(ISNUMBER(SEARCH("GRANDO",INVENTARIO!C291)),"GRA",
IF(ISNUMBER(SEARCH("FB700",INVENTARIO!C291)),"FB7",
IF(ISNUMBER(SEARCH("LX360",INVENTARIO!C291)),"LX3",
IF(ISNUMBER(SEARCH("XEROX",INVENTARIO!C291)),"XER",
IF(ISNUMBER(SEARCH("CEPILLADO",INVENTARIO!C291)),"CEP",
IF(ISNUMBER(SEARCH("ESPEJO",INVENTARIO!C291)),"ESP",
IF(ISNUMBER(SEARCH("10 PTS",INVENTARIO!C291)),"10PT",
IF(ISNUMBER(SEARCH("12 PTS",INVENTARIO!C291)),"12PT",
IF(ISNUMBER(SEARCH("14 PTS",INVENTARIO!C291)),"14PT",
IF(ISNUMBER(SEARCH("CLASICO",INVENTARIO!C291)),"CLA",
""))))))))))))))))))))))</f>
        <v/>
      </c>
      <c r="D291" t="str">
        <f>IF(ISNUMBER(SEARCH("GRAN FORMATO",INVENTARIO!C291)),"GRA-FOR",
IF(ISNUMBER(SEARCH("CAMA PLANA",INVENTARIO!C291)),"CAM-PLA",
IF(ISNUMBER(SEARCH("GRADO INGENIERIA",INVENTARIO!C291)),"GRA-ING",
IF(ISNUMBER(SEARCH("130 GRS",INVENTARIO!C291)),"130GR",
IF(ISNUMBER(SEARCH("150 GRS",INVENTARIO!C291)),"150GR",
IF(ISNUMBER(SEARCH("185 GRS",INVENTARIO!C291)),"185GR",
IF(ISNUMBER(SEARCH("200 GRS",INVENTARIO!C291)),"200GR",
IF(ISNUMBER(SEARCH("250 GRS",INVENTARIO!C291)),"250GR",
IF(ISNUMBER(SEARCH("300 GRS",INVENTARIO!C291)),"300GR",
IF(ISNUMBER(SEARCH("350 GRS",INVENTARIO!C291)),"350GR",
IF(ISNUMBER(SEARCH("18 OZ",INVENTARIO!C291)),"18OZ",
IF(ISNUMBER(SEARCH("15 OZ",INVENTARIO!C291)),"15OZ",
IF(OR(ISNUMBER(SEARCH("13 OZ",INVENTARIO!C291)),ISNUMBER(SEARCH("13 ONZAS",INVENTARIO!C291))),"13OZ",
IF(OR(ISNUMBER(SEARCH("9 OZ",INVENTARIO!C291)),ISNUMBER(SEARCH("9 ONZAS",INVENTARIO!C291))),"09OZ",
IF(ISNUMBER(SEARCH("DOBLE CARA",INVENTARIO!C291)),"DOB-CAR",
"")))))))))))))))</f>
        <v/>
      </c>
      <c r="E291" t="str">
        <f>IF(OR(ISNUMBER(SEARCH("TRANSPARENTE",INVENTARIO!C291)),ISNUMBER(SEARCH("TRANSPARENTES",INVENTARIO!C291))),"TRA",
IF(OR(ISNUMBER(SEARCH("BLANCO",INVENTARIO!C291)),ISNUMBER(SEARCH("BCO",INVENTARIO!C291))),"BLA",
IF(ISNUMBER(SEARCH("FOTOGRAFICO",INVENTARIO!C291)),"FOT",
IF(ISNUMBER(SEARCH("MARFIL",INVENTARIO!C291)),"MAR",
IF(ISNUMBER(SEARCH("VERDE",INVENTARIO!C291)),"VER",
IF(ISNUMBER(SEARCH("MORADO",INVENTARIO!C291)),"MOR",
IF(ISNUMBER(SEARCH("PLATA",INVENTARIO!C291)),"PLA",
IF(ISNUMBER(SEARCH("ORO",INVENTARIO!C291)),"ORO",
IF(ISNUMBER(SEARCH("AMARILLO",INVENTARIO!C291)),"AMA",
IF(ISNUMBER(SEARCH("NARANJA",INVENTARIO!C291)),"NAR",
IF(ISNUMBER(SEARCH("NEGRO",INVENTARIO!C291)),"NEG",
IF(ISNUMBER(SEARCH("ROJO",INVENTARIO!C291)),"ROJ",
IF(ISNUMBER(SEARCH("AZUL",INVENTARIO!C291)),"AZU","")))))))))))))</f>
        <v/>
      </c>
      <c r="F291" t="str">
        <f>IF(ISNUMBER(SEARCH("ARLON",INVENTARIO!C291)),"ARL",
IF(ISNUMBER(SEARCH("SUNTHINKS",INVENTARIO!C291)),"SUN",
IF(ISNUMBER(SEARCH("FRIO",INVENTARIO!C291)),"FRI",
IF(ISNUMBER(SEARCH("CALIDO",INVENTARIO!C291)),"CAL",
IF(ISNUMBER(SEARCH("CEPILLADO",INVENTARIO!C291)),"CEP",
IF(ISNUMBER(SEARCH("ESPEJO",INVENTARIO!C291)),"ESP",
""))))))</f>
        <v/>
      </c>
      <c r="G291" t="str">
        <f>IF(ISNUMBER(SEARCH("LATEX",INVENTARIO!C291)),"LAT",
IF(ISNUMBER(SEARCH("RESP. NEGRO",INVENTARIO!C291)),"RES-NEG",
IF(ISNUMBER(SEARCH("RESPALDO CAFE",INVENTARIO!C291)),"RES-CAF",
IF(ISNUMBER(SEARCH("RESPALDO GRIS",INVENTARIO!C291)),"RES-GRI",
IF(ISNUMBER(SEARCH("OPTICO",INVENTARIO!C291)),"OPT",
IF(ISNUMBER(SEARCH("1,2 MM",INVENTARIO!C291)),"1MM2",
IF(ISNUMBER(SEARCH("2 MM",INVENTARIO!C291)),"2MM",
IF(ISNUMBER(SEARCH("3 MM",INVENTARIO!C291)),"3MM",
IF(ISNUMBER(SEARCH("4 MM",INVENTARIO!C291)),"4MM",
IF(ISNUMBER(SEARCH("5 MM",INVENTARIO!C291)),"5MM",
IF(ISNUMBER(SEARCH("6 MM",INVENTARIO!C291)),"6MM",
IF(ISNUMBER(SEARCH("9 MM",INVENTARIO!C291)),"9MM",
IF(ISNUMBER(SEARCH("10 MM",INVENTARIO!C291)),"10MM","")))))))))))))</f>
        <v/>
      </c>
      <c r="H291" t="str">
        <f>IF(ISNUMBER(SEARCH("GAMA BAJA",INVENTARIO!C291)),"GAM-BAJ",
IF(ISNUMBER(SEARCH("OPTIMIZADOR",INVENTARIO!C291)),"OPT",
IF(ISNUMBER(SEARCH("OVERCOAT",INVENTARIO!C291)),"OVE",
IF(ISNUMBER(SEARCH("WHITE",INVENTARIO!C291)),"WHI",
IF(ISNUMBER(SEARCH("LIGHT CYAN",INVENTARIO!C291)),"LIG-CYA",
IF(ISNUMBER(SEARCH("CYAN",INVENTARIO!C291)),"CYA",
IF(ISNUMBER(SEARCH("LIGHT MAGENTA",INVENTARIO!C291)),"LIG-MAG",
IF(ISNUMBER(SEARCH("MAGENTA",INVENTARIO!C291)),"MAG",
IF(ISNUMBER(SEARCH("BLACK",INVENTARIO!C291)),"BLA",
IF(ISNUMBER(SEARCH("YELLOW",INVENTARIO!C291)),"YEL",
IF(ISNUMBER(SEARCH("2 DIODOS",INVENTARIO!C291)),"2DI",
IF(ISNUMBER(SEARCH("3 DIODOS",INVENTARIO!C291)),"3DI",
IF(OR(ISNUMBER(SEARCH("TRASLUCIDO",INVENTARIO!C291)),ISNUMBER(SEARCH("TRANSLUCIDO",INVENTARIO!C291))),"TRA",
"")))))))))))))</f>
        <v/>
      </c>
      <c r="I291" t="str">
        <f>IF(ISNUMBER(SEARCH("SILED",INVENTARIO!C292)),"SI",
IF(ISNUMBER(SEARCH("SYDEMEX",INVENTARIO!C292)),"SY",
IF(ISNUMBER(SEARCH("ROHS",INVENTARIO!C292)),"RO",
IF(ISNUMBER(SEARCH("RISHANG",INVENTARIO!C292)),"RS",
IF(ISNUMBER(SEARCH("VYG",INVENTARIO!C292)),"VYG",
IF(ISNUMBER(SEARCH("COLED",INVENTARIO!C292)),"CO",""))))))</f>
        <v/>
      </c>
    </row>
    <row r="292" spans="1:9">
      <c r="A292" t="str">
        <f>IF(ISNUMBER(SEARCH("LONA",INVENTARIO!C292)),"LON",
IF(ISNUMBER(SEARCH("VINIL",INVENTARIO!C292)),"VIN",
IF(ISNUMBER(SEARCH("KROMACOTE",INVENTARIO!C292)),"KRO",
IF(ISNUMBER(SEARCH("STARDREAM",INVENTARIO!C292)),"STA",
IF(ISNUMBER(SEARCH("DISPLAY",INVENTARIO!C292)),"DIS",
IF(ISNUMBER(SEARCH("ROLL UP",INVENTARIO!C292)),"ROL-UP",
IF(ISNUMBER(SEARCH("TRANSFER DE PAPEL",INVENTARIO!C292)),"TRA-PAP",
IF(ISNUMBER(SEARCH("TRANSFER",INVENTARIO!C292)),"TRA",IF(ISNUMBER(SEARCH("KOLA LOKA",INVENTARIO!C292)),"KOL-LOK",
IF(ISNUMBER(SEARCH("PETG",INVENTARIO!C292)),"PET",
IF(ISNUMBER(SEARCH("OJILLO",INVENTARIO!C292)),"OJI",
IF(ISNUMBER(SEARCH("COUCHE",INVENTARIO!C292)),"COU",
IF(ISNUMBER(SEARCH("PANEL DE ALUMINIO",INVENTARIO!C292)),"PAN-ALU",
IF(ISNUMBER(SEARCH("PVC",INVENTARIO!C292)),"PVC",
IF(ISNUMBER(SEARCH("PAPEL",INVENTARIO!C292)),"PAP",
IF(ISNUMBER(SEARCH("TELA",INVENTARIO!C292)),"TEL",
IF(ISNUMBER(SEARCH("CARTULINA",INVENTARIO!C292)),"CAR",
IF(OR(ISNUMBER(SEARCH("LAMINA",INVENTARIO!C292)),ISNUMBER(SEARCH("LÁMINA",INVENTARIO!C292)),ISNUMBER(SEARCH("LAMPARAS",INVENTARIO!C292))),"LAM",
IF(ISNUMBER(SEARCH("ESTIRENO",INVENTARIO!C292)),"EST",
IF(ISNUMBER(SEARCH("FOAMBOARD",INVENTARIO!C292)),"FOA",
IF(ISNUMBER(SEARCH("SOLVENTE",INVENTARIO!C292)),"SOL",
IF(ISNUMBER(SEARCH("TINTA",INVENTARIO!C292)),"TIN",
IF(ISNUMBER(SEARCH("ACRILICO",INVENTARIO!C292)),"ACR",
IF(ISNUMBER(SEARCH("MICROLED",INVENTARIO!C292)),"MIC",
IF(ISNUMBER(SEARCH("LED",INVENTARIO!C292)),"LED",
IF(ISNUMBER(SEARCH("FUENTE DE PODER",INVENTARIO!C292)),"FUE-POD",
IF(ISNUMBER(SEARCH("PETG",INVENTARIO!C292)),"PET",
IF(ISNUMBER(SEARCH("ALUMINIO",INVENTARIO!C292)),"ALU",
IF(ISNUMBER(SEARCH("CANAL",INVENTARIO!C292)),"CAN",
IF(ISNUMBER(SEARCH("ESCUADRA",INVENTARIO!C292)),"ESC",
IF(ISNUMBER(SEARCH("SOPORTE",INVENTARIO!C292)),"SOP","OTR")
))))))))))))))))))))))))))))))</f>
        <v>ESC</v>
      </c>
      <c r="B292" t="str">
        <f>IF(ISNUMBER(SEARCH("CORTE",INVENTARIO!C292)),"COR",
IF(ISNUMBER(SEARCH("CITYLIGHT",INVENTARIO!C292)),"CIT",
IF(ISNUMBER(SEARCH("LINO",INVENTARIO!C292)),"LIN",
IF(ISNUMBER(SEARCH("FABRIANO",INVENTARIO!C292)),"FAB",
IF(ISNUMBER(SEARCH("SUNDANCE",INVENTARIO!C292)),"SUN",
IF(ISNUMBER(SEARCH("SINTETICA",INVENTARIO!C292)),"SIN",
IF(ISNUMBER(SEARCH("CONTROL",INVENTARIO!C292)),"CON",
IF(ISNUMBER(SEARCH("TERMICO",INVENTARIO!C292)),"TER",
IF(ISNUMBER(SEARCH("C-15",INVENTARIO!C292)),"C15",
IF(ISNUMBER(SEARCH("C-20",INVENTARIO!C292)),"C20",
IF(ISNUMBER(SEARCH("C-30",INVENTARIO!C292)),"C30",
IF(ISNUMBER(SEARCH("C-40",INVENTARIO!C292)),"C40",
IF(ISNUMBER(SEARCH("C-60",INVENTARIO!C292)),"C60",
IF(ISNUMBER(SEARCH("C-80",INVENTARIO!C292)),"C80",
IF(ISNUMBER(SEARCH("EQUIPO",INVENTARIO!C292)),"EQU",
IF(ISNUMBER(SEARCH("FLOOR",INVENTARIO!C292)),"FLO",
IF(ISNUMBER(SEARCH("CRISTAL",INVENTARIO!C292)),"CRI",
IF(ISNUMBER(SEARCH(" SULFATADA",INVENTARIO!C303)),"SUL",
IF(ISNUMBER(SEARCH("OPALINA",INVENTARIO!C292)),"OPA",
IF(ISNUMBER(SEARCH("ADHERIBLE",INVENTARIO!C292)),"ADH",
IF(ISNUMBER(SEARCH("MICRO",INVENTARIO!C292)),"MIC","")))))))))))))))))))))</f>
        <v/>
      </c>
      <c r="C292" t="str">
        <f>IF(ISNUMBER(SEARCH("PARED",INVENTARIO!C292)),"PAR",
IF(ISNUMBER(SEARCH("FRONT",INVENTARIO!C292)),"FRO",
IF(ISNUMBER(SEARCH("ALTA RESISTENCIA",INVENTARIO!C292)),
"ALT-RES",IF(ISNUMBER(SEARCH("BACKLITE",INVENTARIO!C292)),"BAC",
IF(ISNUMBER(SEARCH("MATE",INVENTARIO!C292)),"MAT",
IF(ISNUMBER(SEARCH("MESH",INVENTARIO!C292)),"MES",
IF(ISNUMBER(SEARCH("BRILLANTE",INVENTARIO!C292)),"BRI",
IF(ISNUMBER(SEARCH("DELGADA",INVENTARIO!C292)),"DEL",
IF(ISNUMBER(SEARCH("GRUESA",INVENTARIO!C292)),"GRU",
IF(ISNUMBER(SEARCH("ESTATICO",INVENTARIO!C292)),"EST",
IF(ISNUMBER(SEARCH("REFLECTIVO",INVENTARIO!C292)),"REF",
IF(ISNUMBER(SEARCH("LX700",INVENTARIO!C292)),"LX7",
IF(ISNUMBER(SEARCH("GRANDO",INVENTARIO!C292)),"GRA",
IF(ISNUMBER(SEARCH("FB700",INVENTARIO!C292)),"FB7",
IF(ISNUMBER(SEARCH("LX360",INVENTARIO!C292)),"LX3",
IF(ISNUMBER(SEARCH("XEROX",INVENTARIO!C292)),"XER",
IF(ISNUMBER(SEARCH("CEPILLADO",INVENTARIO!C292)),"CEP",
IF(ISNUMBER(SEARCH("ESPEJO",INVENTARIO!C292)),"ESP",
IF(ISNUMBER(SEARCH("10 PTS",INVENTARIO!C292)),"10PT",
IF(ISNUMBER(SEARCH("12 PTS",INVENTARIO!C292)),"12PT",
IF(ISNUMBER(SEARCH("14 PTS",INVENTARIO!C292)),"14PT",
IF(ISNUMBER(SEARCH("CLASICO",INVENTARIO!C292)),"CLA",
""))))))))))))))))))))))</f>
        <v/>
      </c>
      <c r="D292" t="str">
        <f>IF(ISNUMBER(SEARCH("GRAN FORMATO",INVENTARIO!C292)),"GRA-FOR",
IF(ISNUMBER(SEARCH("CAMA PLANA",INVENTARIO!C292)),"CAM-PLA",
IF(ISNUMBER(SEARCH("GRADO INGENIERIA",INVENTARIO!C292)),"GRA-ING",
IF(ISNUMBER(SEARCH("130 GRS",INVENTARIO!C292)),"130GR",
IF(ISNUMBER(SEARCH("150 GRS",INVENTARIO!C292)),"150GR",
IF(ISNUMBER(SEARCH("185 GRS",INVENTARIO!C292)),"185GR",
IF(ISNUMBER(SEARCH("200 GRS",INVENTARIO!C292)),"200GR",
IF(ISNUMBER(SEARCH("250 GRS",INVENTARIO!C292)),"250GR",
IF(ISNUMBER(SEARCH("300 GRS",INVENTARIO!C292)),"300GR",
IF(ISNUMBER(SEARCH("350 GRS",INVENTARIO!C292)),"350GR",
IF(ISNUMBER(SEARCH("18 OZ",INVENTARIO!C292)),"18OZ",
IF(ISNUMBER(SEARCH("15 OZ",INVENTARIO!C292)),"15OZ",
IF(OR(ISNUMBER(SEARCH("13 OZ",INVENTARIO!C292)),ISNUMBER(SEARCH("13 ONZAS",INVENTARIO!C292))),"13OZ",
IF(OR(ISNUMBER(SEARCH("9 OZ",INVENTARIO!C292)),ISNUMBER(SEARCH("9 ONZAS",INVENTARIO!C292))),"09OZ",
IF(ISNUMBER(SEARCH("DOBLE CARA",INVENTARIO!C292)),"DOB-CAR",
"")))))))))))))))</f>
        <v/>
      </c>
      <c r="E292" t="str">
        <f>IF(OR(ISNUMBER(SEARCH("TRANSPARENTE",INVENTARIO!C292)),ISNUMBER(SEARCH("TRANSPARENTES",INVENTARIO!C292))),"TRA",
IF(OR(ISNUMBER(SEARCH("BLANCO",INVENTARIO!C292)),ISNUMBER(SEARCH("BCO",INVENTARIO!C292))),"BLA",
IF(ISNUMBER(SEARCH("FOTOGRAFICO",INVENTARIO!C292)),"FOT",
IF(ISNUMBER(SEARCH("MARFIL",INVENTARIO!C292)),"MAR",
IF(ISNUMBER(SEARCH("VERDE",INVENTARIO!C292)),"VER",
IF(ISNUMBER(SEARCH("MORADO",INVENTARIO!C292)),"MOR",
IF(ISNUMBER(SEARCH("PLATA",INVENTARIO!C292)),"PLA",
IF(ISNUMBER(SEARCH("ORO",INVENTARIO!C292)),"ORO",
IF(ISNUMBER(SEARCH("AMARILLO",INVENTARIO!C292)),"AMA",
IF(ISNUMBER(SEARCH("NARANJA",INVENTARIO!C292)),"NAR",
IF(ISNUMBER(SEARCH("NEGRO",INVENTARIO!C292)),"NEG",
IF(ISNUMBER(SEARCH("ROJO",INVENTARIO!C292)),"ROJ",
IF(ISNUMBER(SEARCH("AZUL",INVENTARIO!C292)),"AZU","")))))))))))))</f>
        <v/>
      </c>
      <c r="F292" t="str">
        <f>IF(ISNUMBER(SEARCH("ARLON",INVENTARIO!C292)),"ARL",
IF(ISNUMBER(SEARCH("SUNTHINKS",INVENTARIO!C292)),"SUN",
IF(ISNUMBER(SEARCH("FRIO",INVENTARIO!C292)),"FRI",
IF(ISNUMBER(SEARCH("CALIDO",INVENTARIO!C292)),"CAL",
IF(ISNUMBER(SEARCH("CEPILLADO",INVENTARIO!C292)),"CEP",
IF(ISNUMBER(SEARCH("ESPEJO",INVENTARIO!C292)),"ESP",
""))))))</f>
        <v/>
      </c>
      <c r="G292" t="str">
        <f>IF(ISNUMBER(SEARCH("LATEX",INVENTARIO!C292)),"LAT",
IF(ISNUMBER(SEARCH("RESP. NEGRO",INVENTARIO!C292)),"RES-NEG",
IF(ISNUMBER(SEARCH("RESPALDO CAFE",INVENTARIO!C292)),"RES-CAF",
IF(ISNUMBER(SEARCH("RESPALDO GRIS",INVENTARIO!C292)),"RES-GRI",
IF(ISNUMBER(SEARCH("OPTICO",INVENTARIO!C292)),"OPT",
IF(ISNUMBER(SEARCH("1,2 MM",INVENTARIO!C292)),"1MM2",
IF(ISNUMBER(SEARCH("2 MM",INVENTARIO!C292)),"2MM",
IF(ISNUMBER(SEARCH("3 MM",INVENTARIO!C292)),"3MM",
IF(ISNUMBER(SEARCH("4 MM",INVENTARIO!C292)),"4MM",
IF(ISNUMBER(SEARCH("5 MM",INVENTARIO!C292)),"5MM",
IF(ISNUMBER(SEARCH("6 MM",INVENTARIO!C292)),"6MM",
IF(ISNUMBER(SEARCH("9 MM",INVENTARIO!C292)),"9MM",
IF(ISNUMBER(SEARCH("10 MM",INVENTARIO!C292)),"10MM","")))))))))))))</f>
        <v/>
      </c>
      <c r="H292" t="str">
        <f>IF(ISNUMBER(SEARCH("GAMA BAJA",INVENTARIO!C292)),"GAM-BAJ",
IF(ISNUMBER(SEARCH("OPTIMIZADOR",INVENTARIO!C292)),"OPT",
IF(ISNUMBER(SEARCH("OVERCOAT",INVENTARIO!C292)),"OVE",
IF(ISNUMBER(SEARCH("WHITE",INVENTARIO!C292)),"WHI",
IF(ISNUMBER(SEARCH("LIGHT CYAN",INVENTARIO!C292)),"LIG-CYA",
IF(ISNUMBER(SEARCH("CYAN",INVENTARIO!C292)),"CYA",
IF(ISNUMBER(SEARCH("LIGHT MAGENTA",INVENTARIO!C292)),"LIG-MAG",
IF(ISNUMBER(SEARCH("MAGENTA",INVENTARIO!C292)),"MAG",
IF(ISNUMBER(SEARCH("BLACK",INVENTARIO!C292)),"BLA",
IF(ISNUMBER(SEARCH("YELLOW",INVENTARIO!C292)),"YEL",
IF(ISNUMBER(SEARCH("2 DIODOS",INVENTARIO!C292)),"2DI",
IF(ISNUMBER(SEARCH("3 DIODOS",INVENTARIO!C292)),"3DI",
IF(OR(ISNUMBER(SEARCH("TRASLUCIDO",INVENTARIO!C292)),ISNUMBER(SEARCH("TRANSLUCIDO",INVENTARIO!C292))),"TRA",
"")))))))))))))</f>
        <v/>
      </c>
      <c r="I292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93" spans="1:9">
      <c r="A293" t="str">
        <f>IF(ISNUMBER(SEARCH("LONA",INVENTARIO!C293)),"LON",
IF(ISNUMBER(SEARCH("VINIL",INVENTARIO!C293)),"VIN",
IF(ISNUMBER(SEARCH("KROMACOTE",INVENTARIO!C293)),"KRO",
IF(ISNUMBER(SEARCH("STARDREAM",INVENTARIO!C293)),"STA",
IF(ISNUMBER(SEARCH("DISPLAY",INVENTARIO!C293)),"DIS",
IF(ISNUMBER(SEARCH("ROLL UP",INVENTARIO!C293)),"ROL-UP",
IF(ISNUMBER(SEARCH("TRANSFER DE PAPEL",INVENTARIO!C293)),"TRA-PAP",
IF(ISNUMBER(SEARCH("TRANSFER",INVENTARIO!C293)),"TRA",IF(ISNUMBER(SEARCH("KOLA LOKA",INVENTARIO!C293)),"KOL-LOK",
IF(ISNUMBER(SEARCH("PETG",INVENTARIO!C293)),"PET",
IF(ISNUMBER(SEARCH("OJILLO",INVENTARIO!C293)),"OJI",
IF(ISNUMBER(SEARCH("COUCHE",INVENTARIO!C293)),"COU",
IF(ISNUMBER(SEARCH("PANEL DE ALUMINIO",INVENTARIO!C293)),"PAN-ALU",
IF(ISNUMBER(SEARCH("PVC",INVENTARIO!C293)),"PVC",
IF(ISNUMBER(SEARCH("PAPEL",INVENTARIO!C293)),"PAP",
IF(ISNUMBER(SEARCH("TELA",INVENTARIO!C293)),"TEL",
IF(ISNUMBER(SEARCH("CARTULINA",INVENTARIO!C293)),"CAR",
IF(OR(ISNUMBER(SEARCH("LAMINA",INVENTARIO!C293)),ISNUMBER(SEARCH("LÁMINA",INVENTARIO!C293)),ISNUMBER(SEARCH("LAMPARAS",INVENTARIO!C293))),"LAM",
IF(ISNUMBER(SEARCH("ESTIRENO",INVENTARIO!C293)),"EST",
IF(ISNUMBER(SEARCH("FOAMBOARD",INVENTARIO!C293)),"FOA",
IF(ISNUMBER(SEARCH("SOLVENTE",INVENTARIO!C293)),"SOL",
IF(ISNUMBER(SEARCH("TINTA",INVENTARIO!C293)),"TIN",
IF(ISNUMBER(SEARCH("ACRILICO",INVENTARIO!C293)),"ACR",
IF(ISNUMBER(SEARCH("MICROLED",INVENTARIO!C293)),"MIC",
IF(ISNUMBER(SEARCH("LED",INVENTARIO!C293)),"LED",
IF(ISNUMBER(SEARCH("FUENTE DE PODER",INVENTARIO!C293)),"FUE-POD",
IF(ISNUMBER(SEARCH("PETG",INVENTARIO!C293)),"PET",
IF(ISNUMBER(SEARCH("ALUMINIO",INVENTARIO!C293)),"ALU",
IF(ISNUMBER(SEARCH("CANAL",INVENTARIO!C293)),"CAN",
IF(ISNUMBER(SEARCH("ESCUADRA",INVENTARIO!C293)),"ESC",
IF(ISNUMBER(SEARCH("SOPORTE",INVENTARIO!C293)),"SOP","OTR")
))))))))))))))))))))))))))))))</f>
        <v>SOP</v>
      </c>
      <c r="B293" t="str">
        <f>IF(ISNUMBER(SEARCH("CORTE",INVENTARIO!C293)),"COR",
IF(ISNUMBER(SEARCH("CITYLIGHT",INVENTARIO!C293)),"CIT",
IF(ISNUMBER(SEARCH("LINO",INVENTARIO!C293)),"LIN",
IF(ISNUMBER(SEARCH("FABRIANO",INVENTARIO!C293)),"FAB",
IF(ISNUMBER(SEARCH("SUNDANCE",INVENTARIO!C293)),"SUN",
IF(ISNUMBER(SEARCH("SINTETICA",INVENTARIO!C293)),"SIN",
IF(ISNUMBER(SEARCH("CONTROL",INVENTARIO!C293)),"CON",
IF(ISNUMBER(SEARCH("TERMICO",INVENTARIO!C293)),"TER",
IF(ISNUMBER(SEARCH("C-15",INVENTARIO!C293)),"C15",
IF(ISNUMBER(SEARCH("C-20",INVENTARIO!C293)),"C20",
IF(ISNUMBER(SEARCH("C-30",INVENTARIO!C293)),"C30",
IF(ISNUMBER(SEARCH("C-40",INVENTARIO!C293)),"C40",
IF(ISNUMBER(SEARCH("C-60",INVENTARIO!C293)),"C60",
IF(ISNUMBER(SEARCH("C-80",INVENTARIO!C293)),"C80",
IF(ISNUMBER(SEARCH("EQUIPO",INVENTARIO!C293)),"EQU",
IF(ISNUMBER(SEARCH("FLOOR",INVENTARIO!C293)),"FLO",
IF(ISNUMBER(SEARCH("CRISTAL",INVENTARIO!C293)),"CRI",
IF(ISNUMBER(SEARCH(" SULFATADA",INVENTARIO!C304)),"SUL",
IF(ISNUMBER(SEARCH("OPALINA",INVENTARIO!C293)),"OPA",
IF(ISNUMBER(SEARCH("ADHERIBLE",INVENTARIO!C293)),"ADH",
IF(ISNUMBER(SEARCH("MICRO",INVENTARIO!C293)),"MIC","")))))))))))))))))))))</f>
        <v/>
      </c>
      <c r="C293" t="str">
        <f>IF(ISNUMBER(SEARCH("PARED",INVENTARIO!C293)),"PAR",
IF(ISNUMBER(SEARCH("FRONT",INVENTARIO!C293)),"FRO",
IF(ISNUMBER(SEARCH("ALTA RESISTENCIA",INVENTARIO!C293)),
"ALT-RES",IF(ISNUMBER(SEARCH("BACKLITE",INVENTARIO!C293)),"BAC",
IF(ISNUMBER(SEARCH("MATE",INVENTARIO!C293)),"MAT",
IF(ISNUMBER(SEARCH("MESH",INVENTARIO!C293)),"MES",
IF(ISNUMBER(SEARCH("BRILLANTE",INVENTARIO!C293)),"BRI",
IF(ISNUMBER(SEARCH("DELGADA",INVENTARIO!C293)),"DEL",
IF(ISNUMBER(SEARCH("GRUESA",INVENTARIO!C293)),"GRU",
IF(ISNUMBER(SEARCH("ESTATICO",INVENTARIO!C293)),"EST",
IF(ISNUMBER(SEARCH("REFLECTIVO",INVENTARIO!C293)),"REF",
IF(ISNUMBER(SEARCH("LX700",INVENTARIO!C293)),"LX7",
IF(ISNUMBER(SEARCH("GRANDO",INVENTARIO!C293)),"GRA",
IF(ISNUMBER(SEARCH("FB700",INVENTARIO!C293)),"FB7",
IF(ISNUMBER(SEARCH("LX360",INVENTARIO!C293)),"LX3",
IF(ISNUMBER(SEARCH("XEROX",INVENTARIO!C293)),"XER",
IF(ISNUMBER(SEARCH("CEPILLADO",INVENTARIO!C293)),"CEP",
IF(ISNUMBER(SEARCH("ESPEJO",INVENTARIO!C293)),"ESP",
IF(ISNUMBER(SEARCH("10 PTS",INVENTARIO!C293)),"10PT",
IF(ISNUMBER(SEARCH("12 PTS",INVENTARIO!C293)),"12PT",
IF(ISNUMBER(SEARCH("14 PTS",INVENTARIO!C293)),"14PT",
IF(ISNUMBER(SEARCH("CLASICO",INVENTARIO!C293)),"CLA",
""))))))))))))))))))))))</f>
        <v>DEL</v>
      </c>
      <c r="D293" t="str">
        <f>IF(ISNUMBER(SEARCH("GRAN FORMATO",INVENTARIO!C293)),"GRA-FOR",
IF(ISNUMBER(SEARCH("CAMA PLANA",INVENTARIO!C293)),"CAM-PLA",
IF(ISNUMBER(SEARCH("GRADO INGENIERIA",INVENTARIO!C293)),"GRA-ING",
IF(ISNUMBER(SEARCH("130 GRS",INVENTARIO!C293)),"130GR",
IF(ISNUMBER(SEARCH("150 GRS",INVENTARIO!C293)),"150GR",
IF(ISNUMBER(SEARCH("185 GRS",INVENTARIO!C293)),"185GR",
IF(ISNUMBER(SEARCH("200 GRS",INVENTARIO!C293)),"200GR",
IF(ISNUMBER(SEARCH("250 GRS",INVENTARIO!C293)),"250GR",
IF(ISNUMBER(SEARCH("300 GRS",INVENTARIO!C293)),"300GR",
IF(ISNUMBER(SEARCH("350 GRS",INVENTARIO!C293)),"350GR",
IF(ISNUMBER(SEARCH("18 OZ",INVENTARIO!C293)),"18OZ",
IF(ISNUMBER(SEARCH("15 OZ",INVENTARIO!C293)),"15OZ",
IF(OR(ISNUMBER(SEARCH("13 OZ",INVENTARIO!C293)),ISNUMBER(SEARCH("13 ONZAS",INVENTARIO!C293))),"13OZ",
IF(OR(ISNUMBER(SEARCH("9 OZ",INVENTARIO!C293)),ISNUMBER(SEARCH("9 ONZAS",INVENTARIO!C293))),"09OZ",
IF(ISNUMBER(SEARCH("DOBLE CARA",INVENTARIO!C293)),"DOB-CAR",
"")))))))))))))))</f>
        <v/>
      </c>
      <c r="E293" t="str">
        <f>IF(OR(ISNUMBER(SEARCH("TRANSPARENTE",INVENTARIO!C293)),ISNUMBER(SEARCH("TRANSPARENTES",INVENTARIO!C293))),"TRA",
IF(OR(ISNUMBER(SEARCH("BLANCO",INVENTARIO!C293)),ISNUMBER(SEARCH("BCO",INVENTARIO!C293))),"BLA",
IF(ISNUMBER(SEARCH("FOTOGRAFICO",INVENTARIO!C293)),"FOT",
IF(ISNUMBER(SEARCH("MARFIL",INVENTARIO!C293)),"MAR",
IF(ISNUMBER(SEARCH("VERDE",INVENTARIO!C293)),"VER",
IF(ISNUMBER(SEARCH("MORADO",INVENTARIO!C293)),"MOR",
IF(ISNUMBER(SEARCH("PLATA",INVENTARIO!C293)),"PLA",
IF(ISNUMBER(SEARCH("ORO",INVENTARIO!C293)),"ORO",
IF(ISNUMBER(SEARCH("AMARILLO",INVENTARIO!C293)),"AMA",
IF(ISNUMBER(SEARCH("NARANJA",INVENTARIO!C293)),"NAR",
IF(ISNUMBER(SEARCH("NEGRO",INVENTARIO!C293)),"NEG",
IF(ISNUMBER(SEARCH("ROJO",INVENTARIO!C293)),"ROJ",
IF(ISNUMBER(SEARCH("AZUL",INVENTARIO!C293)),"AZU","")))))))))))))</f>
        <v/>
      </c>
      <c r="F293" t="str">
        <f>IF(ISNUMBER(SEARCH("ARLON",INVENTARIO!C293)),"ARL",
IF(ISNUMBER(SEARCH("SUNTHINKS",INVENTARIO!C293)),"SUN",
IF(ISNUMBER(SEARCH("FRIO",INVENTARIO!C293)),"FRI",
IF(ISNUMBER(SEARCH("CALIDO",INVENTARIO!C293)),"CAL",
IF(ISNUMBER(SEARCH("CEPILLADO",INVENTARIO!C293)),"CEP",
IF(ISNUMBER(SEARCH("ESPEJO",INVENTARIO!C293)),"ESP",
""))))))</f>
        <v/>
      </c>
      <c r="G293" t="str">
        <f>IF(ISNUMBER(SEARCH("LATEX",INVENTARIO!C293)),"LAT",
IF(ISNUMBER(SEARCH("RESP. NEGRO",INVENTARIO!C293)),"RES-NEG",
IF(ISNUMBER(SEARCH("RESPALDO CAFE",INVENTARIO!C293)),"RES-CAF",
IF(ISNUMBER(SEARCH("RESPALDO GRIS",INVENTARIO!C293)),"RES-GRI",
IF(ISNUMBER(SEARCH("OPTICO",INVENTARIO!C293)),"OPT",
IF(ISNUMBER(SEARCH("1,2 MM",INVENTARIO!C293)),"1MM2",
IF(ISNUMBER(SEARCH("2 MM",INVENTARIO!C293)),"2MM",
IF(ISNUMBER(SEARCH("3 MM",INVENTARIO!C293)),"3MM",
IF(ISNUMBER(SEARCH("4 MM",INVENTARIO!C293)),"4MM",
IF(ISNUMBER(SEARCH("5 MM",INVENTARIO!C293)),"5MM",
IF(ISNUMBER(SEARCH("6 MM",INVENTARIO!C293)),"6MM",
IF(ISNUMBER(SEARCH("9 MM",INVENTARIO!C293)),"9MM",
IF(ISNUMBER(SEARCH("10 MM",INVENTARIO!C293)),"10MM","")))))))))))))</f>
        <v>3MM</v>
      </c>
      <c r="H293" t="str">
        <f>IF(ISNUMBER(SEARCH("GAMA BAJA",INVENTARIO!C293)),"GAM-BAJ",
IF(ISNUMBER(SEARCH("OPTIMIZADOR",INVENTARIO!C293)),"OPT",
IF(ISNUMBER(SEARCH("OVERCOAT",INVENTARIO!C293)),"OVE",
IF(ISNUMBER(SEARCH("WHITE",INVENTARIO!C293)),"WHI",
IF(ISNUMBER(SEARCH("LIGHT CYAN",INVENTARIO!C293)),"LIG-CYA",
IF(ISNUMBER(SEARCH("CYAN",INVENTARIO!C293)),"CYA",
IF(ISNUMBER(SEARCH("LIGHT MAGENTA",INVENTARIO!C293)),"LIG-MAG",
IF(ISNUMBER(SEARCH("MAGENTA",INVENTARIO!C293)),"MAG",
IF(ISNUMBER(SEARCH("BLACK",INVENTARIO!C293)),"BLA",
IF(ISNUMBER(SEARCH("YELLOW",INVENTARIO!C293)),"YEL",
IF(ISNUMBER(SEARCH("2 DIODOS",INVENTARIO!C293)),"2DI",
IF(ISNUMBER(SEARCH("3 DIODOS",INVENTARIO!C293)),"3DI",
IF(OR(ISNUMBER(SEARCH("TRASLUCIDO",INVENTARIO!C293)),ISNUMBER(SEARCH("TRANSLUCIDO",INVENTARIO!C293))),"TRA",
"")))))))))))))</f>
        <v/>
      </c>
      <c r="I293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94" spans="1:9">
      <c r="A294" t="str">
        <f>IF(ISNUMBER(SEARCH("LONA",INVENTARIO!C294)),"LON",
IF(ISNUMBER(SEARCH("VINIL",INVENTARIO!C294)),"VIN",
IF(ISNUMBER(SEARCH("KROMACOTE",INVENTARIO!C294)),"KRO",
IF(ISNUMBER(SEARCH("STARDREAM",INVENTARIO!C294)),"STA",
IF(ISNUMBER(SEARCH("DISPLAY",INVENTARIO!C294)),"DIS",
IF(ISNUMBER(SEARCH("ROLL UP",INVENTARIO!C294)),"ROL-UP",
IF(ISNUMBER(SEARCH("TRANSFER DE PAPEL",INVENTARIO!C294)),"TRA-PAP",
IF(ISNUMBER(SEARCH("TRANSFER",INVENTARIO!C294)),"TRA",IF(ISNUMBER(SEARCH("KOLA LOKA",INVENTARIO!C294)),"KOL-LOK",
IF(ISNUMBER(SEARCH("PETG",INVENTARIO!C294)),"PET",
IF(ISNUMBER(SEARCH("OJILLO",INVENTARIO!C294)),"OJI",
IF(ISNUMBER(SEARCH("COUCHE",INVENTARIO!C294)),"COU",
IF(ISNUMBER(SEARCH("PANEL DE ALUMINIO",INVENTARIO!C294)),"PAN-ALU",
IF(ISNUMBER(SEARCH("PVC",INVENTARIO!C294)),"PVC",
IF(ISNUMBER(SEARCH("PAPEL",INVENTARIO!C294)),"PAP",
IF(ISNUMBER(SEARCH("TELA",INVENTARIO!C294)),"TEL",
IF(ISNUMBER(SEARCH("CARTULINA",INVENTARIO!C294)),"CAR",
IF(OR(ISNUMBER(SEARCH("LAMINA",INVENTARIO!C294)),ISNUMBER(SEARCH("LÁMINA",INVENTARIO!C294)),ISNUMBER(SEARCH("LAMPARAS",INVENTARIO!C294))),"LAM",
IF(ISNUMBER(SEARCH("ESTIRENO",INVENTARIO!C294)),"EST",
IF(ISNUMBER(SEARCH("FOAMBOARD",INVENTARIO!C294)),"FOA",
IF(ISNUMBER(SEARCH("SOLVENTE",INVENTARIO!C294)),"SOL",
IF(ISNUMBER(SEARCH("TINTA",INVENTARIO!C294)),"TIN",
IF(ISNUMBER(SEARCH("ACRILICO",INVENTARIO!C294)),"ACR",
IF(ISNUMBER(SEARCH("MICROLED",INVENTARIO!C294)),"MIC",
IF(ISNUMBER(SEARCH("LED",INVENTARIO!C294)),"LED",
IF(ISNUMBER(SEARCH("FUENTE DE PODER",INVENTARIO!C294)),"FUE-POD",
IF(ISNUMBER(SEARCH("PETG",INVENTARIO!C294)),"PET",
IF(ISNUMBER(SEARCH("ALUMINIO",INVENTARIO!C294)),"ALU",
IF(ISNUMBER(SEARCH("CANAL",INVENTARIO!C294)),"CAN",
IF(ISNUMBER(SEARCH("ESCUADRA",INVENTARIO!C294)),"ESC",
IF(ISNUMBER(SEARCH("SOPORTE",INVENTARIO!C294)),"SOP","OTR")
))))))))))))))))))))))))))))))</f>
        <v>OTR</v>
      </c>
      <c r="B294" t="str">
        <f>IF(ISNUMBER(SEARCH("CORTE",INVENTARIO!C294)),"COR",
IF(ISNUMBER(SEARCH("CITYLIGHT",INVENTARIO!C294)),"CIT",
IF(ISNUMBER(SEARCH("LINO",INVENTARIO!C294)),"LIN",
IF(ISNUMBER(SEARCH("FABRIANO",INVENTARIO!C294)),"FAB",
IF(ISNUMBER(SEARCH("SUNDANCE",INVENTARIO!C294)),"SUN",
IF(ISNUMBER(SEARCH("SINTETICA",INVENTARIO!C294)),"SIN",
IF(ISNUMBER(SEARCH("CONTROL",INVENTARIO!C294)),"CON",
IF(ISNUMBER(SEARCH("TERMICO",INVENTARIO!C294)),"TER",
IF(ISNUMBER(SEARCH("C-15",INVENTARIO!C294)),"C15",
IF(ISNUMBER(SEARCH("C-20",INVENTARIO!C294)),"C20",
IF(ISNUMBER(SEARCH("C-30",INVENTARIO!C294)),"C30",
IF(ISNUMBER(SEARCH("C-40",INVENTARIO!C294)),"C40",
IF(ISNUMBER(SEARCH("C-60",INVENTARIO!C294)),"C60",
IF(ISNUMBER(SEARCH("C-80",INVENTARIO!C294)),"C80",
IF(ISNUMBER(SEARCH("EQUIPO",INVENTARIO!C294)),"EQU",
IF(ISNUMBER(SEARCH("FLOOR",INVENTARIO!C294)),"FLO",
IF(ISNUMBER(SEARCH("CRISTAL",INVENTARIO!C294)),"CRI",
IF(ISNUMBER(SEARCH(" SULFATADA",INVENTARIO!C305)),"SUL",
IF(ISNUMBER(SEARCH("OPALINA",INVENTARIO!C294)),"OPA",
IF(ISNUMBER(SEARCH("ADHERIBLE",INVENTARIO!C294)),"ADH",
IF(ISNUMBER(SEARCH("MICRO",INVENTARIO!C294)),"MIC","")))))))))))))))))))))</f>
        <v/>
      </c>
      <c r="C294" t="str">
        <f>IF(ISNUMBER(SEARCH("PARED",INVENTARIO!C294)),"PAR",
IF(ISNUMBER(SEARCH("FRONT",INVENTARIO!C294)),"FRO",
IF(ISNUMBER(SEARCH("ALTA RESISTENCIA",INVENTARIO!C294)),
"ALT-RES",IF(ISNUMBER(SEARCH("BACKLITE",INVENTARIO!C294)),"BAC",
IF(ISNUMBER(SEARCH("MATE",INVENTARIO!C294)),"MAT",
IF(ISNUMBER(SEARCH("MESH",INVENTARIO!C294)),"MES",
IF(ISNUMBER(SEARCH("BRILLANTE",INVENTARIO!C294)),"BRI",
IF(ISNUMBER(SEARCH("DELGADA",INVENTARIO!C294)),"DEL",
IF(ISNUMBER(SEARCH("GRUESA",INVENTARIO!C294)),"GRU",
IF(ISNUMBER(SEARCH("ESTATICO",INVENTARIO!C294)),"EST",
IF(ISNUMBER(SEARCH("REFLECTIVO",INVENTARIO!C294)),"REF",
IF(ISNUMBER(SEARCH("LX700",INVENTARIO!C294)),"LX7",
IF(ISNUMBER(SEARCH("GRANDO",INVENTARIO!C294)),"GRA",
IF(ISNUMBER(SEARCH("FB700",INVENTARIO!C294)),"FB7",
IF(ISNUMBER(SEARCH("LX360",INVENTARIO!C294)),"LX3",
IF(ISNUMBER(SEARCH("XEROX",INVENTARIO!C294)),"XER",
IF(ISNUMBER(SEARCH("CEPILLADO",INVENTARIO!C294)),"CEP",
IF(ISNUMBER(SEARCH("ESPEJO",INVENTARIO!C294)),"ESP",
IF(ISNUMBER(SEARCH("10 PTS",INVENTARIO!C294)),"10PT",
IF(ISNUMBER(SEARCH("12 PTS",INVENTARIO!C294)),"12PT",
IF(ISNUMBER(SEARCH("14 PTS",INVENTARIO!C294)),"14PT",
IF(ISNUMBER(SEARCH("CLASICO",INVENTARIO!C294)),"CLA",
""))))))))))))))))))))))</f>
        <v/>
      </c>
      <c r="D294" t="str">
        <f>IF(ISNUMBER(SEARCH("GRAN FORMATO",INVENTARIO!C294)),"GRA-FOR",
IF(ISNUMBER(SEARCH("CAMA PLANA",INVENTARIO!C294)),"CAM-PLA",
IF(ISNUMBER(SEARCH("GRADO INGENIERIA",INVENTARIO!C294)),"GRA-ING",
IF(ISNUMBER(SEARCH("130 GRS",INVENTARIO!C294)),"130GR",
IF(ISNUMBER(SEARCH("150 GRS",INVENTARIO!C294)),"150GR",
IF(ISNUMBER(SEARCH("185 GRS",INVENTARIO!C294)),"185GR",
IF(ISNUMBER(SEARCH("200 GRS",INVENTARIO!C294)),"200GR",
IF(ISNUMBER(SEARCH("250 GRS",INVENTARIO!C294)),"250GR",
IF(ISNUMBER(SEARCH("300 GRS",INVENTARIO!C294)),"300GR",
IF(ISNUMBER(SEARCH("350 GRS",INVENTARIO!C294)),"350GR",
IF(ISNUMBER(SEARCH("18 OZ",INVENTARIO!C294)),"18OZ",
IF(ISNUMBER(SEARCH("15 OZ",INVENTARIO!C294)),"15OZ",
IF(OR(ISNUMBER(SEARCH("13 OZ",INVENTARIO!C294)),ISNUMBER(SEARCH("13 ONZAS",INVENTARIO!C294))),"13OZ",
IF(OR(ISNUMBER(SEARCH("9 OZ",INVENTARIO!C294)),ISNUMBER(SEARCH("9 ONZAS",INVENTARIO!C294))),"09OZ",
IF(ISNUMBER(SEARCH("DOBLE CARA",INVENTARIO!C294)),"DOB-CAR",
"")))))))))))))))</f>
        <v/>
      </c>
      <c r="E294" t="str">
        <f>IF(OR(ISNUMBER(SEARCH("TRANSPARENTE",INVENTARIO!C294)),ISNUMBER(SEARCH("TRANSPARENTES",INVENTARIO!C294))),"TRA",
IF(OR(ISNUMBER(SEARCH("BLANCO",INVENTARIO!C294)),ISNUMBER(SEARCH("BCO",INVENTARIO!C294))),"BLA",
IF(ISNUMBER(SEARCH("FOTOGRAFICO",INVENTARIO!C294)),"FOT",
IF(ISNUMBER(SEARCH("MARFIL",INVENTARIO!C294)),"MAR",
IF(ISNUMBER(SEARCH("VERDE",INVENTARIO!C294)),"VER",
IF(ISNUMBER(SEARCH("MORADO",INVENTARIO!C294)),"MOR",
IF(ISNUMBER(SEARCH("PLATA",INVENTARIO!C294)),"PLA",
IF(ISNUMBER(SEARCH("ORO",INVENTARIO!C294)),"ORO",
IF(ISNUMBER(SEARCH("AMARILLO",INVENTARIO!C294)),"AMA",
IF(ISNUMBER(SEARCH("NARANJA",INVENTARIO!C294)),"NAR",
IF(ISNUMBER(SEARCH("NEGRO",INVENTARIO!C294)),"NEG",
IF(ISNUMBER(SEARCH("ROJO",INVENTARIO!C294)),"ROJ",
IF(ISNUMBER(SEARCH("AZUL",INVENTARIO!C294)),"AZU","")))))))))))))</f>
        <v/>
      </c>
      <c r="F294" t="str">
        <f>IF(ISNUMBER(SEARCH("ARLON",INVENTARIO!C294)),"ARL",
IF(ISNUMBER(SEARCH("SUNTHINKS",INVENTARIO!C294)),"SUN",
IF(ISNUMBER(SEARCH("FRIO",INVENTARIO!C294)),"FRI",
IF(ISNUMBER(SEARCH("CALIDO",INVENTARIO!C294)),"CAL",
IF(ISNUMBER(SEARCH("CEPILLADO",INVENTARIO!C294)),"CEP",
IF(ISNUMBER(SEARCH("ESPEJO",INVENTARIO!C294)),"ESP",
""))))))</f>
        <v/>
      </c>
      <c r="G294" t="str">
        <f>IF(ISNUMBER(SEARCH("LATEX",INVENTARIO!C294)),"LAT",
IF(ISNUMBER(SEARCH("RESP. NEGRO",INVENTARIO!C294)),"RES-NEG",
IF(ISNUMBER(SEARCH("RESPALDO CAFE",INVENTARIO!C294)),"RES-CAF",
IF(ISNUMBER(SEARCH("RESPALDO GRIS",INVENTARIO!C294)),"RES-GRI",
IF(ISNUMBER(SEARCH("OPTICO",INVENTARIO!C294)),"OPT",
IF(ISNUMBER(SEARCH("1,2 MM",INVENTARIO!C294)),"1MM2",
IF(ISNUMBER(SEARCH("2 MM",INVENTARIO!C294)),"2MM",
IF(ISNUMBER(SEARCH("3 MM",INVENTARIO!C294)),"3MM",
IF(ISNUMBER(SEARCH("4 MM",INVENTARIO!C294)),"4MM",
IF(ISNUMBER(SEARCH("5 MM",INVENTARIO!C294)),"5MM",
IF(ISNUMBER(SEARCH("6 MM",INVENTARIO!C294)),"6MM",
IF(ISNUMBER(SEARCH("9 MM",INVENTARIO!C294)),"9MM",
IF(ISNUMBER(SEARCH("10 MM",INVENTARIO!C294)),"10MM","")))))))))))))</f>
        <v/>
      </c>
      <c r="H294" t="str">
        <f>IF(ISNUMBER(SEARCH("GAMA BAJA",INVENTARIO!C294)),"GAM-BAJ",
IF(ISNUMBER(SEARCH("OPTIMIZADOR",INVENTARIO!C294)),"OPT",
IF(ISNUMBER(SEARCH("OVERCOAT",INVENTARIO!C294)),"OVE",
IF(ISNUMBER(SEARCH("WHITE",INVENTARIO!C294)),"WHI",
IF(ISNUMBER(SEARCH("LIGHT CYAN",INVENTARIO!C294)),"LIG-CYA",
IF(ISNUMBER(SEARCH("CYAN",INVENTARIO!C294)),"CYA",
IF(ISNUMBER(SEARCH("LIGHT MAGENTA",INVENTARIO!C294)),"LIG-MAG",
IF(ISNUMBER(SEARCH("MAGENTA",INVENTARIO!C294)),"MAG",
IF(ISNUMBER(SEARCH("BLACK",INVENTARIO!C294)),"BLA",
IF(ISNUMBER(SEARCH("YELLOW",INVENTARIO!C294)),"YEL",
IF(ISNUMBER(SEARCH("2 DIODOS",INVENTARIO!C294)),"2DI",
IF(ISNUMBER(SEARCH("3 DIODOS",INVENTARIO!C294)),"3DI",
IF(OR(ISNUMBER(SEARCH("TRASLUCIDO",INVENTARIO!C294)),ISNUMBER(SEARCH("TRANSLUCIDO",INVENTARIO!C294))),"TRA",
"")))))))))))))</f>
        <v/>
      </c>
      <c r="I294" t="str">
        <f>IF(ISNUMBER(SEARCH("SILED",INVENTARIO!C293)),"SI",
IF(ISNUMBER(SEARCH("SYDEMEX",INVENTARIO!C293)),"SY",
IF(ISNUMBER(SEARCH("ROHS",INVENTARIO!C293)),"RO",
IF(ISNUMBER(SEARCH("RISHANG",INVENTARIO!C293)),"RS",
IF(ISNUMBER(SEARCH("VYG",INVENTARIO!C293)),"VYG",
IF(ISNUMBER(SEARCH("COLED",INVENTARIO!C293)),"CO",""))))))</f>
        <v/>
      </c>
    </row>
    <row r="295" spans="1:9">
      <c r="A295" t="str">
        <f>IF(ISNUMBER(SEARCH("LONA",INVENTARIO!C295)),"LON",
IF(ISNUMBER(SEARCH("VINIL",INVENTARIO!C295)),"VIN",
IF(ISNUMBER(SEARCH("KROMACOTE",INVENTARIO!C295)),"KRO",
IF(ISNUMBER(SEARCH("STARDREAM",INVENTARIO!C295)),"STA",
IF(ISNUMBER(SEARCH("DISPLAY",INVENTARIO!C295)),"DIS",
IF(ISNUMBER(SEARCH("ROLL UP",INVENTARIO!C295)),"ROL-UP",
IF(ISNUMBER(SEARCH("TRANSFER DE PAPEL",INVENTARIO!C295)),"TRA-PAP",
IF(ISNUMBER(SEARCH("TRANSFER",INVENTARIO!C295)),"TRA",IF(ISNUMBER(SEARCH("KOLA LOKA",INVENTARIO!C295)),"KOL-LOK",
IF(ISNUMBER(SEARCH("PETG",INVENTARIO!C295)),"PET",
IF(ISNUMBER(SEARCH("OJILLO",INVENTARIO!C295)),"OJI",
IF(ISNUMBER(SEARCH("COUCHE",INVENTARIO!C295)),"COU",
IF(ISNUMBER(SEARCH("PANEL DE ALUMINIO",INVENTARIO!C295)),"PAN-ALU",
IF(ISNUMBER(SEARCH("PVC",INVENTARIO!C295)),"PVC",
IF(ISNUMBER(SEARCH("PAPEL",INVENTARIO!C295)),"PAP",
IF(ISNUMBER(SEARCH("TELA",INVENTARIO!C295)),"TEL",
IF(ISNUMBER(SEARCH("CARTULINA",INVENTARIO!C295)),"CAR",
IF(OR(ISNUMBER(SEARCH("LAMINA",INVENTARIO!C295)),ISNUMBER(SEARCH("LÁMINA",INVENTARIO!C295)),ISNUMBER(SEARCH("LAMPARAS",INVENTARIO!C295))),"LAM",
IF(ISNUMBER(SEARCH("ESTIRENO",INVENTARIO!C295)),"EST",
IF(ISNUMBER(SEARCH("FOAMBOARD",INVENTARIO!C295)),"FOA",
IF(ISNUMBER(SEARCH("SOLVENTE",INVENTARIO!C295)),"SOL",
IF(ISNUMBER(SEARCH("TINTA",INVENTARIO!C295)),"TIN",
IF(ISNUMBER(SEARCH("ACRILICO",INVENTARIO!C295)),"ACR",
IF(ISNUMBER(SEARCH("MICROLED",INVENTARIO!C295)),"MIC",
IF(ISNUMBER(SEARCH("LED",INVENTARIO!C295)),"LED",
IF(ISNUMBER(SEARCH("FUENTE DE PODER",INVENTARIO!C295)),"FUE-POD",
IF(ISNUMBER(SEARCH("PETG",INVENTARIO!C295)),"PET",
IF(ISNUMBER(SEARCH("ALUMINIO",INVENTARIO!C295)),"ALU",
IF(ISNUMBER(SEARCH("CANAL",INVENTARIO!C295)),"CAN",
IF(ISNUMBER(SEARCH("ESCUADRA",INVENTARIO!C295)),"ESC",
IF(ISNUMBER(SEARCH("SOPORTE",INVENTARIO!C295)),"SOP","OTR")
))))))))))))))))))))))))))))))</f>
        <v>LAM</v>
      </c>
      <c r="B295" t="str">
        <f>IF(ISNUMBER(SEARCH("CORTE",INVENTARIO!C295)),"COR",
IF(ISNUMBER(SEARCH("CITYLIGHT",INVENTARIO!C295)),"CIT",
IF(ISNUMBER(SEARCH("LINO",INVENTARIO!C295)),"LIN",
IF(ISNUMBER(SEARCH("FABRIANO",INVENTARIO!C295)),"FAB",
IF(ISNUMBER(SEARCH("SUNDANCE",INVENTARIO!C295)),"SUN",
IF(ISNUMBER(SEARCH("SINTETICA",INVENTARIO!C295)),"SIN",
IF(ISNUMBER(SEARCH("CONTROL",INVENTARIO!C295)),"CON",
IF(ISNUMBER(SEARCH("TERMICO",INVENTARIO!C295)),"TER",
IF(ISNUMBER(SEARCH("C-15",INVENTARIO!C295)),"C15",
IF(ISNUMBER(SEARCH("C-20",INVENTARIO!C295)),"C20",
IF(ISNUMBER(SEARCH("C-30",INVENTARIO!C295)),"C30",
IF(ISNUMBER(SEARCH("C-40",INVENTARIO!C295)),"C40",
IF(ISNUMBER(SEARCH("C-60",INVENTARIO!C295)),"C60",
IF(ISNUMBER(SEARCH("C-80",INVENTARIO!C295)),"C80",
IF(ISNUMBER(SEARCH("EQUIPO",INVENTARIO!C295)),"EQU",
IF(ISNUMBER(SEARCH("FLOOR",INVENTARIO!C295)),"FLO",
IF(ISNUMBER(SEARCH("CRISTAL",INVENTARIO!C295)),"CRI",
IF(ISNUMBER(SEARCH(" SULFATADA",INVENTARIO!C306)),"SUL",
IF(ISNUMBER(SEARCH("OPALINA",INVENTARIO!C295)),"OPA",
IF(ISNUMBER(SEARCH("ADHERIBLE",INVENTARIO!C295)),"ADH",
IF(ISNUMBER(SEARCH("MICRO",INVENTARIO!C295)),"MIC","")))))))))))))))))))))</f>
        <v/>
      </c>
      <c r="C295" t="str">
        <f>IF(ISNUMBER(SEARCH("PARED",INVENTARIO!C295)),"PAR",
IF(ISNUMBER(SEARCH("FRONT",INVENTARIO!C295)),"FRO",
IF(ISNUMBER(SEARCH("ALTA RESISTENCIA",INVENTARIO!C295)),
"ALT-RES",IF(ISNUMBER(SEARCH("BACKLITE",INVENTARIO!C295)),"BAC",
IF(ISNUMBER(SEARCH("MATE",INVENTARIO!C295)),"MAT",
IF(ISNUMBER(SEARCH("MESH",INVENTARIO!C295)),"MES",
IF(ISNUMBER(SEARCH("BRILLANTE",INVENTARIO!C295)),"BRI",
IF(ISNUMBER(SEARCH("DELGADA",INVENTARIO!C295)),"DEL",
IF(ISNUMBER(SEARCH("GRUESA",INVENTARIO!C295)),"GRU",
IF(ISNUMBER(SEARCH("ESTATICO",INVENTARIO!C295)),"EST",
IF(ISNUMBER(SEARCH("REFLECTIVO",INVENTARIO!C295)),"REF",
IF(ISNUMBER(SEARCH("LX700",INVENTARIO!C295)),"LX7",
IF(ISNUMBER(SEARCH("GRANDO",INVENTARIO!C295)),"GRA",
IF(ISNUMBER(SEARCH("FB700",INVENTARIO!C295)),"FB7",
IF(ISNUMBER(SEARCH("LX360",INVENTARIO!C295)),"LX3",
IF(ISNUMBER(SEARCH("XEROX",INVENTARIO!C295)),"XER",
IF(ISNUMBER(SEARCH("CEPILLADO",INVENTARIO!C295)),"CEP",
IF(ISNUMBER(SEARCH("ESPEJO",INVENTARIO!C295)),"ESP",
IF(ISNUMBER(SEARCH("10 PTS",INVENTARIO!C295)),"10PT",
IF(ISNUMBER(SEARCH("12 PTS",INVENTARIO!C295)),"12PT",
IF(ISNUMBER(SEARCH("14 PTS",INVENTARIO!C295)),"14PT",
IF(ISNUMBER(SEARCH("CLASICO",INVENTARIO!C295)),"CLA",
""))))))))))))))))))))))</f>
        <v/>
      </c>
      <c r="D295" t="str">
        <f>IF(ISNUMBER(SEARCH("GRAN FORMATO",INVENTARIO!C295)),"GRA-FOR",
IF(ISNUMBER(SEARCH("CAMA PLANA",INVENTARIO!C295)),"CAM-PLA",
IF(ISNUMBER(SEARCH("GRADO INGENIERIA",INVENTARIO!C295)),"GRA-ING",
IF(ISNUMBER(SEARCH("130 GRS",INVENTARIO!C295)),"130GR",
IF(ISNUMBER(SEARCH("150 GRS",INVENTARIO!C295)),"150GR",
IF(ISNUMBER(SEARCH("185 GRS",INVENTARIO!C295)),"185GR",
IF(ISNUMBER(SEARCH("200 GRS",INVENTARIO!C295)),"200GR",
IF(ISNUMBER(SEARCH("250 GRS",INVENTARIO!C295)),"250GR",
IF(ISNUMBER(SEARCH("300 GRS",INVENTARIO!C295)),"300GR",
IF(ISNUMBER(SEARCH("350 GRS",INVENTARIO!C295)),"350GR",
IF(ISNUMBER(SEARCH("18 OZ",INVENTARIO!C295)),"18OZ",
IF(ISNUMBER(SEARCH("15 OZ",INVENTARIO!C295)),"15OZ",
IF(OR(ISNUMBER(SEARCH("13 OZ",INVENTARIO!C295)),ISNUMBER(SEARCH("13 ONZAS",INVENTARIO!C295))),"13OZ",
IF(OR(ISNUMBER(SEARCH("9 OZ",INVENTARIO!C295)),ISNUMBER(SEARCH("9 ONZAS",INVENTARIO!C295))),"09OZ",
IF(ISNUMBER(SEARCH("DOBLE CARA",INVENTARIO!C295)),"DOB-CAR",
"")))))))))))))))</f>
        <v/>
      </c>
      <c r="E295" t="str">
        <f>IF(OR(ISNUMBER(SEARCH("TRANSPARENTE",INVENTARIO!C295)),ISNUMBER(SEARCH("TRANSPARENTES",INVENTARIO!C295))),"TRA",
IF(OR(ISNUMBER(SEARCH("BLANCO",INVENTARIO!C295)),ISNUMBER(SEARCH("BCO",INVENTARIO!C295))),"BLA",
IF(ISNUMBER(SEARCH("FOTOGRAFICO",INVENTARIO!C295)),"FOT",
IF(ISNUMBER(SEARCH("MARFIL",INVENTARIO!C295)),"MAR",
IF(ISNUMBER(SEARCH("VERDE",INVENTARIO!C295)),"VER",
IF(ISNUMBER(SEARCH("MORADO",INVENTARIO!C295)),"MOR",
IF(ISNUMBER(SEARCH("PLATA",INVENTARIO!C295)),"PLA",
IF(ISNUMBER(SEARCH("ORO",INVENTARIO!C295)),"ORO",
IF(ISNUMBER(SEARCH("AMARILLO",INVENTARIO!C295)),"AMA",
IF(ISNUMBER(SEARCH("NARANJA",INVENTARIO!C295)),"NAR",
IF(ISNUMBER(SEARCH("NEGRO",INVENTARIO!C295)),"NEG",
IF(ISNUMBER(SEARCH("ROJO",INVENTARIO!C295)),"ROJ",
IF(ISNUMBER(SEARCH("AZUL",INVENTARIO!C295)),"AZU","")))))))))))))</f>
        <v/>
      </c>
      <c r="F295" t="str">
        <f>IF(ISNUMBER(SEARCH("ARLON",INVENTARIO!C295)),"ARL",
IF(ISNUMBER(SEARCH("SUNTHINKS",INVENTARIO!C295)),"SUN",
IF(ISNUMBER(SEARCH("FRIO",INVENTARIO!C295)),"FRI",
IF(ISNUMBER(SEARCH("CALIDO",INVENTARIO!C295)),"CAL",
IF(ISNUMBER(SEARCH("CEPILLADO",INVENTARIO!C295)),"CEP",
IF(ISNUMBER(SEARCH("ESPEJO",INVENTARIO!C295)),"ESP",
""))))))</f>
        <v/>
      </c>
      <c r="G295" t="str">
        <f>IF(ISNUMBER(SEARCH("LATEX",INVENTARIO!C295)),"LAT",
IF(ISNUMBER(SEARCH("RESP. NEGRO",INVENTARIO!C295)),"RES-NEG",
IF(ISNUMBER(SEARCH("RESPALDO CAFE",INVENTARIO!C295)),"RES-CAF",
IF(ISNUMBER(SEARCH("RESPALDO GRIS",INVENTARIO!C295)),"RES-GRI",
IF(ISNUMBER(SEARCH("OPTICO",INVENTARIO!C295)),"OPT",
IF(ISNUMBER(SEARCH("1,2 MM",INVENTARIO!C295)),"1MM2",
IF(ISNUMBER(SEARCH("2 MM",INVENTARIO!C295)),"2MM",
IF(ISNUMBER(SEARCH("3 MM",INVENTARIO!C295)),"3MM",
IF(ISNUMBER(SEARCH("4 MM",INVENTARIO!C295)),"4MM",
IF(ISNUMBER(SEARCH("5 MM",INVENTARIO!C295)),"5MM",
IF(ISNUMBER(SEARCH("6 MM",INVENTARIO!C295)),"6MM",
IF(ISNUMBER(SEARCH("9 MM",INVENTARIO!C295)),"9MM",
IF(ISNUMBER(SEARCH("10 MM",INVENTARIO!C295)),"10MM","")))))))))))))</f>
        <v/>
      </c>
      <c r="H295" t="str">
        <f>IF(ISNUMBER(SEARCH("GAMA BAJA",INVENTARIO!C295)),"GAM-BAJ",
IF(ISNUMBER(SEARCH("OPTIMIZADOR",INVENTARIO!C295)),"OPT",
IF(ISNUMBER(SEARCH("OVERCOAT",INVENTARIO!C295)),"OVE",
IF(ISNUMBER(SEARCH("WHITE",INVENTARIO!C295)),"WHI",
IF(ISNUMBER(SEARCH("LIGHT CYAN",INVENTARIO!C295)),"LIG-CYA",
IF(ISNUMBER(SEARCH("CYAN",INVENTARIO!C295)),"CYA",
IF(ISNUMBER(SEARCH("LIGHT MAGENTA",INVENTARIO!C295)),"LIG-MAG",
IF(ISNUMBER(SEARCH("MAGENTA",INVENTARIO!C295)),"MAG",
IF(ISNUMBER(SEARCH("BLACK",INVENTARIO!C295)),"BLA",
IF(ISNUMBER(SEARCH("YELLOW",INVENTARIO!C295)),"YEL",
IF(ISNUMBER(SEARCH("2 DIODOS",INVENTARIO!C295)),"2DI",
IF(ISNUMBER(SEARCH("3 DIODOS",INVENTARIO!C295)),"3DI",
IF(OR(ISNUMBER(SEARCH("TRASLUCIDO",INVENTARIO!C295)),ISNUMBER(SEARCH("TRANSLUCIDO",INVENTARIO!C295))),"TRA",
"")))))))))))))</f>
        <v/>
      </c>
      <c r="I295" t="str">
        <f>IF(ISNUMBER(SEARCH("SILED",INVENTARIO!C294)),"SI",
IF(ISNUMBER(SEARCH("SYDEMEX",INVENTARIO!C294)),"SY",
IF(ISNUMBER(SEARCH("ROHS",INVENTARIO!C294)),"RO",
IF(ISNUMBER(SEARCH("RISHANG",INVENTARIO!C294)),"RS",
IF(ISNUMBER(SEARCH("VYG",INVENTARIO!C294)),"VYG",
IF(ISNUMBER(SEARCH("COLED",INVENTARIO!C294)),"CO",""))))))</f>
        <v/>
      </c>
    </row>
    <row r="296" spans="1:9">
      <c r="A296" t="str">
        <f>IF(ISNUMBER(SEARCH("LONA",INVENTARIO!C296)),"LON",
IF(ISNUMBER(SEARCH("VINIL",INVENTARIO!C296)),"VIN",
IF(ISNUMBER(SEARCH("KROMACOTE",INVENTARIO!C296)),"KRO",
IF(ISNUMBER(SEARCH("STARDREAM",INVENTARIO!C296)),"STA",
IF(ISNUMBER(SEARCH("DISPLAY",INVENTARIO!C296)),"DIS",
IF(ISNUMBER(SEARCH("ROLL UP",INVENTARIO!C296)),"ROL-UP",
IF(ISNUMBER(SEARCH("TRANSFER DE PAPEL",INVENTARIO!C296)),"TRA-PAP",
IF(ISNUMBER(SEARCH("TRANSFER",INVENTARIO!C296)),"TRA",IF(ISNUMBER(SEARCH("KOLA LOKA",INVENTARIO!C296)),"KOL-LOK",
IF(ISNUMBER(SEARCH("PETG",INVENTARIO!C296)),"PET",
IF(ISNUMBER(SEARCH("OJILLO",INVENTARIO!C296)),"OJI",
IF(ISNUMBER(SEARCH("COUCHE",INVENTARIO!C296)),"COU",
IF(ISNUMBER(SEARCH("PANEL DE ALUMINIO",INVENTARIO!C296)),"PAN-ALU",
IF(ISNUMBER(SEARCH("PVC",INVENTARIO!C296)),"PVC",
IF(ISNUMBER(SEARCH("PAPEL",INVENTARIO!C296)),"PAP",
IF(ISNUMBER(SEARCH("TELA",INVENTARIO!C296)),"TEL",
IF(ISNUMBER(SEARCH("CARTULINA",INVENTARIO!C296)),"CAR",
IF(OR(ISNUMBER(SEARCH("LAMINA",INVENTARIO!C296)),ISNUMBER(SEARCH("LÁMINA",INVENTARIO!C296)),ISNUMBER(SEARCH("LAMPARAS",INVENTARIO!C296))),"LAM",
IF(ISNUMBER(SEARCH("ESTIRENO",INVENTARIO!C296)),"EST",
IF(ISNUMBER(SEARCH("FOAMBOARD",INVENTARIO!C296)),"FOA",
IF(ISNUMBER(SEARCH("SOLVENTE",INVENTARIO!C296)),"SOL",
IF(ISNUMBER(SEARCH("TINTA",INVENTARIO!C296)),"TIN",
IF(ISNUMBER(SEARCH("ACRILICO",INVENTARIO!C296)),"ACR",
IF(ISNUMBER(SEARCH("MICROLED",INVENTARIO!C296)),"MIC",
IF(ISNUMBER(SEARCH("LED",INVENTARIO!C296)),"LED",
IF(ISNUMBER(SEARCH("FUENTE DE PODER",INVENTARIO!C296)),"FUE-POD",
IF(ISNUMBER(SEARCH("PETG",INVENTARIO!C296)),"PET",
IF(ISNUMBER(SEARCH("ALUMINIO",INVENTARIO!C296)),"ALU",
IF(ISNUMBER(SEARCH("CANAL",INVENTARIO!C296)),"CAN",
IF(ISNUMBER(SEARCH("ESCUADRA",INVENTARIO!C296)),"ESC",
IF(ISNUMBER(SEARCH("SOPORTE",INVENTARIO!C296)),"SOP","OTR")
))))))))))))))))))))))))))))))</f>
        <v>CAR</v>
      </c>
      <c r="B296" t="str">
        <f>IF(ISNUMBER(SEARCH("CORTE",INVENTARIO!C296)),"COR",
IF(ISNUMBER(SEARCH("CITYLIGHT",INVENTARIO!C296)),"CIT",
IF(ISNUMBER(SEARCH("LINO",INVENTARIO!C296)),"LIN",
IF(ISNUMBER(SEARCH("FABRIANO",INVENTARIO!C296)),"FAB",
IF(ISNUMBER(SEARCH("SUNDANCE",INVENTARIO!C296)),"SUN",
IF(ISNUMBER(SEARCH("SINTETICA",INVENTARIO!C296)),"SIN",
IF(ISNUMBER(SEARCH("CONTROL",INVENTARIO!C296)),"CON",
IF(ISNUMBER(SEARCH("TERMICO",INVENTARIO!C296)),"TER",
IF(ISNUMBER(SEARCH("C-15",INVENTARIO!C296)),"C15",
IF(ISNUMBER(SEARCH("C-20",INVENTARIO!C296)),"C20",
IF(ISNUMBER(SEARCH("C-30",INVENTARIO!C296)),"C30",
IF(ISNUMBER(SEARCH("C-40",INVENTARIO!C296)),"C40",
IF(ISNUMBER(SEARCH("C-60",INVENTARIO!C296)),"C60",
IF(ISNUMBER(SEARCH("C-80",INVENTARIO!C296)),"C80",
IF(ISNUMBER(SEARCH("EQUIPO",INVENTARIO!C296)),"EQU",
IF(ISNUMBER(SEARCH("FLOOR",INVENTARIO!C296)),"FLO",
IF(ISNUMBER(SEARCH("CRISTAL",INVENTARIO!C296)),"CRI",
IF(ISNUMBER(SEARCH(" SULFATADA",INVENTARIO!C307)),"SUL",
IF(ISNUMBER(SEARCH("OPALINA",INVENTARIO!C296)),"OPA",
IF(ISNUMBER(SEARCH("ADHERIBLE",INVENTARIO!C296)),"ADH",
IF(ISNUMBER(SEARCH("MICRO",INVENTARIO!C296)),"MIC","")))))))))))))))))))))</f>
        <v/>
      </c>
      <c r="C296" t="str">
        <f>IF(ISNUMBER(SEARCH("PARED",INVENTARIO!C296)),"PAR",
IF(ISNUMBER(SEARCH("FRONT",INVENTARIO!C296)),"FRO",
IF(ISNUMBER(SEARCH("ALTA RESISTENCIA",INVENTARIO!C296)),
"ALT-RES",IF(ISNUMBER(SEARCH("BACKLITE",INVENTARIO!C296)),"BAC",
IF(ISNUMBER(SEARCH("MATE",INVENTARIO!C296)),"MAT",
IF(ISNUMBER(SEARCH("MESH",INVENTARIO!C296)),"MES",
IF(ISNUMBER(SEARCH("BRILLANTE",INVENTARIO!C296)),"BRI",
IF(ISNUMBER(SEARCH("DELGADA",INVENTARIO!C296)),"DEL",
IF(ISNUMBER(SEARCH("GRUESA",INVENTARIO!C296)),"GRU",
IF(ISNUMBER(SEARCH("ESTATICO",INVENTARIO!C296)),"EST",
IF(ISNUMBER(SEARCH("REFLECTIVO",INVENTARIO!C296)),"REF",
IF(ISNUMBER(SEARCH("LX700",INVENTARIO!C296)),"LX7",
IF(ISNUMBER(SEARCH("GRANDO",INVENTARIO!C296)),"GRA",
IF(ISNUMBER(SEARCH("FB700",INVENTARIO!C296)),"FB7",
IF(ISNUMBER(SEARCH("LX360",INVENTARIO!C296)),"LX3",
IF(ISNUMBER(SEARCH("XEROX",INVENTARIO!C296)),"XER",
IF(ISNUMBER(SEARCH("CEPILLADO",INVENTARIO!C296)),"CEP",
IF(ISNUMBER(SEARCH("ESPEJO",INVENTARIO!C296)),"ESP",
IF(ISNUMBER(SEARCH("10 PTS",INVENTARIO!C296)),"10PT",
IF(ISNUMBER(SEARCH("12 PTS",INVENTARIO!C296)),"12PT",
IF(ISNUMBER(SEARCH("14 PTS",INVENTARIO!C296)),"14PT",
IF(ISNUMBER(SEARCH("CLASICO",INVENTARIO!C296)),"CLA",
""))))))))))))))))))))))</f>
        <v>12PT</v>
      </c>
      <c r="D296" t="str">
        <f>IF(ISNUMBER(SEARCH("GRAN FORMATO",INVENTARIO!C296)),"GRA-FOR",
IF(ISNUMBER(SEARCH("CAMA PLANA",INVENTARIO!C296)),"CAM-PLA",
IF(ISNUMBER(SEARCH("GRADO INGENIERIA",INVENTARIO!C296)),"GRA-ING",
IF(ISNUMBER(SEARCH("130 GRS",INVENTARIO!C296)),"130GR",
IF(ISNUMBER(SEARCH("150 GRS",INVENTARIO!C296)),"150GR",
IF(ISNUMBER(SEARCH("185 GRS",INVENTARIO!C296)),"185GR",
IF(ISNUMBER(SEARCH("200 GRS",INVENTARIO!C296)),"200GR",
IF(ISNUMBER(SEARCH("250 GRS",INVENTARIO!C296)),"250GR",
IF(ISNUMBER(SEARCH("300 GRS",INVENTARIO!C296)),"300GR",
IF(ISNUMBER(SEARCH("350 GRS",INVENTARIO!C296)),"350GR",
IF(ISNUMBER(SEARCH("18 OZ",INVENTARIO!C296)),"18OZ",
IF(ISNUMBER(SEARCH("15 OZ",INVENTARIO!C296)),"15OZ",
IF(OR(ISNUMBER(SEARCH("13 OZ",INVENTARIO!C296)),ISNUMBER(SEARCH("13 ONZAS",INVENTARIO!C296))),"13OZ",
IF(OR(ISNUMBER(SEARCH("9 OZ",INVENTARIO!C296)),ISNUMBER(SEARCH("9 ONZAS",INVENTARIO!C296))),"09OZ",
IF(ISNUMBER(SEARCH("DOBLE CARA",INVENTARIO!C296)),"DOB-CAR",
"")))))))))))))))</f>
        <v/>
      </c>
      <c r="E296" t="str">
        <f>IF(OR(ISNUMBER(SEARCH("TRANSPARENTE",INVENTARIO!C296)),ISNUMBER(SEARCH("TRANSPARENTES",INVENTARIO!C296))),"TRA",
IF(OR(ISNUMBER(SEARCH("BLANCO",INVENTARIO!C296)),ISNUMBER(SEARCH("BCO",INVENTARIO!C296))),"BLA",
IF(ISNUMBER(SEARCH("FOTOGRAFICO",INVENTARIO!C296)),"FOT",
IF(ISNUMBER(SEARCH("MARFIL",INVENTARIO!C296)),"MAR",
IF(ISNUMBER(SEARCH("VERDE",INVENTARIO!C296)),"VER",
IF(ISNUMBER(SEARCH("MORADO",INVENTARIO!C296)),"MOR",
IF(ISNUMBER(SEARCH("PLATA",INVENTARIO!C296)),"PLA",
IF(ISNUMBER(SEARCH("ORO",INVENTARIO!C296)),"ORO",
IF(ISNUMBER(SEARCH("AMARILLO",INVENTARIO!C296)),"AMA",
IF(ISNUMBER(SEARCH("NARANJA",INVENTARIO!C296)),"NAR",
IF(ISNUMBER(SEARCH("NEGRO",INVENTARIO!C296)),"NEG",
IF(ISNUMBER(SEARCH("ROJO",INVENTARIO!C296)),"ROJ",
IF(ISNUMBER(SEARCH("AZUL",INVENTARIO!C296)),"AZU","")))))))))))))</f>
        <v/>
      </c>
      <c r="F296" t="str">
        <f>IF(ISNUMBER(SEARCH("ARLON",INVENTARIO!C296)),"ARL",
IF(ISNUMBER(SEARCH("SUNTHINKS",INVENTARIO!C296)),"SUN",
IF(ISNUMBER(SEARCH("FRIO",INVENTARIO!C296)),"FRI",
IF(ISNUMBER(SEARCH("CALIDO",INVENTARIO!C296)),"CAL",
IF(ISNUMBER(SEARCH("CEPILLADO",INVENTARIO!C296)),"CEP",
IF(ISNUMBER(SEARCH("ESPEJO",INVENTARIO!C296)),"ESP",
""))))))</f>
        <v/>
      </c>
      <c r="G296" t="str">
        <f>IF(ISNUMBER(SEARCH("LATEX",INVENTARIO!C296)),"LAT",
IF(ISNUMBER(SEARCH("RESP. NEGRO",INVENTARIO!C296)),"RES-NEG",
IF(ISNUMBER(SEARCH("RESPALDO CAFE",INVENTARIO!C296)),"RES-CAF",
IF(ISNUMBER(SEARCH("RESPALDO GRIS",INVENTARIO!C296)),"RES-GRI",
IF(ISNUMBER(SEARCH("OPTICO",INVENTARIO!C296)),"OPT",
IF(ISNUMBER(SEARCH("1,2 MM",INVENTARIO!C296)),"1MM2",
IF(ISNUMBER(SEARCH("2 MM",INVENTARIO!C296)),"2MM",
IF(ISNUMBER(SEARCH("3 MM",INVENTARIO!C296)),"3MM",
IF(ISNUMBER(SEARCH("4 MM",INVENTARIO!C296)),"4MM",
IF(ISNUMBER(SEARCH("5 MM",INVENTARIO!C296)),"5MM",
IF(ISNUMBER(SEARCH("6 MM",INVENTARIO!C296)),"6MM",
IF(ISNUMBER(SEARCH("9 MM",INVENTARIO!C296)),"9MM",
IF(ISNUMBER(SEARCH("10 MM",INVENTARIO!C296)),"10MM","")))))))))))))</f>
        <v/>
      </c>
      <c r="H296" t="str">
        <f>IF(ISNUMBER(SEARCH("GAMA BAJA",INVENTARIO!C296)),"GAM-BAJ",
IF(ISNUMBER(SEARCH("OPTIMIZADOR",INVENTARIO!C296)),"OPT",
IF(ISNUMBER(SEARCH("OVERCOAT",INVENTARIO!C296)),"OVE",
IF(ISNUMBER(SEARCH("WHITE",INVENTARIO!C296)),"WHI",
IF(ISNUMBER(SEARCH("LIGHT CYAN",INVENTARIO!C296)),"LIG-CYA",
IF(ISNUMBER(SEARCH("CYAN",INVENTARIO!C296)),"CYA",
IF(ISNUMBER(SEARCH("LIGHT MAGENTA",INVENTARIO!C296)),"LIG-MAG",
IF(ISNUMBER(SEARCH("MAGENTA",INVENTARIO!C296)),"MAG",
IF(ISNUMBER(SEARCH("BLACK",INVENTARIO!C296)),"BLA",
IF(ISNUMBER(SEARCH("YELLOW",INVENTARIO!C296)),"YEL",
IF(ISNUMBER(SEARCH("2 DIODOS",INVENTARIO!C296)),"2DI",
IF(ISNUMBER(SEARCH("3 DIODOS",INVENTARIO!C296)),"3DI",
IF(OR(ISNUMBER(SEARCH("TRASLUCIDO",INVENTARIO!C296)),ISNUMBER(SEARCH("TRANSLUCIDO",INVENTARIO!C296))),"TRA",
"")))))))))))))</f>
        <v/>
      </c>
      <c r="I296" t="str">
        <f>IF(ISNUMBER(SEARCH("SILED",INVENTARIO!#REF!)),"SI",
IF(ISNUMBER(SEARCH("SYDEMEX",INVENTARIO!#REF!)),"SY",
IF(ISNUMBER(SEARCH("ROHS",INVENTARIO!#REF!)),"RO",
IF(ISNUMBER(SEARCH("RISHANG",INVENTARIO!#REF!)),"RS",
IF(ISNUMBER(SEARCH("VYG",INVENTARIO!#REF!)),"VYG",
IF(ISNUMBER(SEARCH("COLED",INVENTARIO!#REF!)),"CO",""))))))</f>
        <v/>
      </c>
    </row>
    <row r="297" spans="1:9">
      <c r="A297" t="str">
        <f>IF(ISNUMBER(SEARCH("LONA",INVENTARIO!C297)),"LON",
IF(ISNUMBER(SEARCH("VINIL",INVENTARIO!C297)),"VIN",
IF(ISNUMBER(SEARCH("KROMACOTE",INVENTARIO!C297)),"KRO",
IF(ISNUMBER(SEARCH("STARDREAM",INVENTARIO!C297)),"STA",
IF(ISNUMBER(SEARCH("DISPLAY",INVENTARIO!C297)),"DIS",
IF(ISNUMBER(SEARCH("ROLL UP",INVENTARIO!C297)),"ROL-UP",
IF(ISNUMBER(SEARCH("TRANSFER DE PAPEL",INVENTARIO!C297)),"TRA-PAP",
IF(ISNUMBER(SEARCH("TRANSFER",INVENTARIO!C297)),"TRA",IF(ISNUMBER(SEARCH("KOLA LOKA",INVENTARIO!C297)),"KOL-LOK",
IF(ISNUMBER(SEARCH("PETG",INVENTARIO!C297)),"PET",
IF(ISNUMBER(SEARCH("OJILLO",INVENTARIO!C297)),"OJI",
IF(ISNUMBER(SEARCH("COUCHE",INVENTARIO!C297)),"COU",
IF(ISNUMBER(SEARCH("PANEL DE ALUMINIO",INVENTARIO!C297)),"PAN-ALU",
IF(ISNUMBER(SEARCH("PVC",INVENTARIO!C297)),"PVC",
IF(ISNUMBER(SEARCH("PAPEL",INVENTARIO!C297)),"PAP",
IF(ISNUMBER(SEARCH("TELA",INVENTARIO!C297)),"TEL",
IF(ISNUMBER(SEARCH("CARTULINA",INVENTARIO!C297)),"CAR",
IF(OR(ISNUMBER(SEARCH("LAMINA",INVENTARIO!C297)),ISNUMBER(SEARCH("LÁMINA",INVENTARIO!C297)),ISNUMBER(SEARCH("LAMPARAS",INVENTARIO!C297))),"LAM",
IF(ISNUMBER(SEARCH("ESTIRENO",INVENTARIO!C297)),"EST",
IF(ISNUMBER(SEARCH("FOAMBOARD",INVENTARIO!C297)),"FOA",
IF(ISNUMBER(SEARCH("SOLVENTE",INVENTARIO!C297)),"SOL",
IF(ISNUMBER(SEARCH("TINTA",INVENTARIO!C297)),"TIN",
IF(ISNUMBER(SEARCH("ACRILICO",INVENTARIO!C297)),"ACR",
IF(ISNUMBER(SEARCH("MICROLED",INVENTARIO!C297)),"MIC",
IF(ISNUMBER(SEARCH("LED",INVENTARIO!C297)),"LED",
IF(ISNUMBER(SEARCH("FUENTE DE PODER",INVENTARIO!C297)),"FUE-POD",
IF(ISNUMBER(SEARCH("PETG",INVENTARIO!C297)),"PET",
IF(ISNUMBER(SEARCH("ALUMINIO",INVENTARIO!C297)),"ALU",
IF(ISNUMBER(SEARCH("CANAL",INVENTARIO!C297)),"CAN",
IF(ISNUMBER(SEARCH("ESCUADRA",INVENTARIO!C297)),"ESC",
IF(ISNUMBER(SEARCH("SOPORTE",INVENTARIO!C297)),"SOP","OTR")
))))))))))))))))))))))))))))))</f>
        <v>CAR</v>
      </c>
      <c r="B297" t="str">
        <f>IF(ISNUMBER(SEARCH("CORTE",INVENTARIO!C297)),"COR",
IF(ISNUMBER(SEARCH("CITYLIGHT",INVENTARIO!C297)),"CIT",
IF(ISNUMBER(SEARCH("LINO",INVENTARIO!C297)),"LIN",
IF(ISNUMBER(SEARCH("FABRIANO",INVENTARIO!C297)),"FAB",
IF(ISNUMBER(SEARCH("SUNDANCE",INVENTARIO!C297)),"SUN",
IF(ISNUMBER(SEARCH("SINTETICA",INVENTARIO!C297)),"SIN",
IF(ISNUMBER(SEARCH("CONTROL",INVENTARIO!C297)),"CON",
IF(ISNUMBER(SEARCH("TERMICO",INVENTARIO!C297)),"TER",
IF(ISNUMBER(SEARCH("C-15",INVENTARIO!C297)),"C15",
IF(ISNUMBER(SEARCH("C-20",INVENTARIO!C297)),"C20",
IF(ISNUMBER(SEARCH("C-30",INVENTARIO!C297)),"C30",
IF(ISNUMBER(SEARCH("C-40",INVENTARIO!C297)),"C40",
IF(ISNUMBER(SEARCH("C-60",INVENTARIO!C297)),"C60",
IF(ISNUMBER(SEARCH("C-80",INVENTARIO!C297)),"C80",
IF(ISNUMBER(SEARCH("EQUIPO",INVENTARIO!C297)),"EQU",
IF(ISNUMBER(SEARCH("FLOOR",INVENTARIO!C297)),"FLO",
IF(ISNUMBER(SEARCH("CRISTAL",INVENTARIO!C297)),"CRI",
IF(ISNUMBER(SEARCH(" SULFATADA",INVENTARIO!C308)),"SUL",
IF(ISNUMBER(SEARCH("OPALINA",INVENTARIO!C297)),"OPA",
IF(ISNUMBER(SEARCH("ADHERIBLE",INVENTARIO!C297)),"ADH",
IF(ISNUMBER(SEARCH("MICRO",INVENTARIO!C297)),"MIC","")))))))))))))))))))))</f>
        <v/>
      </c>
      <c r="C297" t="str">
        <f>IF(ISNUMBER(SEARCH("PARED",INVENTARIO!C297)),"PAR",
IF(ISNUMBER(SEARCH("FRONT",INVENTARIO!C297)),"FRO",
IF(ISNUMBER(SEARCH("ALTA RESISTENCIA",INVENTARIO!C297)),
"ALT-RES",IF(ISNUMBER(SEARCH("BACKLITE",INVENTARIO!C297)),"BAC",
IF(ISNUMBER(SEARCH("MATE",INVENTARIO!C297)),"MAT",
IF(ISNUMBER(SEARCH("MESH",INVENTARIO!C297)),"MES",
IF(ISNUMBER(SEARCH("BRILLANTE",INVENTARIO!C297)),"BRI",
IF(ISNUMBER(SEARCH("DELGADA",INVENTARIO!C297)),"DEL",
IF(ISNUMBER(SEARCH("GRUESA",INVENTARIO!C297)),"GRU",
IF(ISNUMBER(SEARCH("ESTATICO",INVENTARIO!C297)),"EST",
IF(ISNUMBER(SEARCH("REFLECTIVO",INVENTARIO!C297)),"REF",
IF(ISNUMBER(SEARCH("LX700",INVENTARIO!C297)),"LX7",
IF(ISNUMBER(SEARCH("GRANDO",INVENTARIO!C297)),"GRA",
IF(ISNUMBER(SEARCH("FB700",INVENTARIO!C297)),"FB7",
IF(ISNUMBER(SEARCH("LX360",INVENTARIO!C297)),"LX3",
IF(ISNUMBER(SEARCH("XEROX",INVENTARIO!C297)),"XER",
IF(ISNUMBER(SEARCH("CEPILLADO",INVENTARIO!C297)),"CEP",
IF(ISNUMBER(SEARCH("ESPEJO",INVENTARIO!C297)),"ESP",
IF(ISNUMBER(SEARCH("10 PTS",INVENTARIO!C297)),"10PT",
IF(ISNUMBER(SEARCH("12 PTS",INVENTARIO!C297)),"12PT",
IF(ISNUMBER(SEARCH("14 PTS",INVENTARIO!C297)),"14PT",
IF(ISNUMBER(SEARCH("CLASICO",INVENTARIO!C297)),"CLA",
""))))))))))))))))))))))</f>
        <v>12PT</v>
      </c>
      <c r="D297" t="str">
        <f>IF(ISNUMBER(SEARCH("GRAN FORMATO",INVENTARIO!C297)),"GRA-FOR",
IF(ISNUMBER(SEARCH("CAMA PLANA",INVENTARIO!C297)),"CAM-PLA",
IF(ISNUMBER(SEARCH("GRADO INGENIERIA",INVENTARIO!C297)),"GRA-ING",
IF(ISNUMBER(SEARCH("130 GRS",INVENTARIO!C297)),"130GR",
IF(ISNUMBER(SEARCH("150 GRS",INVENTARIO!C297)),"150GR",
IF(ISNUMBER(SEARCH("185 GRS",INVENTARIO!C297)),"185GR",
IF(ISNUMBER(SEARCH("200 GRS",INVENTARIO!C297)),"200GR",
IF(ISNUMBER(SEARCH("250 GRS",INVENTARIO!C297)),"250GR",
IF(ISNUMBER(SEARCH("300 GRS",INVENTARIO!C297)),"300GR",
IF(ISNUMBER(SEARCH("350 GRS",INVENTARIO!C297)),"350GR",
IF(ISNUMBER(SEARCH("18 OZ",INVENTARIO!C297)),"18OZ",
IF(ISNUMBER(SEARCH("15 OZ",INVENTARIO!C297)),"15OZ",
IF(OR(ISNUMBER(SEARCH("13 OZ",INVENTARIO!C297)),ISNUMBER(SEARCH("13 ONZAS",INVENTARIO!C297))),"13OZ",
IF(OR(ISNUMBER(SEARCH("9 OZ",INVENTARIO!C297)),ISNUMBER(SEARCH("9 ONZAS",INVENTARIO!C297))),"09OZ",
IF(ISNUMBER(SEARCH("DOBLE CARA",INVENTARIO!C297)),"DOB-CAR",
"")))))))))))))))</f>
        <v>DOB-CAR</v>
      </c>
      <c r="E297" t="str">
        <f>IF(OR(ISNUMBER(SEARCH("TRANSPARENTE",INVENTARIO!C297)),ISNUMBER(SEARCH("TRANSPARENTES",INVENTARIO!C297))),"TRA",
IF(OR(ISNUMBER(SEARCH("BLANCO",INVENTARIO!C297)),ISNUMBER(SEARCH("BCO",INVENTARIO!C297))),"BLA",
IF(ISNUMBER(SEARCH("FOTOGRAFICO",INVENTARIO!C297)),"FOT",
IF(ISNUMBER(SEARCH("MARFIL",INVENTARIO!C297)),"MAR",
IF(ISNUMBER(SEARCH("VERDE",INVENTARIO!C297)),"VER",
IF(ISNUMBER(SEARCH("MORADO",INVENTARIO!C297)),"MOR",
IF(ISNUMBER(SEARCH("PLATA",INVENTARIO!C297)),"PLA",
IF(ISNUMBER(SEARCH("ORO",INVENTARIO!C297)),"ORO",
IF(ISNUMBER(SEARCH("AMARILLO",INVENTARIO!C297)),"AMA",
IF(ISNUMBER(SEARCH("NARANJA",INVENTARIO!C297)),"NAR",
IF(ISNUMBER(SEARCH("NEGRO",INVENTARIO!C297)),"NEG",
IF(ISNUMBER(SEARCH("ROJO",INVENTARIO!C297)),"ROJ",
IF(ISNUMBER(SEARCH("AZUL",INVENTARIO!C297)),"AZU","")))))))))))))</f>
        <v/>
      </c>
      <c r="F297" t="str">
        <f>IF(ISNUMBER(SEARCH("ARLON",INVENTARIO!C297)),"ARL",
IF(ISNUMBER(SEARCH("SUNTHINKS",INVENTARIO!C297)),"SUN",
IF(ISNUMBER(SEARCH("FRIO",INVENTARIO!C297)),"FRI",
IF(ISNUMBER(SEARCH("CALIDO",INVENTARIO!C297)),"CAL",
IF(ISNUMBER(SEARCH("CEPILLADO",INVENTARIO!C297)),"CEP",
IF(ISNUMBER(SEARCH("ESPEJO",INVENTARIO!C297)),"ESP",
""))))))</f>
        <v/>
      </c>
      <c r="G297" t="str">
        <f>IF(ISNUMBER(SEARCH("LATEX",INVENTARIO!C297)),"LAT",
IF(ISNUMBER(SEARCH("RESP. NEGRO",INVENTARIO!C297)),"RES-NEG",
IF(ISNUMBER(SEARCH("RESPALDO CAFE",INVENTARIO!C297)),"RES-CAF",
IF(ISNUMBER(SEARCH("RESPALDO GRIS",INVENTARIO!C297)),"RES-GRI",
IF(ISNUMBER(SEARCH("OPTICO",INVENTARIO!C297)),"OPT",
IF(ISNUMBER(SEARCH("1,2 MM",INVENTARIO!C297)),"1MM2",
IF(ISNUMBER(SEARCH("2 MM",INVENTARIO!C297)),"2MM",
IF(ISNUMBER(SEARCH("3 MM",INVENTARIO!C297)),"3MM",
IF(ISNUMBER(SEARCH("4 MM",INVENTARIO!C297)),"4MM",
IF(ISNUMBER(SEARCH("5 MM",INVENTARIO!C297)),"5MM",
IF(ISNUMBER(SEARCH("6 MM",INVENTARIO!C297)),"6MM",
IF(ISNUMBER(SEARCH("9 MM",INVENTARIO!C297)),"9MM",
IF(ISNUMBER(SEARCH("10 MM",INVENTARIO!C297)),"10MM","")))))))))))))</f>
        <v/>
      </c>
      <c r="H297" t="str">
        <f>IF(ISNUMBER(SEARCH("GAMA BAJA",INVENTARIO!C297)),"GAM-BAJ",
IF(ISNUMBER(SEARCH("OPTIMIZADOR",INVENTARIO!C297)),"OPT",
IF(ISNUMBER(SEARCH("OVERCOAT",INVENTARIO!C297)),"OVE",
IF(ISNUMBER(SEARCH("WHITE",INVENTARIO!C297)),"WHI",
IF(ISNUMBER(SEARCH("LIGHT CYAN",INVENTARIO!C297)),"LIG-CYA",
IF(ISNUMBER(SEARCH("CYAN",INVENTARIO!C297)),"CYA",
IF(ISNUMBER(SEARCH("LIGHT MAGENTA",INVENTARIO!C297)),"LIG-MAG",
IF(ISNUMBER(SEARCH("MAGENTA",INVENTARIO!C297)),"MAG",
IF(ISNUMBER(SEARCH("BLACK",INVENTARIO!C297)),"BLA",
IF(ISNUMBER(SEARCH("YELLOW",INVENTARIO!C297)),"YEL",
IF(ISNUMBER(SEARCH("2 DIODOS",INVENTARIO!C297)),"2DI",
IF(ISNUMBER(SEARCH("3 DIODOS",INVENTARIO!C297)),"3DI",
IF(OR(ISNUMBER(SEARCH("TRASLUCIDO",INVENTARIO!C297)),ISNUMBER(SEARCH("TRANSLUCIDO",INVENTARIO!C297))),"TRA",
"")))))))))))))</f>
        <v/>
      </c>
      <c r="I297" t="str">
        <f>IF(ISNUMBER(SEARCH("SILED",INVENTARIO!C295)),"SI",
IF(ISNUMBER(SEARCH("SYDEMEX",INVENTARIO!C295)),"SY",
IF(ISNUMBER(SEARCH("ROHS",INVENTARIO!C295)),"RO",
IF(ISNUMBER(SEARCH("RISHANG",INVENTARIO!C295)),"RS",
IF(ISNUMBER(SEARCH("VYG",INVENTARIO!C295)),"VYG",
IF(ISNUMBER(SEARCH("COLED",INVENTARIO!C295)),"CO",""))))))</f>
        <v/>
      </c>
    </row>
    <row r="298" spans="1:9">
      <c r="A298" t="str">
        <f>IF(ISNUMBER(SEARCH("LONA",INVENTARIO!C298)),"LON",
IF(ISNUMBER(SEARCH("VINIL",INVENTARIO!C298)),"VIN",
IF(ISNUMBER(SEARCH("KROMACOTE",INVENTARIO!C298)),"KRO",
IF(ISNUMBER(SEARCH("STARDREAM",INVENTARIO!C298)),"STA",
IF(ISNUMBER(SEARCH("DISPLAY",INVENTARIO!C298)),"DIS",
IF(ISNUMBER(SEARCH("ROLL UP",INVENTARIO!C298)),"ROL-UP",
IF(ISNUMBER(SEARCH("TRANSFER DE PAPEL",INVENTARIO!C298)),"TRA-PAP",
IF(ISNUMBER(SEARCH("TRANSFER",INVENTARIO!C298)),"TRA",IF(ISNUMBER(SEARCH("KOLA LOKA",INVENTARIO!C298)),"KOL-LOK",
IF(ISNUMBER(SEARCH("PETG",INVENTARIO!C298)),"PET",
IF(ISNUMBER(SEARCH("OJILLO",INVENTARIO!C298)),"OJI",
IF(ISNUMBER(SEARCH("COUCHE",INVENTARIO!C298)),"COU",
IF(ISNUMBER(SEARCH("PANEL DE ALUMINIO",INVENTARIO!C298)),"PAN-ALU",
IF(ISNUMBER(SEARCH("PVC",INVENTARIO!C298)),"PVC",
IF(ISNUMBER(SEARCH("PAPEL",INVENTARIO!C298)),"PAP",
IF(ISNUMBER(SEARCH("TELA",INVENTARIO!C298)),"TEL",
IF(ISNUMBER(SEARCH("CARTULINA",INVENTARIO!C298)),"CAR",
IF(OR(ISNUMBER(SEARCH("LAMINA",INVENTARIO!C298)),ISNUMBER(SEARCH("LÁMINA",INVENTARIO!C298)),ISNUMBER(SEARCH("LAMPARAS",INVENTARIO!C298))),"LAM",
IF(ISNUMBER(SEARCH("ESTIRENO",INVENTARIO!C298)),"EST",
IF(ISNUMBER(SEARCH("FOAMBOARD",INVENTARIO!C298)),"FOA",
IF(ISNUMBER(SEARCH("SOLVENTE",INVENTARIO!C298)),"SOL",
IF(ISNUMBER(SEARCH("TINTA",INVENTARIO!C298)),"TIN",
IF(ISNUMBER(SEARCH("ACRILICO",INVENTARIO!C298)),"ACR",
IF(ISNUMBER(SEARCH("MICROLED",INVENTARIO!C298)),"MIC",
IF(ISNUMBER(SEARCH("LED",INVENTARIO!C298)),"LED",
IF(ISNUMBER(SEARCH("FUENTE DE PODER",INVENTARIO!C298)),"FUE-POD",
IF(ISNUMBER(SEARCH("PETG",INVENTARIO!C298)),"PET",
IF(ISNUMBER(SEARCH("ALUMINIO",INVENTARIO!C298)),"ALU",
IF(ISNUMBER(SEARCH("CANAL",INVENTARIO!C298)),"CAN",
IF(ISNUMBER(SEARCH("ESCUADRA",INVENTARIO!C298)),"ESC",
IF(ISNUMBER(SEARCH("SOPORTE",INVENTARIO!C298)),"SOP","OTR")
))))))))))))))))))))))))))))))</f>
        <v>CAR</v>
      </c>
      <c r="B298" t="str">
        <f>IF(ISNUMBER(SEARCH("CORTE",INVENTARIO!C298)),"COR",
IF(ISNUMBER(SEARCH("CITYLIGHT",INVENTARIO!C298)),"CIT",
IF(ISNUMBER(SEARCH("LINO",INVENTARIO!C298)),"LIN",
IF(ISNUMBER(SEARCH("FABRIANO",INVENTARIO!C298)),"FAB",
IF(ISNUMBER(SEARCH("SUNDANCE",INVENTARIO!C298)),"SUN",
IF(ISNUMBER(SEARCH("SINTETICA",INVENTARIO!C298)),"SIN",
IF(ISNUMBER(SEARCH("CONTROL",INVENTARIO!C298)),"CON",
IF(ISNUMBER(SEARCH("TERMICO",INVENTARIO!C298)),"TER",
IF(ISNUMBER(SEARCH("C-15",INVENTARIO!C298)),"C15",
IF(ISNUMBER(SEARCH("C-20",INVENTARIO!C298)),"C20",
IF(ISNUMBER(SEARCH("C-30",INVENTARIO!C298)),"C30",
IF(ISNUMBER(SEARCH("C-40",INVENTARIO!C298)),"C40",
IF(ISNUMBER(SEARCH("C-60",INVENTARIO!C298)),"C60",
IF(ISNUMBER(SEARCH("C-80",INVENTARIO!C298)),"C80",
IF(ISNUMBER(SEARCH("EQUIPO",INVENTARIO!C298)),"EQU",
IF(ISNUMBER(SEARCH("FLOOR",INVENTARIO!C298)),"FLO",
IF(ISNUMBER(SEARCH("CRISTAL",INVENTARIO!C298)),"CRI",
IF(ISNUMBER(SEARCH(" SULFATADA",INVENTARIO!C309)),"SUL",
IF(ISNUMBER(SEARCH("OPALINA",INVENTARIO!C298)),"OPA",
IF(ISNUMBER(SEARCH("ADHERIBLE",INVENTARIO!C298)),"ADH",
IF(ISNUMBER(SEARCH("MICRO",INVENTARIO!C298)),"MIC","")))))))))))))))))))))</f>
        <v/>
      </c>
      <c r="C298" t="str">
        <f>IF(ISNUMBER(SEARCH("PARED",INVENTARIO!C298)),"PAR",
IF(ISNUMBER(SEARCH("FRONT",INVENTARIO!C298)),"FRO",
IF(ISNUMBER(SEARCH("ALTA RESISTENCIA",INVENTARIO!C298)),
"ALT-RES",IF(ISNUMBER(SEARCH("BACKLITE",INVENTARIO!C298)),"BAC",
IF(ISNUMBER(SEARCH("MATE",INVENTARIO!C298)),"MAT",
IF(ISNUMBER(SEARCH("MESH",INVENTARIO!C298)),"MES",
IF(ISNUMBER(SEARCH("BRILLANTE",INVENTARIO!C298)),"BRI",
IF(ISNUMBER(SEARCH("DELGADA",INVENTARIO!C298)),"DEL",
IF(ISNUMBER(SEARCH("GRUESA",INVENTARIO!C298)),"GRU",
IF(ISNUMBER(SEARCH("ESTATICO",INVENTARIO!C298)),"EST",
IF(ISNUMBER(SEARCH("REFLECTIVO",INVENTARIO!C298)),"REF",
IF(ISNUMBER(SEARCH("LX700",INVENTARIO!C298)),"LX7",
IF(ISNUMBER(SEARCH("GRANDO",INVENTARIO!C298)),"GRA",
IF(ISNUMBER(SEARCH("FB700",INVENTARIO!C298)),"FB7",
IF(ISNUMBER(SEARCH("LX360",INVENTARIO!C298)),"LX3",
IF(ISNUMBER(SEARCH("XEROX",INVENTARIO!C298)),"XER",
IF(ISNUMBER(SEARCH("CEPILLADO",INVENTARIO!C298)),"CEP",
IF(ISNUMBER(SEARCH("ESPEJO",INVENTARIO!C298)),"ESP",
IF(ISNUMBER(SEARCH("10 PTS",INVENTARIO!C298)),"10PT",
IF(ISNUMBER(SEARCH("12 PTS",INVENTARIO!C298)),"12PT",
IF(ISNUMBER(SEARCH("14 PTS",INVENTARIO!C298)),"14PT",
IF(ISNUMBER(SEARCH("CLASICO",INVENTARIO!C298)),"CLA",
""))))))))))))))))))))))</f>
        <v>14PT</v>
      </c>
      <c r="D298" t="str">
        <f>IF(ISNUMBER(SEARCH("GRAN FORMATO",INVENTARIO!C298)),"GRA-FOR",
IF(ISNUMBER(SEARCH("CAMA PLANA",INVENTARIO!C298)),"CAM-PLA",
IF(ISNUMBER(SEARCH("GRADO INGENIERIA",INVENTARIO!C298)),"GRA-ING",
IF(ISNUMBER(SEARCH("130 GRS",INVENTARIO!C298)),"130GR",
IF(ISNUMBER(SEARCH("150 GRS",INVENTARIO!C298)),"150GR",
IF(ISNUMBER(SEARCH("185 GRS",INVENTARIO!C298)),"185GR",
IF(ISNUMBER(SEARCH("200 GRS",INVENTARIO!C298)),"200GR",
IF(ISNUMBER(SEARCH("250 GRS",INVENTARIO!C298)),"250GR",
IF(ISNUMBER(SEARCH("300 GRS",INVENTARIO!C298)),"300GR",
IF(ISNUMBER(SEARCH("350 GRS",INVENTARIO!C298)),"350GR",
IF(ISNUMBER(SEARCH("18 OZ",INVENTARIO!C298)),"18OZ",
IF(ISNUMBER(SEARCH("15 OZ",INVENTARIO!C298)),"15OZ",
IF(OR(ISNUMBER(SEARCH("13 OZ",INVENTARIO!C298)),ISNUMBER(SEARCH("13 ONZAS",INVENTARIO!C298))),"13OZ",
IF(OR(ISNUMBER(SEARCH("9 OZ",INVENTARIO!C298)),ISNUMBER(SEARCH("9 ONZAS",INVENTARIO!C298))),"09OZ",
IF(ISNUMBER(SEARCH("DOBLE CARA",INVENTARIO!C298)),"DOB-CAR",
"")))))))))))))))</f>
        <v>DOB-CAR</v>
      </c>
      <c r="E298" t="str">
        <f>IF(OR(ISNUMBER(SEARCH("TRANSPARENTE",INVENTARIO!C298)),ISNUMBER(SEARCH("TRANSPARENTES",INVENTARIO!C298))),"TRA",
IF(OR(ISNUMBER(SEARCH("BLANCO",INVENTARIO!C298)),ISNUMBER(SEARCH("BCO",INVENTARIO!C298))),"BLA",
IF(ISNUMBER(SEARCH("FOTOGRAFICO",INVENTARIO!C298)),"FOT",
IF(ISNUMBER(SEARCH("MARFIL",INVENTARIO!C298)),"MAR",
IF(ISNUMBER(SEARCH("VERDE",INVENTARIO!C298)),"VER",
IF(ISNUMBER(SEARCH("MORADO",INVENTARIO!C298)),"MOR",
IF(ISNUMBER(SEARCH("PLATA",INVENTARIO!C298)),"PLA",
IF(ISNUMBER(SEARCH("ORO",INVENTARIO!C298)),"ORO",
IF(ISNUMBER(SEARCH("AMARILLO",INVENTARIO!C298)),"AMA",
IF(ISNUMBER(SEARCH("NARANJA",INVENTARIO!C298)),"NAR",
IF(ISNUMBER(SEARCH("NEGRO",INVENTARIO!C298)),"NEG",
IF(ISNUMBER(SEARCH("ROJO",INVENTARIO!C298)),"ROJ",
IF(ISNUMBER(SEARCH("AZUL",INVENTARIO!C298)),"AZU","")))))))))))))</f>
        <v/>
      </c>
      <c r="F298" t="str">
        <f>IF(ISNUMBER(SEARCH("ARLON",INVENTARIO!C298)),"ARL",
IF(ISNUMBER(SEARCH("SUNTHINKS",INVENTARIO!C298)),"SUN",
IF(ISNUMBER(SEARCH("FRIO",INVENTARIO!C298)),"FRI",
IF(ISNUMBER(SEARCH("CALIDO",INVENTARIO!C298)),"CAL",
IF(ISNUMBER(SEARCH("CEPILLADO",INVENTARIO!C298)),"CEP",
IF(ISNUMBER(SEARCH("ESPEJO",INVENTARIO!C298)),"ESP",
""))))))</f>
        <v/>
      </c>
      <c r="G298" t="str">
        <f>IF(ISNUMBER(SEARCH("LATEX",INVENTARIO!C298)),"LAT",
IF(ISNUMBER(SEARCH("RESP. NEGRO",INVENTARIO!C298)),"RES-NEG",
IF(ISNUMBER(SEARCH("RESPALDO CAFE",INVENTARIO!C298)),"RES-CAF",
IF(ISNUMBER(SEARCH("RESPALDO GRIS",INVENTARIO!C298)),"RES-GRI",
IF(ISNUMBER(SEARCH("OPTICO",INVENTARIO!C298)),"OPT",
IF(ISNUMBER(SEARCH("1,2 MM",INVENTARIO!C298)),"1MM2",
IF(ISNUMBER(SEARCH("2 MM",INVENTARIO!C298)),"2MM",
IF(ISNUMBER(SEARCH("3 MM",INVENTARIO!C298)),"3MM",
IF(ISNUMBER(SEARCH("4 MM",INVENTARIO!C298)),"4MM",
IF(ISNUMBER(SEARCH("5 MM",INVENTARIO!C298)),"5MM",
IF(ISNUMBER(SEARCH("6 MM",INVENTARIO!C298)),"6MM",
IF(ISNUMBER(SEARCH("9 MM",INVENTARIO!C298)),"9MM",
IF(ISNUMBER(SEARCH("10 MM",INVENTARIO!C298)),"10MM","")))))))))))))</f>
        <v/>
      </c>
      <c r="H298" t="str">
        <f>IF(ISNUMBER(SEARCH("GAMA BAJA",INVENTARIO!C298)),"GAM-BAJ",
IF(ISNUMBER(SEARCH("OPTIMIZADOR",INVENTARIO!C298)),"OPT",
IF(ISNUMBER(SEARCH("OVERCOAT",INVENTARIO!C298)),"OVE",
IF(ISNUMBER(SEARCH("WHITE",INVENTARIO!C298)),"WHI",
IF(ISNUMBER(SEARCH("LIGHT CYAN",INVENTARIO!C298)),"LIG-CYA",
IF(ISNUMBER(SEARCH("CYAN",INVENTARIO!C298)),"CYA",
IF(ISNUMBER(SEARCH("LIGHT MAGENTA",INVENTARIO!C298)),"LIG-MAG",
IF(ISNUMBER(SEARCH("MAGENTA",INVENTARIO!C298)),"MAG",
IF(ISNUMBER(SEARCH("BLACK",INVENTARIO!C298)),"BLA",
IF(ISNUMBER(SEARCH("YELLOW",INVENTARIO!C298)),"YEL",
IF(ISNUMBER(SEARCH("2 DIODOS",INVENTARIO!C298)),"2DI",
IF(ISNUMBER(SEARCH("3 DIODOS",INVENTARIO!C298)),"3DI",
IF(OR(ISNUMBER(SEARCH("TRASLUCIDO",INVENTARIO!C298)),ISNUMBER(SEARCH("TRANSLUCIDO",INVENTARIO!C298))),"TRA",
"")))))))))))))</f>
        <v/>
      </c>
    </row>
    <row r="299" spans="1:9">
      <c r="A299" t="str">
        <f>IF(ISNUMBER(SEARCH("LONA",INVENTARIO!C299)),"LON",
IF(ISNUMBER(SEARCH("VINIL",INVENTARIO!C299)),"VIN",
IF(ISNUMBER(SEARCH("KROMACOTE",INVENTARIO!C299)),"KRO",
IF(ISNUMBER(SEARCH("STARDREAM",INVENTARIO!C299)),"STA",
IF(ISNUMBER(SEARCH("DISPLAY",INVENTARIO!C299)),"DIS",
IF(ISNUMBER(SEARCH("ROLL UP",INVENTARIO!C299)),"ROL-UP",
IF(ISNUMBER(SEARCH("TRANSFER DE PAPEL",INVENTARIO!C299)),"TRA-PAP",
IF(ISNUMBER(SEARCH("TRANSFER",INVENTARIO!C299)),"TRA",IF(ISNUMBER(SEARCH("KOLA LOKA",INVENTARIO!C299)),"KOL-LOK",
IF(ISNUMBER(SEARCH("PETG",INVENTARIO!C299)),"PET",
IF(ISNUMBER(SEARCH("OJILLO",INVENTARIO!C299)),"OJI",
IF(ISNUMBER(SEARCH("COUCHE",INVENTARIO!C299)),"COU",
IF(ISNUMBER(SEARCH("PANEL DE ALUMINIO",INVENTARIO!C299)),"PAN-ALU",
IF(ISNUMBER(SEARCH("PVC",INVENTARIO!C299)),"PVC",
IF(ISNUMBER(SEARCH("PAPEL",INVENTARIO!C299)),"PAP",
IF(ISNUMBER(SEARCH("TELA",INVENTARIO!C299)),"TEL",
IF(ISNUMBER(SEARCH("CARTULINA",INVENTARIO!C299)),"CAR",
IF(OR(ISNUMBER(SEARCH("LAMINA",INVENTARIO!C299)),ISNUMBER(SEARCH("LÁMINA",INVENTARIO!C299)),ISNUMBER(SEARCH("LAMPARAS",INVENTARIO!C299))),"LAM",
IF(ISNUMBER(SEARCH("ESTIRENO",INVENTARIO!C299)),"EST",
IF(ISNUMBER(SEARCH("FOAMBOARD",INVENTARIO!C299)),"FOA",
IF(ISNUMBER(SEARCH("SOLVENTE",INVENTARIO!C299)),"SOL",
IF(ISNUMBER(SEARCH("TINTA",INVENTARIO!C299)),"TIN",
IF(ISNUMBER(SEARCH("ACRILICO",INVENTARIO!C299)),"ACR",
IF(ISNUMBER(SEARCH("MICROLED",INVENTARIO!C299)),"MIC",
IF(ISNUMBER(SEARCH("LED",INVENTARIO!C299)),"LED",
IF(ISNUMBER(SEARCH("FUENTE DE PODER",INVENTARIO!C299)),"FUE-POD",
IF(ISNUMBER(SEARCH("PETG",INVENTARIO!C299)),"PET",
IF(ISNUMBER(SEARCH("ALUMINIO",INVENTARIO!C299)),"ALU",
IF(ISNUMBER(SEARCH("CANAL",INVENTARIO!C299)),"CAN",
IF(ISNUMBER(SEARCH("ESCUADRA",INVENTARIO!C299)),"ESC",
IF(ISNUMBER(SEARCH("SOPORTE",INVENTARIO!C299)),"SOP","OTR")
))))))))))))))))))))))))))))))</f>
        <v>CAR</v>
      </c>
      <c r="B299" t="str">
        <f>IF(ISNUMBER(SEARCH("CORTE",INVENTARIO!C299)),"COR",
IF(ISNUMBER(SEARCH("CITYLIGHT",INVENTARIO!C299)),"CIT",
IF(ISNUMBER(SEARCH("LINO",INVENTARIO!C299)),"LIN",
IF(ISNUMBER(SEARCH("FABRIANO",INVENTARIO!C299)),"FAB",
IF(ISNUMBER(SEARCH("SUNDANCE",INVENTARIO!C299)),"SUN",
IF(ISNUMBER(SEARCH("SINTETICA",INVENTARIO!C299)),"SIN",
IF(ISNUMBER(SEARCH("CONTROL",INVENTARIO!C299)),"CON",
IF(ISNUMBER(SEARCH("TERMICO",INVENTARIO!C299)),"TER",
IF(ISNUMBER(SEARCH("C-15",INVENTARIO!C299)),"C15",
IF(ISNUMBER(SEARCH("C-20",INVENTARIO!C299)),"C20",
IF(ISNUMBER(SEARCH("C-30",INVENTARIO!C299)),"C30",
IF(ISNUMBER(SEARCH("C-40",INVENTARIO!C299)),"C40",
IF(ISNUMBER(SEARCH("C-60",INVENTARIO!C299)),"C60",
IF(ISNUMBER(SEARCH("C-80",INVENTARIO!C299)),"C80",
IF(ISNUMBER(SEARCH("EQUIPO",INVENTARIO!C299)),"EQU",
IF(ISNUMBER(SEARCH("FLOOR",INVENTARIO!C299)),"FLO",
IF(ISNUMBER(SEARCH("CRISTAL",INVENTARIO!C299)),"CRI",
IF(ISNUMBER(SEARCH(" SULFATADA",INVENTARIO!C310)),"SUL",
IF(ISNUMBER(SEARCH("OPALINA",INVENTARIO!C299)),"OPA",
IF(ISNUMBER(SEARCH("ADHERIBLE",INVENTARIO!C299)),"ADH",
IF(ISNUMBER(SEARCH("MICRO",INVENTARIO!C299)),"MIC","")))))))))))))))))))))</f>
        <v/>
      </c>
      <c r="C299" t="str">
        <f>IF(ISNUMBER(SEARCH("PARED",INVENTARIO!C299)),"PAR",
IF(ISNUMBER(SEARCH("FRONT",INVENTARIO!C299)),"FRO",
IF(ISNUMBER(SEARCH("ALTA RESISTENCIA",INVENTARIO!C299)),
"ALT-RES",IF(ISNUMBER(SEARCH("BACKLITE",INVENTARIO!C299)),"BAC",
IF(ISNUMBER(SEARCH("MATE",INVENTARIO!C299)),"MAT",
IF(ISNUMBER(SEARCH("MESH",INVENTARIO!C299)),"MES",
IF(ISNUMBER(SEARCH("BRILLANTE",INVENTARIO!C299)),"BRI",
IF(ISNUMBER(SEARCH("DELGADA",INVENTARIO!C299)),"DEL",
IF(ISNUMBER(SEARCH("GRUESA",INVENTARIO!C299)),"GRU",
IF(ISNUMBER(SEARCH("ESTATICO",INVENTARIO!C299)),"EST",
IF(ISNUMBER(SEARCH("REFLECTIVO",INVENTARIO!C299)),"REF",
IF(ISNUMBER(SEARCH("LX700",INVENTARIO!C299)),"LX7",
IF(ISNUMBER(SEARCH("GRANDO",INVENTARIO!C299)),"GRA",
IF(ISNUMBER(SEARCH("FB700",INVENTARIO!C299)),"FB7",
IF(ISNUMBER(SEARCH("LX360",INVENTARIO!C299)),"LX3",
IF(ISNUMBER(SEARCH("XEROX",INVENTARIO!C299)),"XER",
IF(ISNUMBER(SEARCH("CEPILLADO",INVENTARIO!C299)),"CEP",
IF(ISNUMBER(SEARCH("ESPEJO",INVENTARIO!C299)),"ESP",
IF(ISNUMBER(SEARCH("10 PTS",INVENTARIO!C299)),"10PT",
IF(ISNUMBER(SEARCH("12 PTS",INVENTARIO!C299)),"12PT",
IF(ISNUMBER(SEARCH("14 PTS",INVENTARIO!C299)),"14PT",
IF(ISNUMBER(SEARCH("CLASICO",INVENTARIO!C299)),"CLA",
""))))))))))))))))))))))</f>
        <v>14PT</v>
      </c>
      <c r="D299" t="str">
        <f>IF(ISNUMBER(SEARCH("GRAN FORMATO",INVENTARIO!C299)),"GRA-FOR",
IF(ISNUMBER(SEARCH("CAMA PLANA",INVENTARIO!C299)),"CAM-PLA",
IF(ISNUMBER(SEARCH("GRADO INGENIERIA",INVENTARIO!C299)),"GRA-ING",
IF(ISNUMBER(SEARCH("130 GRS",INVENTARIO!C299)),"130GR",
IF(ISNUMBER(SEARCH("150 GRS",INVENTARIO!C299)),"150GR",
IF(ISNUMBER(SEARCH("185 GRS",INVENTARIO!C299)),"185GR",
IF(ISNUMBER(SEARCH("200 GRS",INVENTARIO!C299)),"200GR",
IF(ISNUMBER(SEARCH("250 GRS",INVENTARIO!C299)),"250GR",
IF(ISNUMBER(SEARCH("300 GRS",INVENTARIO!C299)),"300GR",
IF(ISNUMBER(SEARCH("350 GRS",INVENTARIO!C299)),"350GR",
IF(ISNUMBER(SEARCH("18 OZ",INVENTARIO!C299)),"18OZ",
IF(ISNUMBER(SEARCH("15 OZ",INVENTARIO!C299)),"15OZ",
IF(OR(ISNUMBER(SEARCH("13 OZ",INVENTARIO!C299)),ISNUMBER(SEARCH("13 ONZAS",INVENTARIO!C299))),"13OZ",
IF(OR(ISNUMBER(SEARCH("9 OZ",INVENTARIO!C299)),ISNUMBER(SEARCH("9 ONZAS",INVENTARIO!C299))),"09OZ",
IF(ISNUMBER(SEARCH("DOBLE CARA",INVENTARIO!C299)),"DOB-CAR",
"")))))))))))))))</f>
        <v/>
      </c>
      <c r="E299" t="str">
        <f>IF(OR(ISNUMBER(SEARCH("TRANSPARENTE",INVENTARIO!C299)),ISNUMBER(SEARCH("TRANSPARENTES",INVENTARIO!C299))),"TRA",
IF(OR(ISNUMBER(SEARCH("BLANCO",INVENTARIO!C299)),ISNUMBER(SEARCH("BCO",INVENTARIO!C299))),"BLA",
IF(ISNUMBER(SEARCH("FOTOGRAFICO",INVENTARIO!C299)),"FOT",
IF(ISNUMBER(SEARCH("MARFIL",INVENTARIO!C299)),"MAR",
IF(ISNUMBER(SEARCH("VERDE",INVENTARIO!C299)),"VER",
IF(ISNUMBER(SEARCH("MORADO",INVENTARIO!C299)),"MOR",
IF(ISNUMBER(SEARCH("PLATA",INVENTARIO!C299)),"PLA",
IF(ISNUMBER(SEARCH("ORO",INVENTARIO!C299)),"ORO",
IF(ISNUMBER(SEARCH("AMARILLO",INVENTARIO!C299)),"AMA",
IF(ISNUMBER(SEARCH("NARANJA",INVENTARIO!C299)),"NAR",
IF(ISNUMBER(SEARCH("NEGRO",INVENTARIO!C299)),"NEG",
IF(ISNUMBER(SEARCH("ROJO",INVENTARIO!C299)),"ROJ",
IF(ISNUMBER(SEARCH("AZUL",INVENTARIO!C299)),"AZU","")))))))))))))</f>
        <v/>
      </c>
      <c r="F299" t="str">
        <f>IF(ISNUMBER(SEARCH("ARLON",INVENTARIO!C299)),"ARL",
IF(ISNUMBER(SEARCH("SUNTHINKS",INVENTARIO!C299)),"SUN",
IF(ISNUMBER(SEARCH("FRIO",INVENTARIO!C299)),"FRI",
IF(ISNUMBER(SEARCH("CALIDO",INVENTARIO!C299)),"CAL",
IF(ISNUMBER(SEARCH("CEPILLADO",INVENTARIO!C299)),"CEP",
IF(ISNUMBER(SEARCH("ESPEJO",INVENTARIO!C299)),"ESP",
""))))))</f>
        <v/>
      </c>
      <c r="G299" t="str">
        <f>IF(ISNUMBER(SEARCH("LATEX",INVENTARIO!C299)),"LAT",
IF(ISNUMBER(SEARCH("RESP. NEGRO",INVENTARIO!C299)),"RES-NEG",
IF(ISNUMBER(SEARCH("RESPALDO CAFE",INVENTARIO!C299)),"RES-CAF",
IF(ISNUMBER(SEARCH("RESPALDO GRIS",INVENTARIO!C299)),"RES-GRI",
IF(ISNUMBER(SEARCH("OPTICO",INVENTARIO!C299)),"OPT",
IF(ISNUMBER(SEARCH("1,2 MM",INVENTARIO!C299)),"1MM2",
IF(ISNUMBER(SEARCH("2 MM",INVENTARIO!C299)),"2MM",
IF(ISNUMBER(SEARCH("3 MM",INVENTARIO!C299)),"3MM",
IF(ISNUMBER(SEARCH("4 MM",INVENTARIO!C299)),"4MM",
IF(ISNUMBER(SEARCH("5 MM",INVENTARIO!C299)),"5MM",
IF(ISNUMBER(SEARCH("6 MM",INVENTARIO!C299)),"6MM",
IF(ISNUMBER(SEARCH("9 MM",INVENTARIO!C299)),"9MM",
IF(ISNUMBER(SEARCH("10 MM",INVENTARIO!C299)),"10MM","")))))))))))))</f>
        <v/>
      </c>
      <c r="H299" t="str">
        <f>IF(ISNUMBER(SEARCH("GAMA BAJA",INVENTARIO!C299)),"GAM-BAJ",
IF(ISNUMBER(SEARCH("OPTIMIZADOR",INVENTARIO!C299)),"OPT",
IF(ISNUMBER(SEARCH("OVERCOAT",INVENTARIO!C299)),"OVE",
IF(ISNUMBER(SEARCH("WHITE",INVENTARIO!C299)),"WHI",
IF(ISNUMBER(SEARCH("LIGHT CYAN",INVENTARIO!C299)),"LIG-CYA",
IF(ISNUMBER(SEARCH("CYAN",INVENTARIO!C299)),"CYA",
IF(ISNUMBER(SEARCH("LIGHT MAGENTA",INVENTARIO!C299)),"LIG-MAG",
IF(ISNUMBER(SEARCH("MAGENTA",INVENTARIO!C299)),"MAG",
IF(ISNUMBER(SEARCH("BLACK",INVENTARIO!C299)),"BLA",
IF(ISNUMBER(SEARCH("YELLOW",INVENTARIO!C299)),"YEL",
IF(ISNUMBER(SEARCH("2 DIODOS",INVENTARIO!C299)),"2DI",
IF(ISNUMBER(SEARCH("3 DIODOS",INVENTARIO!C299)),"3DI",
IF(OR(ISNUMBER(SEARCH("TRASLUCIDO",INVENTARIO!C299)),ISNUMBER(SEARCH("TRANSLUCIDO",INVENTARIO!C299))),"TRA",
"")))))))))))))</f>
        <v/>
      </c>
    </row>
    <row r="300" spans="1:9">
      <c r="A300" t="str">
        <f>IF(ISNUMBER(SEARCH("LONA",INVENTARIO!C300)),"LON",
IF(ISNUMBER(SEARCH("VINIL",INVENTARIO!C300)),"VIN",
IF(ISNUMBER(SEARCH("KROMACOTE",INVENTARIO!C300)),"KRO",
IF(ISNUMBER(SEARCH("STARDREAM",INVENTARIO!C300)),"STA",
IF(ISNUMBER(SEARCH("DISPLAY",INVENTARIO!C300)),"DIS",
IF(ISNUMBER(SEARCH("ROLL UP",INVENTARIO!C300)),"ROL-UP",
IF(ISNUMBER(SEARCH("TRANSFER DE PAPEL",INVENTARIO!C300)),"TRA-PAP",
IF(ISNUMBER(SEARCH("TRANSFER",INVENTARIO!C300)),"TRA",IF(ISNUMBER(SEARCH("KOLA LOKA",INVENTARIO!C300)),"KOL-LOK",
IF(ISNUMBER(SEARCH("PETG",INVENTARIO!C300)),"PET",
IF(ISNUMBER(SEARCH("OJILLO",INVENTARIO!C300)),"OJI",
IF(ISNUMBER(SEARCH("COUCHE",INVENTARIO!C300)),"COU",
IF(ISNUMBER(SEARCH("PANEL DE ALUMINIO",INVENTARIO!C300)),"PAN-ALU",
IF(ISNUMBER(SEARCH("PVC",INVENTARIO!C300)),"PVC",
IF(ISNUMBER(SEARCH("PAPEL",INVENTARIO!C300)),"PAP",
IF(ISNUMBER(SEARCH("TELA",INVENTARIO!C300)),"TEL",
IF(ISNUMBER(SEARCH("CARTULINA",INVENTARIO!C300)),"CAR",
IF(OR(ISNUMBER(SEARCH("LAMINA",INVENTARIO!C300)),ISNUMBER(SEARCH("LÁMINA",INVENTARIO!C300)),ISNUMBER(SEARCH("LAMPARAS",INVENTARIO!C300))),"LAM",
IF(ISNUMBER(SEARCH("ESTIRENO",INVENTARIO!C300)),"EST",
IF(ISNUMBER(SEARCH("FOAMBOARD",INVENTARIO!C300)),"FOA",
IF(ISNUMBER(SEARCH("SOLVENTE",INVENTARIO!C300)),"SOL",
IF(ISNUMBER(SEARCH("TINTA",INVENTARIO!C300)),"TIN",
IF(ISNUMBER(SEARCH("ACRILICO",INVENTARIO!C300)),"ACR",
IF(ISNUMBER(SEARCH("MICROLED",INVENTARIO!C300)),"MIC",
IF(ISNUMBER(SEARCH("LED",INVENTARIO!C300)),"LED",
IF(ISNUMBER(SEARCH("FUENTE DE PODER",INVENTARIO!C300)),"FUE-POD",
IF(ISNUMBER(SEARCH("PETG",INVENTARIO!C300)),"PET",
IF(ISNUMBER(SEARCH("ALUMINIO",INVENTARIO!C300)),"ALU",
IF(ISNUMBER(SEARCH("CANAL",INVENTARIO!C300)),"CAN",
IF(ISNUMBER(SEARCH("ESCUADRA",INVENTARIO!C300)),"ESC",
IF(ISNUMBER(SEARCH("SOPORTE",INVENTARIO!C300)),"SOP","OTR")
))))))))))))))))))))))))))))))</f>
        <v>COU</v>
      </c>
      <c r="B300" t="str">
        <f>IF(ISNUMBER(SEARCH("CORTE",INVENTARIO!C300)),"COR",
IF(ISNUMBER(SEARCH("CITYLIGHT",INVENTARIO!C300)),"CIT",
IF(ISNUMBER(SEARCH("LINO",INVENTARIO!C300)),"LIN",
IF(ISNUMBER(SEARCH("FABRIANO",INVENTARIO!C300)),"FAB",
IF(ISNUMBER(SEARCH("SUNDANCE",INVENTARIO!C300)),"SUN",
IF(ISNUMBER(SEARCH("SINTETICA",INVENTARIO!C300)),"SIN",
IF(ISNUMBER(SEARCH("CONTROL",INVENTARIO!C300)),"CON",
IF(ISNUMBER(SEARCH("TERMICO",INVENTARIO!C300)),"TER",
IF(ISNUMBER(SEARCH("C-15",INVENTARIO!C300)),"C15",
IF(ISNUMBER(SEARCH("C-20",INVENTARIO!C300)),"C20",
IF(ISNUMBER(SEARCH("C-30",INVENTARIO!C300)),"C30",
IF(ISNUMBER(SEARCH("C-40",INVENTARIO!C300)),"C40",
IF(ISNUMBER(SEARCH("C-60",INVENTARIO!C300)),"C60",
IF(ISNUMBER(SEARCH("C-80",INVENTARIO!C300)),"C80",
IF(ISNUMBER(SEARCH("EQUIPO",INVENTARIO!C300)),"EQU",
IF(ISNUMBER(SEARCH("FLOOR",INVENTARIO!C300)),"FLO",
IF(ISNUMBER(SEARCH("CRISTAL",INVENTARIO!C300)),"CRI",
IF(ISNUMBER(SEARCH(" SULFATADA",INVENTARIO!C311)),"SUL",
IF(ISNUMBER(SEARCH("OPALINA",INVENTARIO!C300)),"OPA",
IF(ISNUMBER(SEARCH("ADHERIBLE",INVENTARIO!C300)),"ADH",
IF(ISNUMBER(SEARCH("MICRO",INVENTARIO!C300)),"MIC","")))))))))))))))))))))</f>
        <v/>
      </c>
      <c r="C300" t="str">
        <f>IF(ISNUMBER(SEARCH("PARED",INVENTARIO!C300)),"PAR",
IF(ISNUMBER(SEARCH("FRONT",INVENTARIO!C300)),"FRO",
IF(ISNUMBER(SEARCH("ALTA RESISTENCIA",INVENTARIO!C300)),
"ALT-RES",IF(ISNUMBER(SEARCH("BACKLITE",INVENTARIO!C300)),"BAC",
IF(ISNUMBER(SEARCH("MATE",INVENTARIO!C300)),"MAT",
IF(ISNUMBER(SEARCH("MESH",INVENTARIO!C300)),"MES",
IF(ISNUMBER(SEARCH("BRILLANTE",INVENTARIO!C300)),"BRI",
IF(ISNUMBER(SEARCH("DELGADA",INVENTARIO!C300)),"DEL",
IF(ISNUMBER(SEARCH("GRUESA",INVENTARIO!C300)),"GRU",
IF(ISNUMBER(SEARCH("ESTATICO",INVENTARIO!C300)),"EST",
IF(ISNUMBER(SEARCH("REFLECTIVO",INVENTARIO!C300)),"REF",
IF(ISNUMBER(SEARCH("LX700",INVENTARIO!C300)),"LX7",
IF(ISNUMBER(SEARCH("GRANDO",INVENTARIO!C300)),"GRA",
IF(ISNUMBER(SEARCH("FB700",INVENTARIO!C300)),"FB7",
IF(ISNUMBER(SEARCH("LX360",INVENTARIO!C300)),"LX3",
IF(ISNUMBER(SEARCH("XEROX",INVENTARIO!C300)),"XER",
IF(ISNUMBER(SEARCH("CEPILLADO",INVENTARIO!C300)),"CEP",
IF(ISNUMBER(SEARCH("ESPEJO",INVENTARIO!C300)),"ESP",
IF(ISNUMBER(SEARCH("10 PTS",INVENTARIO!C300)),"10PT",
IF(ISNUMBER(SEARCH("12 PTS",INVENTARIO!C300)),"12PT",
IF(ISNUMBER(SEARCH("14 PTS",INVENTARIO!C300)),"14PT",
IF(ISNUMBER(SEARCH("CLASICO",INVENTARIO!C300)),"CLA",
""))))))))))))))))))))))</f>
        <v>BRI</v>
      </c>
      <c r="D300" t="str">
        <f>IF(ISNUMBER(SEARCH("GRAN FORMATO",INVENTARIO!C300)),"GRA-FOR",
IF(ISNUMBER(SEARCH("CAMA PLANA",INVENTARIO!C300)),"CAM-PLA",
IF(ISNUMBER(SEARCH("GRADO INGENIERIA",INVENTARIO!C300)),"GRA-ING",
IF(ISNUMBER(SEARCH("130 GRS",INVENTARIO!C300)),"130GR",
IF(ISNUMBER(SEARCH("150 GRS",INVENTARIO!C300)),"150GR",
IF(ISNUMBER(SEARCH("185 GRS",INVENTARIO!C300)),"185GR",
IF(ISNUMBER(SEARCH("200 GRS",INVENTARIO!C300)),"200GR",
IF(ISNUMBER(SEARCH("250 GRS",INVENTARIO!C300)),"250GR",
IF(ISNUMBER(SEARCH("300 GRS",INVENTARIO!C300)),"300GR",
IF(ISNUMBER(SEARCH("350 GRS",INVENTARIO!C300)),"350GR",
IF(ISNUMBER(SEARCH("18 OZ",INVENTARIO!C300)),"18OZ",
IF(ISNUMBER(SEARCH("15 OZ",INVENTARIO!C300)),"15OZ",
IF(OR(ISNUMBER(SEARCH("13 OZ",INVENTARIO!C300)),ISNUMBER(SEARCH("13 ONZAS",INVENTARIO!C300))),"13OZ",
IF(OR(ISNUMBER(SEARCH("9 OZ",INVENTARIO!C300)),ISNUMBER(SEARCH("9 ONZAS",INVENTARIO!C300))),"09OZ",
IF(ISNUMBER(SEARCH("DOBLE CARA",INVENTARIO!C300)),"DOB-CAR",
"")))))))))))))))</f>
        <v>130GR</v>
      </c>
      <c r="E300" t="str">
        <f>IF(OR(ISNUMBER(SEARCH("TRANSPARENTE",INVENTARIO!C300)),ISNUMBER(SEARCH("TRANSPARENTES",INVENTARIO!C300))),"TRA",
IF(OR(ISNUMBER(SEARCH("BLANCO",INVENTARIO!C300)),ISNUMBER(SEARCH("BCO",INVENTARIO!C300))),"BLA",
IF(ISNUMBER(SEARCH("FOTOGRAFICO",INVENTARIO!C300)),"FOT",
IF(ISNUMBER(SEARCH("MARFIL",INVENTARIO!C300)),"MAR",
IF(ISNUMBER(SEARCH("VERDE",INVENTARIO!C300)),"VER",
IF(ISNUMBER(SEARCH("MORADO",INVENTARIO!C300)),"MOR",
IF(ISNUMBER(SEARCH("PLATA",INVENTARIO!C300)),"PLA",
IF(ISNUMBER(SEARCH("ORO",INVENTARIO!C300)),"ORO",
IF(ISNUMBER(SEARCH("AMARILLO",INVENTARIO!C300)),"AMA",
IF(ISNUMBER(SEARCH("NARANJA",INVENTARIO!C300)),"NAR",
IF(ISNUMBER(SEARCH("NEGRO",INVENTARIO!C300)),"NEG",
IF(ISNUMBER(SEARCH("ROJO",INVENTARIO!C300)),"ROJ",
IF(ISNUMBER(SEARCH("AZUL",INVENTARIO!C300)),"AZU","")))))))))))))</f>
        <v/>
      </c>
      <c r="F300" t="str">
        <f>IF(ISNUMBER(SEARCH("ARLON",INVENTARIO!C300)),"ARL",
IF(ISNUMBER(SEARCH("SUNTHINKS",INVENTARIO!C300)),"SUN",
IF(ISNUMBER(SEARCH("FRIO",INVENTARIO!C300)),"FRI",
IF(ISNUMBER(SEARCH("CALIDO",INVENTARIO!C300)),"CAL",
IF(ISNUMBER(SEARCH("CEPILLADO",INVENTARIO!C300)),"CEP",
IF(ISNUMBER(SEARCH("ESPEJO",INVENTARIO!C300)),"ESP",
""))))))</f>
        <v/>
      </c>
      <c r="G300" t="str">
        <f>IF(ISNUMBER(SEARCH("LATEX",INVENTARIO!C300)),"LAT",
IF(ISNUMBER(SEARCH("RESP. NEGRO",INVENTARIO!C300)),"RES-NEG",
IF(ISNUMBER(SEARCH("RESPALDO CAFE",INVENTARIO!C300)),"RES-CAF",
IF(ISNUMBER(SEARCH("RESPALDO GRIS",INVENTARIO!C300)),"RES-GRI",
IF(ISNUMBER(SEARCH("OPTICO",INVENTARIO!C300)),"OPT",
IF(ISNUMBER(SEARCH("1,2 MM",INVENTARIO!C300)),"1MM2",
IF(ISNUMBER(SEARCH("2 MM",INVENTARIO!C300)),"2MM",
IF(ISNUMBER(SEARCH("3 MM",INVENTARIO!C300)),"3MM",
IF(ISNUMBER(SEARCH("4 MM",INVENTARIO!C300)),"4MM",
IF(ISNUMBER(SEARCH("5 MM",INVENTARIO!C300)),"5MM",
IF(ISNUMBER(SEARCH("6 MM",INVENTARIO!C300)),"6MM",
IF(ISNUMBER(SEARCH("9 MM",INVENTARIO!C300)),"9MM",
IF(ISNUMBER(SEARCH("10 MM",INVENTARIO!C300)),"10MM","")))))))))))))</f>
        <v/>
      </c>
      <c r="H300" t="str">
        <f>IF(ISNUMBER(SEARCH("GAMA BAJA",INVENTARIO!C300)),"GAM-BAJ",
IF(ISNUMBER(SEARCH("OPTIMIZADOR",INVENTARIO!C300)),"OPT",
IF(ISNUMBER(SEARCH("OVERCOAT",INVENTARIO!C300)),"OVE",
IF(ISNUMBER(SEARCH("WHITE",INVENTARIO!C300)),"WHI",
IF(ISNUMBER(SEARCH("LIGHT CYAN",INVENTARIO!C300)),"LIG-CYA",
IF(ISNUMBER(SEARCH("CYAN",INVENTARIO!C300)),"CYA",
IF(ISNUMBER(SEARCH("LIGHT MAGENTA",INVENTARIO!C300)),"LIG-MAG",
IF(ISNUMBER(SEARCH("MAGENTA",INVENTARIO!C300)),"MAG",
IF(ISNUMBER(SEARCH("BLACK",INVENTARIO!C300)),"BLA",
IF(ISNUMBER(SEARCH("YELLOW",INVENTARIO!C300)),"YEL",
IF(ISNUMBER(SEARCH("2 DIODOS",INVENTARIO!C300)),"2DI",
IF(ISNUMBER(SEARCH("3 DIODOS",INVENTARIO!C300)),"3DI",
IF(OR(ISNUMBER(SEARCH("TRASLUCIDO",INVENTARIO!C300)),ISNUMBER(SEARCH("TRANSLUCIDO",INVENTARIO!C300))),"TRA",
"")))))))))))))</f>
        <v/>
      </c>
    </row>
    <row r="301" spans="1:9">
      <c r="A301" t="str">
        <f>IF(ISNUMBER(SEARCH("LONA",INVENTARIO!C301)),"LON",
IF(ISNUMBER(SEARCH("VINIL",INVENTARIO!C301)),"VIN",
IF(ISNUMBER(SEARCH("KROMACOTE",INVENTARIO!C301)),"KRO",
IF(ISNUMBER(SEARCH("STARDREAM",INVENTARIO!C301)),"STA",
IF(ISNUMBER(SEARCH("DISPLAY",INVENTARIO!C301)),"DIS",
IF(ISNUMBER(SEARCH("ROLL UP",INVENTARIO!C301)),"ROL-UP",
IF(ISNUMBER(SEARCH("TRANSFER DE PAPEL",INVENTARIO!C301)),"TRA-PAP",
IF(ISNUMBER(SEARCH("TRANSFER",INVENTARIO!C301)),"TRA",IF(ISNUMBER(SEARCH("KOLA LOKA",INVENTARIO!C301)),"KOL-LOK",
IF(ISNUMBER(SEARCH("PETG",INVENTARIO!C301)),"PET",
IF(ISNUMBER(SEARCH("OJILLO",INVENTARIO!C301)),"OJI",
IF(ISNUMBER(SEARCH("COUCHE",INVENTARIO!C301)),"COU",
IF(ISNUMBER(SEARCH("PANEL DE ALUMINIO",INVENTARIO!C301)),"PAN-ALU",
IF(ISNUMBER(SEARCH("PVC",INVENTARIO!C301)),"PVC",
IF(ISNUMBER(SEARCH("PAPEL",INVENTARIO!C301)),"PAP",
IF(ISNUMBER(SEARCH("TELA",INVENTARIO!C301)),"TEL",
IF(ISNUMBER(SEARCH("CARTULINA",INVENTARIO!C301)),"CAR",
IF(OR(ISNUMBER(SEARCH("LAMINA",INVENTARIO!C301)),ISNUMBER(SEARCH("LÁMINA",INVENTARIO!C301)),ISNUMBER(SEARCH("LAMPARAS",INVENTARIO!C301))),"LAM",
IF(ISNUMBER(SEARCH("ESTIRENO",INVENTARIO!C301)),"EST",
IF(ISNUMBER(SEARCH("FOAMBOARD",INVENTARIO!C301)),"FOA",
IF(ISNUMBER(SEARCH("SOLVENTE",INVENTARIO!C301)),"SOL",
IF(ISNUMBER(SEARCH("TINTA",INVENTARIO!C301)),"TIN",
IF(ISNUMBER(SEARCH("ACRILICO",INVENTARIO!C301)),"ACR",
IF(ISNUMBER(SEARCH("MICROLED",INVENTARIO!C301)),"MIC",
IF(ISNUMBER(SEARCH("LED",INVENTARIO!C301)),"LED",
IF(ISNUMBER(SEARCH("FUENTE DE PODER",INVENTARIO!C301)),"FUE-POD",
IF(ISNUMBER(SEARCH("PETG",INVENTARIO!C301)),"PET",
IF(ISNUMBER(SEARCH("ALUMINIO",INVENTARIO!C301)),"ALU",
IF(ISNUMBER(SEARCH("CANAL",INVENTARIO!C301)),"CAN",
IF(ISNUMBER(SEARCH("ESCUADRA",INVENTARIO!C301)),"ESC",
IF(ISNUMBER(SEARCH("SOPORTE",INVENTARIO!C301)),"SOP","OTR")
))))))))))))))))))))))))))))))</f>
        <v>COU</v>
      </c>
      <c r="B301" t="str">
        <f>IF(ISNUMBER(SEARCH("CORTE",INVENTARIO!C301)),"COR",
IF(ISNUMBER(SEARCH("CITYLIGHT",INVENTARIO!C301)),"CIT",
IF(ISNUMBER(SEARCH("LINO",INVENTARIO!C301)),"LIN",
IF(ISNUMBER(SEARCH("FABRIANO",INVENTARIO!C301)),"FAB",
IF(ISNUMBER(SEARCH("SUNDANCE",INVENTARIO!C301)),"SUN",
IF(ISNUMBER(SEARCH("SINTETICA",INVENTARIO!C301)),"SIN",
IF(ISNUMBER(SEARCH("CONTROL",INVENTARIO!C301)),"CON",
IF(ISNUMBER(SEARCH("TERMICO",INVENTARIO!C301)),"TER",
IF(ISNUMBER(SEARCH("C-15",INVENTARIO!C301)),"C15",
IF(ISNUMBER(SEARCH("C-20",INVENTARIO!C301)),"C20",
IF(ISNUMBER(SEARCH("C-30",INVENTARIO!C301)),"C30",
IF(ISNUMBER(SEARCH("C-40",INVENTARIO!C301)),"C40",
IF(ISNUMBER(SEARCH("C-60",INVENTARIO!C301)),"C60",
IF(ISNUMBER(SEARCH("C-80",INVENTARIO!C301)),"C80",
IF(ISNUMBER(SEARCH("EQUIPO",INVENTARIO!C301)),"EQU",
IF(ISNUMBER(SEARCH("FLOOR",INVENTARIO!C301)),"FLO",
IF(ISNUMBER(SEARCH("CRISTAL",INVENTARIO!C301)),"CRI",
IF(ISNUMBER(SEARCH(" SULFATADA",INVENTARIO!C312)),"SUL",
IF(ISNUMBER(SEARCH("OPALINA",INVENTARIO!C301)),"OPA",
IF(ISNUMBER(SEARCH("ADHERIBLE",INVENTARIO!C301)),"ADH",
IF(ISNUMBER(SEARCH("MICRO",INVENTARIO!C301)),"MIC","")))))))))))))))))))))</f>
        <v/>
      </c>
      <c r="C301" t="str">
        <f>IF(ISNUMBER(SEARCH("PARED",INVENTARIO!C301)),"PAR",
IF(ISNUMBER(SEARCH("FRONT",INVENTARIO!C301)),"FRO",
IF(ISNUMBER(SEARCH("ALTA RESISTENCIA",INVENTARIO!C301)),
"ALT-RES",IF(ISNUMBER(SEARCH("BACKLITE",INVENTARIO!C301)),"BAC",
IF(ISNUMBER(SEARCH("MATE",INVENTARIO!C301)),"MAT",
IF(ISNUMBER(SEARCH("MESH",INVENTARIO!C301)),"MES",
IF(ISNUMBER(SEARCH("BRILLANTE",INVENTARIO!C301)),"BRI",
IF(ISNUMBER(SEARCH("DELGADA",INVENTARIO!C301)),"DEL",
IF(ISNUMBER(SEARCH("GRUESA",INVENTARIO!C301)),"GRU",
IF(ISNUMBER(SEARCH("ESTATICO",INVENTARIO!C301)),"EST",
IF(ISNUMBER(SEARCH("REFLECTIVO",INVENTARIO!C301)),"REF",
IF(ISNUMBER(SEARCH("LX700",INVENTARIO!C301)),"LX7",
IF(ISNUMBER(SEARCH("GRANDO",INVENTARIO!C301)),"GRA",
IF(ISNUMBER(SEARCH("FB700",INVENTARIO!C301)),"FB7",
IF(ISNUMBER(SEARCH("LX360",INVENTARIO!C301)),"LX3",
IF(ISNUMBER(SEARCH("XEROX",INVENTARIO!C301)),"XER",
IF(ISNUMBER(SEARCH("CEPILLADO",INVENTARIO!C301)),"CEP",
IF(ISNUMBER(SEARCH("ESPEJO",INVENTARIO!C301)),"ESP",
IF(ISNUMBER(SEARCH("10 PTS",INVENTARIO!C301)),"10PT",
IF(ISNUMBER(SEARCH("12 PTS",INVENTARIO!C301)),"12PT",
IF(ISNUMBER(SEARCH("14 PTS",INVENTARIO!C301)),"14PT",
IF(ISNUMBER(SEARCH("CLASICO",INVENTARIO!C301)),"CLA",
""))))))))))))))))))))))</f>
        <v>BRI</v>
      </c>
      <c r="D301" t="str">
        <f>IF(ISNUMBER(SEARCH("GRAN FORMATO",INVENTARIO!C301)),"GRA-FOR",
IF(ISNUMBER(SEARCH("CAMA PLANA",INVENTARIO!C301)),"CAM-PLA",
IF(ISNUMBER(SEARCH("GRADO INGENIERIA",INVENTARIO!C301)),"GRA-ING",
IF(ISNUMBER(SEARCH("130 GRS",INVENTARIO!C301)),"130GR",
IF(ISNUMBER(SEARCH("150 GRS",INVENTARIO!C301)),"150GR",
IF(ISNUMBER(SEARCH("185 GRS",INVENTARIO!C301)),"185GR",
IF(ISNUMBER(SEARCH("200 GRS",INVENTARIO!C301)),"200GR",
IF(ISNUMBER(SEARCH("250 GRS",INVENTARIO!C301)),"250GR",
IF(ISNUMBER(SEARCH("300 GRS",INVENTARIO!C301)),"300GR",
IF(ISNUMBER(SEARCH("350 GRS",INVENTARIO!C301)),"350GR",
IF(ISNUMBER(SEARCH("18 OZ",INVENTARIO!C301)),"18OZ",
IF(ISNUMBER(SEARCH("15 OZ",INVENTARIO!C301)),"15OZ",
IF(OR(ISNUMBER(SEARCH("13 OZ",INVENTARIO!C301)),ISNUMBER(SEARCH("13 ONZAS",INVENTARIO!C301))),"13OZ",
IF(OR(ISNUMBER(SEARCH("9 OZ",INVENTARIO!C301)),ISNUMBER(SEARCH("9 ONZAS",INVENTARIO!C301))),"09OZ",
IF(ISNUMBER(SEARCH("DOBLE CARA",INVENTARIO!C301)),"DOB-CAR",
"")))))))))))))))</f>
        <v>150GR</v>
      </c>
      <c r="E301" t="str">
        <f>IF(OR(ISNUMBER(SEARCH("TRANSPARENTE",INVENTARIO!C301)),ISNUMBER(SEARCH("TRANSPARENTES",INVENTARIO!C301))),"TRA",
IF(OR(ISNUMBER(SEARCH("BLANCO",INVENTARIO!C301)),ISNUMBER(SEARCH("BCO",INVENTARIO!C301))),"BLA",
IF(ISNUMBER(SEARCH("FOTOGRAFICO",INVENTARIO!C301)),"FOT",
IF(ISNUMBER(SEARCH("MARFIL",INVENTARIO!C301)),"MAR",
IF(ISNUMBER(SEARCH("VERDE",INVENTARIO!C301)),"VER",
IF(ISNUMBER(SEARCH("MORADO",INVENTARIO!C301)),"MOR",
IF(ISNUMBER(SEARCH("PLATA",INVENTARIO!C301)),"PLA",
IF(ISNUMBER(SEARCH("ORO",INVENTARIO!C301)),"ORO",
IF(ISNUMBER(SEARCH("AMARILLO",INVENTARIO!C301)),"AMA",
IF(ISNUMBER(SEARCH("NARANJA",INVENTARIO!C301)),"NAR",
IF(ISNUMBER(SEARCH("NEGRO",INVENTARIO!C301)),"NEG",
IF(ISNUMBER(SEARCH("ROJO",INVENTARIO!C301)),"ROJ",
IF(ISNUMBER(SEARCH("AZUL",INVENTARIO!C301)),"AZU","")))))))))))))</f>
        <v/>
      </c>
      <c r="F301" t="str">
        <f>IF(ISNUMBER(SEARCH("ARLON",INVENTARIO!C301)),"ARL",
IF(ISNUMBER(SEARCH("SUNTHINKS",INVENTARIO!C301)),"SUN",
IF(ISNUMBER(SEARCH("FRIO",INVENTARIO!C301)),"FRI",
IF(ISNUMBER(SEARCH("CALIDO",INVENTARIO!C301)),"CAL",
IF(ISNUMBER(SEARCH("CEPILLADO",INVENTARIO!C301)),"CEP",
IF(ISNUMBER(SEARCH("ESPEJO",INVENTARIO!C301)),"ESP",
""))))))</f>
        <v/>
      </c>
      <c r="G301" t="str">
        <f>IF(ISNUMBER(SEARCH("LATEX",INVENTARIO!C301)),"LAT",
IF(ISNUMBER(SEARCH("RESP. NEGRO",INVENTARIO!C301)),"RES-NEG",
IF(ISNUMBER(SEARCH("RESPALDO CAFE",INVENTARIO!C301)),"RES-CAF",
IF(ISNUMBER(SEARCH("RESPALDO GRIS",INVENTARIO!C301)),"RES-GRI",
IF(ISNUMBER(SEARCH("OPTICO",INVENTARIO!C301)),"OPT",
IF(ISNUMBER(SEARCH("1,2 MM",INVENTARIO!C301)),"1MM2",
IF(ISNUMBER(SEARCH("2 MM",INVENTARIO!C301)),"2MM",
IF(ISNUMBER(SEARCH("3 MM",INVENTARIO!C301)),"3MM",
IF(ISNUMBER(SEARCH("4 MM",INVENTARIO!C301)),"4MM",
IF(ISNUMBER(SEARCH("5 MM",INVENTARIO!C301)),"5MM",
IF(ISNUMBER(SEARCH("6 MM",INVENTARIO!C301)),"6MM",
IF(ISNUMBER(SEARCH("9 MM",INVENTARIO!C301)),"9MM",
IF(ISNUMBER(SEARCH("10 MM",INVENTARIO!C301)),"10MM","")))))))))))))</f>
        <v/>
      </c>
      <c r="H301" t="str">
        <f>IF(ISNUMBER(SEARCH("GAMA BAJA",INVENTARIO!C301)),"GAM-BAJ",
IF(ISNUMBER(SEARCH("OPTIMIZADOR",INVENTARIO!C301)),"OPT",
IF(ISNUMBER(SEARCH("OVERCOAT",INVENTARIO!C301)),"OVE",
IF(ISNUMBER(SEARCH("WHITE",INVENTARIO!C301)),"WHI",
IF(ISNUMBER(SEARCH("LIGHT CYAN",INVENTARIO!C301)),"LIG-CYA",
IF(ISNUMBER(SEARCH("CYAN",INVENTARIO!C301)),"CYA",
IF(ISNUMBER(SEARCH("LIGHT MAGENTA",INVENTARIO!C301)),"LIG-MAG",
IF(ISNUMBER(SEARCH("MAGENTA",INVENTARIO!C301)),"MAG",
IF(ISNUMBER(SEARCH("BLACK",INVENTARIO!C301)),"BLA",
IF(ISNUMBER(SEARCH("YELLOW",INVENTARIO!C301)),"YEL",
IF(ISNUMBER(SEARCH("2 DIODOS",INVENTARIO!C301)),"2DI",
IF(ISNUMBER(SEARCH("3 DIODOS",INVENTARIO!C301)),"3DI",
IF(OR(ISNUMBER(SEARCH("TRASLUCIDO",INVENTARIO!C301)),ISNUMBER(SEARCH("TRANSLUCIDO",INVENTARIO!C301))),"TRA",
"")))))))))))))</f>
        <v/>
      </c>
    </row>
    <row r="302" spans="1:9">
      <c r="A302" t="str">
        <f>IF(ISNUMBER(SEARCH("LONA",INVENTARIO!C302)),"LON",
IF(ISNUMBER(SEARCH("VINIL",INVENTARIO!C302)),"VIN",
IF(ISNUMBER(SEARCH("KROMACOTE",INVENTARIO!C302)),"KRO",
IF(ISNUMBER(SEARCH("STARDREAM",INVENTARIO!C302)),"STA",
IF(ISNUMBER(SEARCH("DISPLAY",INVENTARIO!C302)),"DIS",
IF(ISNUMBER(SEARCH("ROLL UP",INVENTARIO!C302)),"ROL-UP",
IF(ISNUMBER(SEARCH("TRANSFER DE PAPEL",INVENTARIO!C302)),"TRA-PAP",
IF(ISNUMBER(SEARCH("TRANSFER",INVENTARIO!C302)),"TRA",IF(ISNUMBER(SEARCH("KOLA LOKA",INVENTARIO!C302)),"KOL-LOK",
IF(ISNUMBER(SEARCH("PETG",INVENTARIO!C302)),"PET",
IF(ISNUMBER(SEARCH("OJILLO",INVENTARIO!C302)),"OJI",
IF(ISNUMBER(SEARCH("COUCHE",INVENTARIO!C302)),"COU",
IF(ISNUMBER(SEARCH("PANEL DE ALUMINIO",INVENTARIO!C302)),"PAN-ALU",
IF(ISNUMBER(SEARCH("PVC",INVENTARIO!C302)),"PVC",
IF(ISNUMBER(SEARCH("PAPEL",INVENTARIO!C302)),"PAP",
IF(ISNUMBER(SEARCH("TELA",INVENTARIO!C302)),"TEL",
IF(ISNUMBER(SEARCH("CARTULINA",INVENTARIO!C302)),"CAR",
IF(OR(ISNUMBER(SEARCH("LAMINA",INVENTARIO!C302)),ISNUMBER(SEARCH("LÁMINA",INVENTARIO!C302)),ISNUMBER(SEARCH("LAMPARAS",INVENTARIO!C302))),"LAM",
IF(ISNUMBER(SEARCH("ESTIRENO",INVENTARIO!C302)),"EST",
IF(ISNUMBER(SEARCH("FOAMBOARD",INVENTARIO!C302)),"FOA",
IF(ISNUMBER(SEARCH("SOLVENTE",INVENTARIO!C302)),"SOL",
IF(ISNUMBER(SEARCH("TINTA",INVENTARIO!C302)),"TIN",
IF(ISNUMBER(SEARCH("ACRILICO",INVENTARIO!C302)),"ACR",
IF(ISNUMBER(SEARCH("MICROLED",INVENTARIO!C302)),"MIC",
IF(ISNUMBER(SEARCH("LED",INVENTARIO!C302)),"LED",
IF(ISNUMBER(SEARCH("FUENTE DE PODER",INVENTARIO!C302)),"FUE-POD",
IF(ISNUMBER(SEARCH("PETG",INVENTARIO!C302)),"PET",
IF(ISNUMBER(SEARCH("ALUMINIO",INVENTARIO!C302)),"ALU",
IF(ISNUMBER(SEARCH("CANAL",INVENTARIO!C302)),"CAN",
IF(ISNUMBER(SEARCH("ESCUADRA",INVENTARIO!C302)),"ESC",
IF(ISNUMBER(SEARCH("SOPORTE",INVENTARIO!C302)),"SOP","OTR")
))))))))))))))))))))))))))))))</f>
        <v>COU</v>
      </c>
      <c r="B302" t="str">
        <f>IF(ISNUMBER(SEARCH("CORTE",INVENTARIO!C302)),"COR",
IF(ISNUMBER(SEARCH("CITYLIGHT",INVENTARIO!C302)),"CIT",
IF(ISNUMBER(SEARCH("LINO",INVENTARIO!C302)),"LIN",
IF(ISNUMBER(SEARCH("FABRIANO",INVENTARIO!C302)),"FAB",
IF(ISNUMBER(SEARCH("SUNDANCE",INVENTARIO!C302)),"SUN",
IF(ISNUMBER(SEARCH("SINTETICA",INVENTARIO!C302)),"SIN",
IF(ISNUMBER(SEARCH("CONTROL",INVENTARIO!C302)),"CON",
IF(ISNUMBER(SEARCH("TERMICO",INVENTARIO!C302)),"TER",
IF(ISNUMBER(SEARCH("C-15",INVENTARIO!C302)),"C15",
IF(ISNUMBER(SEARCH("C-20",INVENTARIO!C302)),"C20",
IF(ISNUMBER(SEARCH("C-30",INVENTARIO!C302)),"C30",
IF(ISNUMBER(SEARCH("C-40",INVENTARIO!C302)),"C40",
IF(ISNUMBER(SEARCH("C-60",INVENTARIO!C302)),"C60",
IF(ISNUMBER(SEARCH("C-80",INVENTARIO!C302)),"C80",
IF(ISNUMBER(SEARCH("EQUIPO",INVENTARIO!C302)),"EQU",
IF(ISNUMBER(SEARCH("FLOOR",INVENTARIO!C302)),"FLO",
IF(ISNUMBER(SEARCH("CRISTAL",INVENTARIO!C302)),"CRI",
IF(ISNUMBER(SEARCH(" SULFATADA",INVENTARIO!C313)),"SUL",
IF(ISNUMBER(SEARCH("OPALINA",INVENTARIO!C302)),"OPA",
IF(ISNUMBER(SEARCH("ADHERIBLE",INVENTARIO!C302)),"ADH",
IF(ISNUMBER(SEARCH("MICRO",INVENTARIO!C302)),"MIC","")))))))))))))))))))))</f>
        <v/>
      </c>
      <c r="C302" t="str">
        <f>IF(ISNUMBER(SEARCH("PARED",INVENTARIO!C302)),"PAR",
IF(ISNUMBER(SEARCH("FRONT",INVENTARIO!C302)),"FRO",
IF(ISNUMBER(SEARCH("ALTA RESISTENCIA",INVENTARIO!C302)),
"ALT-RES",IF(ISNUMBER(SEARCH("BACKLITE",INVENTARIO!C302)),"BAC",
IF(ISNUMBER(SEARCH("MATE",INVENTARIO!C302)),"MAT",
IF(ISNUMBER(SEARCH("MESH",INVENTARIO!C302)),"MES",
IF(ISNUMBER(SEARCH("BRILLANTE",INVENTARIO!C302)),"BRI",
IF(ISNUMBER(SEARCH("DELGADA",INVENTARIO!C302)),"DEL",
IF(ISNUMBER(SEARCH("GRUESA",INVENTARIO!C302)),"GRU",
IF(ISNUMBER(SEARCH("ESTATICO",INVENTARIO!C302)),"EST",
IF(ISNUMBER(SEARCH("REFLECTIVO",INVENTARIO!C302)),"REF",
IF(ISNUMBER(SEARCH("LX700",INVENTARIO!C302)),"LX7",
IF(ISNUMBER(SEARCH("GRANDO",INVENTARIO!C302)),"GRA",
IF(ISNUMBER(SEARCH("FB700",INVENTARIO!C302)),"FB7",
IF(ISNUMBER(SEARCH("LX360",INVENTARIO!C302)),"LX3",
IF(ISNUMBER(SEARCH("XEROX",INVENTARIO!C302)),"XER",
IF(ISNUMBER(SEARCH("CEPILLADO",INVENTARIO!C302)),"CEP",
IF(ISNUMBER(SEARCH("ESPEJO",INVENTARIO!C302)),"ESP",
IF(ISNUMBER(SEARCH("10 PTS",INVENTARIO!C302)),"10PT",
IF(ISNUMBER(SEARCH("12 PTS",INVENTARIO!C302)),"12PT",
IF(ISNUMBER(SEARCH("14 PTS",INVENTARIO!C302)),"14PT",
IF(ISNUMBER(SEARCH("CLASICO",INVENTARIO!C302)),"CLA",
""))))))))))))))))))))))</f>
        <v>BRI</v>
      </c>
      <c r="D302" t="str">
        <f>IF(ISNUMBER(SEARCH("GRAN FORMATO",INVENTARIO!C302)),"GRA-FOR",
IF(ISNUMBER(SEARCH("CAMA PLANA",INVENTARIO!C302)),"CAM-PLA",
IF(ISNUMBER(SEARCH("GRADO INGENIERIA",INVENTARIO!C302)),"GRA-ING",
IF(ISNUMBER(SEARCH("130 GRS",INVENTARIO!C302)),"130GR",
IF(ISNUMBER(SEARCH("150 GRS",INVENTARIO!C302)),"150GR",
IF(ISNUMBER(SEARCH("185 GRS",INVENTARIO!C302)),"185GR",
IF(ISNUMBER(SEARCH("200 GRS",INVENTARIO!C302)),"200GR",
IF(ISNUMBER(SEARCH("250 GRS",INVENTARIO!C302)),"250GR",
IF(ISNUMBER(SEARCH("300 GRS",INVENTARIO!C302)),"300GR",
IF(ISNUMBER(SEARCH("350 GRS",INVENTARIO!C302)),"350GR",
IF(ISNUMBER(SEARCH("18 OZ",INVENTARIO!C302)),"18OZ",
IF(ISNUMBER(SEARCH("15 OZ",INVENTARIO!C302)),"15OZ",
IF(OR(ISNUMBER(SEARCH("13 OZ",INVENTARIO!C302)),ISNUMBER(SEARCH("13 ONZAS",INVENTARIO!C302))),"13OZ",
IF(OR(ISNUMBER(SEARCH("9 OZ",INVENTARIO!C302)),ISNUMBER(SEARCH("9 ONZAS",INVENTARIO!C302))),"09OZ",
IF(ISNUMBER(SEARCH("DOBLE CARA",INVENTARIO!C302)),"DOB-CAR",
"")))))))))))))))</f>
        <v>200GR</v>
      </c>
      <c r="E302" t="str">
        <f>IF(OR(ISNUMBER(SEARCH("TRANSPARENTE",INVENTARIO!C302)),ISNUMBER(SEARCH("TRANSPARENTES",INVENTARIO!C302))),"TRA",
IF(OR(ISNUMBER(SEARCH("BLANCO",INVENTARIO!C302)),ISNUMBER(SEARCH("BCO",INVENTARIO!C302))),"BLA",
IF(ISNUMBER(SEARCH("FOTOGRAFICO",INVENTARIO!C302)),"FOT",
IF(ISNUMBER(SEARCH("MARFIL",INVENTARIO!C302)),"MAR",
IF(ISNUMBER(SEARCH("VERDE",INVENTARIO!C302)),"VER",
IF(ISNUMBER(SEARCH("MORADO",INVENTARIO!C302)),"MOR",
IF(ISNUMBER(SEARCH("PLATA",INVENTARIO!C302)),"PLA",
IF(ISNUMBER(SEARCH("ORO",INVENTARIO!C302)),"ORO",
IF(ISNUMBER(SEARCH("AMARILLO",INVENTARIO!C302)),"AMA",
IF(ISNUMBER(SEARCH("NARANJA",INVENTARIO!C302)),"NAR",
IF(ISNUMBER(SEARCH("NEGRO",INVENTARIO!C302)),"NEG",
IF(ISNUMBER(SEARCH("ROJO",INVENTARIO!C302)),"ROJ",
IF(ISNUMBER(SEARCH("AZUL",INVENTARIO!C302)),"AZU","")))))))))))))</f>
        <v/>
      </c>
      <c r="F302" t="str">
        <f>IF(ISNUMBER(SEARCH("ARLON",INVENTARIO!C302)),"ARL",
IF(ISNUMBER(SEARCH("SUNTHINKS",INVENTARIO!C302)),"SUN",
IF(ISNUMBER(SEARCH("FRIO",INVENTARIO!C302)),"FRI",
IF(ISNUMBER(SEARCH("CALIDO",INVENTARIO!C302)),"CAL",
IF(ISNUMBER(SEARCH("CEPILLADO",INVENTARIO!C302)),"CEP",
IF(ISNUMBER(SEARCH("ESPEJO",INVENTARIO!C302)),"ESP",
""))))))</f>
        <v/>
      </c>
      <c r="G302" t="str">
        <f>IF(ISNUMBER(SEARCH("LATEX",INVENTARIO!C302)),"LAT",
IF(ISNUMBER(SEARCH("RESP. NEGRO",INVENTARIO!C302)),"RES-NEG",
IF(ISNUMBER(SEARCH("RESPALDO CAFE",INVENTARIO!C302)),"RES-CAF",
IF(ISNUMBER(SEARCH("RESPALDO GRIS",INVENTARIO!C302)),"RES-GRI",
IF(ISNUMBER(SEARCH("OPTICO",INVENTARIO!C302)),"OPT",
IF(ISNUMBER(SEARCH("1,2 MM",INVENTARIO!C302)),"1MM2",
IF(ISNUMBER(SEARCH("2 MM",INVENTARIO!C302)),"2MM",
IF(ISNUMBER(SEARCH("3 MM",INVENTARIO!C302)),"3MM",
IF(ISNUMBER(SEARCH("4 MM",INVENTARIO!C302)),"4MM",
IF(ISNUMBER(SEARCH("5 MM",INVENTARIO!C302)),"5MM",
IF(ISNUMBER(SEARCH("6 MM",INVENTARIO!C302)),"6MM",
IF(ISNUMBER(SEARCH("9 MM",INVENTARIO!C302)),"9MM",
IF(ISNUMBER(SEARCH("10 MM",INVENTARIO!C302)),"10MM","")))))))))))))</f>
        <v/>
      </c>
      <c r="H302" t="str">
        <f>IF(ISNUMBER(SEARCH("GAMA BAJA",INVENTARIO!C302)),"GAM-BAJ",
IF(ISNUMBER(SEARCH("OPTIMIZADOR",INVENTARIO!C302)),"OPT",
IF(ISNUMBER(SEARCH("OVERCOAT",INVENTARIO!C302)),"OVE",
IF(ISNUMBER(SEARCH("WHITE",INVENTARIO!C302)),"WHI",
IF(ISNUMBER(SEARCH("LIGHT CYAN",INVENTARIO!C302)),"LIG-CYA",
IF(ISNUMBER(SEARCH("CYAN",INVENTARIO!C302)),"CYA",
IF(ISNUMBER(SEARCH("LIGHT MAGENTA",INVENTARIO!C302)),"LIG-MAG",
IF(ISNUMBER(SEARCH("MAGENTA",INVENTARIO!C302)),"MAG",
IF(ISNUMBER(SEARCH("BLACK",INVENTARIO!C302)),"BLA",
IF(ISNUMBER(SEARCH("YELLOW",INVENTARIO!C302)),"YEL",
IF(ISNUMBER(SEARCH("2 DIODOS",INVENTARIO!C302)),"2DI",
IF(ISNUMBER(SEARCH("3 DIODOS",INVENTARIO!C302)),"3DI",
IF(OR(ISNUMBER(SEARCH("TRASLUCIDO",INVENTARIO!C302)),ISNUMBER(SEARCH("TRANSLUCIDO",INVENTARIO!C302))),"TRA",
"")))))))))))))</f>
        <v/>
      </c>
    </row>
    <row r="303" spans="1:9">
      <c r="A303" t="str">
        <f>IF(ISNUMBER(SEARCH("LONA",INVENTARIO!C303)),"LON",
IF(ISNUMBER(SEARCH("VINIL",INVENTARIO!C303)),"VIN",
IF(ISNUMBER(SEARCH("KROMACOTE",INVENTARIO!C303)),"KRO",
IF(ISNUMBER(SEARCH("STARDREAM",INVENTARIO!C303)),"STA",
IF(ISNUMBER(SEARCH("DISPLAY",INVENTARIO!C303)),"DIS",
IF(ISNUMBER(SEARCH("ROLL UP",INVENTARIO!C303)),"ROL-UP",
IF(ISNUMBER(SEARCH("TRANSFER DE PAPEL",INVENTARIO!C303)),"TRA-PAP",
IF(ISNUMBER(SEARCH("TRANSFER",INVENTARIO!C303)),"TRA",IF(ISNUMBER(SEARCH("KOLA LOKA",INVENTARIO!C303)),"KOL-LOK",
IF(ISNUMBER(SEARCH("PETG",INVENTARIO!C303)),"PET",
IF(ISNUMBER(SEARCH("OJILLO",INVENTARIO!C303)),"OJI",
IF(ISNUMBER(SEARCH("COUCHE",INVENTARIO!C303)),"COU",
IF(ISNUMBER(SEARCH("PANEL DE ALUMINIO",INVENTARIO!C303)),"PAN-ALU",
IF(ISNUMBER(SEARCH("PVC",INVENTARIO!C303)),"PVC",
IF(ISNUMBER(SEARCH("PAPEL",INVENTARIO!C303)),"PAP",
IF(ISNUMBER(SEARCH("TELA",INVENTARIO!C303)),"TEL",
IF(ISNUMBER(SEARCH("CARTULINA",INVENTARIO!C303)),"CAR",
IF(OR(ISNUMBER(SEARCH("LAMINA",INVENTARIO!C303)),ISNUMBER(SEARCH("LÁMINA",INVENTARIO!C303)),ISNUMBER(SEARCH("LAMPARAS",INVENTARIO!C303))),"LAM",
IF(ISNUMBER(SEARCH("ESTIRENO",INVENTARIO!C303)),"EST",
IF(ISNUMBER(SEARCH("FOAMBOARD",INVENTARIO!C303)),"FOA",
IF(ISNUMBER(SEARCH("SOLVENTE",INVENTARIO!C303)),"SOL",
IF(ISNUMBER(SEARCH("TINTA",INVENTARIO!C303)),"TIN",
IF(ISNUMBER(SEARCH("ACRILICO",INVENTARIO!C303)),"ACR",
IF(ISNUMBER(SEARCH("MICROLED",INVENTARIO!C303)),"MIC",
IF(ISNUMBER(SEARCH("LED",INVENTARIO!C303)),"LED",
IF(ISNUMBER(SEARCH("FUENTE DE PODER",INVENTARIO!C303)),"FUE-POD",
IF(ISNUMBER(SEARCH("PETG",INVENTARIO!C303)),"PET",
IF(ISNUMBER(SEARCH("ALUMINIO",INVENTARIO!C303)),"ALU",
IF(ISNUMBER(SEARCH("CANAL",INVENTARIO!C303)),"CAN",
IF(ISNUMBER(SEARCH("ESCUADRA",INVENTARIO!C303)),"ESC",
IF(ISNUMBER(SEARCH("SOPORTE",INVENTARIO!C303)),"SOP","OTR")
))))))))))))))))))))))))))))))</f>
        <v>COU</v>
      </c>
      <c r="B303" t="str">
        <f>IF(ISNUMBER(SEARCH("CORTE",INVENTARIO!C303)),"COR",
IF(ISNUMBER(SEARCH("CITYLIGHT",INVENTARIO!C303)),"CIT",
IF(ISNUMBER(SEARCH("LINO",INVENTARIO!C303)),"LIN",
IF(ISNUMBER(SEARCH("FABRIANO",INVENTARIO!C303)),"FAB",
IF(ISNUMBER(SEARCH("SUNDANCE",INVENTARIO!C303)),"SUN",
IF(ISNUMBER(SEARCH("SINTETICA",INVENTARIO!C303)),"SIN",
IF(ISNUMBER(SEARCH("CONTROL",INVENTARIO!C303)),"CON",
IF(ISNUMBER(SEARCH("TERMICO",INVENTARIO!C303)),"TER",
IF(ISNUMBER(SEARCH("C-15",INVENTARIO!C303)),"C15",
IF(ISNUMBER(SEARCH("C-20",INVENTARIO!C303)),"C20",
IF(ISNUMBER(SEARCH("C-30",INVENTARIO!C303)),"C30",
IF(ISNUMBER(SEARCH("C-40",INVENTARIO!C303)),"C40",
IF(ISNUMBER(SEARCH("C-60",INVENTARIO!C303)),"C60",
IF(ISNUMBER(SEARCH("C-80",INVENTARIO!C303)),"C80",
IF(ISNUMBER(SEARCH("EQUIPO",INVENTARIO!C303)),"EQU",
IF(ISNUMBER(SEARCH("FLOOR",INVENTARIO!C303)),"FLO",
IF(ISNUMBER(SEARCH("CRISTAL",INVENTARIO!C303)),"CRI",
IF(ISNUMBER(SEARCH(" SULFATADA",INVENTARIO!C314)),"SUL",
IF(ISNUMBER(SEARCH("OPALINA",INVENTARIO!C303)),"OPA",
IF(ISNUMBER(SEARCH("ADHERIBLE",INVENTARIO!C303)),"ADH",
IF(ISNUMBER(SEARCH("MICRO",INVENTARIO!C303)),"MIC","")))))))))))))))))))))</f>
        <v/>
      </c>
      <c r="C303" t="str">
        <f>IF(ISNUMBER(SEARCH("PARED",INVENTARIO!C303)),"PAR",
IF(ISNUMBER(SEARCH("FRONT",INVENTARIO!C303)),"FRO",
IF(ISNUMBER(SEARCH("ALTA RESISTENCIA",INVENTARIO!C303)),
"ALT-RES",IF(ISNUMBER(SEARCH("BACKLITE",INVENTARIO!C303)),"BAC",
IF(ISNUMBER(SEARCH("MATE",INVENTARIO!C303)),"MAT",
IF(ISNUMBER(SEARCH("MESH",INVENTARIO!C303)),"MES",
IF(ISNUMBER(SEARCH("BRILLANTE",INVENTARIO!C303)),"BRI",
IF(ISNUMBER(SEARCH("DELGADA",INVENTARIO!C303)),"DEL",
IF(ISNUMBER(SEARCH("GRUESA",INVENTARIO!C303)),"GRU",
IF(ISNUMBER(SEARCH("ESTATICO",INVENTARIO!C303)),"EST",
IF(ISNUMBER(SEARCH("REFLECTIVO",INVENTARIO!C303)),"REF",
IF(ISNUMBER(SEARCH("LX700",INVENTARIO!C303)),"LX7",
IF(ISNUMBER(SEARCH("GRANDO",INVENTARIO!C303)),"GRA",
IF(ISNUMBER(SEARCH("FB700",INVENTARIO!C303)),"FB7",
IF(ISNUMBER(SEARCH("LX360",INVENTARIO!C303)),"LX3",
IF(ISNUMBER(SEARCH("XEROX",INVENTARIO!C303)),"XER",
IF(ISNUMBER(SEARCH("CEPILLADO",INVENTARIO!C303)),"CEP",
IF(ISNUMBER(SEARCH("ESPEJO",INVENTARIO!C303)),"ESP",
IF(ISNUMBER(SEARCH("10 PTS",INVENTARIO!C303)),"10PT",
IF(ISNUMBER(SEARCH("12 PTS",INVENTARIO!C303)),"12PT",
IF(ISNUMBER(SEARCH("14 PTS",INVENTARIO!C303)),"14PT",
IF(ISNUMBER(SEARCH("CLASICO",INVENTARIO!C303)),"CLA",
""))))))))))))))))))))))</f>
        <v>BRI</v>
      </c>
      <c r="D303" t="str">
        <f>IF(ISNUMBER(SEARCH("GRAN FORMATO",INVENTARIO!C303)),"GRA-FOR",
IF(ISNUMBER(SEARCH("CAMA PLANA",INVENTARIO!C303)),"CAM-PLA",
IF(ISNUMBER(SEARCH("GRADO INGENIERIA",INVENTARIO!C303)),"GRA-ING",
IF(ISNUMBER(SEARCH("130 GRS",INVENTARIO!C303)),"130GR",
IF(ISNUMBER(SEARCH("150 GRS",INVENTARIO!C303)),"150GR",
IF(ISNUMBER(SEARCH("185 GRS",INVENTARIO!C303)),"185GR",
IF(ISNUMBER(SEARCH("200 GRS",INVENTARIO!C303)),"200GR",
IF(ISNUMBER(SEARCH("250 GRS",INVENTARIO!C303)),"250GR",
IF(ISNUMBER(SEARCH("300 GRS",INVENTARIO!C303)),"300GR",
IF(ISNUMBER(SEARCH("350 GRS",INVENTARIO!C303)),"350GR",
IF(ISNUMBER(SEARCH("18 OZ",INVENTARIO!C303)),"18OZ",
IF(ISNUMBER(SEARCH("15 OZ",INVENTARIO!C303)),"15OZ",
IF(OR(ISNUMBER(SEARCH("13 OZ",INVENTARIO!C303)),ISNUMBER(SEARCH("13 ONZAS",INVENTARIO!C303))),"13OZ",
IF(OR(ISNUMBER(SEARCH("9 OZ",INVENTARIO!C303)),ISNUMBER(SEARCH("9 ONZAS",INVENTARIO!C303))),"09OZ",
IF(ISNUMBER(SEARCH("DOBLE CARA",INVENTARIO!C303)),"DOB-CAR",
"")))))))))))))))</f>
        <v>250GR</v>
      </c>
      <c r="E303" t="str">
        <f>IF(OR(ISNUMBER(SEARCH("TRANSPARENTE",INVENTARIO!C303)),ISNUMBER(SEARCH("TRANSPARENTES",INVENTARIO!C303))),"TRA",
IF(OR(ISNUMBER(SEARCH("BLANCO",INVENTARIO!C303)),ISNUMBER(SEARCH("BCO",INVENTARIO!C303))),"BLA",
IF(ISNUMBER(SEARCH("FOTOGRAFICO",INVENTARIO!C303)),"FOT",
IF(ISNUMBER(SEARCH("MARFIL",INVENTARIO!C303)),"MAR",
IF(ISNUMBER(SEARCH("VERDE",INVENTARIO!C303)),"VER",
IF(ISNUMBER(SEARCH("MORADO",INVENTARIO!C303)),"MOR",
IF(ISNUMBER(SEARCH("PLATA",INVENTARIO!C303)),"PLA",
IF(ISNUMBER(SEARCH("ORO",INVENTARIO!C303)),"ORO",
IF(ISNUMBER(SEARCH("AMARILLO",INVENTARIO!C303)),"AMA",
IF(ISNUMBER(SEARCH("NARANJA",INVENTARIO!C303)),"NAR",
IF(ISNUMBER(SEARCH("NEGRO",INVENTARIO!C303)),"NEG",
IF(ISNUMBER(SEARCH("ROJO",INVENTARIO!C303)),"ROJ",
IF(ISNUMBER(SEARCH("AZUL",INVENTARIO!C303)),"AZU","")))))))))))))</f>
        <v/>
      </c>
      <c r="F303" t="str">
        <f>IF(ISNUMBER(SEARCH("ARLON",INVENTARIO!C303)),"ARL",
IF(ISNUMBER(SEARCH("SUNTHINKS",INVENTARIO!C303)),"SUN",
IF(ISNUMBER(SEARCH("FRIO",INVENTARIO!C303)),"FRI",
IF(ISNUMBER(SEARCH("CALIDO",INVENTARIO!C303)),"CAL",
IF(ISNUMBER(SEARCH("CEPILLADO",INVENTARIO!C303)),"CEP",
IF(ISNUMBER(SEARCH("ESPEJO",INVENTARIO!C303)),"ESP",
""))))))</f>
        <v/>
      </c>
      <c r="G303" t="str">
        <f>IF(ISNUMBER(SEARCH("LATEX",INVENTARIO!C303)),"LAT",
IF(ISNUMBER(SEARCH("RESP. NEGRO",INVENTARIO!C303)),"RES-NEG",
IF(ISNUMBER(SEARCH("RESPALDO CAFE",INVENTARIO!C303)),"RES-CAF",
IF(ISNUMBER(SEARCH("RESPALDO GRIS",INVENTARIO!C303)),"RES-GRI",
IF(ISNUMBER(SEARCH("OPTICO",INVENTARIO!C303)),"OPT",
IF(ISNUMBER(SEARCH("1,2 MM",INVENTARIO!C303)),"1MM2",
IF(ISNUMBER(SEARCH("2 MM",INVENTARIO!C303)),"2MM",
IF(ISNUMBER(SEARCH("3 MM",INVENTARIO!C303)),"3MM",
IF(ISNUMBER(SEARCH("4 MM",INVENTARIO!C303)),"4MM",
IF(ISNUMBER(SEARCH("5 MM",INVENTARIO!C303)),"5MM",
IF(ISNUMBER(SEARCH("6 MM",INVENTARIO!C303)),"6MM",
IF(ISNUMBER(SEARCH("9 MM",INVENTARIO!C303)),"9MM",
IF(ISNUMBER(SEARCH("10 MM",INVENTARIO!C303)),"10MM","")))))))))))))</f>
        <v/>
      </c>
      <c r="H303" t="str">
        <f>IF(ISNUMBER(SEARCH("GAMA BAJA",INVENTARIO!C303)),"GAM-BAJ",
IF(ISNUMBER(SEARCH("OPTIMIZADOR",INVENTARIO!C303)),"OPT",
IF(ISNUMBER(SEARCH("OVERCOAT",INVENTARIO!C303)),"OVE",
IF(ISNUMBER(SEARCH("WHITE",INVENTARIO!C303)),"WHI",
IF(ISNUMBER(SEARCH("LIGHT CYAN",INVENTARIO!C303)),"LIG-CYA",
IF(ISNUMBER(SEARCH("CYAN",INVENTARIO!C303)),"CYA",
IF(ISNUMBER(SEARCH("LIGHT MAGENTA",INVENTARIO!C303)),"LIG-MAG",
IF(ISNUMBER(SEARCH("MAGENTA",INVENTARIO!C303)),"MAG",
IF(ISNUMBER(SEARCH("BLACK",INVENTARIO!C303)),"BLA",
IF(ISNUMBER(SEARCH("YELLOW",INVENTARIO!C303)),"YEL",
IF(ISNUMBER(SEARCH("2 DIODOS",INVENTARIO!C303)),"2DI",
IF(ISNUMBER(SEARCH("3 DIODOS",INVENTARIO!C303)),"3DI",
IF(OR(ISNUMBER(SEARCH("TRASLUCIDO",INVENTARIO!C303)),ISNUMBER(SEARCH("TRANSLUCIDO",INVENTARIO!C303))),"TRA",
"")))))))))))))</f>
        <v/>
      </c>
    </row>
    <row r="304" spans="1:9">
      <c r="A304" t="str">
        <f>IF(ISNUMBER(SEARCH("LONA",INVENTARIO!C304)),"LON",
IF(ISNUMBER(SEARCH("VINIL",INVENTARIO!C304)),"VIN",
IF(ISNUMBER(SEARCH("KROMACOTE",INVENTARIO!C304)),"KRO",
IF(ISNUMBER(SEARCH("STARDREAM",INVENTARIO!C304)),"STA",
IF(ISNUMBER(SEARCH("DISPLAY",INVENTARIO!C304)),"DIS",
IF(ISNUMBER(SEARCH("ROLL UP",INVENTARIO!C304)),"ROL-UP",
IF(ISNUMBER(SEARCH("TRANSFER DE PAPEL",INVENTARIO!C304)),"TRA-PAP",
IF(ISNUMBER(SEARCH("TRANSFER",INVENTARIO!C304)),"TRA",IF(ISNUMBER(SEARCH("KOLA LOKA",INVENTARIO!C304)),"KOL-LOK",
IF(ISNUMBER(SEARCH("PETG",INVENTARIO!C304)),"PET",
IF(ISNUMBER(SEARCH("OJILLO",INVENTARIO!C304)),"OJI",
IF(ISNUMBER(SEARCH("COUCHE",INVENTARIO!C304)),"COU",
IF(ISNUMBER(SEARCH("PANEL DE ALUMINIO",INVENTARIO!C304)),"PAN-ALU",
IF(ISNUMBER(SEARCH("PVC",INVENTARIO!C304)),"PVC",
IF(ISNUMBER(SEARCH("PAPEL",INVENTARIO!C304)),"PAP",
IF(ISNUMBER(SEARCH("TELA",INVENTARIO!C304)),"TEL",
IF(ISNUMBER(SEARCH("CARTULINA",INVENTARIO!C304)),"CAR",
IF(OR(ISNUMBER(SEARCH("LAMINA",INVENTARIO!C304)),ISNUMBER(SEARCH("LÁMINA",INVENTARIO!C304)),ISNUMBER(SEARCH("LAMPARAS",INVENTARIO!C304))),"LAM",
IF(ISNUMBER(SEARCH("ESTIRENO",INVENTARIO!C304)),"EST",
IF(ISNUMBER(SEARCH("FOAMBOARD",INVENTARIO!C304)),"FOA",
IF(ISNUMBER(SEARCH("SOLVENTE",INVENTARIO!C304)),"SOL",
IF(ISNUMBER(SEARCH("TINTA",INVENTARIO!C304)),"TIN",
IF(ISNUMBER(SEARCH("ACRILICO",INVENTARIO!C304)),"ACR",
IF(ISNUMBER(SEARCH("MICROLED",INVENTARIO!C304)),"MIC",
IF(ISNUMBER(SEARCH("LED",INVENTARIO!C304)),"LED",
IF(ISNUMBER(SEARCH("FUENTE DE PODER",INVENTARIO!C304)),"FUE-POD",
IF(ISNUMBER(SEARCH("PETG",INVENTARIO!C304)),"PET",
IF(ISNUMBER(SEARCH("ALUMINIO",INVENTARIO!C304)),"ALU",
IF(ISNUMBER(SEARCH("CANAL",INVENTARIO!C304)),"CAN",
IF(ISNUMBER(SEARCH("ESCUADRA",INVENTARIO!C304)),"ESC",
IF(ISNUMBER(SEARCH("SOPORTE",INVENTARIO!C304)),"SOP","OTR")
))))))))))))))))))))))))))))))</f>
        <v>COU</v>
      </c>
      <c r="B304" t="str">
        <f>IF(ISNUMBER(SEARCH("CORTE",INVENTARIO!C304)),"COR",
IF(ISNUMBER(SEARCH("CITYLIGHT",INVENTARIO!C304)),"CIT",
IF(ISNUMBER(SEARCH("LINO",INVENTARIO!C304)),"LIN",
IF(ISNUMBER(SEARCH("FABRIANO",INVENTARIO!C304)),"FAB",
IF(ISNUMBER(SEARCH("SUNDANCE",INVENTARIO!C304)),"SUN",
IF(ISNUMBER(SEARCH("SINTETICA",INVENTARIO!C304)),"SIN",
IF(ISNUMBER(SEARCH("CONTROL",INVENTARIO!C304)),"CON",
IF(ISNUMBER(SEARCH("TERMICO",INVENTARIO!C304)),"TER",
IF(ISNUMBER(SEARCH("C-15",INVENTARIO!C304)),"C15",
IF(ISNUMBER(SEARCH("C-20",INVENTARIO!C304)),"C20",
IF(ISNUMBER(SEARCH("C-30",INVENTARIO!C304)),"C30",
IF(ISNUMBER(SEARCH("C-40",INVENTARIO!C304)),"C40",
IF(ISNUMBER(SEARCH("C-60",INVENTARIO!C304)),"C60",
IF(ISNUMBER(SEARCH("C-80",INVENTARIO!C304)),"C80",
IF(ISNUMBER(SEARCH("EQUIPO",INVENTARIO!C304)),"EQU",
IF(ISNUMBER(SEARCH("FLOOR",INVENTARIO!C304)),"FLO",
IF(ISNUMBER(SEARCH("CRISTAL",INVENTARIO!C304)),"CRI",
IF(ISNUMBER(SEARCH(" SULFATADA",INVENTARIO!C315)),"SUL",
IF(ISNUMBER(SEARCH("OPALINA",INVENTARIO!C304)),"OPA",
IF(ISNUMBER(SEARCH("ADHERIBLE",INVENTARIO!C304)),"ADH",
IF(ISNUMBER(SEARCH("MICRO",INVENTARIO!C304)),"MIC","")))))))))))))))))))))</f>
        <v/>
      </c>
      <c r="C304" t="str">
        <f>IF(ISNUMBER(SEARCH("PARED",INVENTARIO!C304)),"PAR",
IF(ISNUMBER(SEARCH("FRONT",INVENTARIO!C304)),"FRO",
IF(ISNUMBER(SEARCH("ALTA RESISTENCIA",INVENTARIO!C304)),
"ALT-RES",IF(ISNUMBER(SEARCH("BACKLITE",INVENTARIO!C304)),"BAC",
IF(ISNUMBER(SEARCH("MATE",INVENTARIO!C304)),"MAT",
IF(ISNUMBER(SEARCH("MESH",INVENTARIO!C304)),"MES",
IF(ISNUMBER(SEARCH("BRILLANTE",INVENTARIO!C304)),"BRI",
IF(ISNUMBER(SEARCH("DELGADA",INVENTARIO!C304)),"DEL",
IF(ISNUMBER(SEARCH("GRUESA",INVENTARIO!C304)),"GRU",
IF(ISNUMBER(SEARCH("ESTATICO",INVENTARIO!C304)),"EST",
IF(ISNUMBER(SEARCH("REFLECTIVO",INVENTARIO!C304)),"REF",
IF(ISNUMBER(SEARCH("LX700",INVENTARIO!C304)),"LX7",
IF(ISNUMBER(SEARCH("GRANDO",INVENTARIO!C304)),"GRA",
IF(ISNUMBER(SEARCH("FB700",INVENTARIO!C304)),"FB7",
IF(ISNUMBER(SEARCH("LX360",INVENTARIO!C304)),"LX3",
IF(ISNUMBER(SEARCH("XEROX",INVENTARIO!C304)),"XER",
IF(ISNUMBER(SEARCH("CEPILLADO",INVENTARIO!C304)),"CEP",
IF(ISNUMBER(SEARCH("ESPEJO",INVENTARIO!C304)),"ESP",
IF(ISNUMBER(SEARCH("10 PTS",INVENTARIO!C304)),"10PT",
IF(ISNUMBER(SEARCH("12 PTS",INVENTARIO!C304)),"12PT",
IF(ISNUMBER(SEARCH("14 PTS",INVENTARIO!C304)),"14PT",
IF(ISNUMBER(SEARCH("CLASICO",INVENTARIO!C304)),"CLA",
""))))))))))))))))))))))</f>
        <v>BRI</v>
      </c>
      <c r="D304" t="str">
        <f>IF(ISNUMBER(SEARCH("GRAN FORMATO",INVENTARIO!C304)),"GRA-FOR",
IF(ISNUMBER(SEARCH("CAMA PLANA",INVENTARIO!C304)),"CAM-PLA",
IF(ISNUMBER(SEARCH("GRADO INGENIERIA",INVENTARIO!C304)),"GRA-ING",
IF(ISNUMBER(SEARCH("130 GRS",INVENTARIO!C304)),"130GR",
IF(ISNUMBER(SEARCH("150 GRS",INVENTARIO!C304)),"150GR",
IF(ISNUMBER(SEARCH("185 GRS",INVENTARIO!C304)),"185GR",
IF(ISNUMBER(SEARCH("200 GRS",INVENTARIO!C304)),"200GR",
IF(ISNUMBER(SEARCH("250 GRS",INVENTARIO!C304)),"250GR",
IF(ISNUMBER(SEARCH("300 GRS",INVENTARIO!C304)),"300GR",
IF(ISNUMBER(SEARCH("350 GRS",INVENTARIO!C304)),"350GR",
IF(ISNUMBER(SEARCH("18 OZ",INVENTARIO!C304)),"18OZ",
IF(ISNUMBER(SEARCH("15 OZ",INVENTARIO!C304)),"15OZ",
IF(OR(ISNUMBER(SEARCH("13 OZ",INVENTARIO!C304)),ISNUMBER(SEARCH("13 ONZAS",INVENTARIO!C304))),"13OZ",
IF(OR(ISNUMBER(SEARCH("9 OZ",INVENTARIO!C304)),ISNUMBER(SEARCH("9 ONZAS",INVENTARIO!C304))),"09OZ",
IF(ISNUMBER(SEARCH("DOBLE CARA",INVENTARIO!C304)),"DOB-CAR",
"")))))))))))))))</f>
        <v>300GR</v>
      </c>
      <c r="E304" t="str">
        <f>IF(OR(ISNUMBER(SEARCH("TRANSPARENTE",INVENTARIO!C304)),ISNUMBER(SEARCH("TRANSPARENTES",INVENTARIO!C304))),"TRA",
IF(OR(ISNUMBER(SEARCH("BLANCO",INVENTARIO!C304)),ISNUMBER(SEARCH("BCO",INVENTARIO!C304))),"BLA",
IF(ISNUMBER(SEARCH("FOTOGRAFICO",INVENTARIO!C304)),"FOT",
IF(ISNUMBER(SEARCH("MARFIL",INVENTARIO!C304)),"MAR",
IF(ISNUMBER(SEARCH("VERDE",INVENTARIO!C304)),"VER",
IF(ISNUMBER(SEARCH("MORADO",INVENTARIO!C304)),"MOR",
IF(ISNUMBER(SEARCH("PLATA",INVENTARIO!C304)),"PLA",
IF(ISNUMBER(SEARCH("ORO",INVENTARIO!C304)),"ORO",
IF(ISNUMBER(SEARCH("AMARILLO",INVENTARIO!C304)),"AMA",
IF(ISNUMBER(SEARCH("NARANJA",INVENTARIO!C304)),"NAR",
IF(ISNUMBER(SEARCH("NEGRO",INVENTARIO!C304)),"NEG",
IF(ISNUMBER(SEARCH("ROJO",INVENTARIO!C304)),"ROJ",
IF(ISNUMBER(SEARCH("AZUL",INVENTARIO!C304)),"AZU","")))))))))))))</f>
        <v/>
      </c>
      <c r="F304" t="str">
        <f>IF(ISNUMBER(SEARCH("ARLON",INVENTARIO!C304)),"ARL",
IF(ISNUMBER(SEARCH("SUNTHINKS",INVENTARIO!C304)),"SUN",
IF(ISNUMBER(SEARCH("FRIO",INVENTARIO!C304)),"FRI",
IF(ISNUMBER(SEARCH("CALIDO",INVENTARIO!C304)),"CAL",
IF(ISNUMBER(SEARCH("CEPILLADO",INVENTARIO!C304)),"CEP",
IF(ISNUMBER(SEARCH("ESPEJO",INVENTARIO!C304)),"ESP",
""))))))</f>
        <v/>
      </c>
      <c r="G304" t="str">
        <f>IF(ISNUMBER(SEARCH("LATEX",INVENTARIO!C304)),"LAT",
IF(ISNUMBER(SEARCH("RESP. NEGRO",INVENTARIO!C304)),"RES-NEG",
IF(ISNUMBER(SEARCH("RESPALDO CAFE",INVENTARIO!C304)),"RES-CAF",
IF(ISNUMBER(SEARCH("RESPALDO GRIS",INVENTARIO!C304)),"RES-GRI",
IF(ISNUMBER(SEARCH("OPTICO",INVENTARIO!C304)),"OPT",
IF(ISNUMBER(SEARCH("1,2 MM",INVENTARIO!C304)),"1MM2",
IF(ISNUMBER(SEARCH("2 MM",INVENTARIO!C304)),"2MM",
IF(ISNUMBER(SEARCH("3 MM",INVENTARIO!C304)),"3MM",
IF(ISNUMBER(SEARCH("4 MM",INVENTARIO!C304)),"4MM",
IF(ISNUMBER(SEARCH("5 MM",INVENTARIO!C304)),"5MM",
IF(ISNUMBER(SEARCH("6 MM",INVENTARIO!C304)),"6MM",
IF(ISNUMBER(SEARCH("9 MM",INVENTARIO!C304)),"9MM",
IF(ISNUMBER(SEARCH("10 MM",INVENTARIO!C304)),"10MM","")))))))))))))</f>
        <v/>
      </c>
      <c r="H304" t="str">
        <f>IF(ISNUMBER(SEARCH("GAMA BAJA",INVENTARIO!C304)),"GAM-BAJ",
IF(ISNUMBER(SEARCH("OPTIMIZADOR",INVENTARIO!C304)),"OPT",
IF(ISNUMBER(SEARCH("OVERCOAT",INVENTARIO!C304)),"OVE",
IF(ISNUMBER(SEARCH("WHITE",INVENTARIO!C304)),"WHI",
IF(ISNUMBER(SEARCH("LIGHT CYAN",INVENTARIO!C304)),"LIG-CYA",
IF(ISNUMBER(SEARCH("CYAN",INVENTARIO!C304)),"CYA",
IF(ISNUMBER(SEARCH("LIGHT MAGENTA",INVENTARIO!C304)),"LIG-MAG",
IF(ISNUMBER(SEARCH("MAGENTA",INVENTARIO!C304)),"MAG",
IF(ISNUMBER(SEARCH("BLACK",INVENTARIO!C304)),"BLA",
IF(ISNUMBER(SEARCH("YELLOW",INVENTARIO!C304)),"YEL",
IF(ISNUMBER(SEARCH("2 DIODOS",INVENTARIO!C304)),"2DI",
IF(ISNUMBER(SEARCH("3 DIODOS",INVENTARIO!C304)),"3DI",
IF(OR(ISNUMBER(SEARCH("TRASLUCIDO",INVENTARIO!C304)),ISNUMBER(SEARCH("TRANSLUCIDO",INVENTARIO!C304))),"TRA",
"")))))))))))))</f>
        <v/>
      </c>
    </row>
    <row r="305" spans="1:8">
      <c r="A305" t="str">
        <f>IF(ISNUMBER(SEARCH("LONA",INVENTARIO!C305)),"LON",
IF(ISNUMBER(SEARCH("VINIL",INVENTARIO!C305)),"VIN",
IF(ISNUMBER(SEARCH("KROMACOTE",INVENTARIO!C305)),"KRO",
IF(ISNUMBER(SEARCH("STARDREAM",INVENTARIO!C305)),"STA",
IF(ISNUMBER(SEARCH("DISPLAY",INVENTARIO!C305)),"DIS",
IF(ISNUMBER(SEARCH("ROLL UP",INVENTARIO!C305)),"ROL-UP",
IF(ISNUMBER(SEARCH("TRANSFER DE PAPEL",INVENTARIO!C305)),"TRA-PAP",
IF(ISNUMBER(SEARCH("TRANSFER",INVENTARIO!C305)),"TRA",IF(ISNUMBER(SEARCH("KOLA LOKA",INVENTARIO!C305)),"KOL-LOK",
IF(ISNUMBER(SEARCH("PETG",INVENTARIO!C305)),"PET",
IF(ISNUMBER(SEARCH("OJILLO",INVENTARIO!C305)),"OJI",
IF(ISNUMBER(SEARCH("COUCHE",INVENTARIO!C305)),"COU",
IF(ISNUMBER(SEARCH("PANEL DE ALUMINIO",INVENTARIO!C305)),"PAN-ALU",
IF(ISNUMBER(SEARCH("PVC",INVENTARIO!C305)),"PVC",
IF(ISNUMBER(SEARCH("PAPEL",INVENTARIO!C305)),"PAP",
IF(ISNUMBER(SEARCH("TELA",INVENTARIO!C305)),"TEL",
IF(ISNUMBER(SEARCH("CARTULINA",INVENTARIO!C305)),"CAR",
IF(OR(ISNUMBER(SEARCH("LAMINA",INVENTARIO!C305)),ISNUMBER(SEARCH("LÁMINA",INVENTARIO!C305)),ISNUMBER(SEARCH("LAMPARAS",INVENTARIO!C305))),"LAM",
IF(ISNUMBER(SEARCH("ESTIRENO",INVENTARIO!C305)),"EST",
IF(ISNUMBER(SEARCH("FOAMBOARD",INVENTARIO!C305)),"FOA",
IF(ISNUMBER(SEARCH("SOLVENTE",INVENTARIO!C305)),"SOL",
IF(ISNUMBER(SEARCH("TINTA",INVENTARIO!C305)),"TIN",
IF(ISNUMBER(SEARCH("ACRILICO",INVENTARIO!C305)),"ACR",
IF(ISNUMBER(SEARCH("MICROLED",INVENTARIO!C305)),"MIC",
IF(ISNUMBER(SEARCH("LED",INVENTARIO!C305)),"LED",
IF(ISNUMBER(SEARCH("FUENTE DE PODER",INVENTARIO!C305)),"FUE-POD",
IF(ISNUMBER(SEARCH("PETG",INVENTARIO!C305)),"PET",
IF(ISNUMBER(SEARCH("ALUMINIO",INVENTARIO!C305)),"ALU",
IF(ISNUMBER(SEARCH("CANAL",INVENTARIO!C305)),"CAN",
IF(ISNUMBER(SEARCH("ESCUADRA",INVENTARIO!C305)),"ESC",
IF(ISNUMBER(SEARCH("SOPORTE",INVENTARIO!C305)),"SOP","OTR")
))))))))))))))))))))))))))))))</f>
        <v>KRO</v>
      </c>
      <c r="B305" t="str">
        <f>IF(ISNUMBER(SEARCH("CORTE",INVENTARIO!C305)),"COR",
IF(ISNUMBER(SEARCH("CITYLIGHT",INVENTARIO!C305)),"CIT",
IF(ISNUMBER(SEARCH("LINO",INVENTARIO!C305)),"LIN",
IF(ISNUMBER(SEARCH("FABRIANO",INVENTARIO!C305)),"FAB",
IF(ISNUMBER(SEARCH("SUNDANCE",INVENTARIO!C305)),"SUN",
IF(ISNUMBER(SEARCH("SINTETICA",INVENTARIO!C305)),"SIN",
IF(ISNUMBER(SEARCH("CONTROL",INVENTARIO!C305)),"CON",
IF(ISNUMBER(SEARCH("TERMICO",INVENTARIO!C305)),"TER",
IF(ISNUMBER(SEARCH("C-15",INVENTARIO!C305)),"C15",
IF(ISNUMBER(SEARCH("C-20",INVENTARIO!C305)),"C20",
IF(ISNUMBER(SEARCH("C-30",INVENTARIO!C305)),"C30",
IF(ISNUMBER(SEARCH("C-40",INVENTARIO!C305)),"C40",
IF(ISNUMBER(SEARCH("C-60",INVENTARIO!C305)),"C60",
IF(ISNUMBER(SEARCH("C-80",INVENTARIO!C305)),"C80",
IF(ISNUMBER(SEARCH("EQUIPO",INVENTARIO!C305)),"EQU",
IF(ISNUMBER(SEARCH("FLOOR",INVENTARIO!C305)),"FLO",
IF(ISNUMBER(SEARCH("CRISTAL",INVENTARIO!C305)),"CRI",
IF(ISNUMBER(SEARCH(" SULFATADA",INVENTARIO!C316)),"SUL",
IF(ISNUMBER(SEARCH("OPALINA",INVENTARIO!C305)),"OPA",
IF(ISNUMBER(SEARCH("ADHERIBLE",INVENTARIO!C305)),"ADH",
IF(ISNUMBER(SEARCH("MICRO",INVENTARIO!C305)),"MIC","")))))))))))))))))))))</f>
        <v/>
      </c>
      <c r="C305" t="str">
        <f>IF(ISNUMBER(SEARCH("PARED",INVENTARIO!C305)),"PAR",
IF(ISNUMBER(SEARCH("FRONT",INVENTARIO!C305)),"FRO",
IF(ISNUMBER(SEARCH("ALTA RESISTENCIA",INVENTARIO!C305)),
"ALT-RES",IF(ISNUMBER(SEARCH("BACKLITE",INVENTARIO!C305)),"BAC",
IF(ISNUMBER(SEARCH("MATE",INVENTARIO!C305)),"MAT",
IF(ISNUMBER(SEARCH("MESH",INVENTARIO!C305)),"MES",
IF(ISNUMBER(SEARCH("BRILLANTE",INVENTARIO!C305)),"BRI",
IF(ISNUMBER(SEARCH("DELGADA",INVENTARIO!C305)),"DEL",
IF(ISNUMBER(SEARCH("GRUESA",INVENTARIO!C305)),"GRU",
IF(ISNUMBER(SEARCH("ESTATICO",INVENTARIO!C305)),"EST",
IF(ISNUMBER(SEARCH("REFLECTIVO",INVENTARIO!C305)),"REF",
IF(ISNUMBER(SEARCH("LX700",INVENTARIO!C305)),"LX7",
IF(ISNUMBER(SEARCH("GRANDO",INVENTARIO!C305)),"GRA",
IF(ISNUMBER(SEARCH("FB700",INVENTARIO!C305)),"FB7",
IF(ISNUMBER(SEARCH("LX360",INVENTARIO!C305)),"LX3",
IF(ISNUMBER(SEARCH("XEROX",INVENTARIO!C305)),"XER",
IF(ISNUMBER(SEARCH("CEPILLADO",INVENTARIO!C305)),"CEP",
IF(ISNUMBER(SEARCH("ESPEJO",INVENTARIO!C305)),"ESP",
IF(ISNUMBER(SEARCH("10 PTS",INVENTARIO!C305)),"10PT",
IF(ISNUMBER(SEARCH("12 PTS",INVENTARIO!C305)),"12PT",
IF(ISNUMBER(SEARCH("14 PTS",INVENTARIO!C305)),"14PT",
IF(ISNUMBER(SEARCH("CLASICO",INVENTARIO!C305)),"CLA",
""))))))))))))))))))))))</f>
        <v>12PT</v>
      </c>
      <c r="D305" t="str">
        <f>IF(ISNUMBER(SEARCH("GRAN FORMATO",INVENTARIO!C305)),"GRA-FOR",
IF(ISNUMBER(SEARCH("CAMA PLANA",INVENTARIO!C305)),"CAM-PLA",
IF(ISNUMBER(SEARCH("GRADO INGENIERIA",INVENTARIO!C305)),"GRA-ING",
IF(ISNUMBER(SEARCH("130 GRS",INVENTARIO!C305)),"130GR",
IF(ISNUMBER(SEARCH("150 GRS",INVENTARIO!C305)),"150GR",
IF(ISNUMBER(SEARCH("185 GRS",INVENTARIO!C305)),"185GR",
IF(ISNUMBER(SEARCH("200 GRS",INVENTARIO!C305)),"200GR",
IF(ISNUMBER(SEARCH("250 GRS",INVENTARIO!C305)),"250GR",
IF(ISNUMBER(SEARCH("300 GRS",INVENTARIO!C305)),"300GR",
IF(ISNUMBER(SEARCH("350 GRS",INVENTARIO!C305)),"350GR",
IF(ISNUMBER(SEARCH("18 OZ",INVENTARIO!C305)),"18OZ",
IF(ISNUMBER(SEARCH("15 OZ",INVENTARIO!C305)),"15OZ",
IF(OR(ISNUMBER(SEARCH("13 OZ",INVENTARIO!C305)),ISNUMBER(SEARCH("13 ONZAS",INVENTARIO!C305))),"13OZ",
IF(OR(ISNUMBER(SEARCH("9 OZ",INVENTARIO!C305)),ISNUMBER(SEARCH("9 ONZAS",INVENTARIO!C305))),"09OZ",
IF(ISNUMBER(SEARCH("DOBLE CARA",INVENTARIO!C305)),"DOB-CAR",
"")))))))))))))))</f>
        <v/>
      </c>
      <c r="E305" t="str">
        <f>IF(OR(ISNUMBER(SEARCH("TRANSPARENTE",INVENTARIO!C305)),ISNUMBER(SEARCH("TRANSPARENTES",INVENTARIO!C305))),"TRA",
IF(OR(ISNUMBER(SEARCH("BLANCO",INVENTARIO!C305)),ISNUMBER(SEARCH("BCO",INVENTARIO!C305))),"BLA",
IF(ISNUMBER(SEARCH("FOTOGRAFICO",INVENTARIO!C305)),"FOT",
IF(ISNUMBER(SEARCH("MARFIL",INVENTARIO!C305)),"MAR",
IF(ISNUMBER(SEARCH("VERDE",INVENTARIO!C305)),"VER",
IF(ISNUMBER(SEARCH("MORADO",INVENTARIO!C305)),"MOR",
IF(ISNUMBER(SEARCH("PLATA",INVENTARIO!C305)),"PLA",
IF(ISNUMBER(SEARCH("ORO",INVENTARIO!C305)),"ORO",
IF(ISNUMBER(SEARCH("AMARILLO",INVENTARIO!C305)),"AMA",
IF(ISNUMBER(SEARCH("NARANJA",INVENTARIO!C305)),"NAR",
IF(ISNUMBER(SEARCH("NEGRO",INVENTARIO!C305)),"NEG",
IF(ISNUMBER(SEARCH("ROJO",INVENTARIO!C305)),"ROJ",
IF(ISNUMBER(SEARCH("AZUL",INVENTARIO!C305)),"AZU","")))))))))))))</f>
        <v/>
      </c>
      <c r="F305" t="str">
        <f>IF(ISNUMBER(SEARCH("ARLON",INVENTARIO!C305)),"ARL",
IF(ISNUMBER(SEARCH("SUNTHINKS",INVENTARIO!C305)),"SUN",
IF(ISNUMBER(SEARCH("FRIO",INVENTARIO!C305)),"FRI",
IF(ISNUMBER(SEARCH("CALIDO",INVENTARIO!C305)),"CAL",
IF(ISNUMBER(SEARCH("CEPILLADO",INVENTARIO!C305)),"CEP",
IF(ISNUMBER(SEARCH("ESPEJO",INVENTARIO!C305)),"ESP",
""))))))</f>
        <v/>
      </c>
      <c r="G305" t="str">
        <f>IF(ISNUMBER(SEARCH("LATEX",INVENTARIO!C305)),"LAT",
IF(ISNUMBER(SEARCH("RESP. NEGRO",INVENTARIO!C305)),"RES-NEG",
IF(ISNUMBER(SEARCH("RESPALDO CAFE",INVENTARIO!C305)),"RES-CAF",
IF(ISNUMBER(SEARCH("RESPALDO GRIS",INVENTARIO!C305)),"RES-GRI",
IF(ISNUMBER(SEARCH("OPTICO",INVENTARIO!C305)),"OPT",
IF(ISNUMBER(SEARCH("1,2 MM",INVENTARIO!C305)),"1MM2",
IF(ISNUMBER(SEARCH("2 MM",INVENTARIO!C305)),"2MM",
IF(ISNUMBER(SEARCH("3 MM",INVENTARIO!C305)),"3MM",
IF(ISNUMBER(SEARCH("4 MM",INVENTARIO!C305)),"4MM",
IF(ISNUMBER(SEARCH("5 MM",INVENTARIO!C305)),"5MM",
IF(ISNUMBER(SEARCH("6 MM",INVENTARIO!C305)),"6MM",
IF(ISNUMBER(SEARCH("9 MM",INVENTARIO!C305)),"9MM",
IF(ISNUMBER(SEARCH("10 MM",INVENTARIO!C305)),"10MM","")))))))))))))</f>
        <v/>
      </c>
      <c r="H305" t="str">
        <f>IF(ISNUMBER(SEARCH("GAMA BAJA",INVENTARIO!C305)),"GAM-BAJ",
IF(ISNUMBER(SEARCH("OPTIMIZADOR",INVENTARIO!C305)),"OPT",
IF(ISNUMBER(SEARCH("OVERCOAT",INVENTARIO!C305)),"OVE",
IF(ISNUMBER(SEARCH("WHITE",INVENTARIO!C305)),"WHI",
IF(ISNUMBER(SEARCH("LIGHT CYAN",INVENTARIO!C305)),"LIG-CYA",
IF(ISNUMBER(SEARCH("CYAN",INVENTARIO!C305)),"CYA",
IF(ISNUMBER(SEARCH("LIGHT MAGENTA",INVENTARIO!C305)),"LIG-MAG",
IF(ISNUMBER(SEARCH("MAGENTA",INVENTARIO!C305)),"MAG",
IF(ISNUMBER(SEARCH("BLACK",INVENTARIO!C305)),"BLA",
IF(ISNUMBER(SEARCH("YELLOW",INVENTARIO!C305)),"YEL",
IF(ISNUMBER(SEARCH("2 DIODOS",INVENTARIO!C305)),"2DI",
IF(ISNUMBER(SEARCH("3 DIODOS",INVENTARIO!C305)),"3DI",
IF(OR(ISNUMBER(SEARCH("TRASLUCIDO",INVENTARIO!C305)),ISNUMBER(SEARCH("TRANSLUCIDO",INVENTARIO!C305))),"TRA",
"")))))))))))))</f>
        <v/>
      </c>
    </row>
    <row r="306" spans="1:8">
      <c r="A306" t="str">
        <f>IF(ISNUMBER(SEARCH("LONA",INVENTARIO!C306)),"LON",
IF(ISNUMBER(SEARCH("VINIL",INVENTARIO!C306)),"VIN",
IF(ISNUMBER(SEARCH("KROMACOTE",INVENTARIO!C306)),"KRO",
IF(ISNUMBER(SEARCH("STARDREAM",INVENTARIO!C306)),"STA",
IF(ISNUMBER(SEARCH("DISPLAY",INVENTARIO!C306)),"DIS",
IF(ISNUMBER(SEARCH("ROLL UP",INVENTARIO!C306)),"ROL-UP",
IF(ISNUMBER(SEARCH("TRANSFER DE PAPEL",INVENTARIO!C306)),"TRA-PAP",
IF(ISNUMBER(SEARCH("TRANSFER",INVENTARIO!C306)),"TRA",IF(ISNUMBER(SEARCH("KOLA LOKA",INVENTARIO!C306)),"KOL-LOK",
IF(ISNUMBER(SEARCH("PETG",INVENTARIO!C306)),"PET",
IF(ISNUMBER(SEARCH("OJILLO",INVENTARIO!C306)),"OJI",
IF(ISNUMBER(SEARCH("COUCHE",INVENTARIO!C306)),"COU",
IF(ISNUMBER(SEARCH("PANEL DE ALUMINIO",INVENTARIO!C306)),"PAN-ALU",
IF(ISNUMBER(SEARCH("PVC",INVENTARIO!C306)),"PVC",
IF(ISNUMBER(SEARCH("PAPEL",INVENTARIO!C306)),"PAP",
IF(ISNUMBER(SEARCH("TELA",INVENTARIO!C306)),"TEL",
IF(ISNUMBER(SEARCH("CARTULINA",INVENTARIO!C306)),"CAR",
IF(OR(ISNUMBER(SEARCH("LAMINA",INVENTARIO!C306)),ISNUMBER(SEARCH("LÁMINA",INVENTARIO!C306)),ISNUMBER(SEARCH("LAMPARAS",INVENTARIO!C306))),"LAM",
IF(ISNUMBER(SEARCH("ESTIRENO",INVENTARIO!C306)),"EST",
IF(ISNUMBER(SEARCH("FOAMBOARD",INVENTARIO!C306)),"FOA",
IF(ISNUMBER(SEARCH("SOLVENTE",INVENTARIO!C306)),"SOL",
IF(ISNUMBER(SEARCH("TINTA",INVENTARIO!C306)),"TIN",
IF(ISNUMBER(SEARCH("ACRILICO",INVENTARIO!C306)),"ACR",
IF(ISNUMBER(SEARCH("MICROLED",INVENTARIO!C306)),"MIC",
IF(ISNUMBER(SEARCH("LED",INVENTARIO!C306)),"LED",
IF(ISNUMBER(SEARCH("FUENTE DE PODER",INVENTARIO!C306)),"FUE-POD",
IF(ISNUMBER(SEARCH("PETG",INVENTARIO!C306)),"PET",
IF(ISNUMBER(SEARCH("ALUMINIO",INVENTARIO!C306)),"ALU",
IF(ISNUMBER(SEARCH("CANAL",INVENTARIO!C306)),"CAN",
IF(ISNUMBER(SEARCH("ESCUADRA",INVENTARIO!C306)),"ESC",
IF(ISNUMBER(SEARCH("SOPORTE",INVENTARIO!C306)),"SOP","OTR")
))))))))))))))))))))))))))))))</f>
        <v>KRO</v>
      </c>
      <c r="B306" t="str">
        <f>IF(ISNUMBER(SEARCH("CORTE",INVENTARIO!C306)),"COR",
IF(ISNUMBER(SEARCH("CITYLIGHT",INVENTARIO!C306)),"CIT",
IF(ISNUMBER(SEARCH("LINO",INVENTARIO!C306)),"LIN",
IF(ISNUMBER(SEARCH("FABRIANO",INVENTARIO!C306)),"FAB",
IF(ISNUMBER(SEARCH("SUNDANCE",INVENTARIO!C306)),"SUN",
IF(ISNUMBER(SEARCH("SINTETICA",INVENTARIO!C306)),"SIN",
IF(ISNUMBER(SEARCH("CONTROL",INVENTARIO!C306)),"CON",
IF(ISNUMBER(SEARCH("TERMICO",INVENTARIO!C306)),"TER",
IF(ISNUMBER(SEARCH("C-15",INVENTARIO!C306)),"C15",
IF(ISNUMBER(SEARCH("C-20",INVENTARIO!C306)),"C20",
IF(ISNUMBER(SEARCH("C-30",INVENTARIO!C306)),"C30",
IF(ISNUMBER(SEARCH("C-40",INVENTARIO!C306)),"C40",
IF(ISNUMBER(SEARCH("C-60",INVENTARIO!C306)),"C60",
IF(ISNUMBER(SEARCH("C-80",INVENTARIO!C306)),"C80",
IF(ISNUMBER(SEARCH("EQUIPO",INVENTARIO!C306)),"EQU",
IF(ISNUMBER(SEARCH("FLOOR",INVENTARIO!C306)),"FLO",
IF(ISNUMBER(SEARCH("CRISTAL",INVENTARIO!C306)),"CRI",
IF(ISNUMBER(SEARCH(" SULFATADA",INVENTARIO!C317)),"SUL",
IF(ISNUMBER(SEARCH("OPALINA",INVENTARIO!C306)),"OPA",
IF(ISNUMBER(SEARCH("ADHERIBLE",INVENTARIO!C306)),"ADH",
IF(ISNUMBER(SEARCH("MICRO",INVENTARIO!C306)),"MIC","")))))))))))))))))))))</f>
        <v/>
      </c>
      <c r="C306" t="str">
        <f>IF(ISNUMBER(SEARCH("PARED",INVENTARIO!C306)),"PAR",
IF(ISNUMBER(SEARCH("FRONT",INVENTARIO!C306)),"FRO",
IF(ISNUMBER(SEARCH("ALTA RESISTENCIA",INVENTARIO!C306)),
"ALT-RES",IF(ISNUMBER(SEARCH("BACKLITE",INVENTARIO!C306)),"BAC",
IF(ISNUMBER(SEARCH("MATE",INVENTARIO!C306)),"MAT",
IF(ISNUMBER(SEARCH("MESH",INVENTARIO!C306)),"MES",
IF(ISNUMBER(SEARCH("BRILLANTE",INVENTARIO!C306)),"BRI",
IF(ISNUMBER(SEARCH("DELGADA",INVENTARIO!C306)),"DEL",
IF(ISNUMBER(SEARCH("GRUESA",INVENTARIO!C306)),"GRU",
IF(ISNUMBER(SEARCH("ESTATICO",INVENTARIO!C306)),"EST",
IF(ISNUMBER(SEARCH("REFLECTIVO",INVENTARIO!C306)),"REF",
IF(ISNUMBER(SEARCH("LX700",INVENTARIO!C306)),"LX7",
IF(ISNUMBER(SEARCH("GRANDO",INVENTARIO!C306)),"GRA",
IF(ISNUMBER(SEARCH("FB700",INVENTARIO!C306)),"FB7",
IF(ISNUMBER(SEARCH("LX360",INVENTARIO!C306)),"LX3",
IF(ISNUMBER(SEARCH("XEROX",INVENTARIO!C306)),"XER",
IF(ISNUMBER(SEARCH("CEPILLADO",INVENTARIO!C306)),"CEP",
IF(ISNUMBER(SEARCH("ESPEJO",INVENTARIO!C306)),"ESP",
IF(ISNUMBER(SEARCH("10 PTS",INVENTARIO!C306)),"10PT",
IF(ISNUMBER(SEARCH("12 PTS",INVENTARIO!C306)),"12PT",
IF(ISNUMBER(SEARCH("14 PTS",INVENTARIO!C306)),"14PT",
IF(ISNUMBER(SEARCH("CLASICO",INVENTARIO!C306)),"CLA",
""))))))))))))))))))))))</f>
        <v>10PT</v>
      </c>
      <c r="D306" t="str">
        <f>IF(ISNUMBER(SEARCH("GRAN FORMATO",INVENTARIO!C306)),"GRA-FOR",
IF(ISNUMBER(SEARCH("CAMA PLANA",INVENTARIO!C306)),"CAM-PLA",
IF(ISNUMBER(SEARCH("GRADO INGENIERIA",INVENTARIO!C306)),"GRA-ING",
IF(ISNUMBER(SEARCH("130 GRS",INVENTARIO!C306)),"130GR",
IF(ISNUMBER(SEARCH("150 GRS",INVENTARIO!C306)),"150GR",
IF(ISNUMBER(SEARCH("185 GRS",INVENTARIO!C306)),"185GR",
IF(ISNUMBER(SEARCH("200 GRS",INVENTARIO!C306)),"200GR",
IF(ISNUMBER(SEARCH("250 GRS",INVENTARIO!C306)),"250GR",
IF(ISNUMBER(SEARCH("300 GRS",INVENTARIO!C306)),"300GR",
IF(ISNUMBER(SEARCH("350 GRS",INVENTARIO!C306)),"350GR",
IF(ISNUMBER(SEARCH("18 OZ",INVENTARIO!C306)),"18OZ",
IF(ISNUMBER(SEARCH("15 OZ",INVENTARIO!C306)),"15OZ",
IF(OR(ISNUMBER(SEARCH("13 OZ",INVENTARIO!C306)),ISNUMBER(SEARCH("13 ONZAS",INVENTARIO!C306))),"13OZ",
IF(OR(ISNUMBER(SEARCH("9 OZ",INVENTARIO!C306)),ISNUMBER(SEARCH("9 ONZAS",INVENTARIO!C306))),"09OZ",
IF(ISNUMBER(SEARCH("DOBLE CARA",INVENTARIO!C306)),"DOB-CAR",
"")))))))))))))))</f>
        <v/>
      </c>
      <c r="E306" t="str">
        <f>IF(OR(ISNUMBER(SEARCH("TRANSPARENTE",INVENTARIO!C306)),ISNUMBER(SEARCH("TRANSPARENTES",INVENTARIO!C306))),"TRA",
IF(OR(ISNUMBER(SEARCH("BLANCO",INVENTARIO!C306)),ISNUMBER(SEARCH("BCO",INVENTARIO!C306))),"BLA",
IF(ISNUMBER(SEARCH("FOTOGRAFICO",INVENTARIO!C306)),"FOT",
IF(ISNUMBER(SEARCH("MARFIL",INVENTARIO!C306)),"MAR",
IF(ISNUMBER(SEARCH("VERDE",INVENTARIO!C306)),"VER",
IF(ISNUMBER(SEARCH("MORADO",INVENTARIO!C306)),"MOR",
IF(ISNUMBER(SEARCH("PLATA",INVENTARIO!C306)),"PLA",
IF(ISNUMBER(SEARCH("ORO",INVENTARIO!C306)),"ORO",
IF(ISNUMBER(SEARCH("AMARILLO",INVENTARIO!C306)),"AMA",
IF(ISNUMBER(SEARCH("NARANJA",INVENTARIO!C306)),"NAR",
IF(ISNUMBER(SEARCH("NEGRO",INVENTARIO!C306)),"NEG",
IF(ISNUMBER(SEARCH("ROJO",INVENTARIO!C306)),"ROJ",
IF(ISNUMBER(SEARCH("AZUL",INVENTARIO!C306)),"AZU","")))))))))))))</f>
        <v/>
      </c>
      <c r="F306" t="str">
        <f>IF(ISNUMBER(SEARCH("ARLON",INVENTARIO!C306)),"ARL",
IF(ISNUMBER(SEARCH("SUNTHINKS",INVENTARIO!C306)),"SUN",
IF(ISNUMBER(SEARCH("FRIO",INVENTARIO!C306)),"FRI",
IF(ISNUMBER(SEARCH("CALIDO",INVENTARIO!C306)),"CAL",
IF(ISNUMBER(SEARCH("CEPILLADO",INVENTARIO!C306)),"CEP",
IF(ISNUMBER(SEARCH("ESPEJO",INVENTARIO!C306)),"ESP",
""))))))</f>
        <v/>
      </c>
      <c r="G306" t="str">
        <f>IF(ISNUMBER(SEARCH("LATEX",INVENTARIO!C306)),"LAT",
IF(ISNUMBER(SEARCH("RESP. NEGRO",INVENTARIO!C306)),"RES-NEG",
IF(ISNUMBER(SEARCH("RESPALDO CAFE",INVENTARIO!C306)),"RES-CAF",
IF(ISNUMBER(SEARCH("RESPALDO GRIS",INVENTARIO!C306)),"RES-GRI",
IF(ISNUMBER(SEARCH("OPTICO",INVENTARIO!C306)),"OPT",
IF(ISNUMBER(SEARCH("1,2 MM",INVENTARIO!C306)),"1MM2",
IF(ISNUMBER(SEARCH("2 MM",INVENTARIO!C306)),"2MM",
IF(ISNUMBER(SEARCH("3 MM",INVENTARIO!C306)),"3MM",
IF(ISNUMBER(SEARCH("4 MM",INVENTARIO!C306)),"4MM",
IF(ISNUMBER(SEARCH("5 MM",INVENTARIO!C306)),"5MM",
IF(ISNUMBER(SEARCH("6 MM",INVENTARIO!C306)),"6MM",
IF(ISNUMBER(SEARCH("9 MM",INVENTARIO!C306)),"9MM",
IF(ISNUMBER(SEARCH("10 MM",INVENTARIO!C306)),"10MM","")))))))))))))</f>
        <v/>
      </c>
      <c r="H306" t="str">
        <f>IF(ISNUMBER(SEARCH("GAMA BAJA",INVENTARIO!C306)),"GAM-BAJ",
IF(ISNUMBER(SEARCH("OPTIMIZADOR",INVENTARIO!C306)),"OPT",
IF(ISNUMBER(SEARCH("OVERCOAT",INVENTARIO!C306)),"OVE",
IF(ISNUMBER(SEARCH("WHITE",INVENTARIO!C306)),"WHI",
IF(ISNUMBER(SEARCH("LIGHT CYAN",INVENTARIO!C306)),"LIG-CYA",
IF(ISNUMBER(SEARCH("CYAN",INVENTARIO!C306)),"CYA",
IF(ISNUMBER(SEARCH("LIGHT MAGENTA",INVENTARIO!C306)),"LIG-MAG",
IF(ISNUMBER(SEARCH("MAGENTA",INVENTARIO!C306)),"MAG",
IF(ISNUMBER(SEARCH("BLACK",INVENTARIO!C306)),"BLA",
IF(ISNUMBER(SEARCH("YELLOW",INVENTARIO!C306)),"YEL",
IF(ISNUMBER(SEARCH("2 DIODOS",INVENTARIO!C306)),"2DI",
IF(ISNUMBER(SEARCH("3 DIODOS",INVENTARIO!C306)),"3DI",
IF(OR(ISNUMBER(SEARCH("TRASLUCIDO",INVENTARIO!C306)),ISNUMBER(SEARCH("TRANSLUCIDO",INVENTARIO!C306))),"TRA",
"")))))))))))))</f>
        <v/>
      </c>
    </row>
    <row r="307" spans="1:8">
      <c r="A307" t="str">
        <f>IF(ISNUMBER(SEARCH("LONA",INVENTARIO!C307)),"LON",
IF(ISNUMBER(SEARCH("VINIL",INVENTARIO!C307)),"VIN",
IF(ISNUMBER(SEARCH("KROMACOTE",INVENTARIO!C307)),"KRO",
IF(ISNUMBER(SEARCH("STARDREAM",INVENTARIO!C307)),"STA",
IF(ISNUMBER(SEARCH("DISPLAY",INVENTARIO!C307)),"DIS",
IF(ISNUMBER(SEARCH("ROLL UP",INVENTARIO!C307)),"ROL-UP",
IF(ISNUMBER(SEARCH("TRANSFER DE PAPEL",INVENTARIO!C307)),"TRA-PAP",
IF(ISNUMBER(SEARCH("TRANSFER",INVENTARIO!C307)),"TRA",IF(ISNUMBER(SEARCH("KOLA LOKA",INVENTARIO!C307)),"KOL-LOK",
IF(ISNUMBER(SEARCH("PETG",INVENTARIO!C307)),"PET",
IF(ISNUMBER(SEARCH("OJILLO",INVENTARIO!C307)),"OJI",
IF(ISNUMBER(SEARCH("COUCHE",INVENTARIO!C307)),"COU",
IF(ISNUMBER(SEARCH("PANEL DE ALUMINIO",INVENTARIO!C307)),"PAN-ALU",
IF(ISNUMBER(SEARCH("PVC",INVENTARIO!C307)),"PVC",
IF(ISNUMBER(SEARCH("PAPEL",INVENTARIO!C307)),"PAP",
IF(ISNUMBER(SEARCH("TELA",INVENTARIO!C307)),"TEL",
IF(ISNUMBER(SEARCH("CARTULINA",INVENTARIO!C307)),"CAR",
IF(OR(ISNUMBER(SEARCH("LAMINA",INVENTARIO!C307)),ISNUMBER(SEARCH("LÁMINA",INVENTARIO!C307)),ISNUMBER(SEARCH("LAMPARAS",INVENTARIO!C307))),"LAM",
IF(ISNUMBER(SEARCH("ESTIRENO",INVENTARIO!C307)),"EST",
IF(ISNUMBER(SEARCH("FOAMBOARD",INVENTARIO!C307)),"FOA",
IF(ISNUMBER(SEARCH("SOLVENTE",INVENTARIO!C307)),"SOL",
IF(ISNUMBER(SEARCH("TINTA",INVENTARIO!C307)),"TIN",
IF(ISNUMBER(SEARCH("ACRILICO",INVENTARIO!C307)),"ACR",
IF(ISNUMBER(SEARCH("MICROLED",INVENTARIO!C307)),"MIC",
IF(ISNUMBER(SEARCH("LED",INVENTARIO!C307)),"LED",
IF(ISNUMBER(SEARCH("FUENTE DE PODER",INVENTARIO!C307)),"FUE-POD",
IF(ISNUMBER(SEARCH("PETG",INVENTARIO!C307)),"PET",
IF(ISNUMBER(SEARCH("ALUMINIO",INVENTARIO!C307)),"ALU",
IF(ISNUMBER(SEARCH("CANAL",INVENTARIO!C307)),"CAN",
IF(ISNUMBER(SEARCH("ESCUADRA",INVENTARIO!C307)),"ESC",
IF(ISNUMBER(SEARCH("SOPORTE",INVENTARIO!C307)),"SOP","OTR")
))))))))))))))))))))))))))))))</f>
        <v>CAR</v>
      </c>
      <c r="B307" t="str">
        <f>IF(ISNUMBER(SEARCH("CORTE",INVENTARIO!C307)),"COR",
IF(ISNUMBER(SEARCH("CITYLIGHT",INVENTARIO!C307)),"CIT",
IF(ISNUMBER(SEARCH("LINO",INVENTARIO!C307)),"LIN",
IF(ISNUMBER(SEARCH("FABRIANO",INVENTARIO!C307)),"FAB",
IF(ISNUMBER(SEARCH("SUNDANCE",INVENTARIO!C307)),"SUN",
IF(ISNUMBER(SEARCH("SINTETICA",INVENTARIO!C307)),"SIN",
IF(ISNUMBER(SEARCH("CONTROL",INVENTARIO!C307)),"CON",
IF(ISNUMBER(SEARCH("TERMICO",INVENTARIO!C307)),"TER",
IF(ISNUMBER(SEARCH("C-15",INVENTARIO!C307)),"C15",
IF(ISNUMBER(SEARCH("C-20",INVENTARIO!C307)),"C20",
IF(ISNUMBER(SEARCH("C-30",INVENTARIO!C307)),"C30",
IF(ISNUMBER(SEARCH("C-40",INVENTARIO!C307)),"C40",
IF(ISNUMBER(SEARCH("C-60",INVENTARIO!C307)),"C60",
IF(ISNUMBER(SEARCH("C-80",INVENTARIO!C307)),"C80",
IF(ISNUMBER(SEARCH("EQUIPO",INVENTARIO!C307)),"EQU",
IF(ISNUMBER(SEARCH("FLOOR",INVENTARIO!C307)),"FLO",
IF(ISNUMBER(SEARCH("CRISTAL",INVENTARIO!C307)),"CRI",
IF(ISNUMBER(SEARCH(" SULFATADA",INVENTARIO!C318)),"SUL",
IF(ISNUMBER(SEARCH("OPALINA",INVENTARIO!C307)),"OPA",
IF(ISNUMBER(SEARCH("ADHERIBLE",INVENTARIO!C307)),"ADH",
IF(ISNUMBER(SEARCH("MICRO",INVENTARIO!C307)),"MIC","")))))))))))))))))))))</f>
        <v>OPA</v>
      </c>
      <c r="C307" t="str">
        <f>IF(ISNUMBER(SEARCH("PARED",INVENTARIO!C307)),"PAR",
IF(ISNUMBER(SEARCH("FRONT",INVENTARIO!C307)),"FRO",
IF(ISNUMBER(SEARCH("ALTA RESISTENCIA",INVENTARIO!C307)),
"ALT-RES",IF(ISNUMBER(SEARCH("BACKLITE",INVENTARIO!C307)),"BAC",
IF(ISNUMBER(SEARCH("MATE",INVENTARIO!C307)),"MAT",
IF(ISNUMBER(SEARCH("MESH",INVENTARIO!C307)),"MES",
IF(ISNUMBER(SEARCH("BRILLANTE",INVENTARIO!C307)),"BRI",
IF(ISNUMBER(SEARCH("DELGADA",INVENTARIO!C307)),"DEL",
IF(ISNUMBER(SEARCH("GRUESA",INVENTARIO!C307)),"GRU",
IF(ISNUMBER(SEARCH("ESTATICO",INVENTARIO!C307)),"EST",
IF(ISNUMBER(SEARCH("REFLECTIVO",INVENTARIO!C307)),"REF",
IF(ISNUMBER(SEARCH("LX700",INVENTARIO!C307)),"LX7",
IF(ISNUMBER(SEARCH("GRANDO",INVENTARIO!C307)),"GRA",
IF(ISNUMBER(SEARCH("FB700",INVENTARIO!C307)),"FB7",
IF(ISNUMBER(SEARCH("LX360",INVENTARIO!C307)),"LX3",
IF(ISNUMBER(SEARCH("XEROX",INVENTARIO!C307)),"XER",
IF(ISNUMBER(SEARCH("CEPILLADO",INVENTARIO!C307)),"CEP",
IF(ISNUMBER(SEARCH("ESPEJO",INVENTARIO!C307)),"ESP",
IF(ISNUMBER(SEARCH("10 PTS",INVENTARIO!C307)),"10PT",
IF(ISNUMBER(SEARCH("12 PTS",INVENTARIO!C307)),"12PT",
IF(ISNUMBER(SEARCH("14 PTS",INVENTARIO!C307)),"14PT",
IF(ISNUMBER(SEARCH("CLASICO",INVENTARIO!C307)),"CLA",
""))))))))))))))))))))))</f>
        <v/>
      </c>
      <c r="D307" t="str">
        <f>IF(ISNUMBER(SEARCH("GRAN FORMATO",INVENTARIO!C307)),"GRA-FOR",
IF(ISNUMBER(SEARCH("CAMA PLANA",INVENTARIO!C307)),"CAM-PLA",
IF(ISNUMBER(SEARCH("GRADO INGENIERIA",INVENTARIO!C307)),"GRA-ING",
IF(ISNUMBER(SEARCH("130 GRS",INVENTARIO!C307)),"130GR",
IF(ISNUMBER(SEARCH("150 GRS",INVENTARIO!C307)),"150GR",
IF(ISNUMBER(SEARCH("185 GRS",INVENTARIO!C307)),"185GR",
IF(ISNUMBER(SEARCH("200 GRS",INVENTARIO!C307)),"200GR",
IF(ISNUMBER(SEARCH("250 GRS",INVENTARIO!C307)),"250GR",
IF(ISNUMBER(SEARCH("300 GRS",INVENTARIO!C307)),"300GR",
IF(ISNUMBER(SEARCH("350 GRS",INVENTARIO!C307)),"350GR",
IF(ISNUMBER(SEARCH("18 OZ",INVENTARIO!C307)),"18OZ",
IF(ISNUMBER(SEARCH("15 OZ",INVENTARIO!C307)),"15OZ",
IF(OR(ISNUMBER(SEARCH("13 OZ",INVENTARIO!C307)),ISNUMBER(SEARCH("13 ONZAS",INVENTARIO!C307))),"13OZ",
IF(OR(ISNUMBER(SEARCH("9 OZ",INVENTARIO!C307)),ISNUMBER(SEARCH("9 ONZAS",INVENTARIO!C307))),"09OZ",
IF(ISNUMBER(SEARCH("DOBLE CARA",INVENTARIO!C307)),"DOB-CAR",
"")))))))))))))))</f>
        <v/>
      </c>
      <c r="E307" t="str">
        <f>IF(OR(ISNUMBER(SEARCH("TRANSPARENTE",INVENTARIO!C307)),ISNUMBER(SEARCH("TRANSPARENTES",INVENTARIO!C307))),"TRA",
IF(OR(ISNUMBER(SEARCH("BLANCO",INVENTARIO!C307)),ISNUMBER(SEARCH("BCO",INVENTARIO!C307))),"BLA",
IF(ISNUMBER(SEARCH("FOTOGRAFICO",INVENTARIO!C307)),"FOT",
IF(ISNUMBER(SEARCH("MARFIL",INVENTARIO!C307)),"MAR",
IF(ISNUMBER(SEARCH("VERDE",INVENTARIO!C307)),"VER",
IF(ISNUMBER(SEARCH("MORADO",INVENTARIO!C307)),"MOR",
IF(ISNUMBER(SEARCH("PLATA",INVENTARIO!C307)),"PLA",
IF(ISNUMBER(SEARCH("ORO",INVENTARIO!C307)),"ORO",
IF(ISNUMBER(SEARCH("AMARILLO",INVENTARIO!C307)),"AMA",
IF(ISNUMBER(SEARCH("NARANJA",INVENTARIO!C307)),"NAR",
IF(ISNUMBER(SEARCH("NEGRO",INVENTARIO!C307)),"NEG",
IF(ISNUMBER(SEARCH("ROJO",INVENTARIO!C307)),"ROJ",
IF(ISNUMBER(SEARCH("AZUL",INVENTARIO!C307)),"AZU","")))))))))))))</f>
        <v/>
      </c>
      <c r="F307" t="str">
        <f>IF(ISNUMBER(SEARCH("ARLON",INVENTARIO!C307)),"ARL",
IF(ISNUMBER(SEARCH("SUNTHINKS",INVENTARIO!C307)),"SUN",
IF(ISNUMBER(SEARCH("FRIO",INVENTARIO!C307)),"FRI",
IF(ISNUMBER(SEARCH("CALIDO",INVENTARIO!C307)),"CAL",
IF(ISNUMBER(SEARCH("CEPILLADO",INVENTARIO!C307)),"CEP",
IF(ISNUMBER(SEARCH("ESPEJO",INVENTARIO!C307)),"ESP",
""))))))</f>
        <v/>
      </c>
      <c r="G307" t="str">
        <f>IF(ISNUMBER(SEARCH("LATEX",INVENTARIO!C307)),"LAT",
IF(ISNUMBER(SEARCH("RESP. NEGRO",INVENTARIO!C307)),"RES-NEG",
IF(ISNUMBER(SEARCH("RESPALDO CAFE",INVENTARIO!C307)),"RES-CAF",
IF(ISNUMBER(SEARCH("RESPALDO GRIS",INVENTARIO!C307)),"RES-GRI",
IF(ISNUMBER(SEARCH("OPTICO",INVENTARIO!C307)),"OPT",
IF(ISNUMBER(SEARCH("1,2 MM",INVENTARIO!C307)),"1MM2",
IF(ISNUMBER(SEARCH("2 MM",INVENTARIO!C307)),"2MM",
IF(ISNUMBER(SEARCH("3 MM",INVENTARIO!C307)),"3MM",
IF(ISNUMBER(SEARCH("4 MM",INVENTARIO!C307)),"4MM",
IF(ISNUMBER(SEARCH("5 MM",INVENTARIO!C307)),"5MM",
IF(ISNUMBER(SEARCH("6 MM",INVENTARIO!C307)),"6MM",
IF(ISNUMBER(SEARCH("9 MM",INVENTARIO!C307)),"9MM",
IF(ISNUMBER(SEARCH("10 MM",INVENTARIO!C307)),"10MM","")))))))))))))</f>
        <v/>
      </c>
      <c r="H307" t="str">
        <f>IF(ISNUMBER(SEARCH("GAMA BAJA",INVENTARIO!C307)),"GAM-BAJ",
IF(ISNUMBER(SEARCH("OPTIMIZADOR",INVENTARIO!C307)),"OPT",
IF(ISNUMBER(SEARCH("OVERCOAT",INVENTARIO!C307)),"OVE",
IF(ISNUMBER(SEARCH("WHITE",INVENTARIO!C307)),"WHI",
IF(ISNUMBER(SEARCH("LIGHT CYAN",INVENTARIO!C307)),"LIG-CYA",
IF(ISNUMBER(SEARCH("CYAN",INVENTARIO!C307)),"CYA",
IF(ISNUMBER(SEARCH("LIGHT MAGENTA",INVENTARIO!C307)),"LIG-MAG",
IF(ISNUMBER(SEARCH("MAGENTA",INVENTARIO!C307)),"MAG",
IF(ISNUMBER(SEARCH("BLACK",INVENTARIO!C307)),"BLA",
IF(ISNUMBER(SEARCH("YELLOW",INVENTARIO!C307)),"YEL",
IF(ISNUMBER(SEARCH("2 DIODOS",INVENTARIO!C307)),"2DI",
IF(ISNUMBER(SEARCH("3 DIODOS",INVENTARIO!C307)),"3DI",
IF(OR(ISNUMBER(SEARCH("TRASLUCIDO",INVENTARIO!C307)),ISNUMBER(SEARCH("TRANSLUCIDO",INVENTARIO!C307))),"TRA",
"")))))))))))))</f>
        <v/>
      </c>
    </row>
    <row r="308" spans="1:8">
      <c r="A308" t="str">
        <f>IF(ISNUMBER(SEARCH("LONA",INVENTARIO!C308)),"LON",
IF(ISNUMBER(SEARCH("VINIL",INVENTARIO!C308)),"VIN",
IF(ISNUMBER(SEARCH("KROMACOTE",INVENTARIO!C308)),"KRO",
IF(ISNUMBER(SEARCH("STARDREAM",INVENTARIO!C308)),"STA",
IF(ISNUMBER(SEARCH("DISPLAY",INVENTARIO!C308)),"DIS",
IF(ISNUMBER(SEARCH("ROLL UP",INVENTARIO!C308)),"ROL-UP",
IF(ISNUMBER(SEARCH("TRANSFER DE PAPEL",INVENTARIO!C308)),"TRA-PAP",
IF(ISNUMBER(SEARCH("TRANSFER",INVENTARIO!C308)),"TRA",IF(ISNUMBER(SEARCH("KOLA LOKA",INVENTARIO!C308)),"KOL-LOK",
IF(ISNUMBER(SEARCH("PETG",INVENTARIO!C308)),"PET",
IF(ISNUMBER(SEARCH("OJILLO",INVENTARIO!C308)),"OJI",
IF(ISNUMBER(SEARCH("COUCHE",INVENTARIO!C308)),"COU",
IF(ISNUMBER(SEARCH("PANEL DE ALUMINIO",INVENTARIO!C308)),"PAN-ALU",
IF(ISNUMBER(SEARCH("PVC",INVENTARIO!C308)),"PVC",
IF(ISNUMBER(SEARCH("PAPEL",INVENTARIO!C308)),"PAP",
IF(ISNUMBER(SEARCH("TELA",INVENTARIO!C308)),"TEL",
IF(ISNUMBER(SEARCH("CARTULINA",INVENTARIO!C308)),"CAR",
IF(OR(ISNUMBER(SEARCH("LAMINA",INVENTARIO!C308)),ISNUMBER(SEARCH("LÁMINA",INVENTARIO!C308)),ISNUMBER(SEARCH("LAMPARAS",INVENTARIO!C308))),"LAM",
IF(ISNUMBER(SEARCH("ESTIRENO",INVENTARIO!C308)),"EST",
IF(ISNUMBER(SEARCH("FOAMBOARD",INVENTARIO!C308)),"FOA",
IF(ISNUMBER(SEARCH("SOLVENTE",INVENTARIO!C308)),"SOL",
IF(ISNUMBER(SEARCH("TINTA",INVENTARIO!C308)),"TIN",
IF(ISNUMBER(SEARCH("ACRILICO",INVENTARIO!C308)),"ACR",
IF(ISNUMBER(SEARCH("MICROLED",INVENTARIO!C308)),"MIC",
IF(ISNUMBER(SEARCH("LED",INVENTARIO!C308)),"LED",
IF(ISNUMBER(SEARCH("FUENTE DE PODER",INVENTARIO!C308)),"FUE-POD",
IF(ISNUMBER(SEARCH("PETG",INVENTARIO!C308)),"PET",
IF(ISNUMBER(SEARCH("ALUMINIO",INVENTARIO!C308)),"ALU",
IF(ISNUMBER(SEARCH("CANAL",INVENTARIO!C308)),"CAN",
IF(ISNUMBER(SEARCH("ESCUADRA",INVENTARIO!C308)),"ESC",
IF(ISNUMBER(SEARCH("SOPORTE",INVENTARIO!C308)),"SOP","OTR")
))))))))))))))))))))))))))))))</f>
        <v>PAP</v>
      </c>
      <c r="B308" t="str">
        <f>IF(ISNUMBER(SEARCH("CORTE",INVENTARIO!C308)),"COR",
IF(ISNUMBER(SEARCH("CITYLIGHT",INVENTARIO!C308)),"CIT",
IF(ISNUMBER(SEARCH("LINO",INVENTARIO!C308)),"LIN",
IF(ISNUMBER(SEARCH("FABRIANO",INVENTARIO!C308)),"FAB",
IF(ISNUMBER(SEARCH("SUNDANCE",INVENTARIO!C308)),"SUN",
IF(ISNUMBER(SEARCH("SINTETICA",INVENTARIO!C308)),"SIN",
IF(ISNUMBER(SEARCH("CONTROL",INVENTARIO!C308)),"CON",
IF(ISNUMBER(SEARCH("TERMICO",INVENTARIO!C308)),"TER",
IF(ISNUMBER(SEARCH("C-15",INVENTARIO!C308)),"C15",
IF(ISNUMBER(SEARCH("C-20",INVENTARIO!C308)),"C20",
IF(ISNUMBER(SEARCH("C-30",INVENTARIO!C308)),"C30",
IF(ISNUMBER(SEARCH("C-40",INVENTARIO!C308)),"C40",
IF(ISNUMBER(SEARCH("C-60",INVENTARIO!C308)),"C60",
IF(ISNUMBER(SEARCH("C-80",INVENTARIO!C308)),"C80",
IF(ISNUMBER(SEARCH("EQUIPO",INVENTARIO!C308)),"EQU",
IF(ISNUMBER(SEARCH("FLOOR",INVENTARIO!C308)),"FLO",
IF(ISNUMBER(SEARCH("CRISTAL",INVENTARIO!C308)),"CRI",
IF(ISNUMBER(SEARCH(" SULFATADA",INVENTARIO!C319)),"SUL",
IF(ISNUMBER(SEARCH("OPALINA",INVENTARIO!C308)),"OPA",
IF(ISNUMBER(SEARCH("ADHERIBLE",INVENTARIO!C308)),"ADH",
IF(ISNUMBER(SEARCH("MICRO",INVENTARIO!C308)),"MIC","")))))))))))))))))))))</f>
        <v>OPA</v>
      </c>
      <c r="C308" t="str">
        <f>IF(ISNUMBER(SEARCH("PARED",INVENTARIO!C308)),"PAR",
IF(ISNUMBER(SEARCH("FRONT",INVENTARIO!C308)),"FRO",
IF(ISNUMBER(SEARCH("ALTA RESISTENCIA",INVENTARIO!C308)),
"ALT-RES",IF(ISNUMBER(SEARCH("BACKLITE",INVENTARIO!C308)),"BAC",
IF(ISNUMBER(SEARCH("MATE",INVENTARIO!C308)),"MAT",
IF(ISNUMBER(SEARCH("MESH",INVENTARIO!C308)),"MES",
IF(ISNUMBER(SEARCH("BRILLANTE",INVENTARIO!C308)),"BRI",
IF(ISNUMBER(SEARCH("DELGADA",INVENTARIO!C308)),"DEL",
IF(ISNUMBER(SEARCH("GRUESA",INVENTARIO!C308)),"GRU",
IF(ISNUMBER(SEARCH("ESTATICO",INVENTARIO!C308)),"EST",
IF(ISNUMBER(SEARCH("REFLECTIVO",INVENTARIO!C308)),"REF",
IF(ISNUMBER(SEARCH("LX700",INVENTARIO!C308)),"LX7",
IF(ISNUMBER(SEARCH("GRANDO",INVENTARIO!C308)),"GRA",
IF(ISNUMBER(SEARCH("FB700",INVENTARIO!C308)),"FB7",
IF(ISNUMBER(SEARCH("LX360",INVENTARIO!C308)),"LX3",
IF(ISNUMBER(SEARCH("XEROX",INVENTARIO!C308)),"XER",
IF(ISNUMBER(SEARCH("CEPILLADO",INVENTARIO!C308)),"CEP",
IF(ISNUMBER(SEARCH("ESPEJO",INVENTARIO!C308)),"ESP",
IF(ISNUMBER(SEARCH("10 PTS",INVENTARIO!C308)),"10PT",
IF(ISNUMBER(SEARCH("12 PTS",INVENTARIO!C308)),"12PT",
IF(ISNUMBER(SEARCH("14 PTS",INVENTARIO!C308)),"14PT",
IF(ISNUMBER(SEARCH("CLASICO",INVENTARIO!C308)),"CLA",
""))))))))))))))))))))))</f>
        <v/>
      </c>
      <c r="D308" t="str">
        <f>IF(ISNUMBER(SEARCH("GRAN FORMATO",INVENTARIO!C308)),"GRA-FOR",
IF(ISNUMBER(SEARCH("CAMA PLANA",INVENTARIO!C308)),"CAM-PLA",
IF(ISNUMBER(SEARCH("GRADO INGENIERIA",INVENTARIO!C308)),"GRA-ING",
IF(ISNUMBER(SEARCH("130 GRS",INVENTARIO!C308)),"130GR",
IF(ISNUMBER(SEARCH("150 GRS",INVENTARIO!C308)),"150GR",
IF(ISNUMBER(SEARCH("185 GRS",INVENTARIO!C308)),"185GR",
IF(ISNUMBER(SEARCH("200 GRS",INVENTARIO!C308)),"200GR",
IF(ISNUMBER(SEARCH("250 GRS",INVENTARIO!C308)),"250GR",
IF(ISNUMBER(SEARCH("300 GRS",INVENTARIO!C308)),"300GR",
IF(ISNUMBER(SEARCH("350 GRS",INVENTARIO!C308)),"350GR",
IF(ISNUMBER(SEARCH("18 OZ",INVENTARIO!C308)),"18OZ",
IF(ISNUMBER(SEARCH("15 OZ",INVENTARIO!C308)),"15OZ",
IF(OR(ISNUMBER(SEARCH("13 OZ",INVENTARIO!C308)),ISNUMBER(SEARCH("13 ONZAS",INVENTARIO!C308))),"13OZ",
IF(OR(ISNUMBER(SEARCH("9 OZ",INVENTARIO!C308)),ISNUMBER(SEARCH("9 ONZAS",INVENTARIO!C308))),"09OZ",
IF(ISNUMBER(SEARCH("DOBLE CARA",INVENTARIO!C308)),"DOB-CAR",
"")))))))))))))))</f>
        <v/>
      </c>
      <c r="E308" t="str">
        <f>IF(OR(ISNUMBER(SEARCH("TRANSPARENTE",INVENTARIO!C308)),ISNUMBER(SEARCH("TRANSPARENTES",INVENTARIO!C308))),"TRA",
IF(OR(ISNUMBER(SEARCH("BLANCO",INVENTARIO!C308)),ISNUMBER(SEARCH("BCO",INVENTARIO!C308))),"BLA",
IF(ISNUMBER(SEARCH("FOTOGRAFICO",INVENTARIO!C308)),"FOT",
IF(ISNUMBER(SEARCH("MARFIL",INVENTARIO!C308)),"MAR",
IF(ISNUMBER(SEARCH("VERDE",INVENTARIO!C308)),"VER",
IF(ISNUMBER(SEARCH("MORADO",INVENTARIO!C308)),"MOR",
IF(ISNUMBER(SEARCH("PLATA",INVENTARIO!C308)),"PLA",
IF(ISNUMBER(SEARCH("ORO",INVENTARIO!C308)),"ORO",
IF(ISNUMBER(SEARCH("AMARILLO",INVENTARIO!C308)),"AMA",
IF(ISNUMBER(SEARCH("NARANJA",INVENTARIO!C308)),"NAR",
IF(ISNUMBER(SEARCH("NEGRO",INVENTARIO!C308)),"NEG",
IF(ISNUMBER(SEARCH("ROJO",INVENTARIO!C308)),"ROJ",
IF(ISNUMBER(SEARCH("AZUL",INVENTARIO!C308)),"AZU","")))))))))))))</f>
        <v/>
      </c>
      <c r="F308" t="str">
        <f>IF(ISNUMBER(SEARCH("ARLON",INVENTARIO!C308)),"ARL",
IF(ISNUMBER(SEARCH("SUNTHINKS",INVENTARIO!C308)),"SUN",
IF(ISNUMBER(SEARCH("FRIO",INVENTARIO!C308)),"FRI",
IF(ISNUMBER(SEARCH("CALIDO",INVENTARIO!C308)),"CAL",
IF(ISNUMBER(SEARCH("CEPILLADO",INVENTARIO!C308)),"CEP",
IF(ISNUMBER(SEARCH("ESPEJO",INVENTARIO!C308)),"ESP",
""))))))</f>
        <v/>
      </c>
      <c r="G308" t="str">
        <f>IF(ISNUMBER(SEARCH("LATEX",INVENTARIO!C308)),"LAT",
IF(ISNUMBER(SEARCH("RESP. NEGRO",INVENTARIO!C308)),"RES-NEG",
IF(ISNUMBER(SEARCH("RESPALDO CAFE",INVENTARIO!C308)),"RES-CAF",
IF(ISNUMBER(SEARCH("RESPALDO GRIS",INVENTARIO!C308)),"RES-GRI",
IF(ISNUMBER(SEARCH("OPTICO",INVENTARIO!C308)),"OPT",
IF(ISNUMBER(SEARCH("1,2 MM",INVENTARIO!C308)),"1MM2",
IF(ISNUMBER(SEARCH("2 MM",INVENTARIO!C308)),"2MM",
IF(ISNUMBER(SEARCH("3 MM",INVENTARIO!C308)),"3MM",
IF(ISNUMBER(SEARCH("4 MM",INVENTARIO!C308)),"4MM",
IF(ISNUMBER(SEARCH("5 MM",INVENTARIO!C308)),"5MM",
IF(ISNUMBER(SEARCH("6 MM",INVENTARIO!C308)),"6MM",
IF(ISNUMBER(SEARCH("9 MM",INVENTARIO!C308)),"9MM",
IF(ISNUMBER(SEARCH("10 MM",INVENTARIO!C308)),"10MM","")))))))))))))</f>
        <v/>
      </c>
      <c r="H308" t="str">
        <f>IF(ISNUMBER(SEARCH("GAMA BAJA",INVENTARIO!C308)),"GAM-BAJ",
IF(ISNUMBER(SEARCH("OPTIMIZADOR",INVENTARIO!C308)),"OPT",
IF(ISNUMBER(SEARCH("OVERCOAT",INVENTARIO!C308)),"OVE",
IF(ISNUMBER(SEARCH("WHITE",INVENTARIO!C308)),"WHI",
IF(ISNUMBER(SEARCH("LIGHT CYAN",INVENTARIO!C308)),"LIG-CYA",
IF(ISNUMBER(SEARCH("CYAN",INVENTARIO!C308)),"CYA",
IF(ISNUMBER(SEARCH("LIGHT MAGENTA",INVENTARIO!C308)),"LIG-MAG",
IF(ISNUMBER(SEARCH("MAGENTA",INVENTARIO!C308)),"MAG",
IF(ISNUMBER(SEARCH("BLACK",INVENTARIO!C308)),"BLA",
IF(ISNUMBER(SEARCH("YELLOW",INVENTARIO!C308)),"YEL",
IF(ISNUMBER(SEARCH("2 DIODOS",INVENTARIO!C308)),"2DI",
IF(ISNUMBER(SEARCH("3 DIODOS",INVENTARIO!C308)),"3DI",
IF(OR(ISNUMBER(SEARCH("TRASLUCIDO",INVENTARIO!C308)),ISNUMBER(SEARCH("TRANSLUCIDO",INVENTARIO!C308))),"TRA",
"")))))))))))))</f>
        <v/>
      </c>
    </row>
    <row r="309" spans="1:8">
      <c r="A309" t="str">
        <f>IF(ISNUMBER(SEARCH("LONA",INVENTARIO!C309)),"LON",
IF(ISNUMBER(SEARCH("VINIL",INVENTARIO!C309)),"VIN",
IF(ISNUMBER(SEARCH("KROMACOTE",INVENTARIO!C309)),"KRO",
IF(ISNUMBER(SEARCH("STARDREAM",INVENTARIO!C309)),"STA",
IF(ISNUMBER(SEARCH("DISPLAY",INVENTARIO!C309)),"DIS",
IF(ISNUMBER(SEARCH("ROLL UP",INVENTARIO!C309)),"ROL-UP",
IF(ISNUMBER(SEARCH("TRANSFER DE PAPEL",INVENTARIO!C309)),"TRA-PAP",
IF(ISNUMBER(SEARCH("TRANSFER",INVENTARIO!C309)),"TRA",IF(ISNUMBER(SEARCH("KOLA LOKA",INVENTARIO!C309)),"KOL-LOK",
IF(ISNUMBER(SEARCH("PETG",INVENTARIO!C309)),"PET",
IF(ISNUMBER(SEARCH("OJILLO",INVENTARIO!C309)),"OJI",
IF(ISNUMBER(SEARCH("COUCHE",INVENTARIO!C309)),"COU",
IF(ISNUMBER(SEARCH("PANEL DE ALUMINIO",INVENTARIO!C309)),"PAN-ALU",
IF(ISNUMBER(SEARCH("PVC",INVENTARIO!C309)),"PVC",
IF(ISNUMBER(SEARCH("PAPEL",INVENTARIO!C309)),"PAP",
IF(ISNUMBER(SEARCH("TELA",INVENTARIO!C309)),"TEL",
IF(ISNUMBER(SEARCH("CARTULINA",INVENTARIO!C309)),"CAR",
IF(OR(ISNUMBER(SEARCH("LAMINA",INVENTARIO!C309)),ISNUMBER(SEARCH("LÁMINA",INVENTARIO!C309)),ISNUMBER(SEARCH("LAMPARAS",INVENTARIO!C309))),"LAM",
IF(ISNUMBER(SEARCH("ESTIRENO",INVENTARIO!C309)),"EST",
IF(ISNUMBER(SEARCH("FOAMBOARD",INVENTARIO!C309)),"FOA",
IF(ISNUMBER(SEARCH("SOLVENTE",INVENTARIO!C309)),"SOL",
IF(ISNUMBER(SEARCH("TINTA",INVENTARIO!C309)),"TIN",
IF(ISNUMBER(SEARCH("ACRILICO",INVENTARIO!C309)),"ACR",
IF(ISNUMBER(SEARCH("MICROLED",INVENTARIO!C309)),"MIC",
IF(ISNUMBER(SEARCH("LED",INVENTARIO!C309)),"LED",
IF(ISNUMBER(SEARCH("FUENTE DE PODER",INVENTARIO!C309)),"FUE-POD",
IF(ISNUMBER(SEARCH("PETG",INVENTARIO!C309)),"PET",
IF(ISNUMBER(SEARCH("ALUMINIO",INVENTARIO!C309)),"ALU",
IF(ISNUMBER(SEARCH("CANAL",INVENTARIO!C309)),"CAN",
IF(ISNUMBER(SEARCH("ESCUADRA",INVENTARIO!C309)),"ESC",
IF(ISNUMBER(SEARCH("SOPORTE",INVENTARIO!C309)),"SOP","OTR")
))))))))))))))))))))))))))))))</f>
        <v>COU</v>
      </c>
      <c r="B309" t="str">
        <f>IF(ISNUMBER(SEARCH("CORTE",INVENTARIO!C309)),"COR",
IF(ISNUMBER(SEARCH("CITYLIGHT",INVENTARIO!C309)),"CIT",
IF(ISNUMBER(SEARCH("LINO",INVENTARIO!C309)),"LIN",
IF(ISNUMBER(SEARCH("FABRIANO",INVENTARIO!C309)),"FAB",
IF(ISNUMBER(SEARCH("SUNDANCE",INVENTARIO!C309)),"SUN",
IF(ISNUMBER(SEARCH("SINTETICA",INVENTARIO!C309)),"SIN",
IF(ISNUMBER(SEARCH("CONTROL",INVENTARIO!C309)),"CON",
IF(ISNUMBER(SEARCH("TERMICO",INVENTARIO!C309)),"TER",
IF(ISNUMBER(SEARCH("C-15",INVENTARIO!C309)),"C15",
IF(ISNUMBER(SEARCH("C-20",INVENTARIO!C309)),"C20",
IF(ISNUMBER(SEARCH("C-30",INVENTARIO!C309)),"C30",
IF(ISNUMBER(SEARCH("C-40",INVENTARIO!C309)),"C40",
IF(ISNUMBER(SEARCH("C-60",INVENTARIO!C309)),"C60",
IF(ISNUMBER(SEARCH("C-80",INVENTARIO!C309)),"C80",
IF(ISNUMBER(SEARCH("EQUIPO",INVENTARIO!C309)),"EQU",
IF(ISNUMBER(SEARCH("FLOOR",INVENTARIO!C309)),"FLO",
IF(ISNUMBER(SEARCH("CRISTAL",INVENTARIO!C309)),"CRI",
IF(ISNUMBER(SEARCH(" SULFATADA",INVENTARIO!C320)),"SUL",
IF(ISNUMBER(SEARCH("OPALINA",INVENTARIO!C309)),"OPA",
IF(ISNUMBER(SEARCH("ADHERIBLE",INVENTARIO!C309)),"ADH",
IF(ISNUMBER(SEARCH("MICRO",INVENTARIO!C309)),"MIC","")))))))))))))))))))))</f>
        <v>ADH</v>
      </c>
      <c r="C309" t="str">
        <f>IF(ISNUMBER(SEARCH("PARED",INVENTARIO!C309)),"PAR",
IF(ISNUMBER(SEARCH("FRONT",INVENTARIO!C309)),"FRO",
IF(ISNUMBER(SEARCH("ALTA RESISTENCIA",INVENTARIO!C309)),
"ALT-RES",IF(ISNUMBER(SEARCH("BACKLITE",INVENTARIO!C309)),"BAC",
IF(ISNUMBER(SEARCH("MATE",INVENTARIO!C309)),"MAT",
IF(ISNUMBER(SEARCH("MESH",INVENTARIO!C309)),"MES",
IF(ISNUMBER(SEARCH("BRILLANTE",INVENTARIO!C309)),"BRI",
IF(ISNUMBER(SEARCH("DELGADA",INVENTARIO!C309)),"DEL",
IF(ISNUMBER(SEARCH("GRUESA",INVENTARIO!C309)),"GRU",
IF(ISNUMBER(SEARCH("ESTATICO",INVENTARIO!C309)),"EST",
IF(ISNUMBER(SEARCH("REFLECTIVO",INVENTARIO!C309)),"REF",
IF(ISNUMBER(SEARCH("LX700",INVENTARIO!C309)),"LX7",
IF(ISNUMBER(SEARCH("GRANDO",INVENTARIO!C309)),"GRA",
IF(ISNUMBER(SEARCH("FB700",INVENTARIO!C309)),"FB7",
IF(ISNUMBER(SEARCH("LX360",INVENTARIO!C309)),"LX3",
IF(ISNUMBER(SEARCH("XEROX",INVENTARIO!C309)),"XER",
IF(ISNUMBER(SEARCH("CEPILLADO",INVENTARIO!C309)),"CEP",
IF(ISNUMBER(SEARCH("ESPEJO",INVENTARIO!C309)),"ESP",
IF(ISNUMBER(SEARCH("10 PTS",INVENTARIO!C309)),"10PT",
IF(ISNUMBER(SEARCH("12 PTS",INVENTARIO!C309)),"12PT",
IF(ISNUMBER(SEARCH("14 PTS",INVENTARIO!C309)),"14PT",
IF(ISNUMBER(SEARCH("CLASICO",INVENTARIO!C309)),"CLA",
""))))))))))))))))))))))</f>
        <v/>
      </c>
      <c r="D309" t="str">
        <f>IF(ISNUMBER(SEARCH("GRAN FORMATO",INVENTARIO!C309)),"GRA-FOR",
IF(ISNUMBER(SEARCH("CAMA PLANA",INVENTARIO!C309)),"CAM-PLA",
IF(ISNUMBER(SEARCH("GRADO INGENIERIA",INVENTARIO!C309)),"GRA-ING",
IF(ISNUMBER(SEARCH("130 GRS",INVENTARIO!C309)),"130GR",
IF(ISNUMBER(SEARCH("150 GRS",INVENTARIO!C309)),"150GR",
IF(ISNUMBER(SEARCH("185 GRS",INVENTARIO!C309)),"185GR",
IF(ISNUMBER(SEARCH("200 GRS",INVENTARIO!C309)),"200GR",
IF(ISNUMBER(SEARCH("250 GRS",INVENTARIO!C309)),"250GR",
IF(ISNUMBER(SEARCH("300 GRS",INVENTARIO!C309)),"300GR",
IF(ISNUMBER(SEARCH("350 GRS",INVENTARIO!C309)),"350GR",
IF(ISNUMBER(SEARCH("18 OZ",INVENTARIO!C309)),"18OZ",
IF(ISNUMBER(SEARCH("15 OZ",INVENTARIO!C309)),"15OZ",
IF(OR(ISNUMBER(SEARCH("13 OZ",INVENTARIO!C309)),ISNUMBER(SEARCH("13 ONZAS",INVENTARIO!C309))),"13OZ",
IF(OR(ISNUMBER(SEARCH("9 OZ",INVENTARIO!C309)),ISNUMBER(SEARCH("9 ONZAS",INVENTARIO!C309))),"09OZ",
IF(ISNUMBER(SEARCH("DOBLE CARA",INVENTARIO!C309)),"DOB-CAR",
"")))))))))))))))</f>
        <v/>
      </c>
      <c r="E309" t="str">
        <f>IF(OR(ISNUMBER(SEARCH("TRANSPARENTE",INVENTARIO!C309)),ISNUMBER(SEARCH("TRANSPARENTES",INVENTARIO!C309))),"TRA",
IF(OR(ISNUMBER(SEARCH("BLANCO",INVENTARIO!C309)),ISNUMBER(SEARCH("BCO",INVENTARIO!C309))),"BLA",
IF(ISNUMBER(SEARCH("FOTOGRAFICO",INVENTARIO!C309)),"FOT",
IF(ISNUMBER(SEARCH("MARFIL",INVENTARIO!C309)),"MAR",
IF(ISNUMBER(SEARCH("VERDE",INVENTARIO!C309)),"VER",
IF(ISNUMBER(SEARCH("MORADO",INVENTARIO!C309)),"MOR",
IF(ISNUMBER(SEARCH("PLATA",INVENTARIO!C309)),"PLA",
IF(ISNUMBER(SEARCH("ORO",INVENTARIO!C309)),"ORO",
IF(ISNUMBER(SEARCH("AMARILLO",INVENTARIO!C309)),"AMA",
IF(ISNUMBER(SEARCH("NARANJA",INVENTARIO!C309)),"NAR",
IF(ISNUMBER(SEARCH("NEGRO",INVENTARIO!C309)),"NEG",
IF(ISNUMBER(SEARCH("ROJO",INVENTARIO!C309)),"ROJ",
IF(ISNUMBER(SEARCH("AZUL",INVENTARIO!C309)),"AZU","")))))))))))))</f>
        <v/>
      </c>
      <c r="F309" t="str">
        <f>IF(ISNUMBER(SEARCH("ARLON",INVENTARIO!C309)),"ARL",
IF(ISNUMBER(SEARCH("SUNTHINKS",INVENTARIO!C309)),"SUN",
IF(ISNUMBER(SEARCH("FRIO",INVENTARIO!C309)),"FRI",
IF(ISNUMBER(SEARCH("CALIDO",INVENTARIO!C309)),"CAL",
IF(ISNUMBER(SEARCH("CEPILLADO",INVENTARIO!C309)),"CEP",
IF(ISNUMBER(SEARCH("ESPEJO",INVENTARIO!C309)),"ESP",
""))))))</f>
        <v/>
      </c>
      <c r="G309" t="str">
        <f>IF(ISNUMBER(SEARCH("LATEX",INVENTARIO!C309)),"LAT",
IF(ISNUMBER(SEARCH("RESP. NEGRO",INVENTARIO!C309)),"RES-NEG",
IF(ISNUMBER(SEARCH("RESPALDO CAFE",INVENTARIO!C309)),"RES-CAF",
IF(ISNUMBER(SEARCH("RESPALDO GRIS",INVENTARIO!C309)),"RES-GRI",
IF(ISNUMBER(SEARCH("OPTICO",INVENTARIO!C309)),"OPT",
IF(ISNUMBER(SEARCH("1,2 MM",INVENTARIO!C309)),"1MM2",
IF(ISNUMBER(SEARCH("2 MM",INVENTARIO!C309)),"2MM",
IF(ISNUMBER(SEARCH("3 MM",INVENTARIO!C309)),"3MM",
IF(ISNUMBER(SEARCH("4 MM",INVENTARIO!C309)),"4MM",
IF(ISNUMBER(SEARCH("5 MM",INVENTARIO!C309)),"5MM",
IF(ISNUMBER(SEARCH("6 MM",INVENTARIO!C309)),"6MM",
IF(ISNUMBER(SEARCH("9 MM",INVENTARIO!C309)),"9MM",
IF(ISNUMBER(SEARCH("10 MM",INVENTARIO!C309)),"10MM","")))))))))))))</f>
        <v/>
      </c>
      <c r="H309" t="str">
        <f>IF(ISNUMBER(SEARCH("GAMA BAJA",INVENTARIO!C309)),"GAM-BAJ",
IF(ISNUMBER(SEARCH("OPTIMIZADOR",INVENTARIO!C309)),"OPT",
IF(ISNUMBER(SEARCH("OVERCOAT",INVENTARIO!C309)),"OVE",
IF(ISNUMBER(SEARCH("WHITE",INVENTARIO!C309)),"WHI",
IF(ISNUMBER(SEARCH("LIGHT CYAN",INVENTARIO!C309)),"LIG-CYA",
IF(ISNUMBER(SEARCH("CYAN",INVENTARIO!C309)),"CYA",
IF(ISNUMBER(SEARCH("LIGHT MAGENTA",INVENTARIO!C309)),"LIG-MAG",
IF(ISNUMBER(SEARCH("MAGENTA",INVENTARIO!C309)),"MAG",
IF(ISNUMBER(SEARCH("BLACK",INVENTARIO!C309)),"BLA",
IF(ISNUMBER(SEARCH("YELLOW",INVENTARIO!C309)),"YEL",
IF(ISNUMBER(SEARCH("2 DIODOS",INVENTARIO!C309)),"2DI",
IF(ISNUMBER(SEARCH("3 DIODOS",INVENTARIO!C309)),"3DI",
IF(OR(ISNUMBER(SEARCH("TRASLUCIDO",INVENTARIO!C309)),ISNUMBER(SEARCH("TRANSLUCIDO",INVENTARIO!C309))),"TRA",
"")))))))))))))</f>
        <v/>
      </c>
    </row>
    <row r="310" spans="1:8">
      <c r="A310" t="str">
        <f>IF(ISNUMBER(SEARCH("LONA",INVENTARIO!C310)),"LON",
IF(ISNUMBER(SEARCH("VINIL",INVENTARIO!C310)),"VIN",
IF(ISNUMBER(SEARCH("KROMACOTE",INVENTARIO!C310)),"KRO",
IF(ISNUMBER(SEARCH("STARDREAM",INVENTARIO!C310)),"STA",
IF(ISNUMBER(SEARCH("DISPLAY",INVENTARIO!C310)),"DIS",
IF(ISNUMBER(SEARCH("ROLL UP",INVENTARIO!C310)),"ROL-UP",
IF(ISNUMBER(SEARCH("TRANSFER DE PAPEL",INVENTARIO!C310)),"TRA-PAP",
IF(ISNUMBER(SEARCH("TRANSFER",INVENTARIO!C310)),"TRA",IF(ISNUMBER(SEARCH("KOLA LOKA",INVENTARIO!C310)),"KOL-LOK",
IF(ISNUMBER(SEARCH("PETG",INVENTARIO!C310)),"PET",
IF(ISNUMBER(SEARCH("OJILLO",INVENTARIO!C310)),"OJI",
IF(ISNUMBER(SEARCH("COUCHE",INVENTARIO!C310)),"COU",
IF(ISNUMBER(SEARCH("PANEL DE ALUMINIO",INVENTARIO!C310)),"PAN-ALU",
IF(ISNUMBER(SEARCH("PVC",INVENTARIO!C310)),"PVC",
IF(ISNUMBER(SEARCH("PAPEL",INVENTARIO!C310)),"PAP",
IF(ISNUMBER(SEARCH("TELA",INVENTARIO!C310)),"TEL",
IF(ISNUMBER(SEARCH("CARTULINA",INVENTARIO!C310)),"CAR",
IF(OR(ISNUMBER(SEARCH("LAMINA",INVENTARIO!C310)),ISNUMBER(SEARCH("LÁMINA",INVENTARIO!C310)),ISNUMBER(SEARCH("LAMPARAS",INVENTARIO!C310))),"LAM",
IF(ISNUMBER(SEARCH("ESTIRENO",INVENTARIO!C310)),"EST",
IF(ISNUMBER(SEARCH("FOAMBOARD",INVENTARIO!C310)),"FOA",
IF(ISNUMBER(SEARCH("SOLVENTE",INVENTARIO!C310)),"SOL",
IF(ISNUMBER(SEARCH("TINTA",INVENTARIO!C310)),"TIN",
IF(ISNUMBER(SEARCH("ACRILICO",INVENTARIO!C310)),"ACR",
IF(ISNUMBER(SEARCH("MICROLED",INVENTARIO!C310)),"MIC",
IF(ISNUMBER(SEARCH("LED",INVENTARIO!C310)),"LED",
IF(ISNUMBER(SEARCH("FUENTE DE PODER",INVENTARIO!C310)),"FUE-POD",
IF(ISNUMBER(SEARCH("PETG",INVENTARIO!C310)),"PET",
IF(ISNUMBER(SEARCH("ALUMINIO",INVENTARIO!C310)),"ALU",
IF(ISNUMBER(SEARCH("CANAL",INVENTARIO!C310)),"CAN",
IF(ISNUMBER(SEARCH("ESCUADRA",INVENTARIO!C310)),"ESC",
IF(ISNUMBER(SEARCH("SOPORTE",INVENTARIO!C310)),"SOP","OTR")
))))))))))))))))))))))))))))))</f>
        <v>COU</v>
      </c>
      <c r="B310" t="str">
        <f>IF(ISNUMBER(SEARCH("CORTE",INVENTARIO!C310)),"COR",
IF(ISNUMBER(SEARCH("CITYLIGHT",INVENTARIO!C310)),"CIT",
IF(ISNUMBER(SEARCH("LINO",INVENTARIO!C310)),"LIN",
IF(ISNUMBER(SEARCH("FABRIANO",INVENTARIO!C310)),"FAB",
IF(ISNUMBER(SEARCH("SUNDANCE",INVENTARIO!C310)),"SUN",
IF(ISNUMBER(SEARCH("SINTETICA",INVENTARIO!C310)),"SIN",
IF(ISNUMBER(SEARCH("CONTROL",INVENTARIO!C310)),"CON",
IF(ISNUMBER(SEARCH("TERMICO",INVENTARIO!C310)),"TER",
IF(ISNUMBER(SEARCH("C-15",INVENTARIO!C310)),"C15",
IF(ISNUMBER(SEARCH("C-20",INVENTARIO!C310)),"C20",
IF(ISNUMBER(SEARCH("C-30",INVENTARIO!C310)),"C30",
IF(ISNUMBER(SEARCH("C-40",INVENTARIO!C310)),"C40",
IF(ISNUMBER(SEARCH("C-60",INVENTARIO!C310)),"C60",
IF(ISNUMBER(SEARCH("C-80",INVENTARIO!C310)),"C80",
IF(ISNUMBER(SEARCH("EQUIPO",INVENTARIO!C310)),"EQU",
IF(ISNUMBER(SEARCH("FLOOR",INVENTARIO!C310)),"FLO",
IF(ISNUMBER(SEARCH("CRISTAL",INVENTARIO!C310)),"CRI",
IF(ISNUMBER(SEARCH(" SULFATADA",INVENTARIO!C321)),"SUL",
IF(ISNUMBER(SEARCH("OPALINA",INVENTARIO!C310)),"OPA",
IF(ISNUMBER(SEARCH("ADHERIBLE",INVENTARIO!C310)),"ADH",
IF(ISNUMBER(SEARCH("MICRO",INVENTARIO!C310)),"MIC","")))))))))))))))))))))</f>
        <v>ADH</v>
      </c>
      <c r="C310" t="str">
        <f>IF(ISNUMBER(SEARCH("PARED",INVENTARIO!C310)),"PAR",
IF(ISNUMBER(SEARCH("FRONT",INVENTARIO!C310)),"FRO",
IF(ISNUMBER(SEARCH("ALTA RESISTENCIA",INVENTARIO!C310)),
"ALT-RES",IF(ISNUMBER(SEARCH("BACKLITE",INVENTARIO!C310)),"BAC",
IF(ISNUMBER(SEARCH("MATE",INVENTARIO!C310)),"MAT",
IF(ISNUMBER(SEARCH("MESH",INVENTARIO!C310)),"MES",
IF(ISNUMBER(SEARCH("BRILLANTE",INVENTARIO!C310)),"BRI",
IF(ISNUMBER(SEARCH("DELGADA",INVENTARIO!C310)),"DEL",
IF(ISNUMBER(SEARCH("GRUESA",INVENTARIO!C310)),"GRU",
IF(ISNUMBER(SEARCH("ESTATICO",INVENTARIO!C310)),"EST",
IF(ISNUMBER(SEARCH("REFLECTIVO",INVENTARIO!C310)),"REF",
IF(ISNUMBER(SEARCH("LX700",INVENTARIO!C310)),"LX7",
IF(ISNUMBER(SEARCH("GRANDO",INVENTARIO!C310)),"GRA",
IF(ISNUMBER(SEARCH("FB700",INVENTARIO!C310)),"FB7",
IF(ISNUMBER(SEARCH("LX360",INVENTARIO!C310)),"LX3",
IF(ISNUMBER(SEARCH("XEROX",INVENTARIO!C310)),"XER",
IF(ISNUMBER(SEARCH("CEPILLADO",INVENTARIO!C310)),"CEP",
IF(ISNUMBER(SEARCH("ESPEJO",INVENTARIO!C310)),"ESP",
IF(ISNUMBER(SEARCH("10 PTS",INVENTARIO!C310)),"10PT",
IF(ISNUMBER(SEARCH("12 PTS",INVENTARIO!C310)),"12PT",
IF(ISNUMBER(SEARCH("14 PTS",INVENTARIO!C310)),"14PT",
IF(ISNUMBER(SEARCH("CLASICO",INVENTARIO!C310)),"CLA",
""))))))))))))))))))))))</f>
        <v/>
      </c>
      <c r="D310" t="str">
        <f>IF(ISNUMBER(SEARCH("GRAN FORMATO",INVENTARIO!C310)),"GRA-FOR",
IF(ISNUMBER(SEARCH("CAMA PLANA",INVENTARIO!C310)),"CAM-PLA",
IF(ISNUMBER(SEARCH("GRADO INGENIERIA",INVENTARIO!C310)),"GRA-ING",
IF(ISNUMBER(SEARCH("130 GRS",INVENTARIO!C310)),"130GR",
IF(ISNUMBER(SEARCH("150 GRS",INVENTARIO!C310)),"150GR",
IF(ISNUMBER(SEARCH("185 GRS",INVENTARIO!C310)),"185GR",
IF(ISNUMBER(SEARCH("200 GRS",INVENTARIO!C310)),"200GR",
IF(ISNUMBER(SEARCH("250 GRS",INVENTARIO!C310)),"250GR",
IF(ISNUMBER(SEARCH("300 GRS",INVENTARIO!C310)),"300GR",
IF(ISNUMBER(SEARCH("350 GRS",INVENTARIO!C310)),"350GR",
IF(ISNUMBER(SEARCH("18 OZ",INVENTARIO!C310)),"18OZ",
IF(ISNUMBER(SEARCH("15 OZ",INVENTARIO!C310)),"15OZ",
IF(OR(ISNUMBER(SEARCH("13 OZ",INVENTARIO!C310)),ISNUMBER(SEARCH("13 ONZAS",INVENTARIO!C310))),"13OZ",
IF(OR(ISNUMBER(SEARCH("9 OZ",INVENTARIO!C310)),ISNUMBER(SEARCH("9 ONZAS",INVENTARIO!C310))),"09OZ",
IF(ISNUMBER(SEARCH("DOBLE CARA",INVENTARIO!C310)),"DOB-CAR",
"")))))))))))))))</f>
        <v/>
      </c>
      <c r="E310" t="str">
        <f>IF(OR(ISNUMBER(SEARCH("TRANSPARENTE",INVENTARIO!C310)),ISNUMBER(SEARCH("TRANSPARENTES",INVENTARIO!C310))),"TRA",
IF(OR(ISNUMBER(SEARCH("BLANCO",INVENTARIO!C310)),ISNUMBER(SEARCH("BCO",INVENTARIO!C310))),"BLA",
IF(ISNUMBER(SEARCH("FOTOGRAFICO",INVENTARIO!C310)),"FOT",
IF(ISNUMBER(SEARCH("MARFIL",INVENTARIO!C310)),"MAR",
IF(ISNUMBER(SEARCH("VERDE",INVENTARIO!C310)),"VER",
IF(ISNUMBER(SEARCH("MORADO",INVENTARIO!C310)),"MOR",
IF(ISNUMBER(SEARCH("PLATA",INVENTARIO!C310)),"PLA",
IF(ISNUMBER(SEARCH("ORO",INVENTARIO!C310)),"ORO",
IF(ISNUMBER(SEARCH("AMARILLO",INVENTARIO!C310)),"AMA",
IF(ISNUMBER(SEARCH("NARANJA",INVENTARIO!C310)),"NAR",
IF(ISNUMBER(SEARCH("NEGRO",INVENTARIO!C310)),"NEG",
IF(ISNUMBER(SEARCH("ROJO",INVENTARIO!C310)),"ROJ",
IF(ISNUMBER(SEARCH("AZUL",INVENTARIO!C310)),"AZU","")))))))))))))</f>
        <v/>
      </c>
      <c r="F310" t="str">
        <f>IF(ISNUMBER(SEARCH("ARLON",INVENTARIO!C310)),"ARL",
IF(ISNUMBER(SEARCH("SUNTHINKS",INVENTARIO!C310)),"SUN",
IF(ISNUMBER(SEARCH("FRIO",INVENTARIO!C310)),"FRI",
IF(ISNUMBER(SEARCH("CALIDO",INVENTARIO!C310)),"CAL",
IF(ISNUMBER(SEARCH("CEPILLADO",INVENTARIO!C310)),"CEP",
IF(ISNUMBER(SEARCH("ESPEJO",INVENTARIO!C310)),"ESP",
""))))))</f>
        <v/>
      </c>
      <c r="G310" t="str">
        <f>IF(ISNUMBER(SEARCH("LATEX",INVENTARIO!C310)),"LAT",
IF(ISNUMBER(SEARCH("RESP. NEGRO",INVENTARIO!C310)),"RES-NEG",
IF(ISNUMBER(SEARCH("RESPALDO CAFE",INVENTARIO!C310)),"RES-CAF",
IF(ISNUMBER(SEARCH("RESPALDO GRIS",INVENTARIO!C310)),"RES-GRI",
IF(ISNUMBER(SEARCH("OPTICO",INVENTARIO!C310)),"OPT",
IF(ISNUMBER(SEARCH("1,2 MM",INVENTARIO!C310)),"1MM2",
IF(ISNUMBER(SEARCH("2 MM",INVENTARIO!C310)),"2MM",
IF(ISNUMBER(SEARCH("3 MM",INVENTARIO!C310)),"3MM",
IF(ISNUMBER(SEARCH("4 MM",INVENTARIO!C310)),"4MM",
IF(ISNUMBER(SEARCH("5 MM",INVENTARIO!C310)),"5MM",
IF(ISNUMBER(SEARCH("6 MM",INVENTARIO!C310)),"6MM",
IF(ISNUMBER(SEARCH("9 MM",INVENTARIO!C310)),"9MM",
IF(ISNUMBER(SEARCH("10 MM",INVENTARIO!C310)),"10MM","")))))))))))))</f>
        <v/>
      </c>
      <c r="H310" t="str">
        <f>IF(ISNUMBER(SEARCH("GAMA BAJA",INVENTARIO!C310)),"GAM-BAJ",
IF(ISNUMBER(SEARCH("OPTIMIZADOR",INVENTARIO!C310)),"OPT",
IF(ISNUMBER(SEARCH("OVERCOAT",INVENTARIO!C310)),"OVE",
IF(ISNUMBER(SEARCH("WHITE",INVENTARIO!C310)),"WHI",
IF(ISNUMBER(SEARCH("LIGHT CYAN",INVENTARIO!C310)),"LIG-CYA",
IF(ISNUMBER(SEARCH("CYAN",INVENTARIO!C310)),"CYA",
IF(ISNUMBER(SEARCH("LIGHT MAGENTA",INVENTARIO!C310)),"LIG-MAG",
IF(ISNUMBER(SEARCH("MAGENTA",INVENTARIO!C310)),"MAG",
IF(ISNUMBER(SEARCH("BLACK",INVENTARIO!C310)),"BLA",
IF(ISNUMBER(SEARCH("YELLOW",INVENTARIO!C310)),"YEL",
IF(ISNUMBER(SEARCH("2 DIODOS",INVENTARIO!C310)),"2DI",
IF(ISNUMBER(SEARCH("3 DIODOS",INVENTARIO!C310)),"3DI",
IF(OR(ISNUMBER(SEARCH("TRASLUCIDO",INVENTARIO!C310)),ISNUMBER(SEARCH("TRANSLUCIDO",INVENTARIO!C310))),"TRA",
"")))))))))))))</f>
        <v/>
      </c>
    </row>
    <row r="311" spans="1:8">
      <c r="A311" t="str">
        <f>IF(ISNUMBER(SEARCH("LONA",INVENTARIO!C311)),"LON",
IF(ISNUMBER(SEARCH("VINIL",INVENTARIO!C311)),"VIN",
IF(ISNUMBER(SEARCH("KROMACOTE",INVENTARIO!C311)),"KRO",
IF(ISNUMBER(SEARCH("STARDREAM",INVENTARIO!C311)),"STA",
IF(ISNUMBER(SEARCH("DISPLAY",INVENTARIO!C311)),"DIS",
IF(ISNUMBER(SEARCH("ROLL UP",INVENTARIO!C311)),"ROL-UP",
IF(ISNUMBER(SEARCH("TRANSFER DE PAPEL",INVENTARIO!C311)),"TRA-PAP",
IF(ISNUMBER(SEARCH("TRANSFER",INVENTARIO!C311)),"TRA",IF(ISNUMBER(SEARCH("KOLA LOKA",INVENTARIO!C311)),"KOL-LOK",
IF(ISNUMBER(SEARCH("PETG",INVENTARIO!C311)),"PET",
IF(ISNUMBER(SEARCH("OJILLO",INVENTARIO!C311)),"OJI",
IF(ISNUMBER(SEARCH("COUCHE",INVENTARIO!C311)),"COU",
IF(ISNUMBER(SEARCH("PANEL DE ALUMINIO",INVENTARIO!C311)),"PAN-ALU",
IF(ISNUMBER(SEARCH("PVC",INVENTARIO!C311)),"PVC",
IF(ISNUMBER(SEARCH("PAPEL",INVENTARIO!C311)),"PAP",
IF(ISNUMBER(SEARCH("TELA",INVENTARIO!C311)),"TEL",
IF(ISNUMBER(SEARCH("CARTULINA",INVENTARIO!C311)),"CAR",
IF(OR(ISNUMBER(SEARCH("LAMINA",INVENTARIO!C311)),ISNUMBER(SEARCH("LÁMINA",INVENTARIO!C311)),ISNUMBER(SEARCH("LAMPARAS",INVENTARIO!C311))),"LAM",
IF(ISNUMBER(SEARCH("ESTIRENO",INVENTARIO!C311)),"EST",
IF(ISNUMBER(SEARCH("FOAMBOARD",INVENTARIO!C311)),"FOA",
IF(ISNUMBER(SEARCH("SOLVENTE",INVENTARIO!C311)),"SOL",
IF(ISNUMBER(SEARCH("TINTA",INVENTARIO!C311)),"TIN",
IF(ISNUMBER(SEARCH("ACRILICO",INVENTARIO!C311)),"ACR",
IF(ISNUMBER(SEARCH("MICROLED",INVENTARIO!C311)),"MIC",
IF(ISNUMBER(SEARCH("LED",INVENTARIO!C311)),"LED",
IF(ISNUMBER(SEARCH("FUENTE DE PODER",INVENTARIO!C311)),"FUE-POD",
IF(ISNUMBER(SEARCH("PETG",INVENTARIO!C311)),"PET",
IF(ISNUMBER(SEARCH("ALUMINIO",INVENTARIO!C311)),"ALU",
IF(ISNUMBER(SEARCH("CANAL",INVENTARIO!C311)),"CAN",
IF(ISNUMBER(SEARCH("ESCUADRA",INVENTARIO!C311)),"ESC",
IF(ISNUMBER(SEARCH("SOPORTE",INVENTARIO!C311)),"SOP","OTR")
))))))))))))))))))))))))))))))</f>
        <v>COU</v>
      </c>
      <c r="B311" t="str">
        <f>IF(ISNUMBER(SEARCH("CORTE",INVENTARIO!C311)),"COR",
IF(ISNUMBER(SEARCH("CITYLIGHT",INVENTARIO!C311)),"CIT",
IF(ISNUMBER(SEARCH("LINO",INVENTARIO!C311)),"LIN",
IF(ISNUMBER(SEARCH("FABRIANO",INVENTARIO!C311)),"FAB",
IF(ISNUMBER(SEARCH("SUNDANCE",INVENTARIO!C311)),"SUN",
IF(ISNUMBER(SEARCH("SINTETICA",INVENTARIO!C311)),"SIN",
IF(ISNUMBER(SEARCH("CONTROL",INVENTARIO!C311)),"CON",
IF(ISNUMBER(SEARCH("TERMICO",INVENTARIO!C311)),"TER",
IF(ISNUMBER(SEARCH("C-15",INVENTARIO!C311)),"C15",
IF(ISNUMBER(SEARCH("C-20",INVENTARIO!C311)),"C20",
IF(ISNUMBER(SEARCH("C-30",INVENTARIO!C311)),"C30",
IF(ISNUMBER(SEARCH("C-40",INVENTARIO!C311)),"C40",
IF(ISNUMBER(SEARCH("C-60",INVENTARIO!C311)),"C60",
IF(ISNUMBER(SEARCH("C-80",INVENTARIO!C311)),"C80",
IF(ISNUMBER(SEARCH("EQUIPO",INVENTARIO!C311)),"EQU",
IF(ISNUMBER(SEARCH("FLOOR",INVENTARIO!C311)),"FLO",
IF(ISNUMBER(SEARCH("CRISTAL",INVENTARIO!C311)),"CRI",
IF(ISNUMBER(SEARCH(" SULFATADA",INVENTARIO!C322)),"SUL",
IF(ISNUMBER(SEARCH("OPALINA",INVENTARIO!C311)),"OPA",
IF(ISNUMBER(SEARCH("ADHERIBLE",INVENTARIO!C311)),"ADH",
IF(ISNUMBER(SEARCH("MICRO",INVENTARIO!C311)),"MIC","")))))))))))))))))))))</f>
        <v>ADH</v>
      </c>
      <c r="C311" t="str">
        <f>IF(ISNUMBER(SEARCH("PARED",INVENTARIO!C311)),"PAR",
IF(ISNUMBER(SEARCH("FRONT",INVENTARIO!C311)),"FRO",
IF(ISNUMBER(SEARCH("ALTA RESISTENCIA",INVENTARIO!C311)),
"ALT-RES",IF(ISNUMBER(SEARCH("BACKLITE",INVENTARIO!C311)),"BAC",
IF(ISNUMBER(SEARCH("MATE",INVENTARIO!C311)),"MAT",
IF(ISNUMBER(SEARCH("MESH",INVENTARIO!C311)),"MES",
IF(ISNUMBER(SEARCH("BRILLANTE",INVENTARIO!C311)),"BRI",
IF(ISNUMBER(SEARCH("DELGADA",INVENTARIO!C311)),"DEL",
IF(ISNUMBER(SEARCH("GRUESA",INVENTARIO!C311)),"GRU",
IF(ISNUMBER(SEARCH("ESTATICO",INVENTARIO!C311)),"EST",
IF(ISNUMBER(SEARCH("REFLECTIVO",INVENTARIO!C311)),"REF",
IF(ISNUMBER(SEARCH("LX700",INVENTARIO!C311)),"LX7",
IF(ISNUMBER(SEARCH("GRANDO",INVENTARIO!C311)),"GRA",
IF(ISNUMBER(SEARCH("FB700",INVENTARIO!C311)),"FB7",
IF(ISNUMBER(SEARCH("LX360",INVENTARIO!C311)),"LX3",
IF(ISNUMBER(SEARCH("XEROX",INVENTARIO!C311)),"XER",
IF(ISNUMBER(SEARCH("CEPILLADO",INVENTARIO!C311)),"CEP",
IF(ISNUMBER(SEARCH("ESPEJO",INVENTARIO!C311)),"ESP",
IF(ISNUMBER(SEARCH("10 PTS",INVENTARIO!C311)),"10PT",
IF(ISNUMBER(SEARCH("12 PTS",INVENTARIO!C311)),"12PT",
IF(ISNUMBER(SEARCH("14 PTS",INVENTARIO!C311)),"14PT",
IF(ISNUMBER(SEARCH("CLASICO",INVENTARIO!C311)),"CLA",
""))))))))))))))))))))))</f>
        <v/>
      </c>
      <c r="D311" t="str">
        <f>IF(ISNUMBER(SEARCH("GRAN FORMATO",INVENTARIO!C311)),"GRA-FOR",
IF(ISNUMBER(SEARCH("CAMA PLANA",INVENTARIO!C311)),"CAM-PLA",
IF(ISNUMBER(SEARCH("GRADO INGENIERIA",INVENTARIO!C311)),"GRA-ING",
IF(ISNUMBER(SEARCH("130 GRS",INVENTARIO!C311)),"130GR",
IF(ISNUMBER(SEARCH("150 GRS",INVENTARIO!C311)),"150GR",
IF(ISNUMBER(SEARCH("185 GRS",INVENTARIO!C311)),"185GR",
IF(ISNUMBER(SEARCH("200 GRS",INVENTARIO!C311)),"200GR",
IF(ISNUMBER(SEARCH("250 GRS",INVENTARIO!C311)),"250GR",
IF(ISNUMBER(SEARCH("300 GRS",INVENTARIO!C311)),"300GR",
IF(ISNUMBER(SEARCH("350 GRS",INVENTARIO!C311)),"350GR",
IF(ISNUMBER(SEARCH("18 OZ",INVENTARIO!C311)),"18OZ",
IF(ISNUMBER(SEARCH("15 OZ",INVENTARIO!C311)),"15OZ",
IF(OR(ISNUMBER(SEARCH("13 OZ",INVENTARIO!C311)),ISNUMBER(SEARCH("13 ONZAS",INVENTARIO!C311))),"13OZ",
IF(OR(ISNUMBER(SEARCH("9 OZ",INVENTARIO!C311)),ISNUMBER(SEARCH("9 ONZAS",INVENTARIO!C311))),"09OZ",
IF(ISNUMBER(SEARCH("DOBLE CARA",INVENTARIO!C311)),"DOB-CAR",
"")))))))))))))))</f>
        <v>DOB-CAR</v>
      </c>
      <c r="E311" t="str">
        <f>IF(OR(ISNUMBER(SEARCH("TRANSPARENTE",INVENTARIO!C311)),ISNUMBER(SEARCH("TRANSPARENTES",INVENTARIO!C311))),"TRA",
IF(OR(ISNUMBER(SEARCH("BLANCO",INVENTARIO!C311)),ISNUMBER(SEARCH("BCO",INVENTARIO!C311))),"BLA",
IF(ISNUMBER(SEARCH("FOTOGRAFICO",INVENTARIO!C311)),"FOT",
IF(ISNUMBER(SEARCH("MARFIL",INVENTARIO!C311)),"MAR",
IF(ISNUMBER(SEARCH("VERDE",INVENTARIO!C311)),"VER",
IF(ISNUMBER(SEARCH("MORADO",INVENTARIO!C311)),"MOR",
IF(ISNUMBER(SEARCH("PLATA",INVENTARIO!C311)),"PLA",
IF(ISNUMBER(SEARCH("ORO",INVENTARIO!C311)),"ORO",
IF(ISNUMBER(SEARCH("AMARILLO",INVENTARIO!C311)),"AMA",
IF(ISNUMBER(SEARCH("NARANJA",INVENTARIO!C311)),"NAR",
IF(ISNUMBER(SEARCH("NEGRO",INVENTARIO!C311)),"NEG",
IF(ISNUMBER(SEARCH("ROJO",INVENTARIO!C311)),"ROJ",
IF(ISNUMBER(SEARCH("AZUL",INVENTARIO!C311)),"AZU","")))))))))))))</f>
        <v/>
      </c>
      <c r="F311" t="str">
        <f>IF(ISNUMBER(SEARCH("ARLON",INVENTARIO!C311)),"ARL",
IF(ISNUMBER(SEARCH("SUNTHINKS",INVENTARIO!C311)),"SUN",
IF(ISNUMBER(SEARCH("FRIO",INVENTARIO!C311)),"FRI",
IF(ISNUMBER(SEARCH("CALIDO",INVENTARIO!C311)),"CAL",
IF(ISNUMBER(SEARCH("CEPILLADO",INVENTARIO!C311)),"CEP",
IF(ISNUMBER(SEARCH("ESPEJO",INVENTARIO!C311)),"ESP",
""))))))</f>
        <v/>
      </c>
      <c r="G311" t="str">
        <f>IF(ISNUMBER(SEARCH("LATEX",INVENTARIO!C311)),"LAT",
IF(ISNUMBER(SEARCH("RESP. NEGRO",INVENTARIO!C311)),"RES-NEG",
IF(ISNUMBER(SEARCH("RESPALDO CAFE",INVENTARIO!C311)),"RES-CAF",
IF(ISNUMBER(SEARCH("RESPALDO GRIS",INVENTARIO!C311)),"RES-GRI",
IF(ISNUMBER(SEARCH("OPTICO",INVENTARIO!C311)),"OPT",
IF(ISNUMBER(SEARCH("1,2 MM",INVENTARIO!C311)),"1MM2",
IF(ISNUMBER(SEARCH("2 MM",INVENTARIO!C311)),"2MM",
IF(ISNUMBER(SEARCH("3 MM",INVENTARIO!C311)),"3MM",
IF(ISNUMBER(SEARCH("4 MM",INVENTARIO!C311)),"4MM",
IF(ISNUMBER(SEARCH("5 MM",INVENTARIO!C311)),"5MM",
IF(ISNUMBER(SEARCH("6 MM",INVENTARIO!C311)),"6MM",
IF(ISNUMBER(SEARCH("9 MM",INVENTARIO!C311)),"9MM",
IF(ISNUMBER(SEARCH("10 MM",INVENTARIO!C311)),"10MM","")))))))))))))</f>
        <v/>
      </c>
      <c r="H311" t="str">
        <f>IF(ISNUMBER(SEARCH("GAMA BAJA",INVENTARIO!C311)),"GAM-BAJ",
IF(ISNUMBER(SEARCH("OPTIMIZADOR",INVENTARIO!C311)),"OPT",
IF(ISNUMBER(SEARCH("OVERCOAT",INVENTARIO!C311)),"OVE",
IF(ISNUMBER(SEARCH("WHITE",INVENTARIO!C311)),"WHI",
IF(ISNUMBER(SEARCH("LIGHT CYAN",INVENTARIO!C311)),"LIG-CYA",
IF(ISNUMBER(SEARCH("CYAN",INVENTARIO!C311)),"CYA",
IF(ISNUMBER(SEARCH("LIGHT MAGENTA",INVENTARIO!C311)),"LIG-MAG",
IF(ISNUMBER(SEARCH("MAGENTA",INVENTARIO!C311)),"MAG",
IF(ISNUMBER(SEARCH("BLACK",INVENTARIO!C311)),"BLA",
IF(ISNUMBER(SEARCH("YELLOW",INVENTARIO!C311)),"YEL",
IF(ISNUMBER(SEARCH("2 DIODOS",INVENTARIO!C311)),"2DI",
IF(ISNUMBER(SEARCH("3 DIODOS",INVENTARIO!C311)),"3DI",
IF(OR(ISNUMBER(SEARCH("TRASLUCIDO",INVENTARIO!C311)),ISNUMBER(SEARCH("TRANSLUCIDO",INVENTARIO!C311))),"TRA",
"")))))))))))))</f>
        <v/>
      </c>
    </row>
    <row r="312" spans="1:8">
      <c r="A312" t="str">
        <f>IF(ISNUMBER(SEARCH("LONA",INVENTARIO!C312)),"LON",
IF(ISNUMBER(SEARCH("VINIL",INVENTARIO!C312)),"VIN",
IF(ISNUMBER(SEARCH("KROMACOTE",INVENTARIO!C312)),"KRO",
IF(ISNUMBER(SEARCH("STARDREAM",INVENTARIO!C312)),"STA",
IF(ISNUMBER(SEARCH("DISPLAY",INVENTARIO!C312)),"DIS",
IF(ISNUMBER(SEARCH("ROLL UP",INVENTARIO!C312)),"ROL-UP",
IF(ISNUMBER(SEARCH("TRANSFER DE PAPEL",INVENTARIO!C312)),"TRA-PAP",
IF(ISNUMBER(SEARCH("TRANSFER",INVENTARIO!C312)),"TRA",IF(ISNUMBER(SEARCH("KOLA LOKA",INVENTARIO!C312)),"KOL-LOK",
IF(ISNUMBER(SEARCH("PETG",INVENTARIO!C312)),"PET",
IF(ISNUMBER(SEARCH("OJILLO",INVENTARIO!C312)),"OJI",
IF(ISNUMBER(SEARCH("COUCHE",INVENTARIO!C312)),"COU",
IF(ISNUMBER(SEARCH("PANEL DE ALUMINIO",INVENTARIO!C312)),"PAN-ALU",
IF(ISNUMBER(SEARCH("PVC",INVENTARIO!C312)),"PVC",
IF(ISNUMBER(SEARCH("PAPEL",INVENTARIO!C312)),"PAP",
IF(ISNUMBER(SEARCH("TELA",INVENTARIO!C312)),"TEL",
IF(ISNUMBER(SEARCH("CARTULINA",INVENTARIO!C312)),"CAR",
IF(OR(ISNUMBER(SEARCH("LAMINA",INVENTARIO!C312)),ISNUMBER(SEARCH("LÁMINA",INVENTARIO!C312)),ISNUMBER(SEARCH("LAMPARAS",INVENTARIO!C312))),"LAM",
IF(ISNUMBER(SEARCH("ESTIRENO",INVENTARIO!C312)),"EST",
IF(ISNUMBER(SEARCH("FOAMBOARD",INVENTARIO!C312)),"FOA",
IF(ISNUMBER(SEARCH("SOLVENTE",INVENTARIO!C312)),"SOL",
IF(ISNUMBER(SEARCH("TINTA",INVENTARIO!C312)),"TIN",
IF(ISNUMBER(SEARCH("ACRILICO",INVENTARIO!C312)),"ACR",
IF(ISNUMBER(SEARCH("MICROLED",INVENTARIO!C312)),"MIC",
IF(ISNUMBER(SEARCH("LED",INVENTARIO!C312)),"LED",
IF(ISNUMBER(SEARCH("FUENTE DE PODER",INVENTARIO!C312)),"FUE-POD",
IF(ISNUMBER(SEARCH("PETG",INVENTARIO!C312)),"PET",
IF(ISNUMBER(SEARCH("ALUMINIO",INVENTARIO!C312)),"ALU",
IF(ISNUMBER(SEARCH("CANAL",INVENTARIO!C312)),"CAN",
IF(ISNUMBER(SEARCH("ESCUADRA",INVENTARIO!C312)),"ESC",
IF(ISNUMBER(SEARCH("SOPORTE",INVENTARIO!C312)),"SOP","OTR")
))))))))))))))))))))))))))))))</f>
        <v>COU</v>
      </c>
      <c r="B312" t="str">
        <f>IF(ISNUMBER(SEARCH("CORTE",INVENTARIO!C312)),"COR",
IF(ISNUMBER(SEARCH("CITYLIGHT",INVENTARIO!C312)),"CIT",
IF(ISNUMBER(SEARCH("LINO",INVENTARIO!C312)),"LIN",
IF(ISNUMBER(SEARCH("FABRIANO",INVENTARIO!C312)),"FAB",
IF(ISNUMBER(SEARCH("SUNDANCE",INVENTARIO!C312)),"SUN",
IF(ISNUMBER(SEARCH("SINTETICA",INVENTARIO!C312)),"SIN",
IF(ISNUMBER(SEARCH("CONTROL",INVENTARIO!C312)),"CON",
IF(ISNUMBER(SEARCH("TERMICO",INVENTARIO!C312)),"TER",
IF(ISNUMBER(SEARCH("C-15",INVENTARIO!C312)),"C15",
IF(ISNUMBER(SEARCH("C-20",INVENTARIO!C312)),"C20",
IF(ISNUMBER(SEARCH("C-30",INVENTARIO!C312)),"C30",
IF(ISNUMBER(SEARCH("C-40",INVENTARIO!C312)),"C40",
IF(ISNUMBER(SEARCH("C-60",INVENTARIO!C312)),"C60",
IF(ISNUMBER(SEARCH("C-80",INVENTARIO!C312)),"C80",
IF(ISNUMBER(SEARCH("EQUIPO",INVENTARIO!C312)),"EQU",
IF(ISNUMBER(SEARCH("FLOOR",INVENTARIO!C312)),"FLO",
IF(ISNUMBER(SEARCH("CRISTAL",INVENTARIO!C312)),"CRI",
IF(ISNUMBER(SEARCH(" SULFATADA",INVENTARIO!C323)),"SUL",
IF(ISNUMBER(SEARCH("OPALINA",INVENTARIO!C312)),"OPA",
IF(ISNUMBER(SEARCH("ADHERIBLE",INVENTARIO!C312)),"ADH",
IF(ISNUMBER(SEARCH("MICRO",INVENTARIO!C312)),"MIC","")))))))))))))))))))))</f>
        <v>ADH</v>
      </c>
      <c r="C312" t="str">
        <f>IF(ISNUMBER(SEARCH("PARED",INVENTARIO!C312)),"PAR",
IF(ISNUMBER(SEARCH("FRONT",INVENTARIO!C312)),"FRO",
IF(ISNUMBER(SEARCH("ALTA RESISTENCIA",INVENTARIO!C312)),
"ALT-RES",IF(ISNUMBER(SEARCH("BACKLITE",INVENTARIO!C312)),"BAC",
IF(ISNUMBER(SEARCH("MATE",INVENTARIO!C312)),"MAT",
IF(ISNUMBER(SEARCH("MESH",INVENTARIO!C312)),"MES",
IF(ISNUMBER(SEARCH("BRILLANTE",INVENTARIO!C312)),"BRI",
IF(ISNUMBER(SEARCH("DELGADA",INVENTARIO!C312)),"DEL",
IF(ISNUMBER(SEARCH("GRUESA",INVENTARIO!C312)),"GRU",
IF(ISNUMBER(SEARCH("ESTATICO",INVENTARIO!C312)),"EST",
IF(ISNUMBER(SEARCH("REFLECTIVO",INVENTARIO!C312)),"REF",
IF(ISNUMBER(SEARCH("LX700",INVENTARIO!C312)),"LX7",
IF(ISNUMBER(SEARCH("GRANDO",INVENTARIO!C312)),"GRA",
IF(ISNUMBER(SEARCH("FB700",INVENTARIO!C312)),"FB7",
IF(ISNUMBER(SEARCH("LX360",INVENTARIO!C312)),"LX3",
IF(ISNUMBER(SEARCH("XEROX",INVENTARIO!C312)),"XER",
IF(ISNUMBER(SEARCH("CEPILLADO",INVENTARIO!C312)),"CEP",
IF(ISNUMBER(SEARCH("ESPEJO",INVENTARIO!C312)),"ESP",
IF(ISNUMBER(SEARCH("10 PTS",INVENTARIO!C312)),"10PT",
IF(ISNUMBER(SEARCH("12 PTS",INVENTARIO!C312)),"12PT",
IF(ISNUMBER(SEARCH("14 PTS",INVENTARIO!C312)),"14PT",
IF(ISNUMBER(SEARCH("CLASICO",INVENTARIO!C312)),"CLA",
""))))))))))))))))))))))</f>
        <v>MAT</v>
      </c>
      <c r="D312" t="str">
        <f>IF(ISNUMBER(SEARCH("GRAN FORMATO",INVENTARIO!C312)),"GRA-FOR",
IF(ISNUMBER(SEARCH("CAMA PLANA",INVENTARIO!C312)),"CAM-PLA",
IF(ISNUMBER(SEARCH("GRADO INGENIERIA",INVENTARIO!C312)),"GRA-ING",
IF(ISNUMBER(SEARCH("130 GRS",INVENTARIO!C312)),"130GR",
IF(ISNUMBER(SEARCH("150 GRS",INVENTARIO!C312)),"150GR",
IF(ISNUMBER(SEARCH("185 GRS",INVENTARIO!C312)),"185GR",
IF(ISNUMBER(SEARCH("200 GRS",INVENTARIO!C312)),"200GR",
IF(ISNUMBER(SEARCH("250 GRS",INVENTARIO!C312)),"250GR",
IF(ISNUMBER(SEARCH("300 GRS",INVENTARIO!C312)),"300GR",
IF(ISNUMBER(SEARCH("350 GRS",INVENTARIO!C312)),"350GR",
IF(ISNUMBER(SEARCH("18 OZ",INVENTARIO!C312)),"18OZ",
IF(ISNUMBER(SEARCH("15 OZ",INVENTARIO!C312)),"15OZ",
IF(OR(ISNUMBER(SEARCH("13 OZ",INVENTARIO!C312)),ISNUMBER(SEARCH("13 ONZAS",INVENTARIO!C312))),"13OZ",
IF(OR(ISNUMBER(SEARCH("9 OZ",INVENTARIO!C312)),ISNUMBER(SEARCH("9 ONZAS",INVENTARIO!C312))),"09OZ",
IF(ISNUMBER(SEARCH("DOBLE CARA",INVENTARIO!C312)),"DOB-CAR",
"")))))))))))))))</f>
        <v/>
      </c>
      <c r="E312" t="str">
        <f>IF(OR(ISNUMBER(SEARCH("TRANSPARENTE",INVENTARIO!C312)),ISNUMBER(SEARCH("TRANSPARENTES",INVENTARIO!C312))),"TRA",
IF(OR(ISNUMBER(SEARCH("BLANCO",INVENTARIO!C312)),ISNUMBER(SEARCH("BCO",INVENTARIO!C312))),"BLA",
IF(ISNUMBER(SEARCH("FOTOGRAFICO",INVENTARIO!C312)),"FOT",
IF(ISNUMBER(SEARCH("MARFIL",INVENTARIO!C312)),"MAR",
IF(ISNUMBER(SEARCH("VERDE",INVENTARIO!C312)),"VER",
IF(ISNUMBER(SEARCH("MORADO",INVENTARIO!C312)),"MOR",
IF(ISNUMBER(SEARCH("PLATA",INVENTARIO!C312)),"PLA",
IF(ISNUMBER(SEARCH("ORO",INVENTARIO!C312)),"ORO",
IF(ISNUMBER(SEARCH("AMARILLO",INVENTARIO!C312)),"AMA",
IF(ISNUMBER(SEARCH("NARANJA",INVENTARIO!C312)),"NAR",
IF(ISNUMBER(SEARCH("NEGRO",INVENTARIO!C312)),"NEG",
IF(ISNUMBER(SEARCH("ROJO",INVENTARIO!C312)),"ROJ",
IF(ISNUMBER(SEARCH("AZUL",INVENTARIO!C312)),"AZU","")))))))))))))</f>
        <v/>
      </c>
      <c r="F312" t="str">
        <f>IF(ISNUMBER(SEARCH("ARLON",INVENTARIO!C312)),"ARL",
IF(ISNUMBER(SEARCH("SUNTHINKS",INVENTARIO!C312)),"SUN",
IF(ISNUMBER(SEARCH("FRIO",INVENTARIO!C312)),"FRI",
IF(ISNUMBER(SEARCH("CALIDO",INVENTARIO!C312)),"CAL",
IF(ISNUMBER(SEARCH("CEPILLADO",INVENTARIO!C312)),"CEP",
IF(ISNUMBER(SEARCH("ESPEJO",INVENTARIO!C312)),"ESP",
""))))))</f>
        <v/>
      </c>
      <c r="G312" t="str">
        <f>IF(ISNUMBER(SEARCH("LATEX",INVENTARIO!C312)),"LAT",
IF(ISNUMBER(SEARCH("RESP. NEGRO",INVENTARIO!C312)),"RES-NEG",
IF(ISNUMBER(SEARCH("RESPALDO CAFE",INVENTARIO!C312)),"RES-CAF",
IF(ISNUMBER(SEARCH("RESPALDO GRIS",INVENTARIO!C312)),"RES-GRI",
IF(ISNUMBER(SEARCH("OPTICO",INVENTARIO!C312)),"OPT",
IF(ISNUMBER(SEARCH("1,2 MM",INVENTARIO!C312)),"1MM2",
IF(ISNUMBER(SEARCH("2 MM",INVENTARIO!C312)),"2MM",
IF(ISNUMBER(SEARCH("3 MM",INVENTARIO!C312)),"3MM",
IF(ISNUMBER(SEARCH("4 MM",INVENTARIO!C312)),"4MM",
IF(ISNUMBER(SEARCH("5 MM",INVENTARIO!C312)),"5MM",
IF(ISNUMBER(SEARCH("6 MM",INVENTARIO!C312)),"6MM",
IF(ISNUMBER(SEARCH("9 MM",INVENTARIO!C312)),"9MM",
IF(ISNUMBER(SEARCH("10 MM",INVENTARIO!C312)),"10MM","")))))))))))))</f>
        <v/>
      </c>
      <c r="H312" t="str">
        <f>IF(ISNUMBER(SEARCH("GAMA BAJA",INVENTARIO!C312)),"GAM-BAJ",
IF(ISNUMBER(SEARCH("OPTIMIZADOR",INVENTARIO!C312)),"OPT",
IF(ISNUMBER(SEARCH("OVERCOAT",INVENTARIO!C312)),"OVE",
IF(ISNUMBER(SEARCH("WHITE",INVENTARIO!C312)),"WHI",
IF(ISNUMBER(SEARCH("LIGHT CYAN",INVENTARIO!C312)),"LIG-CYA",
IF(ISNUMBER(SEARCH("CYAN",INVENTARIO!C312)),"CYA",
IF(ISNUMBER(SEARCH("LIGHT MAGENTA",INVENTARIO!C312)),"LIG-MAG",
IF(ISNUMBER(SEARCH("MAGENTA",INVENTARIO!C312)),"MAG",
IF(ISNUMBER(SEARCH("BLACK",INVENTARIO!C312)),"BLA",
IF(ISNUMBER(SEARCH("YELLOW",INVENTARIO!C312)),"YEL",
IF(ISNUMBER(SEARCH("2 DIODOS",INVENTARIO!C312)),"2DI",
IF(ISNUMBER(SEARCH("3 DIODOS",INVENTARIO!C312)),"3DI",
IF(OR(ISNUMBER(SEARCH("TRASLUCIDO",INVENTARIO!C312)),ISNUMBER(SEARCH("TRANSLUCIDO",INVENTARIO!C312))),"TRA",
"")))))))))))))</f>
        <v/>
      </c>
    </row>
    <row r="313" spans="1:8">
      <c r="A313" t="str">
        <f>IF(ISNUMBER(SEARCH("LONA",INVENTARIO!C313)),"LON",
IF(ISNUMBER(SEARCH("VINIL",INVENTARIO!C313)),"VIN",
IF(ISNUMBER(SEARCH("KROMACOTE",INVENTARIO!C313)),"KRO",
IF(ISNUMBER(SEARCH("STARDREAM",INVENTARIO!C313)),"STA",
IF(ISNUMBER(SEARCH("DISPLAY",INVENTARIO!C313)),"DIS",
IF(ISNUMBER(SEARCH("ROLL UP",INVENTARIO!C313)),"ROL-UP",
IF(ISNUMBER(SEARCH("TRANSFER DE PAPEL",INVENTARIO!C313)),"TRA-PAP",
IF(ISNUMBER(SEARCH("TRANSFER",INVENTARIO!C313)),"TRA",IF(ISNUMBER(SEARCH("KOLA LOKA",INVENTARIO!C313)),"KOL-LOK",
IF(ISNUMBER(SEARCH("PETG",INVENTARIO!C313)),"PET",
IF(ISNUMBER(SEARCH("OJILLO",INVENTARIO!C313)),"OJI",
IF(ISNUMBER(SEARCH("COUCHE",INVENTARIO!C313)),"COU",
IF(ISNUMBER(SEARCH("PANEL DE ALUMINIO",INVENTARIO!C313)),"PAN-ALU",
IF(ISNUMBER(SEARCH("PVC",INVENTARIO!C313)),"PVC",
IF(ISNUMBER(SEARCH("PAPEL",INVENTARIO!C313)),"PAP",
IF(ISNUMBER(SEARCH("TELA",INVENTARIO!C313)),"TEL",
IF(ISNUMBER(SEARCH("CARTULINA",INVENTARIO!C313)),"CAR",
IF(OR(ISNUMBER(SEARCH("LAMINA",INVENTARIO!C313)),ISNUMBER(SEARCH("LÁMINA",INVENTARIO!C313)),ISNUMBER(SEARCH("LAMPARAS",INVENTARIO!C313))),"LAM",
IF(ISNUMBER(SEARCH("ESTIRENO",INVENTARIO!C313)),"EST",
IF(ISNUMBER(SEARCH("FOAMBOARD",INVENTARIO!C313)),"FOA",
IF(ISNUMBER(SEARCH("SOLVENTE",INVENTARIO!C313)),"SOL",
IF(ISNUMBER(SEARCH("TINTA",INVENTARIO!C313)),"TIN",
IF(ISNUMBER(SEARCH("ACRILICO",INVENTARIO!C313)),"ACR",
IF(ISNUMBER(SEARCH("MICROLED",INVENTARIO!C313)),"MIC",
IF(ISNUMBER(SEARCH("LED",INVENTARIO!C313)),"LED",
IF(ISNUMBER(SEARCH("FUENTE DE PODER",INVENTARIO!C313)),"FUE-POD",
IF(ISNUMBER(SEARCH("PETG",INVENTARIO!C313)),"PET",
IF(ISNUMBER(SEARCH("ALUMINIO",INVENTARIO!C313)),"ALU",
IF(ISNUMBER(SEARCH("CANAL",INVENTARIO!C313)),"CAN",
IF(ISNUMBER(SEARCH("ESCUADRA",INVENTARIO!C313)),"ESC",
IF(ISNUMBER(SEARCH("SOPORTE",INVENTARIO!C313)),"SOP","OTR")
))))))))))))))))))))))))))))))</f>
        <v>OTR</v>
      </c>
      <c r="B313" t="str">
        <f>IF(ISNUMBER(SEARCH("CORTE",INVENTARIO!C313)),"COR",
IF(ISNUMBER(SEARCH("CITYLIGHT",INVENTARIO!C313)),"CIT",
IF(ISNUMBER(SEARCH("LINO",INVENTARIO!C313)),"LIN",
IF(ISNUMBER(SEARCH("FABRIANO",INVENTARIO!C313)),"FAB",
IF(ISNUMBER(SEARCH("SUNDANCE",INVENTARIO!C313)),"SUN",
IF(ISNUMBER(SEARCH("SINTETICA",INVENTARIO!C313)),"SIN",
IF(ISNUMBER(SEARCH("CONTROL",INVENTARIO!C313)),"CON",
IF(ISNUMBER(SEARCH("TERMICO",INVENTARIO!C313)),"TER",
IF(ISNUMBER(SEARCH("C-15",INVENTARIO!C313)),"C15",
IF(ISNUMBER(SEARCH("C-20",INVENTARIO!C313)),"C20",
IF(ISNUMBER(SEARCH("C-30",INVENTARIO!C313)),"C30",
IF(ISNUMBER(SEARCH("C-40",INVENTARIO!C313)),"C40",
IF(ISNUMBER(SEARCH("C-60",INVENTARIO!C313)),"C60",
IF(ISNUMBER(SEARCH("C-80",INVENTARIO!C313)),"C80",
IF(ISNUMBER(SEARCH("EQUIPO",INVENTARIO!C313)),"EQU",
IF(ISNUMBER(SEARCH("FLOOR",INVENTARIO!C313)),"FLO",
IF(ISNUMBER(SEARCH("CRISTAL",INVENTARIO!C313)),"CRI",
IF(ISNUMBER(SEARCH(" SULFATADA",INVENTARIO!C324)),"SUL",
IF(ISNUMBER(SEARCH("OPALINA",INVENTARIO!C313)),"OPA",
IF(ISNUMBER(SEARCH("ADHERIBLE",INVENTARIO!C313)),"ADH",
IF(ISNUMBER(SEARCH("MICRO",INVENTARIO!C313)),"MIC","")))))))))))))))))))))</f>
        <v>ADH</v>
      </c>
      <c r="C313" t="str">
        <f>IF(ISNUMBER(SEARCH("PARED",INVENTARIO!C313)),"PAR",
IF(ISNUMBER(SEARCH("FRONT",INVENTARIO!C313)),"FRO",
IF(ISNUMBER(SEARCH("ALTA RESISTENCIA",INVENTARIO!C313)),
"ALT-RES",IF(ISNUMBER(SEARCH("BACKLITE",INVENTARIO!C313)),"BAC",
IF(ISNUMBER(SEARCH("MATE",INVENTARIO!C313)),"MAT",
IF(ISNUMBER(SEARCH("MESH",INVENTARIO!C313)),"MES",
IF(ISNUMBER(SEARCH("BRILLANTE",INVENTARIO!C313)),"BRI",
IF(ISNUMBER(SEARCH("DELGADA",INVENTARIO!C313)),"DEL",
IF(ISNUMBER(SEARCH("GRUESA",INVENTARIO!C313)),"GRU",
IF(ISNUMBER(SEARCH("ESTATICO",INVENTARIO!C313)),"EST",
IF(ISNUMBER(SEARCH("REFLECTIVO",INVENTARIO!C313)),"REF",
IF(ISNUMBER(SEARCH("LX700",INVENTARIO!C313)),"LX7",
IF(ISNUMBER(SEARCH("GRANDO",INVENTARIO!C313)),"GRA",
IF(ISNUMBER(SEARCH("FB700",INVENTARIO!C313)),"FB7",
IF(ISNUMBER(SEARCH("LX360",INVENTARIO!C313)),"LX3",
IF(ISNUMBER(SEARCH("XEROX",INVENTARIO!C313)),"XER",
IF(ISNUMBER(SEARCH("CEPILLADO",INVENTARIO!C313)),"CEP",
IF(ISNUMBER(SEARCH("ESPEJO",INVENTARIO!C313)),"ESP",
IF(ISNUMBER(SEARCH("10 PTS",INVENTARIO!C313)),"10PT",
IF(ISNUMBER(SEARCH("12 PTS",INVENTARIO!C313)),"12PT",
IF(ISNUMBER(SEARCH("14 PTS",INVENTARIO!C313)),"14PT",
IF(ISNUMBER(SEARCH("CLASICO",INVENTARIO!C313)),"CLA",
""))))))))))))))))))))))</f>
        <v/>
      </c>
      <c r="D313" t="str">
        <f>IF(ISNUMBER(SEARCH("GRAN FORMATO",INVENTARIO!C313)),"GRA-FOR",
IF(ISNUMBER(SEARCH("CAMA PLANA",INVENTARIO!C313)),"CAM-PLA",
IF(ISNUMBER(SEARCH("GRADO INGENIERIA",INVENTARIO!C313)),"GRA-ING",
IF(ISNUMBER(SEARCH("130 GRS",INVENTARIO!C313)),"130GR",
IF(ISNUMBER(SEARCH("150 GRS",INVENTARIO!C313)),"150GR",
IF(ISNUMBER(SEARCH("185 GRS",INVENTARIO!C313)),"185GR",
IF(ISNUMBER(SEARCH("200 GRS",INVENTARIO!C313)),"200GR",
IF(ISNUMBER(SEARCH("250 GRS",INVENTARIO!C313)),"250GR",
IF(ISNUMBER(SEARCH("300 GRS",INVENTARIO!C313)),"300GR",
IF(ISNUMBER(SEARCH("350 GRS",INVENTARIO!C313)),"350GR",
IF(ISNUMBER(SEARCH("18 OZ",INVENTARIO!C313)),"18OZ",
IF(ISNUMBER(SEARCH("15 OZ",INVENTARIO!C313)),"15OZ",
IF(OR(ISNUMBER(SEARCH("13 OZ",INVENTARIO!C313)),ISNUMBER(SEARCH("13 ONZAS",INVENTARIO!C313))),"13OZ",
IF(OR(ISNUMBER(SEARCH("9 OZ",INVENTARIO!C313)),ISNUMBER(SEARCH("9 ONZAS",INVENTARIO!C313))),"09OZ",
IF(ISNUMBER(SEARCH("DOBLE CARA",INVENTARIO!C313)),"DOB-CAR",
"")))))))))))))))</f>
        <v/>
      </c>
      <c r="E313" t="str">
        <f>IF(OR(ISNUMBER(SEARCH("TRANSPARENTE",INVENTARIO!C313)),ISNUMBER(SEARCH("TRANSPARENTES",INVENTARIO!C313))),"TRA",
IF(OR(ISNUMBER(SEARCH("BLANCO",INVENTARIO!C313)),ISNUMBER(SEARCH("BCO",INVENTARIO!C313))),"BLA",
IF(ISNUMBER(SEARCH("FOTOGRAFICO",INVENTARIO!C313)),"FOT",
IF(ISNUMBER(SEARCH("MARFIL",INVENTARIO!C313)),"MAR",
IF(ISNUMBER(SEARCH("VERDE",INVENTARIO!C313)),"VER",
IF(ISNUMBER(SEARCH("MORADO",INVENTARIO!C313)),"MOR",
IF(ISNUMBER(SEARCH("PLATA",INVENTARIO!C313)),"PLA",
IF(ISNUMBER(SEARCH("ORO",INVENTARIO!C313)),"ORO",
IF(ISNUMBER(SEARCH("AMARILLO",INVENTARIO!C313)),"AMA",
IF(ISNUMBER(SEARCH("NARANJA",INVENTARIO!C313)),"NAR",
IF(ISNUMBER(SEARCH("NEGRO",INVENTARIO!C313)),"NEG",
IF(ISNUMBER(SEARCH("ROJO",INVENTARIO!C313)),"ROJ",
IF(ISNUMBER(SEARCH("AZUL",INVENTARIO!C313)),"AZU","")))))))))))))</f>
        <v/>
      </c>
      <c r="F313" t="str">
        <f>IF(ISNUMBER(SEARCH("ARLON",INVENTARIO!C313)),"ARL",
IF(ISNUMBER(SEARCH("SUNTHINKS",INVENTARIO!C313)),"SUN",
IF(ISNUMBER(SEARCH("FRIO",INVENTARIO!C313)),"FRI",
IF(ISNUMBER(SEARCH("CALIDO",INVENTARIO!C313)),"CAL",
IF(ISNUMBER(SEARCH("CEPILLADO",INVENTARIO!C313)),"CEP",
IF(ISNUMBER(SEARCH("ESPEJO",INVENTARIO!C313)),"ESP",
""))))))</f>
        <v/>
      </c>
      <c r="G313" t="str">
        <f>IF(ISNUMBER(SEARCH("LATEX",INVENTARIO!C313)),"LAT",
IF(ISNUMBER(SEARCH("RESP. NEGRO",INVENTARIO!C313)),"RES-NEG",
IF(ISNUMBER(SEARCH("RESPALDO CAFE",INVENTARIO!C313)),"RES-CAF",
IF(ISNUMBER(SEARCH("RESPALDO GRIS",INVENTARIO!C313)),"RES-GRI",
IF(ISNUMBER(SEARCH("OPTICO",INVENTARIO!C313)),"OPT",
IF(ISNUMBER(SEARCH("1,2 MM",INVENTARIO!C313)),"1MM2",
IF(ISNUMBER(SEARCH("2 MM",INVENTARIO!C313)),"2MM",
IF(ISNUMBER(SEARCH("3 MM",INVENTARIO!C313)),"3MM",
IF(ISNUMBER(SEARCH("4 MM",INVENTARIO!C313)),"4MM",
IF(ISNUMBER(SEARCH("5 MM",INVENTARIO!C313)),"5MM",
IF(ISNUMBER(SEARCH("6 MM",INVENTARIO!C313)),"6MM",
IF(ISNUMBER(SEARCH("9 MM",INVENTARIO!C313)),"9MM",
IF(ISNUMBER(SEARCH("10 MM",INVENTARIO!C313)),"10MM","")))))))))))))</f>
        <v/>
      </c>
      <c r="H313" t="str">
        <f>IF(ISNUMBER(SEARCH("GAMA BAJA",INVENTARIO!C313)),"GAM-BAJ",
IF(ISNUMBER(SEARCH("OPTIMIZADOR",INVENTARIO!C313)),"OPT",
IF(ISNUMBER(SEARCH("OVERCOAT",INVENTARIO!C313)),"OVE",
IF(ISNUMBER(SEARCH("WHITE",INVENTARIO!C313)),"WHI",
IF(ISNUMBER(SEARCH("LIGHT CYAN",INVENTARIO!C313)),"LIG-CYA",
IF(ISNUMBER(SEARCH("CYAN",INVENTARIO!C313)),"CYA",
IF(ISNUMBER(SEARCH("LIGHT MAGENTA",INVENTARIO!C313)),"LIG-MAG",
IF(ISNUMBER(SEARCH("MAGENTA",INVENTARIO!C313)),"MAG",
IF(ISNUMBER(SEARCH("BLACK",INVENTARIO!C313)),"BLA",
IF(ISNUMBER(SEARCH("YELLOW",INVENTARIO!C313)),"YEL",
IF(ISNUMBER(SEARCH("2 DIODOS",INVENTARIO!C313)),"2DI",
IF(ISNUMBER(SEARCH("3 DIODOS",INVENTARIO!C313)),"3DI",
IF(OR(ISNUMBER(SEARCH("TRASLUCIDO",INVENTARIO!C313)),ISNUMBER(SEARCH("TRANSLUCIDO",INVENTARIO!C313))),"TRA",
"")))))))))))))</f>
        <v/>
      </c>
    </row>
    <row r="314" spans="1:8">
      <c r="A314" t="str">
        <f>IF(ISNUMBER(SEARCH("LONA",INVENTARIO!C314)),"LON",
IF(ISNUMBER(SEARCH("VINIL",INVENTARIO!C314)),"VIN",
IF(ISNUMBER(SEARCH("KROMACOTE",INVENTARIO!C314)),"KRO",
IF(ISNUMBER(SEARCH("STARDREAM",INVENTARIO!C314)),"STA",
IF(ISNUMBER(SEARCH("DISPLAY",INVENTARIO!C314)),"DIS",
IF(ISNUMBER(SEARCH("ROLL UP",INVENTARIO!C314)),"ROL-UP",
IF(ISNUMBER(SEARCH("TRANSFER DE PAPEL",INVENTARIO!C314)),"TRA-PAP",
IF(ISNUMBER(SEARCH("TRANSFER",INVENTARIO!C314)),"TRA",IF(ISNUMBER(SEARCH("KOLA LOKA",INVENTARIO!C314)),"KOL-LOK",
IF(ISNUMBER(SEARCH("PETG",INVENTARIO!C314)),"PET",
IF(ISNUMBER(SEARCH("OJILLO",INVENTARIO!C314)),"OJI",
IF(ISNUMBER(SEARCH("COUCHE",INVENTARIO!C314)),"COU",
IF(ISNUMBER(SEARCH("PANEL DE ALUMINIO",INVENTARIO!C314)),"PAN-ALU",
IF(ISNUMBER(SEARCH("PVC",INVENTARIO!C314)),"PVC",
IF(ISNUMBER(SEARCH("PAPEL",INVENTARIO!C314)),"PAP",
IF(ISNUMBER(SEARCH("TELA",INVENTARIO!C314)),"TEL",
IF(ISNUMBER(SEARCH("CARTULINA",INVENTARIO!C314)),"CAR",
IF(OR(ISNUMBER(SEARCH("LAMINA",INVENTARIO!C314)),ISNUMBER(SEARCH("LÁMINA",INVENTARIO!C314)),ISNUMBER(SEARCH("LAMPARAS",INVENTARIO!C314))),"LAM",
IF(ISNUMBER(SEARCH("ESTIRENO",INVENTARIO!C314)),"EST",
IF(ISNUMBER(SEARCH("FOAMBOARD",INVENTARIO!C314)),"FOA",
IF(ISNUMBER(SEARCH("SOLVENTE",INVENTARIO!C314)),"SOL",
IF(ISNUMBER(SEARCH("TINTA",INVENTARIO!C314)),"TIN",
IF(ISNUMBER(SEARCH("ACRILICO",INVENTARIO!C314)),"ACR",
IF(ISNUMBER(SEARCH("MICROLED",INVENTARIO!C314)),"MIC",
IF(ISNUMBER(SEARCH("LED",INVENTARIO!C314)),"LED",
IF(ISNUMBER(SEARCH("FUENTE DE PODER",INVENTARIO!C314)),"FUE-POD",
IF(ISNUMBER(SEARCH("PETG",INVENTARIO!C314)),"PET",
IF(ISNUMBER(SEARCH("ALUMINIO",INVENTARIO!C314)),"ALU",
IF(ISNUMBER(SEARCH("CANAL",INVENTARIO!C314)),"CAN",
IF(ISNUMBER(SEARCH("ESCUADRA",INVENTARIO!C314)),"ESC",
IF(ISNUMBER(SEARCH("SOPORTE",INVENTARIO!C314)),"SOP","OTR")
))))))))))))))))))))))))))))))</f>
        <v>STA</v>
      </c>
      <c r="B314" t="str">
        <f>IF(ISNUMBER(SEARCH("CORTE",INVENTARIO!C314)),"COR",
IF(ISNUMBER(SEARCH("CITYLIGHT",INVENTARIO!C314)),"CIT",
IF(ISNUMBER(SEARCH("LINO",INVENTARIO!C314)),"LIN",
IF(ISNUMBER(SEARCH("FABRIANO",INVENTARIO!C314)),"FAB",
IF(ISNUMBER(SEARCH("SUNDANCE",INVENTARIO!C314)),"SUN",
IF(ISNUMBER(SEARCH("SINTETICA",INVENTARIO!C314)),"SIN",
IF(ISNUMBER(SEARCH("CONTROL",INVENTARIO!C314)),"CON",
IF(ISNUMBER(SEARCH("TERMICO",INVENTARIO!C314)),"TER",
IF(ISNUMBER(SEARCH("C-15",INVENTARIO!C314)),"C15",
IF(ISNUMBER(SEARCH("C-20",INVENTARIO!C314)),"C20",
IF(ISNUMBER(SEARCH("C-30",INVENTARIO!C314)),"C30",
IF(ISNUMBER(SEARCH("C-40",INVENTARIO!C314)),"C40",
IF(ISNUMBER(SEARCH("C-60",INVENTARIO!C314)),"C60",
IF(ISNUMBER(SEARCH("C-80",INVENTARIO!C314)),"C80",
IF(ISNUMBER(SEARCH("EQUIPO",INVENTARIO!C314)),"EQU",
IF(ISNUMBER(SEARCH("FLOOR",INVENTARIO!C314)),"FLO",
IF(ISNUMBER(SEARCH("CRISTAL",INVENTARIO!C314)),"CRI",
IF(ISNUMBER(SEARCH(" SULFATADA",INVENTARIO!C325)),"SUL",
IF(ISNUMBER(SEARCH("OPALINA",INVENTARIO!C314)),"OPA",
IF(ISNUMBER(SEARCH("ADHERIBLE",INVENTARIO!C314)),"ADH",
IF(ISNUMBER(SEARCH("MICRO",INVENTARIO!C314)),"MIC","")))))))))))))))))))))</f>
        <v/>
      </c>
      <c r="C314" t="str">
        <f>IF(ISNUMBER(SEARCH("PARED",INVENTARIO!C314)),"PAR",
IF(ISNUMBER(SEARCH("FRONT",INVENTARIO!C314)),"FRO",
IF(ISNUMBER(SEARCH("ALTA RESISTENCIA",INVENTARIO!C314)),
"ALT-RES",IF(ISNUMBER(SEARCH("BACKLITE",INVENTARIO!C314)),"BAC",
IF(ISNUMBER(SEARCH("MATE",INVENTARIO!C314)),"MAT",
IF(ISNUMBER(SEARCH("MESH",INVENTARIO!C314)),"MES",
IF(ISNUMBER(SEARCH("BRILLANTE",INVENTARIO!C314)),"BRI",
IF(ISNUMBER(SEARCH("DELGADA",INVENTARIO!C314)),"DEL",
IF(ISNUMBER(SEARCH("GRUESA",INVENTARIO!C314)),"GRU",
IF(ISNUMBER(SEARCH("ESTATICO",INVENTARIO!C314)),"EST",
IF(ISNUMBER(SEARCH("REFLECTIVO",INVENTARIO!C314)),"REF",
IF(ISNUMBER(SEARCH("LX700",INVENTARIO!C314)),"LX7",
IF(ISNUMBER(SEARCH("GRANDO",INVENTARIO!C314)),"GRA",
IF(ISNUMBER(SEARCH("FB700",INVENTARIO!C314)),"FB7",
IF(ISNUMBER(SEARCH("LX360",INVENTARIO!C314)),"LX3",
IF(ISNUMBER(SEARCH("XEROX",INVENTARIO!C314)),"XER",
IF(ISNUMBER(SEARCH("CEPILLADO",INVENTARIO!C314)),"CEP",
IF(ISNUMBER(SEARCH("ESPEJO",INVENTARIO!C314)),"ESP",
IF(ISNUMBER(SEARCH("10 PTS",INVENTARIO!C314)),"10PT",
IF(ISNUMBER(SEARCH("12 PTS",INVENTARIO!C314)),"12PT",
IF(ISNUMBER(SEARCH("14 PTS",INVENTARIO!C314)),"14PT",
IF(ISNUMBER(SEARCH("CLASICO",INVENTARIO!C314)),"CLA",
""))))))))))))))))))))))</f>
        <v/>
      </c>
      <c r="D314" t="str">
        <f>IF(ISNUMBER(SEARCH("GRAN FORMATO",INVENTARIO!C314)),"GRA-FOR",
IF(ISNUMBER(SEARCH("CAMA PLANA",INVENTARIO!C314)),"CAM-PLA",
IF(ISNUMBER(SEARCH("GRADO INGENIERIA",INVENTARIO!C314)),"GRA-ING",
IF(ISNUMBER(SEARCH("130 GRS",INVENTARIO!C314)),"130GR",
IF(ISNUMBER(SEARCH("150 GRS",INVENTARIO!C314)),"150GR",
IF(ISNUMBER(SEARCH("185 GRS",INVENTARIO!C314)),"185GR",
IF(ISNUMBER(SEARCH("200 GRS",INVENTARIO!C314)),"200GR",
IF(ISNUMBER(SEARCH("250 GRS",INVENTARIO!C314)),"250GR",
IF(ISNUMBER(SEARCH("300 GRS",INVENTARIO!C314)),"300GR",
IF(ISNUMBER(SEARCH("350 GRS",INVENTARIO!C314)),"350GR",
IF(ISNUMBER(SEARCH("18 OZ",INVENTARIO!C314)),"18OZ",
IF(ISNUMBER(SEARCH("15 OZ",INVENTARIO!C314)),"15OZ",
IF(OR(ISNUMBER(SEARCH("13 OZ",INVENTARIO!C314)),ISNUMBER(SEARCH("13 ONZAS",INVENTARIO!C314))),"13OZ",
IF(OR(ISNUMBER(SEARCH("9 OZ",INVENTARIO!C314)),ISNUMBER(SEARCH("9 ONZAS",INVENTARIO!C314))),"09OZ",
IF(ISNUMBER(SEARCH("DOBLE CARA",INVENTARIO!C314)),"DOB-CAR",
"")))))))))))))))</f>
        <v/>
      </c>
      <c r="E314" t="str">
        <f>IF(OR(ISNUMBER(SEARCH("TRANSPARENTE",INVENTARIO!C314)),ISNUMBER(SEARCH("TRANSPARENTES",INVENTARIO!C314))),"TRA",
IF(OR(ISNUMBER(SEARCH("BLANCO",INVENTARIO!C314)),ISNUMBER(SEARCH("BCO",INVENTARIO!C314))),"BLA",
IF(ISNUMBER(SEARCH("FOTOGRAFICO",INVENTARIO!C314)),"FOT",
IF(ISNUMBER(SEARCH("MARFIL",INVENTARIO!C314)),"MAR",
IF(ISNUMBER(SEARCH("VERDE",INVENTARIO!C314)),"VER",
IF(ISNUMBER(SEARCH("MORADO",INVENTARIO!C314)),"MOR",
IF(ISNUMBER(SEARCH("PLATA",INVENTARIO!C314)),"PLA",
IF(ISNUMBER(SEARCH("ORO",INVENTARIO!C314)),"ORO",
IF(ISNUMBER(SEARCH("AMARILLO",INVENTARIO!C314)),"AMA",
IF(ISNUMBER(SEARCH("NARANJA",INVENTARIO!C314)),"NAR",
IF(ISNUMBER(SEARCH("NEGRO",INVENTARIO!C314)),"NEG",
IF(ISNUMBER(SEARCH("ROJO",INVENTARIO!C314)),"ROJ",
IF(ISNUMBER(SEARCH("AZUL",INVENTARIO!C314)),"AZU","")))))))))))))</f>
        <v>MAR</v>
      </c>
      <c r="F314" t="str">
        <f>IF(ISNUMBER(SEARCH("ARLON",INVENTARIO!C314)),"ARL",
IF(ISNUMBER(SEARCH("SUNTHINKS",INVENTARIO!C314)),"SUN",
IF(ISNUMBER(SEARCH("FRIO",INVENTARIO!C314)),"FRI",
IF(ISNUMBER(SEARCH("CALIDO",INVENTARIO!C314)),"CAL",
IF(ISNUMBER(SEARCH("CEPILLADO",INVENTARIO!C314)),"CEP",
IF(ISNUMBER(SEARCH("ESPEJO",INVENTARIO!C314)),"ESP",
""))))))</f>
        <v/>
      </c>
      <c r="G314" t="str">
        <f>IF(ISNUMBER(SEARCH("LATEX",INVENTARIO!C314)),"LAT",
IF(ISNUMBER(SEARCH("RESP. NEGRO",INVENTARIO!C314)),"RES-NEG",
IF(ISNUMBER(SEARCH("RESPALDO CAFE",INVENTARIO!C314)),"RES-CAF",
IF(ISNUMBER(SEARCH("RESPALDO GRIS",INVENTARIO!C314)),"RES-GRI",
IF(ISNUMBER(SEARCH("OPTICO",INVENTARIO!C314)),"OPT",
IF(ISNUMBER(SEARCH("1,2 MM",INVENTARIO!C314)),"1MM2",
IF(ISNUMBER(SEARCH("2 MM",INVENTARIO!C314)),"2MM",
IF(ISNUMBER(SEARCH("3 MM",INVENTARIO!C314)),"3MM",
IF(ISNUMBER(SEARCH("4 MM",INVENTARIO!C314)),"4MM",
IF(ISNUMBER(SEARCH("5 MM",INVENTARIO!C314)),"5MM",
IF(ISNUMBER(SEARCH("6 MM",INVENTARIO!C314)),"6MM",
IF(ISNUMBER(SEARCH("9 MM",INVENTARIO!C314)),"9MM",
IF(ISNUMBER(SEARCH("10 MM",INVENTARIO!C314)),"10MM","")))))))))))))</f>
        <v/>
      </c>
      <c r="H314" t="str">
        <f>IF(ISNUMBER(SEARCH("GAMA BAJA",INVENTARIO!C314)),"GAM-BAJ",
IF(ISNUMBER(SEARCH("OPTIMIZADOR",INVENTARIO!C314)),"OPT",
IF(ISNUMBER(SEARCH("OVERCOAT",INVENTARIO!C314)),"OVE",
IF(ISNUMBER(SEARCH("WHITE",INVENTARIO!C314)),"WHI",
IF(ISNUMBER(SEARCH("LIGHT CYAN",INVENTARIO!C314)),"LIG-CYA",
IF(ISNUMBER(SEARCH("CYAN",INVENTARIO!C314)),"CYA",
IF(ISNUMBER(SEARCH("LIGHT MAGENTA",INVENTARIO!C314)),"LIG-MAG",
IF(ISNUMBER(SEARCH("MAGENTA",INVENTARIO!C314)),"MAG",
IF(ISNUMBER(SEARCH("BLACK",INVENTARIO!C314)),"BLA",
IF(ISNUMBER(SEARCH("YELLOW",INVENTARIO!C314)),"YEL",
IF(ISNUMBER(SEARCH("2 DIODOS",INVENTARIO!C314)),"2DI",
IF(ISNUMBER(SEARCH("3 DIODOS",INVENTARIO!C314)),"3DI",
IF(OR(ISNUMBER(SEARCH("TRASLUCIDO",INVENTARIO!C314)),ISNUMBER(SEARCH("TRANSLUCIDO",INVENTARIO!C314))),"TRA",
"")))))))))))))</f>
        <v/>
      </c>
    </row>
    <row r="315" spans="1:8">
      <c r="A315" t="str">
        <f>IF(ISNUMBER(SEARCH("LONA",INVENTARIO!C315)),"LON",
IF(ISNUMBER(SEARCH("VINIL",INVENTARIO!C315)),"VIN",
IF(ISNUMBER(SEARCH("KROMACOTE",INVENTARIO!C315)),"KRO",
IF(ISNUMBER(SEARCH("STARDREAM",INVENTARIO!C315)),"STA",
IF(ISNUMBER(SEARCH("DISPLAY",INVENTARIO!C315)),"DIS",
IF(ISNUMBER(SEARCH("ROLL UP",INVENTARIO!C315)),"ROL-UP",
IF(ISNUMBER(SEARCH("TRANSFER DE PAPEL",INVENTARIO!C315)),"TRA-PAP",
IF(ISNUMBER(SEARCH("TRANSFER",INVENTARIO!C315)),"TRA",IF(ISNUMBER(SEARCH("KOLA LOKA",INVENTARIO!C315)),"KOL-LOK",
IF(ISNUMBER(SEARCH("PETG",INVENTARIO!C315)),"PET",
IF(ISNUMBER(SEARCH("OJILLO",INVENTARIO!C315)),"OJI",
IF(ISNUMBER(SEARCH("COUCHE",INVENTARIO!C315)),"COU",
IF(ISNUMBER(SEARCH("PANEL DE ALUMINIO",INVENTARIO!C315)),"PAN-ALU",
IF(ISNUMBER(SEARCH("PVC",INVENTARIO!C315)),"PVC",
IF(ISNUMBER(SEARCH("PAPEL",INVENTARIO!C315)),"PAP",
IF(ISNUMBER(SEARCH("TELA",INVENTARIO!C315)),"TEL",
IF(ISNUMBER(SEARCH("CARTULINA",INVENTARIO!C315)),"CAR",
IF(OR(ISNUMBER(SEARCH("LAMINA",INVENTARIO!C315)),ISNUMBER(SEARCH("LÁMINA",INVENTARIO!C315)),ISNUMBER(SEARCH("LAMPARAS",INVENTARIO!C315))),"LAM",
IF(ISNUMBER(SEARCH("ESTIRENO",INVENTARIO!C315)),"EST",
IF(ISNUMBER(SEARCH("FOAMBOARD",INVENTARIO!C315)),"FOA",
IF(ISNUMBER(SEARCH("SOLVENTE",INVENTARIO!C315)),"SOL",
IF(ISNUMBER(SEARCH("TINTA",INVENTARIO!C315)),"TIN",
IF(ISNUMBER(SEARCH("ACRILICO",INVENTARIO!C315)),"ACR",
IF(ISNUMBER(SEARCH("MICROLED",INVENTARIO!C315)),"MIC",
IF(ISNUMBER(SEARCH("LED",INVENTARIO!C315)),"LED",
IF(ISNUMBER(SEARCH("FUENTE DE PODER",INVENTARIO!C315)),"FUE-POD",
IF(ISNUMBER(SEARCH("PETG",INVENTARIO!C315)),"PET",
IF(ISNUMBER(SEARCH("ALUMINIO",INVENTARIO!C315)),"ALU",
IF(ISNUMBER(SEARCH("CANAL",INVENTARIO!C315)),"CAN",
IF(ISNUMBER(SEARCH("ESCUADRA",INVENTARIO!C315)),"ESC",
IF(ISNUMBER(SEARCH("SOPORTE",INVENTARIO!C315)),"SOP","OTR")
))))))))))))))))))))))))))))))</f>
        <v>STA</v>
      </c>
      <c r="B315" t="str">
        <f>IF(ISNUMBER(SEARCH("CORTE",INVENTARIO!C315)),"COR",
IF(ISNUMBER(SEARCH("CITYLIGHT",INVENTARIO!C315)),"CIT",
IF(ISNUMBER(SEARCH("LINO",INVENTARIO!C315)),"LIN",
IF(ISNUMBER(SEARCH("FABRIANO",INVENTARIO!C315)),"FAB",
IF(ISNUMBER(SEARCH("SUNDANCE",INVENTARIO!C315)),"SUN",
IF(ISNUMBER(SEARCH("SINTETICA",INVENTARIO!C315)),"SIN",
IF(ISNUMBER(SEARCH("CONTROL",INVENTARIO!C315)),"CON",
IF(ISNUMBER(SEARCH("TERMICO",INVENTARIO!C315)),"TER",
IF(ISNUMBER(SEARCH("C-15",INVENTARIO!C315)),"C15",
IF(ISNUMBER(SEARCH("C-20",INVENTARIO!C315)),"C20",
IF(ISNUMBER(SEARCH("C-30",INVENTARIO!C315)),"C30",
IF(ISNUMBER(SEARCH("C-40",INVENTARIO!C315)),"C40",
IF(ISNUMBER(SEARCH("C-60",INVENTARIO!C315)),"C60",
IF(ISNUMBER(SEARCH("C-80",INVENTARIO!C315)),"C80",
IF(ISNUMBER(SEARCH("EQUIPO",INVENTARIO!C315)),"EQU",
IF(ISNUMBER(SEARCH("FLOOR",INVENTARIO!C315)),"FLO",
IF(ISNUMBER(SEARCH("CRISTAL",INVENTARIO!C315)),"CRI",
IF(ISNUMBER(SEARCH(" SULFATADA",INVENTARIO!C326)),"SUL",
IF(ISNUMBER(SEARCH("OPALINA",INVENTARIO!C315)),"OPA",
IF(ISNUMBER(SEARCH("ADHERIBLE",INVENTARIO!C315)),"ADH",
IF(ISNUMBER(SEARCH("MICRO",INVENTARIO!C315)),"MIC","")))))))))))))))))))))</f>
        <v/>
      </c>
      <c r="C315" t="str">
        <f>IF(ISNUMBER(SEARCH("PARED",INVENTARIO!C315)),"PAR",
IF(ISNUMBER(SEARCH("FRONT",INVENTARIO!C315)),"FRO",
IF(ISNUMBER(SEARCH("ALTA RESISTENCIA",INVENTARIO!C315)),
"ALT-RES",IF(ISNUMBER(SEARCH("BACKLITE",INVENTARIO!C315)),"BAC",
IF(ISNUMBER(SEARCH("MATE",INVENTARIO!C315)),"MAT",
IF(ISNUMBER(SEARCH("MESH",INVENTARIO!C315)),"MES",
IF(ISNUMBER(SEARCH("BRILLANTE",INVENTARIO!C315)),"BRI",
IF(ISNUMBER(SEARCH("DELGADA",INVENTARIO!C315)),"DEL",
IF(ISNUMBER(SEARCH("GRUESA",INVENTARIO!C315)),"GRU",
IF(ISNUMBER(SEARCH("ESTATICO",INVENTARIO!C315)),"EST",
IF(ISNUMBER(SEARCH("REFLECTIVO",INVENTARIO!C315)),"REF",
IF(ISNUMBER(SEARCH("LX700",INVENTARIO!C315)),"LX7",
IF(ISNUMBER(SEARCH("GRANDO",INVENTARIO!C315)),"GRA",
IF(ISNUMBER(SEARCH("FB700",INVENTARIO!C315)),"FB7",
IF(ISNUMBER(SEARCH("LX360",INVENTARIO!C315)),"LX3",
IF(ISNUMBER(SEARCH("XEROX",INVENTARIO!C315)),"XER",
IF(ISNUMBER(SEARCH("CEPILLADO",INVENTARIO!C315)),"CEP",
IF(ISNUMBER(SEARCH("ESPEJO",INVENTARIO!C315)),"ESP",
IF(ISNUMBER(SEARCH("10 PTS",INVENTARIO!C315)),"10PT",
IF(ISNUMBER(SEARCH("12 PTS",INVENTARIO!C315)),"12PT",
IF(ISNUMBER(SEARCH("14 PTS",INVENTARIO!C315)),"14PT",
IF(ISNUMBER(SEARCH("CLASICO",INVENTARIO!C315)),"CLA",
""))))))))))))))))))))))</f>
        <v/>
      </c>
      <c r="D315" t="str">
        <f>IF(ISNUMBER(SEARCH("GRAN FORMATO",INVENTARIO!C315)),"GRA-FOR",
IF(ISNUMBER(SEARCH("CAMA PLANA",INVENTARIO!C315)),"CAM-PLA",
IF(ISNUMBER(SEARCH("GRADO INGENIERIA",INVENTARIO!C315)),"GRA-ING",
IF(ISNUMBER(SEARCH("130 GRS",INVENTARIO!C315)),"130GR",
IF(ISNUMBER(SEARCH("150 GRS",INVENTARIO!C315)),"150GR",
IF(ISNUMBER(SEARCH("185 GRS",INVENTARIO!C315)),"185GR",
IF(ISNUMBER(SEARCH("200 GRS",INVENTARIO!C315)),"200GR",
IF(ISNUMBER(SEARCH("250 GRS",INVENTARIO!C315)),"250GR",
IF(ISNUMBER(SEARCH("300 GRS",INVENTARIO!C315)),"300GR",
IF(ISNUMBER(SEARCH("350 GRS",INVENTARIO!C315)),"350GR",
IF(ISNUMBER(SEARCH("18 OZ",INVENTARIO!C315)),"18OZ",
IF(ISNUMBER(SEARCH("15 OZ",INVENTARIO!C315)),"15OZ",
IF(OR(ISNUMBER(SEARCH("13 OZ",INVENTARIO!C315)),ISNUMBER(SEARCH("13 ONZAS",INVENTARIO!C315))),"13OZ",
IF(OR(ISNUMBER(SEARCH("9 OZ",INVENTARIO!C315)),ISNUMBER(SEARCH("9 ONZAS",INVENTARIO!C315))),"09OZ",
IF(ISNUMBER(SEARCH("DOBLE CARA",INVENTARIO!C315)),"DOB-CAR",
"")))))))))))))))</f>
        <v/>
      </c>
      <c r="E315" t="str">
        <f>IF(OR(ISNUMBER(SEARCH("TRANSPARENTE",INVENTARIO!C315)),ISNUMBER(SEARCH("TRANSPARENTES",INVENTARIO!C315))),"TRA",
IF(OR(ISNUMBER(SEARCH("BLANCO",INVENTARIO!C315)),ISNUMBER(SEARCH("BCO",INVENTARIO!C315))),"BLA",
IF(ISNUMBER(SEARCH("FOTOGRAFICO",INVENTARIO!C315)),"FOT",
IF(ISNUMBER(SEARCH("MARFIL",INVENTARIO!C315)),"MAR",
IF(ISNUMBER(SEARCH("VERDE",INVENTARIO!C315)),"VER",
IF(ISNUMBER(SEARCH("MORADO",INVENTARIO!C315)),"MOR",
IF(ISNUMBER(SEARCH("PLATA",INVENTARIO!C315)),"PLA",
IF(ISNUMBER(SEARCH("ORO",INVENTARIO!C315)),"ORO",
IF(ISNUMBER(SEARCH("AMARILLO",INVENTARIO!C315)),"AMA",
IF(ISNUMBER(SEARCH("NARANJA",INVENTARIO!C315)),"NAR",
IF(ISNUMBER(SEARCH("NEGRO",INVENTARIO!C315)),"NEG",
IF(ISNUMBER(SEARCH("ROJO",INVENTARIO!C315)),"ROJ",
IF(ISNUMBER(SEARCH("AZUL",INVENTARIO!C315)),"AZU","")))))))))))))</f>
        <v>BLA</v>
      </c>
      <c r="F315" t="str">
        <f>IF(ISNUMBER(SEARCH("ARLON",INVENTARIO!C315)),"ARL",
IF(ISNUMBER(SEARCH("SUNTHINKS",INVENTARIO!C315)),"SUN",
IF(ISNUMBER(SEARCH("FRIO",INVENTARIO!C315)),"FRI",
IF(ISNUMBER(SEARCH("CALIDO",INVENTARIO!C315)),"CAL",
IF(ISNUMBER(SEARCH("CEPILLADO",INVENTARIO!C315)),"CEP",
IF(ISNUMBER(SEARCH("ESPEJO",INVENTARIO!C315)),"ESP",
""))))))</f>
        <v/>
      </c>
      <c r="G315" t="str">
        <f>IF(ISNUMBER(SEARCH("LATEX",INVENTARIO!C315)),"LAT",
IF(ISNUMBER(SEARCH("RESP. NEGRO",INVENTARIO!C315)),"RES-NEG",
IF(ISNUMBER(SEARCH("RESPALDO CAFE",INVENTARIO!C315)),"RES-CAF",
IF(ISNUMBER(SEARCH("RESPALDO GRIS",INVENTARIO!C315)),"RES-GRI",
IF(ISNUMBER(SEARCH("OPTICO",INVENTARIO!C315)),"OPT",
IF(ISNUMBER(SEARCH("1,2 MM",INVENTARIO!C315)),"1MM2",
IF(ISNUMBER(SEARCH("2 MM",INVENTARIO!C315)),"2MM",
IF(ISNUMBER(SEARCH("3 MM",INVENTARIO!C315)),"3MM",
IF(ISNUMBER(SEARCH("4 MM",INVENTARIO!C315)),"4MM",
IF(ISNUMBER(SEARCH("5 MM",INVENTARIO!C315)),"5MM",
IF(ISNUMBER(SEARCH("6 MM",INVENTARIO!C315)),"6MM",
IF(ISNUMBER(SEARCH("9 MM",INVENTARIO!C315)),"9MM",
IF(ISNUMBER(SEARCH("10 MM",INVENTARIO!C315)),"10MM","")))))))))))))</f>
        <v/>
      </c>
      <c r="H315" t="str">
        <f>IF(ISNUMBER(SEARCH("GAMA BAJA",INVENTARIO!C315)),"GAM-BAJ",
IF(ISNUMBER(SEARCH("OPTIMIZADOR",INVENTARIO!C315)),"OPT",
IF(ISNUMBER(SEARCH("OVERCOAT",INVENTARIO!C315)),"OVE",
IF(ISNUMBER(SEARCH("WHITE",INVENTARIO!C315)),"WHI",
IF(ISNUMBER(SEARCH("LIGHT CYAN",INVENTARIO!C315)),"LIG-CYA",
IF(ISNUMBER(SEARCH("CYAN",INVENTARIO!C315)),"CYA",
IF(ISNUMBER(SEARCH("LIGHT MAGENTA",INVENTARIO!C315)),"LIG-MAG",
IF(ISNUMBER(SEARCH("MAGENTA",INVENTARIO!C315)),"MAG",
IF(ISNUMBER(SEARCH("BLACK",INVENTARIO!C315)),"BLA",
IF(ISNUMBER(SEARCH("YELLOW",INVENTARIO!C315)),"YEL",
IF(ISNUMBER(SEARCH("2 DIODOS",INVENTARIO!C315)),"2DI",
IF(ISNUMBER(SEARCH("3 DIODOS",INVENTARIO!C315)),"3DI",
IF(OR(ISNUMBER(SEARCH("TRASLUCIDO",INVENTARIO!C315)),ISNUMBER(SEARCH("TRANSLUCIDO",INVENTARIO!C315))),"TRA",
"")))))))))))))</f>
        <v/>
      </c>
    </row>
    <row r="316" spans="1:8">
      <c r="A316" t="str">
        <f>IF(ISNUMBER(SEARCH("LONA",INVENTARIO!C316)),"LON",
IF(ISNUMBER(SEARCH("VINIL",INVENTARIO!C316)),"VIN",
IF(ISNUMBER(SEARCH("KROMACOTE",INVENTARIO!C316)),"KRO",
IF(ISNUMBER(SEARCH("STARDREAM",INVENTARIO!C316)),"STA",
IF(ISNUMBER(SEARCH("DISPLAY",INVENTARIO!C316)),"DIS",
IF(ISNUMBER(SEARCH("ROLL UP",INVENTARIO!C316)),"ROL-UP",
IF(ISNUMBER(SEARCH("TRANSFER DE PAPEL",INVENTARIO!C316)),"TRA-PAP",
IF(ISNUMBER(SEARCH("TRANSFER",INVENTARIO!C316)),"TRA",IF(ISNUMBER(SEARCH("KOLA LOKA",INVENTARIO!C316)),"KOL-LOK",
IF(ISNUMBER(SEARCH("PETG",INVENTARIO!C316)),"PET",
IF(ISNUMBER(SEARCH("OJILLO",INVENTARIO!C316)),"OJI",
IF(ISNUMBER(SEARCH("COUCHE",INVENTARIO!C316)),"COU",
IF(ISNUMBER(SEARCH("PANEL DE ALUMINIO",INVENTARIO!C316)),"PAN-ALU",
IF(ISNUMBER(SEARCH("PVC",INVENTARIO!C316)),"PVC",
IF(ISNUMBER(SEARCH("PAPEL",INVENTARIO!C316)),"PAP",
IF(ISNUMBER(SEARCH("TELA",INVENTARIO!C316)),"TEL",
IF(ISNUMBER(SEARCH("CARTULINA",INVENTARIO!C316)),"CAR",
IF(OR(ISNUMBER(SEARCH("LAMINA",INVENTARIO!C316)),ISNUMBER(SEARCH("LÁMINA",INVENTARIO!C316)),ISNUMBER(SEARCH("LAMPARAS",INVENTARIO!C316))),"LAM",
IF(ISNUMBER(SEARCH("ESTIRENO",INVENTARIO!C316)),"EST",
IF(ISNUMBER(SEARCH("FOAMBOARD",INVENTARIO!C316)),"FOA",
IF(ISNUMBER(SEARCH("SOLVENTE",INVENTARIO!C316)),"SOL",
IF(ISNUMBER(SEARCH("TINTA",INVENTARIO!C316)),"TIN",
IF(ISNUMBER(SEARCH("ACRILICO",INVENTARIO!C316)),"ACR",
IF(ISNUMBER(SEARCH("MICROLED",INVENTARIO!C316)),"MIC",
IF(ISNUMBER(SEARCH("LED",INVENTARIO!C316)),"LED",
IF(ISNUMBER(SEARCH("FUENTE DE PODER",INVENTARIO!C316)),"FUE-POD",
IF(ISNUMBER(SEARCH("PETG",INVENTARIO!C316)),"PET",
IF(ISNUMBER(SEARCH("ALUMINIO",INVENTARIO!C316)),"ALU",
IF(ISNUMBER(SEARCH("CANAL",INVENTARIO!C316)),"CAN",
IF(ISNUMBER(SEARCH("ESCUADRA",INVENTARIO!C316)),"ESC",
IF(ISNUMBER(SEARCH("SOPORTE",INVENTARIO!C316)),"SOP","OTR")
))))))))))))))))))))))))))))))</f>
        <v>STA</v>
      </c>
      <c r="B316" t="str">
        <f>IF(ISNUMBER(SEARCH("CORTE",INVENTARIO!C316)),"COR",
IF(ISNUMBER(SEARCH("CITYLIGHT",INVENTARIO!C316)),"CIT",
IF(ISNUMBER(SEARCH("LINO",INVENTARIO!C316)),"LIN",
IF(ISNUMBER(SEARCH("FABRIANO",INVENTARIO!C316)),"FAB",
IF(ISNUMBER(SEARCH("SUNDANCE",INVENTARIO!C316)),"SUN",
IF(ISNUMBER(SEARCH("SINTETICA",INVENTARIO!C316)),"SIN",
IF(ISNUMBER(SEARCH("CONTROL",INVENTARIO!C316)),"CON",
IF(ISNUMBER(SEARCH("TERMICO",INVENTARIO!C316)),"TER",
IF(ISNUMBER(SEARCH("C-15",INVENTARIO!C316)),"C15",
IF(ISNUMBER(SEARCH("C-20",INVENTARIO!C316)),"C20",
IF(ISNUMBER(SEARCH("C-30",INVENTARIO!C316)),"C30",
IF(ISNUMBER(SEARCH("C-40",INVENTARIO!C316)),"C40",
IF(ISNUMBER(SEARCH("C-60",INVENTARIO!C316)),"C60",
IF(ISNUMBER(SEARCH("C-80",INVENTARIO!C316)),"C80",
IF(ISNUMBER(SEARCH("EQUIPO",INVENTARIO!C316)),"EQU",
IF(ISNUMBER(SEARCH("FLOOR",INVENTARIO!C316)),"FLO",
IF(ISNUMBER(SEARCH("CRISTAL",INVENTARIO!C316)),"CRI",
IF(ISNUMBER(SEARCH(" SULFATADA",INVENTARIO!C327)),"SUL",
IF(ISNUMBER(SEARCH("OPALINA",INVENTARIO!C316)),"OPA",
IF(ISNUMBER(SEARCH("ADHERIBLE",INVENTARIO!C316)),"ADH",
IF(ISNUMBER(SEARCH("MICRO",INVENTARIO!C316)),"MIC","")))))))))))))))))))))</f>
        <v/>
      </c>
      <c r="C316" t="str">
        <f>IF(ISNUMBER(SEARCH("PARED",INVENTARIO!C316)),"PAR",
IF(ISNUMBER(SEARCH("FRONT",INVENTARIO!C316)),"FRO",
IF(ISNUMBER(SEARCH("ALTA RESISTENCIA",INVENTARIO!C316)),
"ALT-RES",IF(ISNUMBER(SEARCH("BACKLITE",INVENTARIO!C316)),"BAC",
IF(ISNUMBER(SEARCH("MATE",INVENTARIO!C316)),"MAT",
IF(ISNUMBER(SEARCH("MESH",INVENTARIO!C316)),"MES",
IF(ISNUMBER(SEARCH("BRILLANTE",INVENTARIO!C316)),"BRI",
IF(ISNUMBER(SEARCH("DELGADA",INVENTARIO!C316)),"DEL",
IF(ISNUMBER(SEARCH("GRUESA",INVENTARIO!C316)),"GRU",
IF(ISNUMBER(SEARCH("ESTATICO",INVENTARIO!C316)),"EST",
IF(ISNUMBER(SEARCH("REFLECTIVO",INVENTARIO!C316)),"REF",
IF(ISNUMBER(SEARCH("LX700",INVENTARIO!C316)),"LX7",
IF(ISNUMBER(SEARCH("GRANDO",INVENTARIO!C316)),"GRA",
IF(ISNUMBER(SEARCH("FB700",INVENTARIO!C316)),"FB7",
IF(ISNUMBER(SEARCH("LX360",INVENTARIO!C316)),"LX3",
IF(ISNUMBER(SEARCH("XEROX",INVENTARIO!C316)),"XER",
IF(ISNUMBER(SEARCH("CEPILLADO",INVENTARIO!C316)),"CEP",
IF(ISNUMBER(SEARCH("ESPEJO",INVENTARIO!C316)),"ESP",
IF(ISNUMBER(SEARCH("10 PTS",INVENTARIO!C316)),"10PT",
IF(ISNUMBER(SEARCH("12 PTS",INVENTARIO!C316)),"12PT",
IF(ISNUMBER(SEARCH("14 PTS",INVENTARIO!C316)),"14PT",
IF(ISNUMBER(SEARCH("CLASICO",INVENTARIO!C316)),"CLA",
""))))))))))))))))))))))</f>
        <v>CEP</v>
      </c>
      <c r="D316" t="str">
        <f>IF(ISNUMBER(SEARCH("GRAN FORMATO",INVENTARIO!C316)),"GRA-FOR",
IF(ISNUMBER(SEARCH("CAMA PLANA",INVENTARIO!C316)),"CAM-PLA",
IF(ISNUMBER(SEARCH("GRADO INGENIERIA",INVENTARIO!C316)),"GRA-ING",
IF(ISNUMBER(SEARCH("130 GRS",INVENTARIO!C316)),"130GR",
IF(ISNUMBER(SEARCH("150 GRS",INVENTARIO!C316)),"150GR",
IF(ISNUMBER(SEARCH("185 GRS",INVENTARIO!C316)),"185GR",
IF(ISNUMBER(SEARCH("200 GRS",INVENTARIO!C316)),"200GR",
IF(ISNUMBER(SEARCH("250 GRS",INVENTARIO!C316)),"250GR",
IF(ISNUMBER(SEARCH("300 GRS",INVENTARIO!C316)),"300GR",
IF(ISNUMBER(SEARCH("350 GRS",INVENTARIO!C316)),"350GR",
IF(ISNUMBER(SEARCH("18 OZ",INVENTARIO!C316)),"18OZ",
IF(ISNUMBER(SEARCH("15 OZ",INVENTARIO!C316)),"15OZ",
IF(OR(ISNUMBER(SEARCH("13 OZ",INVENTARIO!C316)),ISNUMBER(SEARCH("13 ONZAS",INVENTARIO!C316))),"13OZ",
IF(OR(ISNUMBER(SEARCH("9 OZ",INVENTARIO!C316)),ISNUMBER(SEARCH("9 ONZAS",INVENTARIO!C316))),"09OZ",
IF(ISNUMBER(SEARCH("DOBLE CARA",INVENTARIO!C316)),"DOB-CAR",
"")))))))))))))))</f>
        <v/>
      </c>
      <c r="E316" t="str">
        <f>IF(OR(ISNUMBER(SEARCH("TRANSPARENTE",INVENTARIO!C316)),ISNUMBER(SEARCH("TRANSPARENTES",INVENTARIO!C316))),"TRA",
IF(OR(ISNUMBER(SEARCH("BLANCO",INVENTARIO!C316)),ISNUMBER(SEARCH("BCO",INVENTARIO!C316))),"BLA",
IF(ISNUMBER(SEARCH("FOTOGRAFICO",INVENTARIO!C316)),"FOT",
IF(ISNUMBER(SEARCH("MARFIL",INVENTARIO!C316)),"MAR",
IF(ISNUMBER(SEARCH("VERDE",INVENTARIO!C316)),"VER",
IF(ISNUMBER(SEARCH("MORADO",INVENTARIO!C316)),"MOR",
IF(ISNUMBER(SEARCH("PLATA",INVENTARIO!C316)),"PLA",
IF(ISNUMBER(SEARCH("ORO",INVENTARIO!C316)),"ORO",
IF(ISNUMBER(SEARCH("AMARILLO",INVENTARIO!C316)),"AMA",
IF(ISNUMBER(SEARCH("NARANJA",INVENTARIO!C316)),"NAR",
IF(ISNUMBER(SEARCH("NEGRO",INVENTARIO!C316)),"NEG",
IF(ISNUMBER(SEARCH("ROJO",INVENTARIO!C316)),"ROJ",
IF(ISNUMBER(SEARCH("AZUL",INVENTARIO!C316)),"AZU","")))))))))))))</f>
        <v>PLA</v>
      </c>
      <c r="F316" t="str">
        <f>IF(ISNUMBER(SEARCH("ARLON",INVENTARIO!C316)),"ARL",
IF(ISNUMBER(SEARCH("SUNTHINKS",INVENTARIO!C316)),"SUN",
IF(ISNUMBER(SEARCH("FRIO",INVENTARIO!C316)),"FRI",
IF(ISNUMBER(SEARCH("CALIDO",INVENTARIO!C316)),"CAL",
IF(ISNUMBER(SEARCH("CEPILLADO",INVENTARIO!C316)),"CEP",
IF(ISNUMBER(SEARCH("ESPEJO",INVENTARIO!C316)),"ESP",
""))))))</f>
        <v>CEP</v>
      </c>
      <c r="G316" t="str">
        <f>IF(ISNUMBER(SEARCH("LATEX",INVENTARIO!C316)),"LAT",
IF(ISNUMBER(SEARCH("RESP. NEGRO",INVENTARIO!C316)),"RES-NEG",
IF(ISNUMBER(SEARCH("RESPALDO CAFE",INVENTARIO!C316)),"RES-CAF",
IF(ISNUMBER(SEARCH("RESPALDO GRIS",INVENTARIO!C316)),"RES-GRI",
IF(ISNUMBER(SEARCH("OPTICO",INVENTARIO!C316)),"OPT",
IF(ISNUMBER(SEARCH("1,2 MM",INVENTARIO!C316)),"1MM2",
IF(ISNUMBER(SEARCH("2 MM",INVENTARIO!C316)),"2MM",
IF(ISNUMBER(SEARCH("3 MM",INVENTARIO!C316)),"3MM",
IF(ISNUMBER(SEARCH("4 MM",INVENTARIO!C316)),"4MM",
IF(ISNUMBER(SEARCH("5 MM",INVENTARIO!C316)),"5MM",
IF(ISNUMBER(SEARCH("6 MM",INVENTARIO!C316)),"6MM",
IF(ISNUMBER(SEARCH("9 MM",INVENTARIO!C316)),"9MM",
IF(ISNUMBER(SEARCH("10 MM",INVENTARIO!C316)),"10MM","")))))))))))))</f>
        <v/>
      </c>
      <c r="H316" t="str">
        <f>IF(ISNUMBER(SEARCH("GAMA BAJA",INVENTARIO!C316)),"GAM-BAJ",
IF(ISNUMBER(SEARCH("OPTIMIZADOR",INVENTARIO!C316)),"OPT",
IF(ISNUMBER(SEARCH("OVERCOAT",INVENTARIO!C316)),"OVE",
IF(ISNUMBER(SEARCH("WHITE",INVENTARIO!C316)),"WHI",
IF(ISNUMBER(SEARCH("LIGHT CYAN",INVENTARIO!C316)),"LIG-CYA",
IF(ISNUMBER(SEARCH("CYAN",INVENTARIO!C316)),"CYA",
IF(ISNUMBER(SEARCH("LIGHT MAGENTA",INVENTARIO!C316)),"LIG-MAG",
IF(ISNUMBER(SEARCH("MAGENTA",INVENTARIO!C316)),"MAG",
IF(ISNUMBER(SEARCH("BLACK",INVENTARIO!C316)),"BLA",
IF(ISNUMBER(SEARCH("YELLOW",INVENTARIO!C316)),"YEL",
IF(ISNUMBER(SEARCH("2 DIODOS",INVENTARIO!C316)),"2DI",
IF(ISNUMBER(SEARCH("3 DIODOS",INVENTARIO!C316)),"3DI",
IF(OR(ISNUMBER(SEARCH("TRASLUCIDO",INVENTARIO!C316)),ISNUMBER(SEARCH("TRANSLUCIDO",INVENTARIO!C316))),"TRA",
"")))))))))))))</f>
        <v/>
      </c>
    </row>
    <row r="317" spans="1:8">
      <c r="A317" t="str">
        <f>IF(ISNUMBER(SEARCH("LONA",INVENTARIO!C317)),"LON",
IF(ISNUMBER(SEARCH("VINIL",INVENTARIO!C317)),"VIN",
IF(ISNUMBER(SEARCH("KROMACOTE",INVENTARIO!C317)),"KRO",
IF(ISNUMBER(SEARCH("STARDREAM",INVENTARIO!C317)),"STA",
IF(ISNUMBER(SEARCH("DISPLAY",INVENTARIO!C317)),"DIS",
IF(ISNUMBER(SEARCH("ROLL UP",INVENTARIO!C317)),"ROL-UP",
IF(ISNUMBER(SEARCH("TRANSFER DE PAPEL",INVENTARIO!C317)),"TRA-PAP",
IF(ISNUMBER(SEARCH("TRANSFER",INVENTARIO!C317)),"TRA",IF(ISNUMBER(SEARCH("KOLA LOKA",INVENTARIO!C317)),"KOL-LOK",
IF(ISNUMBER(SEARCH("PETG",INVENTARIO!C317)),"PET",
IF(ISNUMBER(SEARCH("OJILLO",INVENTARIO!C317)),"OJI",
IF(ISNUMBER(SEARCH("COUCHE",INVENTARIO!C317)),"COU",
IF(ISNUMBER(SEARCH("PANEL DE ALUMINIO",INVENTARIO!C317)),"PAN-ALU",
IF(ISNUMBER(SEARCH("PVC",INVENTARIO!C317)),"PVC",
IF(ISNUMBER(SEARCH("PAPEL",INVENTARIO!C317)),"PAP",
IF(ISNUMBER(SEARCH("TELA",INVENTARIO!C317)),"TEL",
IF(ISNUMBER(SEARCH("CARTULINA",INVENTARIO!C317)),"CAR",
IF(OR(ISNUMBER(SEARCH("LAMINA",INVENTARIO!C317)),ISNUMBER(SEARCH("LÁMINA",INVENTARIO!C317)),ISNUMBER(SEARCH("LAMPARAS",INVENTARIO!C317))),"LAM",
IF(ISNUMBER(SEARCH("ESTIRENO",INVENTARIO!C317)),"EST",
IF(ISNUMBER(SEARCH("FOAMBOARD",INVENTARIO!C317)),"FOA",
IF(ISNUMBER(SEARCH("SOLVENTE",INVENTARIO!C317)),"SOL",
IF(ISNUMBER(SEARCH("TINTA",INVENTARIO!C317)),"TIN",
IF(ISNUMBER(SEARCH("ACRILICO",INVENTARIO!C317)),"ACR",
IF(ISNUMBER(SEARCH("MICROLED",INVENTARIO!C317)),"MIC",
IF(ISNUMBER(SEARCH("LED",INVENTARIO!C317)),"LED",
IF(ISNUMBER(SEARCH("FUENTE DE PODER",INVENTARIO!C317)),"FUE-POD",
IF(ISNUMBER(SEARCH("PETG",INVENTARIO!C317)),"PET",
IF(ISNUMBER(SEARCH("ALUMINIO",INVENTARIO!C317)),"ALU",
IF(ISNUMBER(SEARCH("CANAL",INVENTARIO!C317)),"CAN",
IF(ISNUMBER(SEARCH("ESCUADRA",INVENTARIO!C317)),"ESC",
IF(ISNUMBER(SEARCH("SOPORTE",INVENTARIO!C317)),"SOP","OTR")
))))))))))))))))))))))))))))))</f>
        <v>STA</v>
      </c>
      <c r="B317" t="str">
        <f>IF(ISNUMBER(SEARCH("CORTE",INVENTARIO!C317)),"COR",
IF(ISNUMBER(SEARCH("CITYLIGHT",INVENTARIO!C317)),"CIT",
IF(ISNUMBER(SEARCH("LINO",INVENTARIO!C317)),"LIN",
IF(ISNUMBER(SEARCH("FABRIANO",INVENTARIO!C317)),"FAB",
IF(ISNUMBER(SEARCH("SUNDANCE",INVENTARIO!C317)),"SUN",
IF(ISNUMBER(SEARCH("SINTETICA",INVENTARIO!C317)),"SIN",
IF(ISNUMBER(SEARCH("CONTROL",INVENTARIO!C317)),"CON",
IF(ISNUMBER(SEARCH("TERMICO",INVENTARIO!C317)),"TER",
IF(ISNUMBER(SEARCH("C-15",INVENTARIO!C317)),"C15",
IF(ISNUMBER(SEARCH("C-20",INVENTARIO!C317)),"C20",
IF(ISNUMBER(SEARCH("C-30",INVENTARIO!C317)),"C30",
IF(ISNUMBER(SEARCH("C-40",INVENTARIO!C317)),"C40",
IF(ISNUMBER(SEARCH("C-60",INVENTARIO!C317)),"C60",
IF(ISNUMBER(SEARCH("C-80",INVENTARIO!C317)),"C80",
IF(ISNUMBER(SEARCH("EQUIPO",INVENTARIO!C317)),"EQU",
IF(ISNUMBER(SEARCH("FLOOR",INVENTARIO!C317)),"FLO",
IF(ISNUMBER(SEARCH("CRISTAL",INVENTARIO!C317)),"CRI",
IF(ISNUMBER(SEARCH(" SULFATADA",INVENTARIO!C328)),"SUL",
IF(ISNUMBER(SEARCH("OPALINA",INVENTARIO!C317)),"OPA",
IF(ISNUMBER(SEARCH("ADHERIBLE",INVENTARIO!C317)),"ADH",
IF(ISNUMBER(SEARCH("MICRO",INVENTARIO!C317)),"MIC","")))))))))))))))))))))</f>
        <v/>
      </c>
      <c r="C317" t="str">
        <f>IF(ISNUMBER(SEARCH("PARED",INVENTARIO!C317)),"PAR",
IF(ISNUMBER(SEARCH("FRONT",INVENTARIO!C317)),"FRO",
IF(ISNUMBER(SEARCH("ALTA RESISTENCIA",INVENTARIO!C317)),
"ALT-RES",IF(ISNUMBER(SEARCH("BACKLITE",INVENTARIO!C317)),"BAC",
IF(ISNUMBER(SEARCH("MATE",INVENTARIO!C317)),"MAT",
IF(ISNUMBER(SEARCH("MESH",INVENTARIO!C317)),"MES",
IF(ISNUMBER(SEARCH("BRILLANTE",INVENTARIO!C317)),"BRI",
IF(ISNUMBER(SEARCH("DELGADA",INVENTARIO!C317)),"DEL",
IF(ISNUMBER(SEARCH("GRUESA",INVENTARIO!C317)),"GRU",
IF(ISNUMBER(SEARCH("ESTATICO",INVENTARIO!C317)),"EST",
IF(ISNUMBER(SEARCH("REFLECTIVO",INVENTARIO!C317)),"REF",
IF(ISNUMBER(SEARCH("LX700",INVENTARIO!C317)),"LX7",
IF(ISNUMBER(SEARCH("GRANDO",INVENTARIO!C317)),"GRA",
IF(ISNUMBER(SEARCH("FB700",INVENTARIO!C317)),"FB7",
IF(ISNUMBER(SEARCH("LX360",INVENTARIO!C317)),"LX3",
IF(ISNUMBER(SEARCH("XEROX",INVENTARIO!C317)),"XER",
IF(ISNUMBER(SEARCH("CEPILLADO",INVENTARIO!C317)),"CEP",
IF(ISNUMBER(SEARCH("ESPEJO",INVENTARIO!C317)),"ESP",
IF(ISNUMBER(SEARCH("10 PTS",INVENTARIO!C317)),"10PT",
IF(ISNUMBER(SEARCH("12 PTS",INVENTARIO!C317)),"12PT",
IF(ISNUMBER(SEARCH("14 PTS",INVENTARIO!C317)),"14PT",
IF(ISNUMBER(SEARCH("CLASICO",INVENTARIO!C317)),"CLA",
""))))))))))))))))))))))</f>
        <v/>
      </c>
      <c r="D317" t="str">
        <f>IF(ISNUMBER(SEARCH("GRAN FORMATO",INVENTARIO!C317)),"GRA-FOR",
IF(ISNUMBER(SEARCH("CAMA PLANA",INVENTARIO!C317)),"CAM-PLA",
IF(ISNUMBER(SEARCH("GRADO INGENIERIA",INVENTARIO!C317)),"GRA-ING",
IF(ISNUMBER(SEARCH("130 GRS",INVENTARIO!C317)),"130GR",
IF(ISNUMBER(SEARCH("150 GRS",INVENTARIO!C317)),"150GR",
IF(ISNUMBER(SEARCH("185 GRS",INVENTARIO!C317)),"185GR",
IF(ISNUMBER(SEARCH("200 GRS",INVENTARIO!C317)),"200GR",
IF(ISNUMBER(SEARCH("250 GRS",INVENTARIO!C317)),"250GR",
IF(ISNUMBER(SEARCH("300 GRS",INVENTARIO!C317)),"300GR",
IF(ISNUMBER(SEARCH("350 GRS",INVENTARIO!C317)),"350GR",
IF(ISNUMBER(SEARCH("18 OZ",INVENTARIO!C317)),"18OZ",
IF(ISNUMBER(SEARCH("15 OZ",INVENTARIO!C317)),"15OZ",
IF(OR(ISNUMBER(SEARCH("13 OZ",INVENTARIO!C317)),ISNUMBER(SEARCH("13 ONZAS",INVENTARIO!C317))),"13OZ",
IF(OR(ISNUMBER(SEARCH("9 OZ",INVENTARIO!C317)),ISNUMBER(SEARCH("9 ONZAS",INVENTARIO!C317))),"09OZ",
IF(ISNUMBER(SEARCH("DOBLE CARA",INVENTARIO!C317)),"DOB-CAR",
"")))))))))))))))</f>
        <v/>
      </c>
      <c r="E317" t="str">
        <f>IF(OR(ISNUMBER(SEARCH("TRANSPARENTE",INVENTARIO!C317)),ISNUMBER(SEARCH("TRANSPARENTES",INVENTARIO!C317))),"TRA",
IF(OR(ISNUMBER(SEARCH("BLANCO",INVENTARIO!C317)),ISNUMBER(SEARCH("BCO",INVENTARIO!C317))),"BLA",
IF(ISNUMBER(SEARCH("FOTOGRAFICO",INVENTARIO!C317)),"FOT",
IF(ISNUMBER(SEARCH("MARFIL",INVENTARIO!C317)),"MAR",
IF(ISNUMBER(SEARCH("VERDE",INVENTARIO!C317)),"VER",
IF(ISNUMBER(SEARCH("MORADO",INVENTARIO!C317)),"MOR",
IF(ISNUMBER(SEARCH("PLATA",INVENTARIO!C317)),"PLA",
IF(ISNUMBER(SEARCH("ORO",INVENTARIO!C317)),"ORO",
IF(ISNUMBER(SEARCH("AMARILLO",INVENTARIO!C317)),"AMA",
IF(ISNUMBER(SEARCH("NARANJA",INVENTARIO!C317)),"NAR",
IF(ISNUMBER(SEARCH("NEGRO",INVENTARIO!C317)),"NEG",
IF(ISNUMBER(SEARCH("ROJO",INVENTARIO!C317)),"ROJ",
IF(ISNUMBER(SEARCH("AZUL",INVENTARIO!C317)),"AZU","")))))))))))))</f>
        <v>PLA</v>
      </c>
      <c r="F317" t="str">
        <f>IF(ISNUMBER(SEARCH("ARLON",INVENTARIO!C317)),"ARL",
IF(ISNUMBER(SEARCH("SUNTHINKS",INVENTARIO!C317)),"SUN",
IF(ISNUMBER(SEARCH("FRIO",INVENTARIO!C317)),"FRI",
IF(ISNUMBER(SEARCH("CALIDO",INVENTARIO!C317)),"CAL",
IF(ISNUMBER(SEARCH("CEPILLADO",INVENTARIO!C317)),"CEP",
IF(ISNUMBER(SEARCH("ESPEJO",INVENTARIO!C317)),"ESP",
""))))))</f>
        <v/>
      </c>
      <c r="G317" t="str">
        <f>IF(ISNUMBER(SEARCH("LATEX",INVENTARIO!C317)),"LAT",
IF(ISNUMBER(SEARCH("RESP. NEGRO",INVENTARIO!C317)),"RES-NEG",
IF(ISNUMBER(SEARCH("RESPALDO CAFE",INVENTARIO!C317)),"RES-CAF",
IF(ISNUMBER(SEARCH("RESPALDO GRIS",INVENTARIO!C317)),"RES-GRI",
IF(ISNUMBER(SEARCH("OPTICO",INVENTARIO!C317)),"OPT",
IF(ISNUMBER(SEARCH("1,2 MM",INVENTARIO!C317)),"1MM2",
IF(ISNUMBER(SEARCH("2 MM",INVENTARIO!C317)),"2MM",
IF(ISNUMBER(SEARCH("3 MM",INVENTARIO!C317)),"3MM",
IF(ISNUMBER(SEARCH("4 MM",INVENTARIO!C317)),"4MM",
IF(ISNUMBER(SEARCH("5 MM",INVENTARIO!C317)),"5MM",
IF(ISNUMBER(SEARCH("6 MM",INVENTARIO!C317)),"6MM",
IF(ISNUMBER(SEARCH("9 MM",INVENTARIO!C317)),"9MM",
IF(ISNUMBER(SEARCH("10 MM",INVENTARIO!C317)),"10MM","")))))))))))))</f>
        <v/>
      </c>
      <c r="H317" t="str">
        <f>IF(ISNUMBER(SEARCH("GAMA BAJA",INVENTARIO!C317)),"GAM-BAJ",
IF(ISNUMBER(SEARCH("OPTIMIZADOR",INVENTARIO!C317)),"OPT",
IF(ISNUMBER(SEARCH("OVERCOAT",INVENTARIO!C317)),"OVE",
IF(ISNUMBER(SEARCH("WHITE",INVENTARIO!C317)),"WHI",
IF(ISNUMBER(SEARCH("LIGHT CYAN",INVENTARIO!C317)),"LIG-CYA",
IF(ISNUMBER(SEARCH("CYAN",INVENTARIO!C317)),"CYA",
IF(ISNUMBER(SEARCH("LIGHT MAGENTA",INVENTARIO!C317)),"LIG-MAG",
IF(ISNUMBER(SEARCH("MAGENTA",INVENTARIO!C317)),"MAG",
IF(ISNUMBER(SEARCH("BLACK",INVENTARIO!C317)),"BLA",
IF(ISNUMBER(SEARCH("YELLOW",INVENTARIO!C317)),"YEL",
IF(ISNUMBER(SEARCH("2 DIODOS",INVENTARIO!C317)),"2DI",
IF(ISNUMBER(SEARCH("3 DIODOS",INVENTARIO!C317)),"3DI",
IF(OR(ISNUMBER(SEARCH("TRASLUCIDO",INVENTARIO!C317)),ISNUMBER(SEARCH("TRANSLUCIDO",INVENTARIO!C317))),"TRA",
"")))))))))))))</f>
        <v/>
      </c>
    </row>
    <row r="318" spans="1:8">
      <c r="A318" t="str">
        <f>IF(ISNUMBER(SEARCH("LONA",INVENTARIO!C318)),"LON",
IF(ISNUMBER(SEARCH("VINIL",INVENTARIO!C318)),"VIN",
IF(ISNUMBER(SEARCH("KROMACOTE",INVENTARIO!C318)),"KRO",
IF(ISNUMBER(SEARCH("STARDREAM",INVENTARIO!C318)),"STA",
IF(ISNUMBER(SEARCH("DISPLAY",INVENTARIO!C318)),"DIS",
IF(ISNUMBER(SEARCH("ROLL UP",INVENTARIO!C318)),"ROL-UP",
IF(ISNUMBER(SEARCH("TRANSFER DE PAPEL",INVENTARIO!C318)),"TRA-PAP",
IF(ISNUMBER(SEARCH("TRANSFER",INVENTARIO!C318)),"TRA",IF(ISNUMBER(SEARCH("KOLA LOKA",INVENTARIO!C318)),"KOL-LOK",
IF(ISNUMBER(SEARCH("PETG",INVENTARIO!C318)),"PET",
IF(ISNUMBER(SEARCH("OJILLO",INVENTARIO!C318)),"OJI",
IF(ISNUMBER(SEARCH("COUCHE",INVENTARIO!C318)),"COU",
IF(ISNUMBER(SEARCH("PANEL DE ALUMINIO",INVENTARIO!C318)),"PAN-ALU",
IF(ISNUMBER(SEARCH("PVC",INVENTARIO!C318)),"PVC",
IF(ISNUMBER(SEARCH("PAPEL",INVENTARIO!C318)),"PAP",
IF(ISNUMBER(SEARCH("TELA",INVENTARIO!C318)),"TEL",
IF(ISNUMBER(SEARCH("CARTULINA",INVENTARIO!C318)),"CAR",
IF(OR(ISNUMBER(SEARCH("LAMINA",INVENTARIO!C318)),ISNUMBER(SEARCH("LÁMINA",INVENTARIO!C318)),ISNUMBER(SEARCH("LAMPARAS",INVENTARIO!C318))),"LAM",
IF(ISNUMBER(SEARCH("ESTIRENO",INVENTARIO!C318)),"EST",
IF(ISNUMBER(SEARCH("FOAMBOARD",INVENTARIO!C318)),"FOA",
IF(ISNUMBER(SEARCH("SOLVENTE",INVENTARIO!C318)),"SOL",
IF(ISNUMBER(SEARCH("TINTA",INVENTARIO!C318)),"TIN",
IF(ISNUMBER(SEARCH("ACRILICO",INVENTARIO!C318)),"ACR",
IF(ISNUMBER(SEARCH("MICROLED",INVENTARIO!C318)),"MIC",
IF(ISNUMBER(SEARCH("LED",INVENTARIO!C318)),"LED",
IF(ISNUMBER(SEARCH("FUENTE DE PODER",INVENTARIO!C318)),"FUE-POD",
IF(ISNUMBER(SEARCH("PETG",INVENTARIO!C318)),"PET",
IF(ISNUMBER(SEARCH("ALUMINIO",INVENTARIO!C318)),"ALU",
IF(ISNUMBER(SEARCH("CANAL",INVENTARIO!C318)),"CAN",
IF(ISNUMBER(SEARCH("ESCUADRA",INVENTARIO!C318)),"ESC",
IF(ISNUMBER(SEARCH("SOPORTE",INVENTARIO!C318)),"SOP","OTR")
))))))))))))))))))))))))))))))</f>
        <v>STA</v>
      </c>
      <c r="B318" t="str">
        <f>IF(ISNUMBER(SEARCH("CORTE",INVENTARIO!C318)),"COR",
IF(ISNUMBER(SEARCH("CITYLIGHT",INVENTARIO!C318)),"CIT",
IF(ISNUMBER(SEARCH("LINO",INVENTARIO!C318)),"LIN",
IF(ISNUMBER(SEARCH("FABRIANO",INVENTARIO!C318)),"FAB",
IF(ISNUMBER(SEARCH("SUNDANCE",INVENTARIO!C318)),"SUN",
IF(ISNUMBER(SEARCH("SINTETICA",INVENTARIO!C318)),"SIN",
IF(ISNUMBER(SEARCH("CONTROL",INVENTARIO!C318)),"CON",
IF(ISNUMBER(SEARCH("TERMICO",INVENTARIO!C318)),"TER",
IF(ISNUMBER(SEARCH("C-15",INVENTARIO!C318)),"C15",
IF(ISNUMBER(SEARCH("C-20",INVENTARIO!C318)),"C20",
IF(ISNUMBER(SEARCH("C-30",INVENTARIO!C318)),"C30",
IF(ISNUMBER(SEARCH("C-40",INVENTARIO!C318)),"C40",
IF(ISNUMBER(SEARCH("C-60",INVENTARIO!C318)),"C60",
IF(ISNUMBER(SEARCH("C-80",INVENTARIO!C318)),"C80",
IF(ISNUMBER(SEARCH("EQUIPO",INVENTARIO!C318)),"EQU",
IF(ISNUMBER(SEARCH("FLOOR",INVENTARIO!C318)),"FLO",
IF(ISNUMBER(SEARCH("CRISTAL",INVENTARIO!C318)),"CRI",
IF(ISNUMBER(SEARCH(" SULFATADA",INVENTARIO!C329)),"SUL",
IF(ISNUMBER(SEARCH("OPALINA",INVENTARIO!C318)),"OPA",
IF(ISNUMBER(SEARCH("ADHERIBLE",INVENTARIO!C318)),"ADH",
IF(ISNUMBER(SEARCH("MICRO",INVENTARIO!C318)),"MIC","")))))))))))))))))))))</f>
        <v/>
      </c>
      <c r="C318" t="str">
        <f>IF(ISNUMBER(SEARCH("PARED",INVENTARIO!C318)),"PAR",
IF(ISNUMBER(SEARCH("FRONT",INVENTARIO!C318)),"FRO",
IF(ISNUMBER(SEARCH("ALTA RESISTENCIA",INVENTARIO!C318)),
"ALT-RES",IF(ISNUMBER(SEARCH("BACKLITE",INVENTARIO!C318)),"BAC",
IF(ISNUMBER(SEARCH("MATE",INVENTARIO!C318)),"MAT",
IF(ISNUMBER(SEARCH("MESH",INVENTARIO!C318)),"MES",
IF(ISNUMBER(SEARCH("BRILLANTE",INVENTARIO!C318)),"BRI",
IF(ISNUMBER(SEARCH("DELGADA",INVENTARIO!C318)),"DEL",
IF(ISNUMBER(SEARCH("GRUESA",INVENTARIO!C318)),"GRU",
IF(ISNUMBER(SEARCH("ESTATICO",INVENTARIO!C318)),"EST",
IF(ISNUMBER(SEARCH("REFLECTIVO",INVENTARIO!C318)),"REF",
IF(ISNUMBER(SEARCH("LX700",INVENTARIO!C318)),"LX7",
IF(ISNUMBER(SEARCH("GRANDO",INVENTARIO!C318)),"GRA",
IF(ISNUMBER(SEARCH("FB700",INVENTARIO!C318)),"FB7",
IF(ISNUMBER(SEARCH("LX360",INVENTARIO!C318)),"LX3",
IF(ISNUMBER(SEARCH("XEROX",INVENTARIO!C318)),"XER",
IF(ISNUMBER(SEARCH("CEPILLADO",INVENTARIO!C318)),"CEP",
IF(ISNUMBER(SEARCH("ESPEJO",INVENTARIO!C318)),"ESP",
IF(ISNUMBER(SEARCH("10 PTS",INVENTARIO!C318)),"10PT",
IF(ISNUMBER(SEARCH("12 PTS",INVENTARIO!C318)),"12PT",
IF(ISNUMBER(SEARCH("14 PTS",INVENTARIO!C318)),"14PT",
IF(ISNUMBER(SEARCH("CLASICO",INVENTARIO!C318)),"CLA",
""))))))))))))))))))))))</f>
        <v/>
      </c>
      <c r="D318" t="str">
        <f>IF(ISNUMBER(SEARCH("GRAN FORMATO",INVENTARIO!C318)),"GRA-FOR",
IF(ISNUMBER(SEARCH("CAMA PLANA",INVENTARIO!C318)),"CAM-PLA",
IF(ISNUMBER(SEARCH("GRADO INGENIERIA",INVENTARIO!C318)),"GRA-ING",
IF(ISNUMBER(SEARCH("130 GRS",INVENTARIO!C318)),"130GR",
IF(ISNUMBER(SEARCH("150 GRS",INVENTARIO!C318)),"150GR",
IF(ISNUMBER(SEARCH("185 GRS",INVENTARIO!C318)),"185GR",
IF(ISNUMBER(SEARCH("200 GRS",INVENTARIO!C318)),"200GR",
IF(ISNUMBER(SEARCH("250 GRS",INVENTARIO!C318)),"250GR",
IF(ISNUMBER(SEARCH("300 GRS",INVENTARIO!C318)),"300GR",
IF(ISNUMBER(SEARCH("350 GRS",INVENTARIO!C318)),"350GR",
IF(ISNUMBER(SEARCH("18 OZ",INVENTARIO!C318)),"18OZ",
IF(ISNUMBER(SEARCH("15 OZ",INVENTARIO!C318)),"15OZ",
IF(OR(ISNUMBER(SEARCH("13 OZ",INVENTARIO!C318)),ISNUMBER(SEARCH("13 ONZAS",INVENTARIO!C318))),"13OZ",
IF(OR(ISNUMBER(SEARCH("9 OZ",INVENTARIO!C318)),ISNUMBER(SEARCH("9 ONZAS",INVENTARIO!C318))),"09OZ",
IF(ISNUMBER(SEARCH("DOBLE CARA",INVENTARIO!C318)),"DOB-CAR",
"")))))))))))))))</f>
        <v/>
      </c>
      <c r="E318" t="str">
        <f>IF(OR(ISNUMBER(SEARCH("TRANSPARENTE",INVENTARIO!C318)),ISNUMBER(SEARCH("TRANSPARENTES",INVENTARIO!C318))),"TRA",
IF(OR(ISNUMBER(SEARCH("BLANCO",INVENTARIO!C318)),ISNUMBER(SEARCH("BCO",INVENTARIO!C318))),"BLA",
IF(ISNUMBER(SEARCH("FOTOGRAFICO",INVENTARIO!C318)),"FOT",
IF(ISNUMBER(SEARCH("MARFIL",INVENTARIO!C318)),"MAR",
IF(ISNUMBER(SEARCH("VERDE",INVENTARIO!C318)),"VER",
IF(ISNUMBER(SEARCH("MORADO",INVENTARIO!C318)),"MOR",
IF(ISNUMBER(SEARCH("PLATA",INVENTARIO!C318)),"PLA",
IF(ISNUMBER(SEARCH("ORO",INVENTARIO!C318)),"ORO",
IF(ISNUMBER(SEARCH("AMARILLO",INVENTARIO!C318)),"AMA",
IF(ISNUMBER(SEARCH("NARANJA",INVENTARIO!C318)),"NAR",
IF(ISNUMBER(SEARCH("NEGRO",INVENTARIO!C318)),"NEG",
IF(ISNUMBER(SEARCH("ROJO",INVENTARIO!C318)),"ROJ",
IF(ISNUMBER(SEARCH("AZUL",INVENTARIO!C318)),"AZU","")))))))))))))</f>
        <v>NEG</v>
      </c>
      <c r="F318" t="str">
        <f>IF(ISNUMBER(SEARCH("ARLON",INVENTARIO!C318)),"ARL",
IF(ISNUMBER(SEARCH("SUNTHINKS",INVENTARIO!C318)),"SUN",
IF(ISNUMBER(SEARCH("FRIO",INVENTARIO!C318)),"FRI",
IF(ISNUMBER(SEARCH("CALIDO",INVENTARIO!C318)),"CAL",
IF(ISNUMBER(SEARCH("CEPILLADO",INVENTARIO!C318)),"CEP",
IF(ISNUMBER(SEARCH("ESPEJO",INVENTARIO!C318)),"ESP",
""))))))</f>
        <v/>
      </c>
      <c r="G318" t="str">
        <f>IF(ISNUMBER(SEARCH("LATEX",INVENTARIO!C318)),"LAT",
IF(ISNUMBER(SEARCH("RESP. NEGRO",INVENTARIO!C318)),"RES-NEG",
IF(ISNUMBER(SEARCH("RESPALDO CAFE",INVENTARIO!C318)),"RES-CAF",
IF(ISNUMBER(SEARCH("RESPALDO GRIS",INVENTARIO!C318)),"RES-GRI",
IF(ISNUMBER(SEARCH("OPTICO",INVENTARIO!C318)),"OPT",
IF(ISNUMBER(SEARCH("1,2 MM",INVENTARIO!C318)),"1MM2",
IF(ISNUMBER(SEARCH("2 MM",INVENTARIO!C318)),"2MM",
IF(ISNUMBER(SEARCH("3 MM",INVENTARIO!C318)),"3MM",
IF(ISNUMBER(SEARCH("4 MM",INVENTARIO!C318)),"4MM",
IF(ISNUMBER(SEARCH("5 MM",INVENTARIO!C318)),"5MM",
IF(ISNUMBER(SEARCH("6 MM",INVENTARIO!C318)),"6MM",
IF(ISNUMBER(SEARCH("9 MM",INVENTARIO!C318)),"9MM",
IF(ISNUMBER(SEARCH("10 MM",INVENTARIO!C318)),"10MM","")))))))))))))</f>
        <v/>
      </c>
      <c r="H318" t="str">
        <f>IF(ISNUMBER(SEARCH("GAMA BAJA",INVENTARIO!C318)),"GAM-BAJ",
IF(ISNUMBER(SEARCH("OPTIMIZADOR",INVENTARIO!C318)),"OPT",
IF(ISNUMBER(SEARCH("OVERCOAT",INVENTARIO!C318)),"OVE",
IF(ISNUMBER(SEARCH("WHITE",INVENTARIO!C318)),"WHI",
IF(ISNUMBER(SEARCH("LIGHT CYAN",INVENTARIO!C318)),"LIG-CYA",
IF(ISNUMBER(SEARCH("CYAN",INVENTARIO!C318)),"CYA",
IF(ISNUMBER(SEARCH("LIGHT MAGENTA",INVENTARIO!C318)),"LIG-MAG",
IF(ISNUMBER(SEARCH("MAGENTA",INVENTARIO!C318)),"MAG",
IF(ISNUMBER(SEARCH("BLACK",INVENTARIO!C318)),"BLA",
IF(ISNUMBER(SEARCH("YELLOW",INVENTARIO!C318)),"YEL",
IF(ISNUMBER(SEARCH("2 DIODOS",INVENTARIO!C318)),"2DI",
IF(ISNUMBER(SEARCH("3 DIODOS",INVENTARIO!C318)),"3DI",
IF(OR(ISNUMBER(SEARCH("TRASLUCIDO",INVENTARIO!C318)),ISNUMBER(SEARCH("TRANSLUCIDO",INVENTARIO!C318))),"TRA",
"")))))))))))))</f>
        <v/>
      </c>
    </row>
    <row r="319" spans="1:8">
      <c r="A319" t="str">
        <f>IF(ISNUMBER(SEARCH("LONA",INVENTARIO!C319)),"LON",
IF(ISNUMBER(SEARCH("VINIL",INVENTARIO!C319)),"VIN",
IF(ISNUMBER(SEARCH("KROMACOTE",INVENTARIO!C319)),"KRO",
IF(ISNUMBER(SEARCH("STARDREAM",INVENTARIO!C319)),"STA",
IF(ISNUMBER(SEARCH("DISPLAY",INVENTARIO!C319)),"DIS",
IF(ISNUMBER(SEARCH("ROLL UP",INVENTARIO!C319)),"ROL-UP",
IF(ISNUMBER(SEARCH("TRANSFER DE PAPEL",INVENTARIO!C319)),"TRA-PAP",
IF(ISNUMBER(SEARCH("TRANSFER",INVENTARIO!C319)),"TRA",IF(ISNUMBER(SEARCH("KOLA LOKA",INVENTARIO!C319)),"KOL-LOK",
IF(ISNUMBER(SEARCH("PETG",INVENTARIO!C319)),"PET",
IF(ISNUMBER(SEARCH("OJILLO",INVENTARIO!C319)),"OJI",
IF(ISNUMBER(SEARCH("COUCHE",INVENTARIO!C319)),"COU",
IF(ISNUMBER(SEARCH("PANEL DE ALUMINIO",INVENTARIO!C319)),"PAN-ALU",
IF(ISNUMBER(SEARCH("PVC",INVENTARIO!C319)),"PVC",
IF(ISNUMBER(SEARCH("PAPEL",INVENTARIO!C319)),"PAP",
IF(ISNUMBER(SEARCH("TELA",INVENTARIO!C319)),"TEL",
IF(ISNUMBER(SEARCH("CARTULINA",INVENTARIO!C319)),"CAR",
IF(OR(ISNUMBER(SEARCH("LAMINA",INVENTARIO!C319)),ISNUMBER(SEARCH("LÁMINA",INVENTARIO!C319)),ISNUMBER(SEARCH("LAMPARAS",INVENTARIO!C319))),"LAM",
IF(ISNUMBER(SEARCH("ESTIRENO",INVENTARIO!C319)),"EST",
IF(ISNUMBER(SEARCH("FOAMBOARD",INVENTARIO!C319)),"FOA",
IF(ISNUMBER(SEARCH("SOLVENTE",INVENTARIO!C319)),"SOL",
IF(ISNUMBER(SEARCH("TINTA",INVENTARIO!C319)),"TIN",
IF(ISNUMBER(SEARCH("ACRILICO",INVENTARIO!C319)),"ACR",
IF(ISNUMBER(SEARCH("MICROLED",INVENTARIO!C319)),"MIC",
IF(ISNUMBER(SEARCH("LED",INVENTARIO!C319)),"LED",
IF(ISNUMBER(SEARCH("FUENTE DE PODER",INVENTARIO!C319)),"FUE-POD",
IF(ISNUMBER(SEARCH("PETG",INVENTARIO!C319)),"PET",
IF(ISNUMBER(SEARCH("ALUMINIO",INVENTARIO!C319)),"ALU",
IF(ISNUMBER(SEARCH("CANAL",INVENTARIO!C319)),"CAN",
IF(ISNUMBER(SEARCH("ESCUADRA",INVENTARIO!C319)),"ESC",
IF(ISNUMBER(SEARCH("SOPORTE",INVENTARIO!C319)),"SOP","OTR")
))))))))))))))))))))))))))))))</f>
        <v>STA</v>
      </c>
      <c r="B319" t="str">
        <f>IF(ISNUMBER(SEARCH("CORTE",INVENTARIO!C319)),"COR",
IF(ISNUMBER(SEARCH("CITYLIGHT",INVENTARIO!C319)),"CIT",
IF(ISNUMBER(SEARCH("LINO",INVENTARIO!C319)),"LIN",
IF(ISNUMBER(SEARCH("FABRIANO",INVENTARIO!C319)),"FAB",
IF(ISNUMBER(SEARCH("SUNDANCE",INVENTARIO!C319)),"SUN",
IF(ISNUMBER(SEARCH("SINTETICA",INVENTARIO!C319)),"SIN",
IF(ISNUMBER(SEARCH("CONTROL",INVENTARIO!C319)),"CON",
IF(ISNUMBER(SEARCH("TERMICO",INVENTARIO!C319)),"TER",
IF(ISNUMBER(SEARCH("C-15",INVENTARIO!C319)),"C15",
IF(ISNUMBER(SEARCH("C-20",INVENTARIO!C319)),"C20",
IF(ISNUMBER(SEARCH("C-30",INVENTARIO!C319)),"C30",
IF(ISNUMBER(SEARCH("C-40",INVENTARIO!C319)),"C40",
IF(ISNUMBER(SEARCH("C-60",INVENTARIO!C319)),"C60",
IF(ISNUMBER(SEARCH("C-80",INVENTARIO!C319)),"C80",
IF(ISNUMBER(SEARCH("EQUIPO",INVENTARIO!C319)),"EQU",
IF(ISNUMBER(SEARCH("FLOOR",INVENTARIO!C319)),"FLO",
IF(ISNUMBER(SEARCH("CRISTAL",INVENTARIO!C319)),"CRI",
IF(ISNUMBER(SEARCH(" SULFATADA",INVENTARIO!C330)),"SUL",
IF(ISNUMBER(SEARCH("OPALINA",INVENTARIO!C319)),"OPA",
IF(ISNUMBER(SEARCH("ADHERIBLE",INVENTARIO!C319)),"ADH",
IF(ISNUMBER(SEARCH("MICRO",INVENTARIO!C319)),"MIC","")))))))))))))))))))))</f>
        <v/>
      </c>
      <c r="C319" t="str">
        <f>IF(ISNUMBER(SEARCH("PARED",INVENTARIO!C319)),"PAR",
IF(ISNUMBER(SEARCH("FRONT",INVENTARIO!C319)),"FRO",
IF(ISNUMBER(SEARCH("ALTA RESISTENCIA",INVENTARIO!C319)),
"ALT-RES",IF(ISNUMBER(SEARCH("BACKLITE",INVENTARIO!C319)),"BAC",
IF(ISNUMBER(SEARCH("MATE",INVENTARIO!C319)),"MAT",
IF(ISNUMBER(SEARCH("MESH",INVENTARIO!C319)),"MES",
IF(ISNUMBER(SEARCH("BRILLANTE",INVENTARIO!C319)),"BRI",
IF(ISNUMBER(SEARCH("DELGADA",INVENTARIO!C319)),"DEL",
IF(ISNUMBER(SEARCH("GRUESA",INVENTARIO!C319)),"GRU",
IF(ISNUMBER(SEARCH("ESTATICO",INVENTARIO!C319)),"EST",
IF(ISNUMBER(SEARCH("REFLECTIVO",INVENTARIO!C319)),"REF",
IF(ISNUMBER(SEARCH("LX700",INVENTARIO!C319)),"LX7",
IF(ISNUMBER(SEARCH("GRANDO",INVENTARIO!C319)),"GRA",
IF(ISNUMBER(SEARCH("FB700",INVENTARIO!C319)),"FB7",
IF(ISNUMBER(SEARCH("LX360",INVENTARIO!C319)),"LX3",
IF(ISNUMBER(SEARCH("XEROX",INVENTARIO!C319)),"XER",
IF(ISNUMBER(SEARCH("CEPILLADO",INVENTARIO!C319)),"CEP",
IF(ISNUMBER(SEARCH("ESPEJO",INVENTARIO!C319)),"ESP",
IF(ISNUMBER(SEARCH("10 PTS",INVENTARIO!C319)),"10PT",
IF(ISNUMBER(SEARCH("12 PTS",INVENTARIO!C319)),"12PT",
IF(ISNUMBER(SEARCH("14 PTS",INVENTARIO!C319)),"14PT",
IF(ISNUMBER(SEARCH("CLASICO",INVENTARIO!C319)),"CLA",
""))))))))))))))))))))))</f>
        <v/>
      </c>
      <c r="D319" t="str">
        <f>IF(ISNUMBER(SEARCH("GRAN FORMATO",INVENTARIO!C319)),"GRA-FOR",
IF(ISNUMBER(SEARCH("CAMA PLANA",INVENTARIO!C319)),"CAM-PLA",
IF(ISNUMBER(SEARCH("GRADO INGENIERIA",INVENTARIO!C319)),"GRA-ING",
IF(ISNUMBER(SEARCH("130 GRS",INVENTARIO!C319)),"130GR",
IF(ISNUMBER(SEARCH("150 GRS",INVENTARIO!C319)),"150GR",
IF(ISNUMBER(SEARCH("185 GRS",INVENTARIO!C319)),"185GR",
IF(ISNUMBER(SEARCH("200 GRS",INVENTARIO!C319)),"200GR",
IF(ISNUMBER(SEARCH("250 GRS",INVENTARIO!C319)),"250GR",
IF(ISNUMBER(SEARCH("300 GRS",INVENTARIO!C319)),"300GR",
IF(ISNUMBER(SEARCH("350 GRS",INVENTARIO!C319)),"350GR",
IF(ISNUMBER(SEARCH("18 OZ",INVENTARIO!C319)),"18OZ",
IF(ISNUMBER(SEARCH("15 OZ",INVENTARIO!C319)),"15OZ",
IF(OR(ISNUMBER(SEARCH("13 OZ",INVENTARIO!C319)),ISNUMBER(SEARCH("13 ONZAS",INVENTARIO!C319))),"13OZ",
IF(OR(ISNUMBER(SEARCH("9 OZ",INVENTARIO!C319)),ISNUMBER(SEARCH("9 ONZAS",INVENTARIO!C319))),"09OZ",
IF(ISNUMBER(SEARCH("DOBLE CARA",INVENTARIO!C319)),"DOB-CAR",
"")))))))))))))))</f>
        <v/>
      </c>
      <c r="E319" t="str">
        <f>IF(OR(ISNUMBER(SEARCH("TRANSPARENTE",INVENTARIO!C319)),ISNUMBER(SEARCH("TRANSPARENTES",INVENTARIO!C319))),"TRA",
IF(OR(ISNUMBER(SEARCH("BLANCO",INVENTARIO!C319)),ISNUMBER(SEARCH("BCO",INVENTARIO!C319))),"BLA",
IF(ISNUMBER(SEARCH("FOTOGRAFICO",INVENTARIO!C319)),"FOT",
IF(ISNUMBER(SEARCH("MARFIL",INVENTARIO!C319)),"MAR",
IF(ISNUMBER(SEARCH("VERDE",INVENTARIO!C319)),"VER",
IF(ISNUMBER(SEARCH("MORADO",INVENTARIO!C319)),"MOR",
IF(ISNUMBER(SEARCH("PLATA",INVENTARIO!C319)),"PLA",
IF(ISNUMBER(SEARCH("ORO",INVENTARIO!C319)),"ORO",
IF(ISNUMBER(SEARCH("AMARILLO",INVENTARIO!C319)),"AMA",
IF(ISNUMBER(SEARCH("NARANJA",INVENTARIO!C319)),"NAR",
IF(ISNUMBER(SEARCH("NEGRO",INVENTARIO!C319)),"NEG",
IF(ISNUMBER(SEARCH("ROJO",INVENTARIO!C319)),"ROJ",
IF(ISNUMBER(SEARCH("AZUL",INVENTARIO!C319)),"AZU","")))))))))))))</f>
        <v/>
      </c>
      <c r="F319" t="str">
        <f>IF(ISNUMBER(SEARCH("ARLON",INVENTARIO!C319)),"ARL",
IF(ISNUMBER(SEARCH("SUNTHINKS",INVENTARIO!C319)),"SUN",
IF(ISNUMBER(SEARCH("FRIO",INVENTARIO!C319)),"FRI",
IF(ISNUMBER(SEARCH("CALIDO",INVENTARIO!C319)),"CAL",
IF(ISNUMBER(SEARCH("CEPILLADO",INVENTARIO!C319)),"CEP",
IF(ISNUMBER(SEARCH("ESPEJO",INVENTARIO!C319)),"ESP",
""))))))</f>
        <v/>
      </c>
      <c r="G319" t="str">
        <f>IF(ISNUMBER(SEARCH("LATEX",INVENTARIO!C319)),"LAT",
IF(ISNUMBER(SEARCH("RESP. NEGRO",INVENTARIO!C319)),"RES-NEG",
IF(ISNUMBER(SEARCH("RESPALDO CAFE",INVENTARIO!C319)),"RES-CAF",
IF(ISNUMBER(SEARCH("RESPALDO GRIS",INVENTARIO!C319)),"RES-GRI",
IF(ISNUMBER(SEARCH("OPTICO",INVENTARIO!C319)),"OPT",
IF(ISNUMBER(SEARCH("1,2 MM",INVENTARIO!C319)),"1MM2",
IF(ISNUMBER(SEARCH("2 MM",INVENTARIO!C319)),"2MM",
IF(ISNUMBER(SEARCH("3 MM",INVENTARIO!C319)),"3MM",
IF(ISNUMBER(SEARCH("4 MM",INVENTARIO!C319)),"4MM",
IF(ISNUMBER(SEARCH("5 MM",INVENTARIO!C319)),"5MM",
IF(ISNUMBER(SEARCH("6 MM",INVENTARIO!C319)),"6MM",
IF(ISNUMBER(SEARCH("9 MM",INVENTARIO!C319)),"9MM",
IF(ISNUMBER(SEARCH("10 MM",INVENTARIO!C319)),"10MM","")))))))))))))</f>
        <v/>
      </c>
      <c r="H319" t="str">
        <f>IF(ISNUMBER(SEARCH("GAMA BAJA",INVENTARIO!C319)),"GAM-BAJ",
IF(ISNUMBER(SEARCH("OPTIMIZADOR",INVENTARIO!C319)),"OPT",
IF(ISNUMBER(SEARCH("OVERCOAT",INVENTARIO!C319)),"OVE",
IF(ISNUMBER(SEARCH("WHITE",INVENTARIO!C319)),"WHI",
IF(ISNUMBER(SEARCH("LIGHT CYAN",INVENTARIO!C319)),"LIG-CYA",
IF(ISNUMBER(SEARCH("CYAN",INVENTARIO!C319)),"CYA",
IF(ISNUMBER(SEARCH("LIGHT MAGENTA",INVENTARIO!C319)),"LIG-MAG",
IF(ISNUMBER(SEARCH("MAGENTA",INVENTARIO!C319)),"MAG",
IF(ISNUMBER(SEARCH("BLACK",INVENTARIO!C319)),"BLA",
IF(ISNUMBER(SEARCH("YELLOW",INVENTARIO!C319)),"YEL",
IF(ISNUMBER(SEARCH("2 DIODOS",INVENTARIO!C319)),"2DI",
IF(ISNUMBER(SEARCH("3 DIODOS",INVENTARIO!C319)),"3DI",
IF(OR(ISNUMBER(SEARCH("TRASLUCIDO",INVENTARIO!C319)),ISNUMBER(SEARCH("TRANSLUCIDO",INVENTARIO!C319))),"TRA",
"")))))))))))))</f>
        <v/>
      </c>
    </row>
    <row r="320" spans="1:8">
      <c r="A320" t="str">
        <f>IF(ISNUMBER(SEARCH("LONA",INVENTARIO!C320)),"LON",
IF(ISNUMBER(SEARCH("VINIL",INVENTARIO!C320)),"VIN",
IF(ISNUMBER(SEARCH("KROMACOTE",INVENTARIO!C320)),"KRO",
IF(ISNUMBER(SEARCH("STARDREAM",INVENTARIO!C320)),"STA",
IF(ISNUMBER(SEARCH("DISPLAY",INVENTARIO!C320)),"DIS",
IF(ISNUMBER(SEARCH("ROLL UP",INVENTARIO!C320)),"ROL-UP",
IF(ISNUMBER(SEARCH("TRANSFER DE PAPEL",INVENTARIO!C320)),"TRA-PAP",
IF(ISNUMBER(SEARCH("TRANSFER",INVENTARIO!C320)),"TRA",IF(ISNUMBER(SEARCH("KOLA LOKA",INVENTARIO!C320)),"KOL-LOK",
IF(ISNUMBER(SEARCH("PETG",INVENTARIO!C320)),"PET",
IF(ISNUMBER(SEARCH("OJILLO",INVENTARIO!C320)),"OJI",
IF(ISNUMBER(SEARCH("COUCHE",INVENTARIO!C320)),"COU",
IF(ISNUMBER(SEARCH("PANEL DE ALUMINIO",INVENTARIO!C320)),"PAN-ALU",
IF(ISNUMBER(SEARCH("PVC",INVENTARIO!C320)),"PVC",
IF(ISNUMBER(SEARCH("PAPEL",INVENTARIO!C320)),"PAP",
IF(ISNUMBER(SEARCH("TELA",INVENTARIO!C320)),"TEL",
IF(ISNUMBER(SEARCH("CARTULINA",INVENTARIO!C320)),"CAR",
IF(OR(ISNUMBER(SEARCH("LAMINA",INVENTARIO!C320)),ISNUMBER(SEARCH("LÁMINA",INVENTARIO!C320)),ISNUMBER(SEARCH("LAMPARAS",INVENTARIO!C320))),"LAM",
IF(ISNUMBER(SEARCH("ESTIRENO",INVENTARIO!C320)),"EST",
IF(ISNUMBER(SEARCH("FOAMBOARD",INVENTARIO!C320)),"FOA",
IF(ISNUMBER(SEARCH("SOLVENTE",INVENTARIO!C320)),"SOL",
IF(ISNUMBER(SEARCH("TINTA",INVENTARIO!C320)),"TIN",
IF(ISNUMBER(SEARCH("ACRILICO",INVENTARIO!C320)),"ACR",
IF(ISNUMBER(SEARCH("MICROLED",INVENTARIO!C320)),"MIC",
IF(ISNUMBER(SEARCH("LED",INVENTARIO!C320)),"LED",
IF(ISNUMBER(SEARCH("FUENTE DE PODER",INVENTARIO!C320)),"FUE-POD",
IF(ISNUMBER(SEARCH("PETG",INVENTARIO!C320)),"PET",
IF(ISNUMBER(SEARCH("ALUMINIO",INVENTARIO!C320)),"ALU",
IF(ISNUMBER(SEARCH("CANAL",INVENTARIO!C320)),"CAN",
IF(ISNUMBER(SEARCH("ESCUADRA",INVENTARIO!C320)),"ESC",
IF(ISNUMBER(SEARCH("SOPORTE",INVENTARIO!C320)),"SOP","OTR")
))))))))))))))))))))))))))))))</f>
        <v>STA</v>
      </c>
      <c r="B320" t="str">
        <f>IF(ISNUMBER(SEARCH("CORTE",INVENTARIO!C320)),"COR",
IF(ISNUMBER(SEARCH("CITYLIGHT",INVENTARIO!C320)),"CIT",
IF(ISNUMBER(SEARCH("LINO",INVENTARIO!C320)),"LIN",
IF(ISNUMBER(SEARCH("FABRIANO",INVENTARIO!C320)),"FAB",
IF(ISNUMBER(SEARCH("SUNDANCE",INVENTARIO!C320)),"SUN",
IF(ISNUMBER(SEARCH("SINTETICA",INVENTARIO!C320)),"SIN",
IF(ISNUMBER(SEARCH("CONTROL",INVENTARIO!C320)),"CON",
IF(ISNUMBER(SEARCH("TERMICO",INVENTARIO!C320)),"TER",
IF(ISNUMBER(SEARCH("C-15",INVENTARIO!C320)),"C15",
IF(ISNUMBER(SEARCH("C-20",INVENTARIO!C320)),"C20",
IF(ISNUMBER(SEARCH("C-30",INVENTARIO!C320)),"C30",
IF(ISNUMBER(SEARCH("C-40",INVENTARIO!C320)),"C40",
IF(ISNUMBER(SEARCH("C-60",INVENTARIO!C320)),"C60",
IF(ISNUMBER(SEARCH("C-80",INVENTARIO!C320)),"C80",
IF(ISNUMBER(SEARCH("EQUIPO",INVENTARIO!C320)),"EQU",
IF(ISNUMBER(SEARCH("FLOOR",INVENTARIO!C320)),"FLO",
IF(ISNUMBER(SEARCH("CRISTAL",INVENTARIO!C320)),"CRI",
IF(ISNUMBER(SEARCH(" SULFATADA",INVENTARIO!C331)),"SUL",
IF(ISNUMBER(SEARCH("OPALINA",INVENTARIO!C320)),"OPA",
IF(ISNUMBER(SEARCH("ADHERIBLE",INVENTARIO!C320)),"ADH",
IF(ISNUMBER(SEARCH("MICRO",INVENTARIO!C320)),"MIC","")))))))))))))))))))))</f>
        <v/>
      </c>
      <c r="C320" t="str">
        <f>IF(ISNUMBER(SEARCH("PARED",INVENTARIO!C320)),"PAR",
IF(ISNUMBER(SEARCH("FRONT",INVENTARIO!C320)),"FRO",
IF(ISNUMBER(SEARCH("ALTA RESISTENCIA",INVENTARIO!C320)),
"ALT-RES",IF(ISNUMBER(SEARCH("BACKLITE",INVENTARIO!C320)),"BAC",
IF(ISNUMBER(SEARCH("MATE",INVENTARIO!C320)),"MAT",
IF(ISNUMBER(SEARCH("MESH",INVENTARIO!C320)),"MES",
IF(ISNUMBER(SEARCH("BRILLANTE",INVENTARIO!C320)),"BRI",
IF(ISNUMBER(SEARCH("DELGADA",INVENTARIO!C320)),"DEL",
IF(ISNUMBER(SEARCH("GRUESA",INVENTARIO!C320)),"GRU",
IF(ISNUMBER(SEARCH("ESTATICO",INVENTARIO!C320)),"EST",
IF(ISNUMBER(SEARCH("REFLECTIVO",INVENTARIO!C320)),"REF",
IF(ISNUMBER(SEARCH("LX700",INVENTARIO!C320)),"LX7",
IF(ISNUMBER(SEARCH("GRANDO",INVENTARIO!C320)),"GRA",
IF(ISNUMBER(SEARCH("FB700",INVENTARIO!C320)),"FB7",
IF(ISNUMBER(SEARCH("LX360",INVENTARIO!C320)),"LX3",
IF(ISNUMBER(SEARCH("XEROX",INVENTARIO!C320)),"XER",
IF(ISNUMBER(SEARCH("CEPILLADO",INVENTARIO!C320)),"CEP",
IF(ISNUMBER(SEARCH("ESPEJO",INVENTARIO!C320)),"ESP",
IF(ISNUMBER(SEARCH("10 PTS",INVENTARIO!C320)),"10PT",
IF(ISNUMBER(SEARCH("12 PTS",INVENTARIO!C320)),"12PT",
IF(ISNUMBER(SEARCH("14 PTS",INVENTARIO!C320)),"14PT",
IF(ISNUMBER(SEARCH("CLASICO",INVENTARIO!C320)),"CLA",
""))))))))))))))))))))))</f>
        <v/>
      </c>
      <c r="D320" t="str">
        <f>IF(ISNUMBER(SEARCH("GRAN FORMATO",INVENTARIO!C320)),"GRA-FOR",
IF(ISNUMBER(SEARCH("CAMA PLANA",INVENTARIO!C320)),"CAM-PLA",
IF(ISNUMBER(SEARCH("GRADO INGENIERIA",INVENTARIO!C320)),"GRA-ING",
IF(ISNUMBER(SEARCH("130 GRS",INVENTARIO!C320)),"130GR",
IF(ISNUMBER(SEARCH("150 GRS",INVENTARIO!C320)),"150GR",
IF(ISNUMBER(SEARCH("185 GRS",INVENTARIO!C320)),"185GR",
IF(ISNUMBER(SEARCH("200 GRS",INVENTARIO!C320)),"200GR",
IF(ISNUMBER(SEARCH("250 GRS",INVENTARIO!C320)),"250GR",
IF(ISNUMBER(SEARCH("300 GRS",INVENTARIO!C320)),"300GR",
IF(ISNUMBER(SEARCH("350 GRS",INVENTARIO!C320)),"350GR",
IF(ISNUMBER(SEARCH("18 OZ",INVENTARIO!C320)),"18OZ",
IF(ISNUMBER(SEARCH("15 OZ",INVENTARIO!C320)),"15OZ",
IF(OR(ISNUMBER(SEARCH("13 OZ",INVENTARIO!C320)),ISNUMBER(SEARCH("13 ONZAS",INVENTARIO!C320))),"13OZ",
IF(OR(ISNUMBER(SEARCH("9 OZ",INVENTARIO!C320)),ISNUMBER(SEARCH("9 ONZAS",INVENTARIO!C320))),"09OZ",
IF(ISNUMBER(SEARCH("DOBLE CARA",INVENTARIO!C320)),"DOB-CAR",
"")))))))))))))))</f>
        <v/>
      </c>
      <c r="E320" t="str">
        <f>IF(OR(ISNUMBER(SEARCH("TRANSPARENTE",INVENTARIO!C320)),ISNUMBER(SEARCH("TRANSPARENTES",INVENTARIO!C320))),"TRA",
IF(OR(ISNUMBER(SEARCH("BLANCO",INVENTARIO!C320)),ISNUMBER(SEARCH("BCO",INVENTARIO!C320))),"BLA",
IF(ISNUMBER(SEARCH("FOTOGRAFICO",INVENTARIO!C320)),"FOT",
IF(ISNUMBER(SEARCH("MARFIL",INVENTARIO!C320)),"MAR",
IF(ISNUMBER(SEARCH("VERDE",INVENTARIO!C320)),"VER",
IF(ISNUMBER(SEARCH("MORADO",INVENTARIO!C320)),"MOR",
IF(ISNUMBER(SEARCH("PLATA",INVENTARIO!C320)),"PLA",
IF(ISNUMBER(SEARCH("ORO",INVENTARIO!C320)),"ORO",
IF(ISNUMBER(SEARCH("AMARILLO",INVENTARIO!C320)),"AMA",
IF(ISNUMBER(SEARCH("NARANJA",INVENTARIO!C320)),"NAR",
IF(ISNUMBER(SEARCH("NEGRO",INVENTARIO!C320)),"NEG",
IF(ISNUMBER(SEARCH("ROJO",INVENTARIO!C320)),"ROJ",
IF(ISNUMBER(SEARCH("AZUL",INVENTARIO!C320)),"AZU","")))))))))))))</f>
        <v>ORO</v>
      </c>
      <c r="F320" t="str">
        <f>IF(ISNUMBER(SEARCH("ARLON",INVENTARIO!C320)),"ARL",
IF(ISNUMBER(SEARCH("SUNTHINKS",INVENTARIO!C320)),"SUN",
IF(ISNUMBER(SEARCH("FRIO",INVENTARIO!C320)),"FRI",
IF(ISNUMBER(SEARCH("CALIDO",INVENTARIO!C320)),"CAL",
IF(ISNUMBER(SEARCH("CEPILLADO",INVENTARIO!C320)),"CEP",
IF(ISNUMBER(SEARCH("ESPEJO",INVENTARIO!C320)),"ESP",
""))))))</f>
        <v/>
      </c>
      <c r="G320" t="str">
        <f>IF(ISNUMBER(SEARCH("LATEX",INVENTARIO!C320)),"LAT",
IF(ISNUMBER(SEARCH("RESP. NEGRO",INVENTARIO!C320)),"RES-NEG",
IF(ISNUMBER(SEARCH("RESPALDO CAFE",INVENTARIO!C320)),"RES-CAF",
IF(ISNUMBER(SEARCH("RESPALDO GRIS",INVENTARIO!C320)),"RES-GRI",
IF(ISNUMBER(SEARCH("OPTICO",INVENTARIO!C320)),"OPT",
IF(ISNUMBER(SEARCH("1,2 MM",INVENTARIO!C320)),"1MM2",
IF(ISNUMBER(SEARCH("2 MM",INVENTARIO!C320)),"2MM",
IF(ISNUMBER(SEARCH("3 MM",INVENTARIO!C320)),"3MM",
IF(ISNUMBER(SEARCH("4 MM",INVENTARIO!C320)),"4MM",
IF(ISNUMBER(SEARCH("5 MM",INVENTARIO!C320)),"5MM",
IF(ISNUMBER(SEARCH("6 MM",INVENTARIO!C320)),"6MM",
IF(ISNUMBER(SEARCH("9 MM",INVENTARIO!C320)),"9MM",
IF(ISNUMBER(SEARCH("10 MM",INVENTARIO!C320)),"10MM","")))))))))))))</f>
        <v/>
      </c>
      <c r="H320" t="str">
        <f>IF(ISNUMBER(SEARCH("GAMA BAJA",INVENTARIO!C320)),"GAM-BAJ",
IF(ISNUMBER(SEARCH("OPTIMIZADOR",INVENTARIO!C320)),"OPT",
IF(ISNUMBER(SEARCH("OVERCOAT",INVENTARIO!C320)),"OVE",
IF(ISNUMBER(SEARCH("WHITE",INVENTARIO!C320)),"WHI",
IF(ISNUMBER(SEARCH("LIGHT CYAN",INVENTARIO!C320)),"LIG-CYA",
IF(ISNUMBER(SEARCH("CYAN",INVENTARIO!C320)),"CYA",
IF(ISNUMBER(SEARCH("LIGHT MAGENTA",INVENTARIO!C320)),"LIG-MAG",
IF(ISNUMBER(SEARCH("MAGENTA",INVENTARIO!C320)),"MAG",
IF(ISNUMBER(SEARCH("BLACK",INVENTARIO!C320)),"BLA",
IF(ISNUMBER(SEARCH("YELLOW",INVENTARIO!C320)),"YEL",
IF(ISNUMBER(SEARCH("2 DIODOS",INVENTARIO!C320)),"2DI",
IF(ISNUMBER(SEARCH("3 DIODOS",INVENTARIO!C320)),"3DI",
IF(OR(ISNUMBER(SEARCH("TRASLUCIDO",INVENTARIO!C320)),ISNUMBER(SEARCH("TRANSLUCIDO",INVENTARIO!C320))),"TRA",
"")))))))))))))</f>
        <v/>
      </c>
    </row>
    <row r="321" spans="1:8">
      <c r="A321" t="str">
        <f>IF(ISNUMBER(SEARCH("LONA",INVENTARIO!C321)),"LON",
IF(ISNUMBER(SEARCH("VINIL",INVENTARIO!C321)),"VIN",
IF(ISNUMBER(SEARCH("KROMACOTE",INVENTARIO!C321)),"KRO",
IF(ISNUMBER(SEARCH("STARDREAM",INVENTARIO!C321)),"STA",
IF(ISNUMBER(SEARCH("DISPLAY",INVENTARIO!C321)),"DIS",
IF(ISNUMBER(SEARCH("ROLL UP",INVENTARIO!C321)),"ROL-UP",
IF(ISNUMBER(SEARCH("TRANSFER DE PAPEL",INVENTARIO!C321)),"TRA-PAP",
IF(ISNUMBER(SEARCH("TRANSFER",INVENTARIO!C321)),"TRA",IF(ISNUMBER(SEARCH("KOLA LOKA",INVENTARIO!C321)),"KOL-LOK",
IF(ISNUMBER(SEARCH("PETG",INVENTARIO!C321)),"PET",
IF(ISNUMBER(SEARCH("OJILLO",INVENTARIO!C321)),"OJI",
IF(ISNUMBER(SEARCH("COUCHE",INVENTARIO!C321)),"COU",
IF(ISNUMBER(SEARCH("PANEL DE ALUMINIO",INVENTARIO!C321)),"PAN-ALU",
IF(ISNUMBER(SEARCH("PVC",INVENTARIO!C321)),"PVC",
IF(ISNUMBER(SEARCH("PAPEL",INVENTARIO!C321)),"PAP",
IF(ISNUMBER(SEARCH("TELA",INVENTARIO!C321)),"TEL",
IF(ISNUMBER(SEARCH("CARTULINA",INVENTARIO!C321)),"CAR",
IF(OR(ISNUMBER(SEARCH("LAMINA",INVENTARIO!C321)),ISNUMBER(SEARCH("LÁMINA",INVENTARIO!C321)),ISNUMBER(SEARCH("LAMPARAS",INVENTARIO!C321))),"LAM",
IF(ISNUMBER(SEARCH("ESTIRENO",INVENTARIO!C321)),"EST",
IF(ISNUMBER(SEARCH("FOAMBOARD",INVENTARIO!C321)),"FOA",
IF(ISNUMBER(SEARCH("SOLVENTE",INVENTARIO!C321)),"SOL",
IF(ISNUMBER(SEARCH("TINTA",INVENTARIO!C321)),"TIN",
IF(ISNUMBER(SEARCH("ACRILICO",INVENTARIO!C321)),"ACR",
IF(ISNUMBER(SEARCH("MICROLED",INVENTARIO!C321)),"MIC",
IF(ISNUMBER(SEARCH("LED",INVENTARIO!C321)),"LED",
IF(ISNUMBER(SEARCH("FUENTE DE PODER",INVENTARIO!C321)),"FUE-POD",
IF(ISNUMBER(SEARCH("PETG",INVENTARIO!C321)),"PET",
IF(ISNUMBER(SEARCH("ALUMINIO",INVENTARIO!C321)),"ALU",
IF(ISNUMBER(SEARCH("CANAL",INVENTARIO!C321)),"CAN",
IF(ISNUMBER(SEARCH("ESCUADRA",INVENTARIO!C321)),"ESC",
IF(ISNUMBER(SEARCH("SOPORTE",INVENTARIO!C321)),"SOP","OTR")
))))))))))))))))))))))))))))))</f>
        <v>OTR</v>
      </c>
      <c r="B321" t="str">
        <f>IF(ISNUMBER(SEARCH("CORTE",INVENTARIO!C321)),"COR",
IF(ISNUMBER(SEARCH("CITYLIGHT",INVENTARIO!C321)),"CIT",
IF(ISNUMBER(SEARCH("LINO",INVENTARIO!C321)),"LIN",
IF(ISNUMBER(SEARCH("FABRIANO",INVENTARIO!C321)),"FAB",
IF(ISNUMBER(SEARCH("SUNDANCE",INVENTARIO!C321)),"SUN",
IF(ISNUMBER(SEARCH("SINTETICA",INVENTARIO!C321)),"SIN",
IF(ISNUMBER(SEARCH("CONTROL",INVENTARIO!C321)),"CON",
IF(ISNUMBER(SEARCH("TERMICO",INVENTARIO!C321)),"TER",
IF(ISNUMBER(SEARCH("C-15",INVENTARIO!C321)),"C15",
IF(ISNUMBER(SEARCH("C-20",INVENTARIO!C321)),"C20",
IF(ISNUMBER(SEARCH("C-30",INVENTARIO!C321)),"C30",
IF(ISNUMBER(SEARCH("C-40",INVENTARIO!C321)),"C40",
IF(ISNUMBER(SEARCH("C-60",INVENTARIO!C321)),"C60",
IF(ISNUMBER(SEARCH("C-80",INVENTARIO!C321)),"C80",
IF(ISNUMBER(SEARCH("EQUIPO",INVENTARIO!C321)),"EQU",
IF(ISNUMBER(SEARCH("FLOOR",INVENTARIO!C321)),"FLO",
IF(ISNUMBER(SEARCH("CRISTAL",INVENTARIO!C321)),"CRI",
IF(ISNUMBER(SEARCH(" SULFATADA",INVENTARIO!C332)),"SUL",
IF(ISNUMBER(SEARCH("OPALINA",INVENTARIO!C321)),"OPA",
IF(ISNUMBER(SEARCH("ADHERIBLE",INVENTARIO!C321)),"ADH",
IF(ISNUMBER(SEARCH("MICRO",INVENTARIO!C321)),"MIC","")))))))))))))))))))))</f>
        <v/>
      </c>
      <c r="C321" t="str">
        <f>IF(ISNUMBER(SEARCH("PARED",INVENTARIO!C321)),"PAR",
IF(ISNUMBER(SEARCH("FRONT",INVENTARIO!C321)),"FRO",
IF(ISNUMBER(SEARCH("ALTA RESISTENCIA",INVENTARIO!C321)),
"ALT-RES",IF(ISNUMBER(SEARCH("BACKLITE",INVENTARIO!C321)),"BAC",
IF(ISNUMBER(SEARCH("MATE",INVENTARIO!C321)),"MAT",
IF(ISNUMBER(SEARCH("MESH",INVENTARIO!C321)),"MES",
IF(ISNUMBER(SEARCH("BRILLANTE",INVENTARIO!C321)),"BRI",
IF(ISNUMBER(SEARCH("DELGADA",INVENTARIO!C321)),"DEL",
IF(ISNUMBER(SEARCH("GRUESA",INVENTARIO!C321)),"GRU",
IF(ISNUMBER(SEARCH("ESTATICO",INVENTARIO!C321)),"EST",
IF(ISNUMBER(SEARCH("REFLECTIVO",INVENTARIO!C321)),"REF",
IF(ISNUMBER(SEARCH("LX700",INVENTARIO!C321)),"LX7",
IF(ISNUMBER(SEARCH("GRANDO",INVENTARIO!C321)),"GRA",
IF(ISNUMBER(SEARCH("FB700",INVENTARIO!C321)),"FB7",
IF(ISNUMBER(SEARCH("LX360",INVENTARIO!C321)),"LX3",
IF(ISNUMBER(SEARCH("XEROX",INVENTARIO!C321)),"XER",
IF(ISNUMBER(SEARCH("CEPILLADO",INVENTARIO!C321)),"CEP",
IF(ISNUMBER(SEARCH("ESPEJO",INVENTARIO!C321)),"ESP",
IF(ISNUMBER(SEARCH("10 PTS",INVENTARIO!C321)),"10PT",
IF(ISNUMBER(SEARCH("12 PTS",INVENTARIO!C321)),"12PT",
IF(ISNUMBER(SEARCH("14 PTS",INVENTARIO!C321)),"14PT",
IF(ISNUMBER(SEARCH("CLASICO",INVENTARIO!C321)),"CLA",
""))))))))))))))))))))))</f>
        <v/>
      </c>
      <c r="D321" t="str">
        <f>IF(ISNUMBER(SEARCH("GRAN FORMATO",INVENTARIO!C321)),"GRA-FOR",
IF(ISNUMBER(SEARCH("CAMA PLANA",INVENTARIO!C321)),"CAM-PLA",
IF(ISNUMBER(SEARCH("GRADO INGENIERIA",INVENTARIO!C321)),"GRA-ING",
IF(ISNUMBER(SEARCH("130 GRS",INVENTARIO!C321)),"130GR",
IF(ISNUMBER(SEARCH("150 GRS",INVENTARIO!C321)),"150GR",
IF(ISNUMBER(SEARCH("185 GRS",INVENTARIO!C321)),"185GR",
IF(ISNUMBER(SEARCH("200 GRS",INVENTARIO!C321)),"200GR",
IF(ISNUMBER(SEARCH("250 GRS",INVENTARIO!C321)),"250GR",
IF(ISNUMBER(SEARCH("300 GRS",INVENTARIO!C321)),"300GR",
IF(ISNUMBER(SEARCH("350 GRS",INVENTARIO!C321)),"350GR",
IF(ISNUMBER(SEARCH("18 OZ",INVENTARIO!C321)),"18OZ",
IF(ISNUMBER(SEARCH("15 OZ",INVENTARIO!C321)),"15OZ",
IF(OR(ISNUMBER(SEARCH("13 OZ",INVENTARIO!C321)),ISNUMBER(SEARCH("13 ONZAS",INVENTARIO!C321))),"13OZ",
IF(OR(ISNUMBER(SEARCH("9 OZ",INVENTARIO!C321)),ISNUMBER(SEARCH("9 ONZAS",INVENTARIO!C321))),"09OZ",
IF(ISNUMBER(SEARCH("DOBLE CARA",INVENTARIO!C321)),"DOB-CAR",
"")))))))))))))))</f>
        <v/>
      </c>
      <c r="E321" t="str">
        <f>IF(OR(ISNUMBER(SEARCH("TRANSPARENTE",INVENTARIO!C321)),ISNUMBER(SEARCH("TRANSPARENTES",INVENTARIO!C321))),"TRA",
IF(OR(ISNUMBER(SEARCH("BLANCO",INVENTARIO!C321)),ISNUMBER(SEARCH("BCO",INVENTARIO!C321))),"BLA",
IF(ISNUMBER(SEARCH("FOTOGRAFICO",INVENTARIO!C321)),"FOT",
IF(ISNUMBER(SEARCH("MARFIL",INVENTARIO!C321)),"MAR",
IF(ISNUMBER(SEARCH("VERDE",INVENTARIO!C321)),"VER",
IF(ISNUMBER(SEARCH("MORADO",INVENTARIO!C321)),"MOR",
IF(ISNUMBER(SEARCH("PLATA",INVENTARIO!C321)),"PLA",
IF(ISNUMBER(SEARCH("ORO",INVENTARIO!C321)),"ORO",
IF(ISNUMBER(SEARCH("AMARILLO",INVENTARIO!C321)),"AMA",
IF(ISNUMBER(SEARCH("NARANJA",INVENTARIO!C321)),"NAR",
IF(ISNUMBER(SEARCH("NEGRO",INVENTARIO!C321)),"NEG",
IF(ISNUMBER(SEARCH("ROJO",INVENTARIO!C321)),"ROJ",
IF(ISNUMBER(SEARCH("AZUL",INVENTARIO!C321)),"AZU","")))))))))))))</f>
        <v/>
      </c>
      <c r="F321" t="str">
        <f>IF(ISNUMBER(SEARCH("ARLON",INVENTARIO!C321)),"ARL",
IF(ISNUMBER(SEARCH("SUNTHINKS",INVENTARIO!C321)),"SUN",
IF(ISNUMBER(SEARCH("FRIO",INVENTARIO!C321)),"FRI",
IF(ISNUMBER(SEARCH("CALIDO",INVENTARIO!C321)),"CAL",
IF(ISNUMBER(SEARCH("CEPILLADO",INVENTARIO!C321)),"CEP",
IF(ISNUMBER(SEARCH("ESPEJO",INVENTARIO!C321)),"ESP",
""))))))</f>
        <v/>
      </c>
      <c r="G321" t="str">
        <f>IF(ISNUMBER(SEARCH("LATEX",INVENTARIO!C321)),"LAT",
IF(ISNUMBER(SEARCH("RESP. NEGRO",INVENTARIO!C321)),"RES-NEG",
IF(ISNUMBER(SEARCH("RESPALDO CAFE",INVENTARIO!C321)),"RES-CAF",
IF(ISNUMBER(SEARCH("RESPALDO GRIS",INVENTARIO!C321)),"RES-GRI",
IF(ISNUMBER(SEARCH("OPTICO",INVENTARIO!C321)),"OPT",
IF(ISNUMBER(SEARCH("1,2 MM",INVENTARIO!C321)),"1MM2",
IF(ISNUMBER(SEARCH("2 MM",INVENTARIO!C321)),"2MM",
IF(ISNUMBER(SEARCH("3 MM",INVENTARIO!C321)),"3MM",
IF(ISNUMBER(SEARCH("4 MM",INVENTARIO!C321)),"4MM",
IF(ISNUMBER(SEARCH("5 MM",INVENTARIO!C321)),"5MM",
IF(ISNUMBER(SEARCH("6 MM",INVENTARIO!C321)),"6MM",
IF(ISNUMBER(SEARCH("9 MM",INVENTARIO!C321)),"9MM",
IF(ISNUMBER(SEARCH("10 MM",INVENTARIO!C321)),"10MM","")))))))))))))</f>
        <v/>
      </c>
      <c r="H321" t="str">
        <f>IF(ISNUMBER(SEARCH("GAMA BAJA",INVENTARIO!C321)),"GAM-BAJ",
IF(ISNUMBER(SEARCH("OPTIMIZADOR",INVENTARIO!C321)),"OPT",
IF(ISNUMBER(SEARCH("OVERCOAT",INVENTARIO!C321)),"OVE",
IF(ISNUMBER(SEARCH("WHITE",INVENTARIO!C321)),"WHI",
IF(ISNUMBER(SEARCH("LIGHT CYAN",INVENTARIO!C321)),"LIG-CYA",
IF(ISNUMBER(SEARCH("CYAN",INVENTARIO!C321)),"CYA",
IF(ISNUMBER(SEARCH("LIGHT MAGENTA",INVENTARIO!C321)),"LIG-MAG",
IF(ISNUMBER(SEARCH("MAGENTA",INVENTARIO!C321)),"MAG",
IF(ISNUMBER(SEARCH("BLACK",INVENTARIO!C321)),"BLA",
IF(ISNUMBER(SEARCH("YELLOW",INVENTARIO!C321)),"YEL",
IF(ISNUMBER(SEARCH("2 DIODOS",INVENTARIO!C321)),"2DI",
IF(ISNUMBER(SEARCH("3 DIODOS",INVENTARIO!C321)),"3DI",
IF(OR(ISNUMBER(SEARCH("TRASLUCIDO",INVENTARIO!C321)),ISNUMBER(SEARCH("TRANSLUCIDO",INVENTARIO!C321))),"TRA",
"")))))))))))))</f>
        <v/>
      </c>
    </row>
    <row r="322" spans="1:8">
      <c r="A322" t="str">
        <f>IF(ISNUMBER(SEARCH("LONA",INVENTARIO!C322)),"LON",
IF(ISNUMBER(SEARCH("VINIL",INVENTARIO!C322)),"VIN",
IF(ISNUMBER(SEARCH("KROMACOTE",INVENTARIO!C322)),"KRO",
IF(ISNUMBER(SEARCH("STARDREAM",INVENTARIO!C322)),"STA",
IF(ISNUMBER(SEARCH("DISPLAY",INVENTARIO!C322)),"DIS",
IF(ISNUMBER(SEARCH("ROLL UP",INVENTARIO!C322)),"ROL-UP",
IF(ISNUMBER(SEARCH("TRANSFER DE PAPEL",INVENTARIO!C322)),"TRA-PAP",
IF(ISNUMBER(SEARCH("TRANSFER",INVENTARIO!C322)),"TRA",IF(ISNUMBER(SEARCH("KOLA LOKA",INVENTARIO!C322)),"KOL-LOK",
IF(ISNUMBER(SEARCH("PETG",INVENTARIO!C322)),"PET",
IF(ISNUMBER(SEARCH("OJILLO",INVENTARIO!C322)),"OJI",
IF(ISNUMBER(SEARCH("COUCHE",INVENTARIO!C322)),"COU",
IF(ISNUMBER(SEARCH("PANEL DE ALUMINIO",INVENTARIO!C322)),"PAN-ALU",
IF(ISNUMBER(SEARCH("PVC",INVENTARIO!C322)),"PVC",
IF(ISNUMBER(SEARCH("PAPEL",INVENTARIO!C322)),"PAP",
IF(ISNUMBER(SEARCH("TELA",INVENTARIO!C322)),"TEL",
IF(ISNUMBER(SEARCH("CARTULINA",INVENTARIO!C322)),"CAR",
IF(OR(ISNUMBER(SEARCH("LAMINA",INVENTARIO!C322)),ISNUMBER(SEARCH("LÁMINA",INVENTARIO!C322)),ISNUMBER(SEARCH("LAMPARAS",INVENTARIO!C322))),"LAM",
IF(ISNUMBER(SEARCH("ESTIRENO",INVENTARIO!C322)),"EST",
IF(ISNUMBER(SEARCH("FOAMBOARD",INVENTARIO!C322)),"FOA",
IF(ISNUMBER(SEARCH("SOLVENTE",INVENTARIO!C322)),"SOL",
IF(ISNUMBER(SEARCH("TINTA",INVENTARIO!C322)),"TIN",
IF(ISNUMBER(SEARCH("ACRILICO",INVENTARIO!C322)),"ACR",
IF(ISNUMBER(SEARCH("MICROLED",INVENTARIO!C322)),"MIC",
IF(ISNUMBER(SEARCH("LED",INVENTARIO!C322)),"LED",
IF(ISNUMBER(SEARCH("FUENTE DE PODER",INVENTARIO!C322)),"FUE-POD",
IF(ISNUMBER(SEARCH("PETG",INVENTARIO!C322)),"PET",
IF(ISNUMBER(SEARCH("ALUMINIO",INVENTARIO!C322)),"ALU",
IF(ISNUMBER(SEARCH("CANAL",INVENTARIO!C322)),"CAN",
IF(ISNUMBER(SEARCH("ESCUADRA",INVENTARIO!C322)),"ESC",
IF(ISNUMBER(SEARCH("SOPORTE",INVENTARIO!C322)),"SOP","OTR")
))))))))))))))))))))))))))))))</f>
        <v>CAR</v>
      </c>
      <c r="B322" t="str">
        <f>IF(ISNUMBER(SEARCH("CORTE",INVENTARIO!C322)),"COR",
IF(ISNUMBER(SEARCH("CITYLIGHT",INVENTARIO!C322)),"CIT",
IF(ISNUMBER(SEARCH("LINO",INVENTARIO!C322)),"LIN",
IF(ISNUMBER(SEARCH("FABRIANO",INVENTARIO!C322)),"FAB",
IF(ISNUMBER(SEARCH("SUNDANCE",INVENTARIO!C322)),"SUN",
IF(ISNUMBER(SEARCH("SINTETICA",INVENTARIO!C322)),"SIN",
IF(ISNUMBER(SEARCH("CONTROL",INVENTARIO!C322)),"CON",
IF(ISNUMBER(SEARCH("TERMICO",INVENTARIO!C322)),"TER",
IF(ISNUMBER(SEARCH("C-15",INVENTARIO!C322)),"C15",
IF(ISNUMBER(SEARCH("C-20",INVENTARIO!C322)),"C20",
IF(ISNUMBER(SEARCH("C-30",INVENTARIO!C322)),"C30",
IF(ISNUMBER(SEARCH("C-40",INVENTARIO!C322)),"C40",
IF(ISNUMBER(SEARCH("C-60",INVENTARIO!C322)),"C60",
IF(ISNUMBER(SEARCH("C-80",INVENTARIO!C322)),"C80",
IF(ISNUMBER(SEARCH("EQUIPO",INVENTARIO!C322)),"EQU",
IF(ISNUMBER(SEARCH("FLOOR",INVENTARIO!C322)),"FLO",
IF(ISNUMBER(SEARCH("CRISTAL",INVENTARIO!C322)),"CRI",
IF(ISNUMBER(SEARCH(" SULFATADA",INVENTARIO!C333)),"SUL",
IF(ISNUMBER(SEARCH("OPALINA",INVENTARIO!C322)),"OPA",
IF(ISNUMBER(SEARCH("ADHERIBLE",INVENTARIO!C322)),"ADH",
IF(ISNUMBER(SEARCH("MICRO",INVENTARIO!C322)),"MIC","")))))))))))))))))))))</f>
        <v>LIN</v>
      </c>
      <c r="C322" t="str">
        <f>IF(ISNUMBER(SEARCH("PARED",INVENTARIO!C322)),"PAR",
IF(ISNUMBER(SEARCH("FRONT",INVENTARIO!C322)),"FRO",
IF(ISNUMBER(SEARCH("ALTA RESISTENCIA",INVENTARIO!C322)),
"ALT-RES",IF(ISNUMBER(SEARCH("BACKLITE",INVENTARIO!C322)),"BAC",
IF(ISNUMBER(SEARCH("MATE",INVENTARIO!C322)),"MAT",
IF(ISNUMBER(SEARCH("MESH",INVENTARIO!C322)),"MES",
IF(ISNUMBER(SEARCH("BRILLANTE",INVENTARIO!C322)),"BRI",
IF(ISNUMBER(SEARCH("DELGADA",INVENTARIO!C322)),"DEL",
IF(ISNUMBER(SEARCH("GRUESA",INVENTARIO!C322)),"GRU",
IF(ISNUMBER(SEARCH("ESTATICO",INVENTARIO!C322)),"EST",
IF(ISNUMBER(SEARCH("REFLECTIVO",INVENTARIO!C322)),"REF",
IF(ISNUMBER(SEARCH("LX700",INVENTARIO!C322)),"LX7",
IF(ISNUMBER(SEARCH("GRANDO",INVENTARIO!C322)),"GRA",
IF(ISNUMBER(SEARCH("FB700",INVENTARIO!C322)),"FB7",
IF(ISNUMBER(SEARCH("LX360",INVENTARIO!C322)),"LX3",
IF(ISNUMBER(SEARCH("XEROX",INVENTARIO!C322)),"XER",
IF(ISNUMBER(SEARCH("CEPILLADO",INVENTARIO!C322)),"CEP",
IF(ISNUMBER(SEARCH("ESPEJO",INVENTARIO!C322)),"ESP",
IF(ISNUMBER(SEARCH("10 PTS",INVENTARIO!C322)),"10PT",
IF(ISNUMBER(SEARCH("12 PTS",INVENTARIO!C322)),"12PT",
IF(ISNUMBER(SEARCH("14 PTS",INVENTARIO!C322)),"14PT",
IF(ISNUMBER(SEARCH("CLASICO",INVENTARIO!C322)),"CLA",
""))))))))))))))))))))))</f>
        <v/>
      </c>
      <c r="D322" t="str">
        <f>IF(ISNUMBER(SEARCH("GRAN FORMATO",INVENTARIO!C322)),"GRA-FOR",
IF(ISNUMBER(SEARCH("CAMA PLANA",INVENTARIO!C322)),"CAM-PLA",
IF(ISNUMBER(SEARCH("GRADO INGENIERIA",INVENTARIO!C322)),"GRA-ING",
IF(ISNUMBER(SEARCH("130 GRS",INVENTARIO!C322)),"130GR",
IF(ISNUMBER(SEARCH("150 GRS",INVENTARIO!C322)),"150GR",
IF(ISNUMBER(SEARCH("185 GRS",INVENTARIO!C322)),"185GR",
IF(ISNUMBER(SEARCH("200 GRS",INVENTARIO!C322)),"200GR",
IF(ISNUMBER(SEARCH("250 GRS",INVENTARIO!C322)),"250GR",
IF(ISNUMBER(SEARCH("300 GRS",INVENTARIO!C322)),"300GR",
IF(ISNUMBER(SEARCH("350 GRS",INVENTARIO!C322)),"350GR",
IF(ISNUMBER(SEARCH("18 OZ",INVENTARIO!C322)),"18OZ",
IF(ISNUMBER(SEARCH("15 OZ",INVENTARIO!C322)),"15OZ",
IF(OR(ISNUMBER(SEARCH("13 OZ",INVENTARIO!C322)),ISNUMBER(SEARCH("13 ONZAS",INVENTARIO!C322))),"13OZ",
IF(OR(ISNUMBER(SEARCH("9 OZ",INVENTARIO!C322)),ISNUMBER(SEARCH("9 ONZAS",INVENTARIO!C322))),"09OZ",
IF(ISNUMBER(SEARCH("DOBLE CARA",INVENTARIO!C322)),"DOB-CAR",
"")))))))))))))))</f>
        <v/>
      </c>
      <c r="E322" t="str">
        <f>IF(OR(ISNUMBER(SEARCH("TRANSPARENTE",INVENTARIO!C322)),ISNUMBER(SEARCH("TRANSPARENTES",INVENTARIO!C322))),"TRA",
IF(OR(ISNUMBER(SEARCH("BLANCO",INVENTARIO!C322)),ISNUMBER(SEARCH("BCO",INVENTARIO!C322))),"BLA",
IF(ISNUMBER(SEARCH("FOTOGRAFICO",INVENTARIO!C322)),"FOT",
IF(ISNUMBER(SEARCH("MARFIL",INVENTARIO!C322)),"MAR",
IF(ISNUMBER(SEARCH("VERDE",INVENTARIO!C322)),"VER",
IF(ISNUMBER(SEARCH("MORADO",INVENTARIO!C322)),"MOR",
IF(ISNUMBER(SEARCH("PLATA",INVENTARIO!C322)),"PLA",
IF(ISNUMBER(SEARCH("ORO",INVENTARIO!C322)),"ORO",
IF(ISNUMBER(SEARCH("AMARILLO",INVENTARIO!C322)),"AMA",
IF(ISNUMBER(SEARCH("NARANJA",INVENTARIO!C322)),"NAR",
IF(ISNUMBER(SEARCH("NEGRO",INVENTARIO!C322)),"NEG",
IF(ISNUMBER(SEARCH("ROJO",INVENTARIO!C322)),"ROJ",
IF(ISNUMBER(SEARCH("AZUL",INVENTARIO!C322)),"AZU","")))))))))))))</f>
        <v>AMA</v>
      </c>
      <c r="F322" t="str">
        <f>IF(ISNUMBER(SEARCH("ARLON",INVENTARIO!C322)),"ARL",
IF(ISNUMBER(SEARCH("SUNTHINKS",INVENTARIO!C322)),"SUN",
IF(ISNUMBER(SEARCH("FRIO",INVENTARIO!C322)),"FRI",
IF(ISNUMBER(SEARCH("CALIDO",INVENTARIO!C322)),"CAL",
IF(ISNUMBER(SEARCH("CEPILLADO",INVENTARIO!C322)),"CEP",
IF(ISNUMBER(SEARCH("ESPEJO",INVENTARIO!C322)),"ESP",
""))))))</f>
        <v/>
      </c>
      <c r="G322" t="str">
        <f>IF(ISNUMBER(SEARCH("LATEX",INVENTARIO!C322)),"LAT",
IF(ISNUMBER(SEARCH("RESP. NEGRO",INVENTARIO!C322)),"RES-NEG",
IF(ISNUMBER(SEARCH("RESPALDO CAFE",INVENTARIO!C322)),"RES-CAF",
IF(ISNUMBER(SEARCH("RESPALDO GRIS",INVENTARIO!C322)),"RES-GRI",
IF(ISNUMBER(SEARCH("OPTICO",INVENTARIO!C322)),"OPT",
IF(ISNUMBER(SEARCH("1,2 MM",INVENTARIO!C322)),"1MM2",
IF(ISNUMBER(SEARCH("2 MM",INVENTARIO!C322)),"2MM",
IF(ISNUMBER(SEARCH("3 MM",INVENTARIO!C322)),"3MM",
IF(ISNUMBER(SEARCH("4 MM",INVENTARIO!C322)),"4MM",
IF(ISNUMBER(SEARCH("5 MM",INVENTARIO!C322)),"5MM",
IF(ISNUMBER(SEARCH("6 MM",INVENTARIO!C322)),"6MM",
IF(ISNUMBER(SEARCH("9 MM",INVENTARIO!C322)),"9MM",
IF(ISNUMBER(SEARCH("10 MM",INVENTARIO!C322)),"10MM","")))))))))))))</f>
        <v/>
      </c>
      <c r="H322" t="str">
        <f>IF(ISNUMBER(SEARCH("GAMA BAJA",INVENTARIO!C322)),"GAM-BAJ",
IF(ISNUMBER(SEARCH("OPTIMIZADOR",INVENTARIO!C322)),"OPT",
IF(ISNUMBER(SEARCH("OVERCOAT",INVENTARIO!C322)),"OVE",
IF(ISNUMBER(SEARCH("WHITE",INVENTARIO!C322)),"WHI",
IF(ISNUMBER(SEARCH("LIGHT CYAN",INVENTARIO!C322)),"LIG-CYA",
IF(ISNUMBER(SEARCH("CYAN",INVENTARIO!C322)),"CYA",
IF(ISNUMBER(SEARCH("LIGHT MAGENTA",INVENTARIO!C322)),"LIG-MAG",
IF(ISNUMBER(SEARCH("MAGENTA",INVENTARIO!C322)),"MAG",
IF(ISNUMBER(SEARCH("BLACK",INVENTARIO!C322)),"BLA",
IF(ISNUMBER(SEARCH("YELLOW",INVENTARIO!C322)),"YEL",
IF(ISNUMBER(SEARCH("2 DIODOS",INVENTARIO!C322)),"2DI",
IF(ISNUMBER(SEARCH("3 DIODOS",INVENTARIO!C322)),"3DI",
IF(OR(ISNUMBER(SEARCH("TRASLUCIDO",INVENTARIO!C322)),ISNUMBER(SEARCH("TRANSLUCIDO",INVENTARIO!C322))),"TRA",
"")))))))))))))</f>
        <v/>
      </c>
    </row>
    <row r="323" spans="1:8">
      <c r="A323" t="str">
        <f>IF(ISNUMBER(SEARCH("LONA",INVENTARIO!C323)),"LON",
IF(ISNUMBER(SEARCH("VINIL",INVENTARIO!C323)),"VIN",
IF(ISNUMBER(SEARCH("KROMACOTE",INVENTARIO!C323)),"KRO",
IF(ISNUMBER(SEARCH("STARDREAM",INVENTARIO!C323)),"STA",
IF(ISNUMBER(SEARCH("DISPLAY",INVENTARIO!C323)),"DIS",
IF(ISNUMBER(SEARCH("ROLL UP",INVENTARIO!C323)),"ROL-UP",
IF(ISNUMBER(SEARCH("TRANSFER DE PAPEL",INVENTARIO!C323)),"TRA-PAP",
IF(ISNUMBER(SEARCH("TRANSFER",INVENTARIO!C323)),"TRA",IF(ISNUMBER(SEARCH("KOLA LOKA",INVENTARIO!C323)),"KOL-LOK",
IF(ISNUMBER(SEARCH("PETG",INVENTARIO!C323)),"PET",
IF(ISNUMBER(SEARCH("OJILLO",INVENTARIO!C323)),"OJI",
IF(ISNUMBER(SEARCH("COUCHE",INVENTARIO!C323)),"COU",
IF(ISNUMBER(SEARCH("PANEL DE ALUMINIO",INVENTARIO!C323)),"PAN-ALU",
IF(ISNUMBER(SEARCH("PVC",INVENTARIO!C323)),"PVC",
IF(ISNUMBER(SEARCH("PAPEL",INVENTARIO!C323)),"PAP",
IF(ISNUMBER(SEARCH("TELA",INVENTARIO!C323)),"TEL",
IF(ISNUMBER(SEARCH("CARTULINA",INVENTARIO!C323)),"CAR",
IF(OR(ISNUMBER(SEARCH("LAMINA",INVENTARIO!C323)),ISNUMBER(SEARCH("LÁMINA",INVENTARIO!C323)),ISNUMBER(SEARCH("LAMPARAS",INVENTARIO!C323))),"LAM",
IF(ISNUMBER(SEARCH("ESTIRENO",INVENTARIO!C323)),"EST",
IF(ISNUMBER(SEARCH("FOAMBOARD",INVENTARIO!C323)),"FOA",
IF(ISNUMBER(SEARCH("SOLVENTE",INVENTARIO!C323)),"SOL",
IF(ISNUMBER(SEARCH("TINTA",INVENTARIO!C323)),"TIN",
IF(ISNUMBER(SEARCH("ACRILICO",INVENTARIO!C323)),"ACR",
IF(ISNUMBER(SEARCH("MICROLED",INVENTARIO!C323)),"MIC",
IF(ISNUMBER(SEARCH("LED",INVENTARIO!C323)),"LED",
IF(ISNUMBER(SEARCH("FUENTE DE PODER",INVENTARIO!C323)),"FUE-POD",
IF(ISNUMBER(SEARCH("PETG",INVENTARIO!C323)),"PET",
IF(ISNUMBER(SEARCH("ALUMINIO",INVENTARIO!C323)),"ALU",
IF(ISNUMBER(SEARCH("CANAL",INVENTARIO!C323)),"CAN",
IF(ISNUMBER(SEARCH("ESCUADRA",INVENTARIO!C323)),"ESC",
IF(ISNUMBER(SEARCH("SOPORTE",INVENTARIO!C323)),"SOP","OTR")
))))))))))))))))))))))))))))))</f>
        <v>CAR</v>
      </c>
      <c r="B323" t="str">
        <f>IF(ISNUMBER(SEARCH("CORTE",INVENTARIO!C323)),"COR",
IF(ISNUMBER(SEARCH("CITYLIGHT",INVENTARIO!C323)),"CIT",
IF(ISNUMBER(SEARCH("LINO",INVENTARIO!C323)),"LIN",
IF(ISNUMBER(SEARCH("FABRIANO",INVENTARIO!C323)),"FAB",
IF(ISNUMBER(SEARCH("SUNDANCE",INVENTARIO!C323)),"SUN",
IF(ISNUMBER(SEARCH("SINTETICA",INVENTARIO!C323)),"SIN",
IF(ISNUMBER(SEARCH("CONTROL",INVENTARIO!C323)),"CON",
IF(ISNUMBER(SEARCH("TERMICO",INVENTARIO!C323)),"TER",
IF(ISNUMBER(SEARCH("C-15",INVENTARIO!C323)),"C15",
IF(ISNUMBER(SEARCH("C-20",INVENTARIO!C323)),"C20",
IF(ISNUMBER(SEARCH("C-30",INVENTARIO!C323)),"C30",
IF(ISNUMBER(SEARCH("C-40",INVENTARIO!C323)),"C40",
IF(ISNUMBER(SEARCH("C-60",INVENTARIO!C323)),"C60",
IF(ISNUMBER(SEARCH("C-80",INVENTARIO!C323)),"C80",
IF(ISNUMBER(SEARCH("EQUIPO",INVENTARIO!C323)),"EQU",
IF(ISNUMBER(SEARCH("FLOOR",INVENTARIO!C323)),"FLO",
IF(ISNUMBER(SEARCH("CRISTAL",INVENTARIO!C323)),"CRI",
IF(ISNUMBER(SEARCH(" SULFATADA",INVENTARIO!C334)),"SUL",
IF(ISNUMBER(SEARCH("OPALINA",INVENTARIO!C323)),"OPA",
IF(ISNUMBER(SEARCH("ADHERIBLE",INVENTARIO!C323)),"ADH",
IF(ISNUMBER(SEARCH("MICRO",INVENTARIO!C323)),"MIC","")))))))))))))))))))))</f>
        <v>LIN</v>
      </c>
      <c r="C323" t="str">
        <f>IF(ISNUMBER(SEARCH("PARED",INVENTARIO!C323)),"PAR",
IF(ISNUMBER(SEARCH("FRONT",INVENTARIO!C323)),"FRO",
IF(ISNUMBER(SEARCH("ALTA RESISTENCIA",INVENTARIO!C323)),
"ALT-RES",IF(ISNUMBER(SEARCH("BACKLITE",INVENTARIO!C323)),"BAC",
IF(ISNUMBER(SEARCH("MATE",INVENTARIO!C323)),"MAT",
IF(ISNUMBER(SEARCH("MESH",INVENTARIO!C323)),"MES",
IF(ISNUMBER(SEARCH("BRILLANTE",INVENTARIO!C323)),"BRI",
IF(ISNUMBER(SEARCH("DELGADA",INVENTARIO!C323)),"DEL",
IF(ISNUMBER(SEARCH("GRUESA",INVENTARIO!C323)),"GRU",
IF(ISNUMBER(SEARCH("ESTATICO",INVENTARIO!C323)),"EST",
IF(ISNUMBER(SEARCH("REFLECTIVO",INVENTARIO!C323)),"REF",
IF(ISNUMBER(SEARCH("LX700",INVENTARIO!C323)),"LX7",
IF(ISNUMBER(SEARCH("GRANDO",INVENTARIO!C323)),"GRA",
IF(ISNUMBER(SEARCH("FB700",INVENTARIO!C323)),"FB7",
IF(ISNUMBER(SEARCH("LX360",INVENTARIO!C323)),"LX3",
IF(ISNUMBER(SEARCH("XEROX",INVENTARIO!C323)),"XER",
IF(ISNUMBER(SEARCH("CEPILLADO",INVENTARIO!C323)),"CEP",
IF(ISNUMBER(SEARCH("ESPEJO",INVENTARIO!C323)),"ESP",
IF(ISNUMBER(SEARCH("10 PTS",INVENTARIO!C323)),"10PT",
IF(ISNUMBER(SEARCH("12 PTS",INVENTARIO!C323)),"12PT",
IF(ISNUMBER(SEARCH("14 PTS",INVENTARIO!C323)),"14PT",
IF(ISNUMBER(SEARCH("CLASICO",INVENTARIO!C323)),"CLA",
""))))))))))))))))))))))</f>
        <v/>
      </c>
      <c r="D323" t="str">
        <f>IF(ISNUMBER(SEARCH("GRAN FORMATO",INVENTARIO!C323)),"GRA-FOR",
IF(ISNUMBER(SEARCH("CAMA PLANA",INVENTARIO!C323)),"CAM-PLA",
IF(ISNUMBER(SEARCH("GRADO INGENIERIA",INVENTARIO!C323)),"GRA-ING",
IF(ISNUMBER(SEARCH("130 GRS",INVENTARIO!C323)),"130GR",
IF(ISNUMBER(SEARCH("150 GRS",INVENTARIO!C323)),"150GR",
IF(ISNUMBER(SEARCH("185 GRS",INVENTARIO!C323)),"185GR",
IF(ISNUMBER(SEARCH("200 GRS",INVENTARIO!C323)),"200GR",
IF(ISNUMBER(SEARCH("250 GRS",INVENTARIO!C323)),"250GR",
IF(ISNUMBER(SEARCH("300 GRS",INVENTARIO!C323)),"300GR",
IF(ISNUMBER(SEARCH("350 GRS",INVENTARIO!C323)),"350GR",
IF(ISNUMBER(SEARCH("18 OZ",INVENTARIO!C323)),"18OZ",
IF(ISNUMBER(SEARCH("15 OZ",INVENTARIO!C323)),"15OZ",
IF(OR(ISNUMBER(SEARCH("13 OZ",INVENTARIO!C323)),ISNUMBER(SEARCH("13 ONZAS",INVENTARIO!C323))),"13OZ",
IF(OR(ISNUMBER(SEARCH("9 OZ",INVENTARIO!C323)),ISNUMBER(SEARCH("9 ONZAS",INVENTARIO!C323))),"09OZ",
IF(ISNUMBER(SEARCH("DOBLE CARA",INVENTARIO!C323)),"DOB-CAR",
"")))))))))))))))</f>
        <v/>
      </c>
      <c r="E323" t="str">
        <f>IF(OR(ISNUMBER(SEARCH("TRANSPARENTE",INVENTARIO!C323)),ISNUMBER(SEARCH("TRANSPARENTES",INVENTARIO!C323))),"TRA",
IF(OR(ISNUMBER(SEARCH("BLANCO",INVENTARIO!C323)),ISNUMBER(SEARCH("BCO",INVENTARIO!C323))),"BLA",
IF(ISNUMBER(SEARCH("FOTOGRAFICO",INVENTARIO!C323)),"FOT",
IF(ISNUMBER(SEARCH("MARFIL",INVENTARIO!C323)),"MAR",
IF(ISNUMBER(SEARCH("VERDE",INVENTARIO!C323)),"VER",
IF(ISNUMBER(SEARCH("MORADO",INVENTARIO!C323)),"MOR",
IF(ISNUMBER(SEARCH("PLATA",INVENTARIO!C323)),"PLA",
IF(ISNUMBER(SEARCH("ORO",INVENTARIO!C323)),"ORO",
IF(ISNUMBER(SEARCH("AMARILLO",INVENTARIO!C323)),"AMA",
IF(ISNUMBER(SEARCH("NARANJA",INVENTARIO!C323)),"NAR",
IF(ISNUMBER(SEARCH("NEGRO",INVENTARIO!C323)),"NEG",
IF(ISNUMBER(SEARCH("ROJO",INVENTARIO!C323)),"ROJ",
IF(ISNUMBER(SEARCH("AZUL",INVENTARIO!C323)),"AZU","")))))))))))))</f>
        <v>MAR</v>
      </c>
      <c r="F323" t="str">
        <f>IF(ISNUMBER(SEARCH("ARLON",INVENTARIO!C323)),"ARL",
IF(ISNUMBER(SEARCH("SUNTHINKS",INVENTARIO!C323)),"SUN",
IF(ISNUMBER(SEARCH("FRIO",INVENTARIO!C323)),"FRI",
IF(ISNUMBER(SEARCH("CALIDO",INVENTARIO!C323)),"CAL",
IF(ISNUMBER(SEARCH("CEPILLADO",INVENTARIO!C323)),"CEP",
IF(ISNUMBER(SEARCH("ESPEJO",INVENTARIO!C323)),"ESP",
""))))))</f>
        <v/>
      </c>
      <c r="G323" t="str">
        <f>IF(ISNUMBER(SEARCH("LATEX",INVENTARIO!C323)),"LAT",
IF(ISNUMBER(SEARCH("RESP. NEGRO",INVENTARIO!C323)),"RES-NEG",
IF(ISNUMBER(SEARCH("RESPALDO CAFE",INVENTARIO!C323)),"RES-CAF",
IF(ISNUMBER(SEARCH("RESPALDO GRIS",INVENTARIO!C323)),"RES-GRI",
IF(ISNUMBER(SEARCH("OPTICO",INVENTARIO!C323)),"OPT",
IF(ISNUMBER(SEARCH("1,2 MM",INVENTARIO!C323)),"1MM2",
IF(ISNUMBER(SEARCH("2 MM",INVENTARIO!C323)),"2MM",
IF(ISNUMBER(SEARCH("3 MM",INVENTARIO!C323)),"3MM",
IF(ISNUMBER(SEARCH("4 MM",INVENTARIO!C323)),"4MM",
IF(ISNUMBER(SEARCH("5 MM",INVENTARIO!C323)),"5MM",
IF(ISNUMBER(SEARCH("6 MM",INVENTARIO!C323)),"6MM",
IF(ISNUMBER(SEARCH("9 MM",INVENTARIO!C323)),"9MM",
IF(ISNUMBER(SEARCH("10 MM",INVENTARIO!C323)),"10MM","")))))))))))))</f>
        <v/>
      </c>
      <c r="H323" t="str">
        <f>IF(ISNUMBER(SEARCH("GAMA BAJA",INVENTARIO!C323)),"GAM-BAJ",
IF(ISNUMBER(SEARCH("OPTIMIZADOR",INVENTARIO!C323)),"OPT",
IF(ISNUMBER(SEARCH("OVERCOAT",INVENTARIO!C323)),"OVE",
IF(ISNUMBER(SEARCH("WHITE",INVENTARIO!C323)),"WHI",
IF(ISNUMBER(SEARCH("LIGHT CYAN",INVENTARIO!C323)),"LIG-CYA",
IF(ISNUMBER(SEARCH("CYAN",INVENTARIO!C323)),"CYA",
IF(ISNUMBER(SEARCH("LIGHT MAGENTA",INVENTARIO!C323)),"LIG-MAG",
IF(ISNUMBER(SEARCH("MAGENTA",INVENTARIO!C323)),"MAG",
IF(ISNUMBER(SEARCH("BLACK",INVENTARIO!C323)),"BLA",
IF(ISNUMBER(SEARCH("YELLOW",INVENTARIO!C323)),"YEL",
IF(ISNUMBER(SEARCH("2 DIODOS",INVENTARIO!C323)),"2DI",
IF(ISNUMBER(SEARCH("3 DIODOS",INVENTARIO!C323)),"3DI",
IF(OR(ISNUMBER(SEARCH("TRASLUCIDO",INVENTARIO!C323)),ISNUMBER(SEARCH("TRANSLUCIDO",INVENTARIO!C323))),"TRA",
"")))))))))))))</f>
        <v/>
      </c>
    </row>
    <row r="324" spans="1:8">
      <c r="A324" t="str">
        <f>IF(ISNUMBER(SEARCH("LONA",INVENTARIO!C324)),"LON",
IF(ISNUMBER(SEARCH("VINIL",INVENTARIO!C324)),"VIN",
IF(ISNUMBER(SEARCH("KROMACOTE",INVENTARIO!C324)),"KRO",
IF(ISNUMBER(SEARCH("STARDREAM",INVENTARIO!C324)),"STA",
IF(ISNUMBER(SEARCH("DISPLAY",INVENTARIO!C324)),"DIS",
IF(ISNUMBER(SEARCH("ROLL UP",INVENTARIO!C324)),"ROL-UP",
IF(ISNUMBER(SEARCH("TRANSFER DE PAPEL",INVENTARIO!C324)),"TRA-PAP",
IF(ISNUMBER(SEARCH("TRANSFER",INVENTARIO!C324)),"TRA",IF(ISNUMBER(SEARCH("KOLA LOKA",INVENTARIO!C324)),"KOL-LOK",
IF(ISNUMBER(SEARCH("PETG",INVENTARIO!C324)),"PET",
IF(ISNUMBER(SEARCH("OJILLO",INVENTARIO!C324)),"OJI",
IF(ISNUMBER(SEARCH("COUCHE",INVENTARIO!C324)),"COU",
IF(ISNUMBER(SEARCH("PANEL DE ALUMINIO",INVENTARIO!C324)),"PAN-ALU",
IF(ISNUMBER(SEARCH("PVC",INVENTARIO!C324)),"PVC",
IF(ISNUMBER(SEARCH("PAPEL",INVENTARIO!C324)),"PAP",
IF(ISNUMBER(SEARCH("TELA",INVENTARIO!C324)),"TEL",
IF(ISNUMBER(SEARCH("CARTULINA",INVENTARIO!C324)),"CAR",
IF(OR(ISNUMBER(SEARCH("LAMINA",INVENTARIO!C324)),ISNUMBER(SEARCH("LÁMINA",INVENTARIO!C324)),ISNUMBER(SEARCH("LAMPARAS",INVENTARIO!C324))),"LAM",
IF(ISNUMBER(SEARCH("ESTIRENO",INVENTARIO!C324)),"EST",
IF(ISNUMBER(SEARCH("FOAMBOARD",INVENTARIO!C324)),"FOA",
IF(ISNUMBER(SEARCH("SOLVENTE",INVENTARIO!C324)),"SOL",
IF(ISNUMBER(SEARCH("TINTA",INVENTARIO!C324)),"TIN",
IF(ISNUMBER(SEARCH("ACRILICO",INVENTARIO!C324)),"ACR",
IF(ISNUMBER(SEARCH("MICROLED",INVENTARIO!C324)),"MIC",
IF(ISNUMBER(SEARCH("LED",INVENTARIO!C324)),"LED",
IF(ISNUMBER(SEARCH("FUENTE DE PODER",INVENTARIO!C324)),"FUE-POD",
IF(ISNUMBER(SEARCH("PETG",INVENTARIO!C324)),"PET",
IF(ISNUMBER(SEARCH("ALUMINIO",INVENTARIO!C324)),"ALU",
IF(ISNUMBER(SEARCH("CANAL",INVENTARIO!C324)),"CAN",
IF(ISNUMBER(SEARCH("ESCUADRA",INVENTARIO!C324)),"ESC",
IF(ISNUMBER(SEARCH("SOPORTE",INVENTARIO!C324)),"SOP","OTR")
))))))))))))))))))))))))))))))</f>
        <v>CAR</v>
      </c>
      <c r="B324" t="str">
        <f>IF(ISNUMBER(SEARCH("CORTE",INVENTARIO!C324)),"COR",
IF(ISNUMBER(SEARCH("CITYLIGHT",INVENTARIO!C324)),"CIT",
IF(ISNUMBER(SEARCH("LINO",INVENTARIO!C324)),"LIN",
IF(ISNUMBER(SEARCH("FABRIANO",INVENTARIO!C324)),"FAB",
IF(ISNUMBER(SEARCH("SUNDANCE",INVENTARIO!C324)),"SUN",
IF(ISNUMBER(SEARCH("SINTETICA",INVENTARIO!C324)),"SIN",
IF(ISNUMBER(SEARCH("CONTROL",INVENTARIO!C324)),"CON",
IF(ISNUMBER(SEARCH("TERMICO",INVENTARIO!C324)),"TER",
IF(ISNUMBER(SEARCH("C-15",INVENTARIO!C324)),"C15",
IF(ISNUMBER(SEARCH("C-20",INVENTARIO!C324)),"C20",
IF(ISNUMBER(SEARCH("C-30",INVENTARIO!C324)),"C30",
IF(ISNUMBER(SEARCH("C-40",INVENTARIO!C324)),"C40",
IF(ISNUMBER(SEARCH("C-60",INVENTARIO!C324)),"C60",
IF(ISNUMBER(SEARCH("C-80",INVENTARIO!C324)),"C80",
IF(ISNUMBER(SEARCH("EQUIPO",INVENTARIO!C324)),"EQU",
IF(ISNUMBER(SEARCH("FLOOR",INVENTARIO!C324)),"FLO",
IF(ISNUMBER(SEARCH("CRISTAL",INVENTARIO!C324)),"CRI",
IF(ISNUMBER(SEARCH(" SULFATADA",INVENTARIO!C335)),"SUL",
IF(ISNUMBER(SEARCH("OPALINA",INVENTARIO!C324)),"OPA",
IF(ISNUMBER(SEARCH("ADHERIBLE",INVENTARIO!C324)),"ADH",
IF(ISNUMBER(SEARCH("MICRO",INVENTARIO!C324)),"MIC","")))))))))))))))))))))</f>
        <v>LIN</v>
      </c>
      <c r="C324" t="str">
        <f>IF(ISNUMBER(SEARCH("PARED",INVENTARIO!C324)),"PAR",
IF(ISNUMBER(SEARCH("FRONT",INVENTARIO!C324)),"FRO",
IF(ISNUMBER(SEARCH("ALTA RESISTENCIA",INVENTARIO!C324)),
"ALT-RES",IF(ISNUMBER(SEARCH("BACKLITE",INVENTARIO!C324)),"BAC",
IF(ISNUMBER(SEARCH("MATE",INVENTARIO!C324)),"MAT",
IF(ISNUMBER(SEARCH("MESH",INVENTARIO!C324)),"MES",
IF(ISNUMBER(SEARCH("BRILLANTE",INVENTARIO!C324)),"BRI",
IF(ISNUMBER(SEARCH("DELGADA",INVENTARIO!C324)),"DEL",
IF(ISNUMBER(SEARCH("GRUESA",INVENTARIO!C324)),"GRU",
IF(ISNUMBER(SEARCH("ESTATICO",INVENTARIO!C324)),"EST",
IF(ISNUMBER(SEARCH("REFLECTIVO",INVENTARIO!C324)),"REF",
IF(ISNUMBER(SEARCH("LX700",INVENTARIO!C324)),"LX7",
IF(ISNUMBER(SEARCH("GRANDO",INVENTARIO!C324)),"GRA",
IF(ISNUMBER(SEARCH("FB700",INVENTARIO!C324)),"FB7",
IF(ISNUMBER(SEARCH("LX360",INVENTARIO!C324)),"LX3",
IF(ISNUMBER(SEARCH("XEROX",INVENTARIO!C324)),"XER",
IF(ISNUMBER(SEARCH("CEPILLADO",INVENTARIO!C324)),"CEP",
IF(ISNUMBER(SEARCH("ESPEJO",INVENTARIO!C324)),"ESP",
IF(ISNUMBER(SEARCH("10 PTS",INVENTARIO!C324)),"10PT",
IF(ISNUMBER(SEARCH("12 PTS",INVENTARIO!C324)),"12PT",
IF(ISNUMBER(SEARCH("14 PTS",INVENTARIO!C324)),"14PT",
IF(ISNUMBER(SEARCH("CLASICO",INVENTARIO!C324)),"CLA",
""))))))))))))))))))))))</f>
        <v/>
      </c>
      <c r="D324" t="str">
        <f>IF(ISNUMBER(SEARCH("GRAN FORMATO",INVENTARIO!C324)),"GRA-FOR",
IF(ISNUMBER(SEARCH("CAMA PLANA",INVENTARIO!C324)),"CAM-PLA",
IF(ISNUMBER(SEARCH("GRADO INGENIERIA",INVENTARIO!C324)),"GRA-ING",
IF(ISNUMBER(SEARCH("130 GRS",INVENTARIO!C324)),"130GR",
IF(ISNUMBER(SEARCH("150 GRS",INVENTARIO!C324)),"150GR",
IF(ISNUMBER(SEARCH("185 GRS",INVENTARIO!C324)),"185GR",
IF(ISNUMBER(SEARCH("200 GRS",INVENTARIO!C324)),"200GR",
IF(ISNUMBER(SEARCH("250 GRS",INVENTARIO!C324)),"250GR",
IF(ISNUMBER(SEARCH("300 GRS",INVENTARIO!C324)),"300GR",
IF(ISNUMBER(SEARCH("350 GRS",INVENTARIO!C324)),"350GR",
IF(ISNUMBER(SEARCH("18 OZ",INVENTARIO!C324)),"18OZ",
IF(ISNUMBER(SEARCH("15 OZ",INVENTARIO!C324)),"15OZ",
IF(OR(ISNUMBER(SEARCH("13 OZ",INVENTARIO!C324)),ISNUMBER(SEARCH("13 ONZAS",INVENTARIO!C324))),"13OZ",
IF(OR(ISNUMBER(SEARCH("9 OZ",INVENTARIO!C324)),ISNUMBER(SEARCH("9 ONZAS",INVENTARIO!C324))),"09OZ",
IF(ISNUMBER(SEARCH("DOBLE CARA",INVENTARIO!C324)),"DOB-CAR",
"")))))))))))))))</f>
        <v/>
      </c>
      <c r="E324" t="str">
        <f>IF(OR(ISNUMBER(SEARCH("TRANSPARENTE",INVENTARIO!C324)),ISNUMBER(SEARCH("TRANSPARENTES",INVENTARIO!C324))),"TRA",
IF(OR(ISNUMBER(SEARCH("BLANCO",INVENTARIO!C324)),ISNUMBER(SEARCH("BCO",INVENTARIO!C324))),"BLA",
IF(ISNUMBER(SEARCH("FOTOGRAFICO",INVENTARIO!C324)),"FOT",
IF(ISNUMBER(SEARCH("MARFIL",INVENTARIO!C324)),"MAR",
IF(ISNUMBER(SEARCH("VERDE",INVENTARIO!C324)),"VER",
IF(ISNUMBER(SEARCH("MORADO",INVENTARIO!C324)),"MOR",
IF(ISNUMBER(SEARCH("PLATA",INVENTARIO!C324)),"PLA",
IF(ISNUMBER(SEARCH("ORO",INVENTARIO!C324)),"ORO",
IF(ISNUMBER(SEARCH("AMARILLO",INVENTARIO!C324)),"AMA",
IF(ISNUMBER(SEARCH("NARANJA",INVENTARIO!C324)),"NAR",
IF(ISNUMBER(SEARCH("NEGRO",INVENTARIO!C324)),"NEG",
IF(ISNUMBER(SEARCH("ROJO",INVENTARIO!C324)),"ROJ",
IF(ISNUMBER(SEARCH("AZUL",INVENTARIO!C324)),"AZU","")))))))))))))</f>
        <v>BLA</v>
      </c>
      <c r="F324" t="str">
        <f>IF(ISNUMBER(SEARCH("ARLON",INVENTARIO!C324)),"ARL",
IF(ISNUMBER(SEARCH("SUNTHINKS",INVENTARIO!C324)),"SUN",
IF(ISNUMBER(SEARCH("FRIO",INVENTARIO!C324)),"FRI",
IF(ISNUMBER(SEARCH("CALIDO",INVENTARIO!C324)),"CAL",
IF(ISNUMBER(SEARCH("CEPILLADO",INVENTARIO!C324)),"CEP",
IF(ISNUMBER(SEARCH("ESPEJO",INVENTARIO!C324)),"ESP",
""))))))</f>
        <v/>
      </c>
      <c r="G324" t="str">
        <f>IF(ISNUMBER(SEARCH("LATEX",INVENTARIO!C324)),"LAT",
IF(ISNUMBER(SEARCH("RESP. NEGRO",INVENTARIO!C324)),"RES-NEG",
IF(ISNUMBER(SEARCH("RESPALDO CAFE",INVENTARIO!C324)),"RES-CAF",
IF(ISNUMBER(SEARCH("RESPALDO GRIS",INVENTARIO!C324)),"RES-GRI",
IF(ISNUMBER(SEARCH("OPTICO",INVENTARIO!C324)),"OPT",
IF(ISNUMBER(SEARCH("1,2 MM",INVENTARIO!C324)),"1MM2",
IF(ISNUMBER(SEARCH("2 MM",INVENTARIO!C324)),"2MM",
IF(ISNUMBER(SEARCH("3 MM",INVENTARIO!C324)),"3MM",
IF(ISNUMBER(SEARCH("4 MM",INVENTARIO!C324)),"4MM",
IF(ISNUMBER(SEARCH("5 MM",INVENTARIO!C324)),"5MM",
IF(ISNUMBER(SEARCH("6 MM",INVENTARIO!C324)),"6MM",
IF(ISNUMBER(SEARCH("9 MM",INVENTARIO!C324)),"9MM",
IF(ISNUMBER(SEARCH("10 MM",INVENTARIO!C324)),"10MM","")))))))))))))</f>
        <v/>
      </c>
      <c r="H324" t="str">
        <f>IF(ISNUMBER(SEARCH("GAMA BAJA",INVENTARIO!C324)),"GAM-BAJ",
IF(ISNUMBER(SEARCH("OPTIMIZADOR",INVENTARIO!C324)),"OPT",
IF(ISNUMBER(SEARCH("OVERCOAT",INVENTARIO!C324)),"OVE",
IF(ISNUMBER(SEARCH("WHITE",INVENTARIO!C324)),"WHI",
IF(ISNUMBER(SEARCH("LIGHT CYAN",INVENTARIO!C324)),"LIG-CYA",
IF(ISNUMBER(SEARCH("CYAN",INVENTARIO!C324)),"CYA",
IF(ISNUMBER(SEARCH("LIGHT MAGENTA",INVENTARIO!C324)),"LIG-MAG",
IF(ISNUMBER(SEARCH("MAGENTA",INVENTARIO!C324)),"MAG",
IF(ISNUMBER(SEARCH("BLACK",INVENTARIO!C324)),"BLA",
IF(ISNUMBER(SEARCH("YELLOW",INVENTARIO!C324)),"YEL",
IF(ISNUMBER(SEARCH("2 DIODOS",INVENTARIO!C324)),"2DI",
IF(ISNUMBER(SEARCH("3 DIODOS",INVENTARIO!C324)),"3DI",
IF(OR(ISNUMBER(SEARCH("TRASLUCIDO",INVENTARIO!C324)),ISNUMBER(SEARCH("TRANSLUCIDO",INVENTARIO!C324))),"TRA",
"")))))))))))))</f>
        <v/>
      </c>
    </row>
    <row r="325" spans="1:8">
      <c r="A325" t="str">
        <f>IF(ISNUMBER(SEARCH("LONA",INVENTARIO!C325)),"LON",
IF(ISNUMBER(SEARCH("VINIL",INVENTARIO!C325)),"VIN",
IF(ISNUMBER(SEARCH("KROMACOTE",INVENTARIO!C325)),"KRO",
IF(ISNUMBER(SEARCH("STARDREAM",INVENTARIO!C325)),"STA",
IF(ISNUMBER(SEARCH("DISPLAY",INVENTARIO!C325)),"DIS",
IF(ISNUMBER(SEARCH("ROLL UP",INVENTARIO!C325)),"ROL-UP",
IF(ISNUMBER(SEARCH("TRANSFER DE PAPEL",INVENTARIO!C325)),"TRA-PAP",
IF(ISNUMBER(SEARCH("TRANSFER",INVENTARIO!C325)),"TRA",IF(ISNUMBER(SEARCH("KOLA LOKA",INVENTARIO!C325)),"KOL-LOK",
IF(ISNUMBER(SEARCH("PETG",INVENTARIO!C325)),"PET",
IF(ISNUMBER(SEARCH("OJILLO",INVENTARIO!C325)),"OJI",
IF(ISNUMBER(SEARCH("COUCHE",INVENTARIO!C325)),"COU",
IF(ISNUMBER(SEARCH("PANEL DE ALUMINIO",INVENTARIO!C325)),"PAN-ALU",
IF(ISNUMBER(SEARCH("PVC",INVENTARIO!C325)),"PVC",
IF(ISNUMBER(SEARCH("PAPEL",INVENTARIO!C325)),"PAP",
IF(ISNUMBER(SEARCH("TELA",INVENTARIO!C325)),"TEL",
IF(ISNUMBER(SEARCH("CARTULINA",INVENTARIO!C325)),"CAR",
IF(OR(ISNUMBER(SEARCH("LAMINA",INVENTARIO!C325)),ISNUMBER(SEARCH("LÁMINA",INVENTARIO!C325)),ISNUMBER(SEARCH("LAMPARAS",INVENTARIO!C325))),"LAM",
IF(ISNUMBER(SEARCH("ESTIRENO",INVENTARIO!C325)),"EST",
IF(ISNUMBER(SEARCH("FOAMBOARD",INVENTARIO!C325)),"FOA",
IF(ISNUMBER(SEARCH("SOLVENTE",INVENTARIO!C325)),"SOL",
IF(ISNUMBER(SEARCH("TINTA",INVENTARIO!C325)),"TIN",
IF(ISNUMBER(SEARCH("ACRILICO",INVENTARIO!C325)),"ACR",
IF(ISNUMBER(SEARCH("MICROLED",INVENTARIO!C325)),"MIC",
IF(ISNUMBER(SEARCH("LED",INVENTARIO!C325)),"LED",
IF(ISNUMBER(SEARCH("FUENTE DE PODER",INVENTARIO!C325)),"FUE-POD",
IF(ISNUMBER(SEARCH("PETG",INVENTARIO!C325)),"PET",
IF(ISNUMBER(SEARCH("ALUMINIO",INVENTARIO!C325)),"ALU",
IF(ISNUMBER(SEARCH("CANAL",INVENTARIO!C325)),"CAN",
IF(ISNUMBER(SEARCH("ESCUADRA",INVENTARIO!C325)),"ESC",
IF(ISNUMBER(SEARCH("SOPORTE",INVENTARIO!C325)),"SOP","OTR")
))))))))))))))))))))))))))))))</f>
        <v>PAP</v>
      </c>
      <c r="B325" t="str">
        <f>IF(ISNUMBER(SEARCH("CORTE",INVENTARIO!C325)),"COR",
IF(ISNUMBER(SEARCH("CITYLIGHT",INVENTARIO!C325)),"CIT",
IF(ISNUMBER(SEARCH("LINO",INVENTARIO!C325)),"LIN",
IF(ISNUMBER(SEARCH("FABRIANO",INVENTARIO!C325)),"FAB",
IF(ISNUMBER(SEARCH("SUNDANCE",INVENTARIO!C325)),"SUN",
IF(ISNUMBER(SEARCH("SINTETICA",INVENTARIO!C325)),"SIN",
IF(ISNUMBER(SEARCH("CONTROL",INVENTARIO!C325)),"CON",
IF(ISNUMBER(SEARCH("TERMICO",INVENTARIO!C325)),"TER",
IF(ISNUMBER(SEARCH("C-15",INVENTARIO!C325)),"C15",
IF(ISNUMBER(SEARCH("C-20",INVENTARIO!C325)),"C20",
IF(ISNUMBER(SEARCH("C-30",INVENTARIO!C325)),"C30",
IF(ISNUMBER(SEARCH("C-40",INVENTARIO!C325)),"C40",
IF(ISNUMBER(SEARCH("C-60",INVENTARIO!C325)),"C60",
IF(ISNUMBER(SEARCH("C-80",INVENTARIO!C325)),"C80",
IF(ISNUMBER(SEARCH("EQUIPO",INVENTARIO!C325)),"EQU",
IF(ISNUMBER(SEARCH("FLOOR",INVENTARIO!C325)),"FLO",
IF(ISNUMBER(SEARCH("CRISTAL",INVENTARIO!C325)),"CRI",
IF(ISNUMBER(SEARCH(" SULFATADA",INVENTARIO!C336)),"SUL",
IF(ISNUMBER(SEARCH("OPALINA",INVENTARIO!C325)),"OPA",
IF(ISNUMBER(SEARCH("ADHERIBLE",INVENTARIO!C325)),"ADH",
IF(ISNUMBER(SEARCH("MICRO",INVENTARIO!C325)),"MIC","")))))))))))))))))))))</f>
        <v>LIN</v>
      </c>
      <c r="C325" t="str">
        <f>IF(ISNUMBER(SEARCH("PARED",INVENTARIO!C325)),"PAR",
IF(ISNUMBER(SEARCH("FRONT",INVENTARIO!C325)),"FRO",
IF(ISNUMBER(SEARCH("ALTA RESISTENCIA",INVENTARIO!C325)),
"ALT-RES",IF(ISNUMBER(SEARCH("BACKLITE",INVENTARIO!C325)),"BAC",
IF(ISNUMBER(SEARCH("MATE",INVENTARIO!C325)),"MAT",
IF(ISNUMBER(SEARCH("MESH",INVENTARIO!C325)),"MES",
IF(ISNUMBER(SEARCH("BRILLANTE",INVENTARIO!C325)),"BRI",
IF(ISNUMBER(SEARCH("DELGADA",INVENTARIO!C325)),"DEL",
IF(ISNUMBER(SEARCH("GRUESA",INVENTARIO!C325)),"GRU",
IF(ISNUMBER(SEARCH("ESTATICO",INVENTARIO!C325)),"EST",
IF(ISNUMBER(SEARCH("REFLECTIVO",INVENTARIO!C325)),"REF",
IF(ISNUMBER(SEARCH("LX700",INVENTARIO!C325)),"LX7",
IF(ISNUMBER(SEARCH("GRANDO",INVENTARIO!C325)),"GRA",
IF(ISNUMBER(SEARCH("FB700",INVENTARIO!C325)),"FB7",
IF(ISNUMBER(SEARCH("LX360",INVENTARIO!C325)),"LX3",
IF(ISNUMBER(SEARCH("XEROX",INVENTARIO!C325)),"XER",
IF(ISNUMBER(SEARCH("CEPILLADO",INVENTARIO!C325)),"CEP",
IF(ISNUMBER(SEARCH("ESPEJO",INVENTARIO!C325)),"ESP",
IF(ISNUMBER(SEARCH("10 PTS",INVENTARIO!C325)),"10PT",
IF(ISNUMBER(SEARCH("12 PTS",INVENTARIO!C325)),"12PT",
IF(ISNUMBER(SEARCH("14 PTS",INVENTARIO!C325)),"14PT",
IF(ISNUMBER(SEARCH("CLASICO",INVENTARIO!C325)),"CLA",
""))))))))))))))))))))))</f>
        <v/>
      </c>
      <c r="D325" t="str">
        <f>IF(ISNUMBER(SEARCH("GRAN FORMATO",INVENTARIO!C325)),"GRA-FOR",
IF(ISNUMBER(SEARCH("CAMA PLANA",INVENTARIO!C325)),"CAM-PLA",
IF(ISNUMBER(SEARCH("GRADO INGENIERIA",INVENTARIO!C325)),"GRA-ING",
IF(ISNUMBER(SEARCH("130 GRS",INVENTARIO!C325)),"130GR",
IF(ISNUMBER(SEARCH("150 GRS",INVENTARIO!C325)),"150GR",
IF(ISNUMBER(SEARCH("185 GRS",INVENTARIO!C325)),"185GR",
IF(ISNUMBER(SEARCH("200 GRS",INVENTARIO!C325)),"200GR",
IF(ISNUMBER(SEARCH("250 GRS",INVENTARIO!C325)),"250GR",
IF(ISNUMBER(SEARCH("300 GRS",INVENTARIO!C325)),"300GR",
IF(ISNUMBER(SEARCH("350 GRS",INVENTARIO!C325)),"350GR",
IF(ISNUMBER(SEARCH("18 OZ",INVENTARIO!C325)),"18OZ",
IF(ISNUMBER(SEARCH("15 OZ",INVENTARIO!C325)),"15OZ",
IF(OR(ISNUMBER(SEARCH("13 OZ",INVENTARIO!C325)),ISNUMBER(SEARCH("13 ONZAS",INVENTARIO!C325))),"13OZ",
IF(OR(ISNUMBER(SEARCH("9 OZ",INVENTARIO!C325)),ISNUMBER(SEARCH("9 ONZAS",INVENTARIO!C325))),"09OZ",
IF(ISNUMBER(SEARCH("DOBLE CARA",INVENTARIO!C325)),"DOB-CAR",
"")))))))))))))))</f>
        <v/>
      </c>
      <c r="E325" t="str">
        <f>IF(OR(ISNUMBER(SEARCH("TRANSPARENTE",INVENTARIO!C325)),ISNUMBER(SEARCH("TRANSPARENTES",INVENTARIO!C325))),"TRA",
IF(OR(ISNUMBER(SEARCH("BLANCO",INVENTARIO!C325)),ISNUMBER(SEARCH("BCO",INVENTARIO!C325))),"BLA",
IF(ISNUMBER(SEARCH("FOTOGRAFICO",INVENTARIO!C325)),"FOT",
IF(ISNUMBER(SEARCH("MARFIL",INVENTARIO!C325)),"MAR",
IF(ISNUMBER(SEARCH("VERDE",INVENTARIO!C325)),"VER",
IF(ISNUMBER(SEARCH("MORADO",INVENTARIO!C325)),"MOR",
IF(ISNUMBER(SEARCH("PLATA",INVENTARIO!C325)),"PLA",
IF(ISNUMBER(SEARCH("ORO",INVENTARIO!C325)),"ORO",
IF(ISNUMBER(SEARCH("AMARILLO",INVENTARIO!C325)),"AMA",
IF(ISNUMBER(SEARCH("NARANJA",INVENTARIO!C325)),"NAR",
IF(ISNUMBER(SEARCH("NEGRO",INVENTARIO!C325)),"NEG",
IF(ISNUMBER(SEARCH("ROJO",INVENTARIO!C325)),"ROJ",
IF(ISNUMBER(SEARCH("AZUL",INVENTARIO!C325)),"AZU","")))))))))))))</f>
        <v>BLA</v>
      </c>
      <c r="F325" t="str">
        <f>IF(ISNUMBER(SEARCH("ARLON",INVENTARIO!C325)),"ARL",
IF(ISNUMBER(SEARCH("SUNTHINKS",INVENTARIO!C325)),"SUN",
IF(ISNUMBER(SEARCH("FRIO",INVENTARIO!C325)),"FRI",
IF(ISNUMBER(SEARCH("CALIDO",INVENTARIO!C325)),"CAL",
IF(ISNUMBER(SEARCH("CEPILLADO",INVENTARIO!C325)),"CEP",
IF(ISNUMBER(SEARCH("ESPEJO",INVENTARIO!C325)),"ESP",
""))))))</f>
        <v/>
      </c>
      <c r="G325" t="str">
        <f>IF(ISNUMBER(SEARCH("LATEX",INVENTARIO!C325)),"LAT",
IF(ISNUMBER(SEARCH("RESP. NEGRO",INVENTARIO!C325)),"RES-NEG",
IF(ISNUMBER(SEARCH("RESPALDO CAFE",INVENTARIO!C325)),"RES-CAF",
IF(ISNUMBER(SEARCH("RESPALDO GRIS",INVENTARIO!C325)),"RES-GRI",
IF(ISNUMBER(SEARCH("OPTICO",INVENTARIO!C325)),"OPT",
IF(ISNUMBER(SEARCH("1,2 MM",INVENTARIO!C325)),"1MM2",
IF(ISNUMBER(SEARCH("2 MM",INVENTARIO!C325)),"2MM",
IF(ISNUMBER(SEARCH("3 MM",INVENTARIO!C325)),"3MM",
IF(ISNUMBER(SEARCH("4 MM",INVENTARIO!C325)),"4MM",
IF(ISNUMBER(SEARCH("5 MM",INVENTARIO!C325)),"5MM",
IF(ISNUMBER(SEARCH("6 MM",INVENTARIO!C325)),"6MM",
IF(ISNUMBER(SEARCH("9 MM",INVENTARIO!C325)),"9MM",
IF(ISNUMBER(SEARCH("10 MM",INVENTARIO!C325)),"10MM","")))))))))))))</f>
        <v/>
      </c>
      <c r="H325" t="str">
        <f>IF(ISNUMBER(SEARCH("GAMA BAJA",INVENTARIO!C325)),"GAM-BAJ",
IF(ISNUMBER(SEARCH("OPTIMIZADOR",INVENTARIO!C325)),"OPT",
IF(ISNUMBER(SEARCH("OVERCOAT",INVENTARIO!C325)),"OVE",
IF(ISNUMBER(SEARCH("WHITE",INVENTARIO!C325)),"WHI",
IF(ISNUMBER(SEARCH("LIGHT CYAN",INVENTARIO!C325)),"LIG-CYA",
IF(ISNUMBER(SEARCH("CYAN",INVENTARIO!C325)),"CYA",
IF(ISNUMBER(SEARCH("LIGHT MAGENTA",INVENTARIO!C325)),"LIG-MAG",
IF(ISNUMBER(SEARCH("MAGENTA",INVENTARIO!C325)),"MAG",
IF(ISNUMBER(SEARCH("BLACK",INVENTARIO!C325)),"BLA",
IF(ISNUMBER(SEARCH("YELLOW",INVENTARIO!C325)),"YEL",
IF(ISNUMBER(SEARCH("2 DIODOS",INVENTARIO!C325)),"2DI",
IF(ISNUMBER(SEARCH("3 DIODOS",INVENTARIO!C325)),"3DI",
IF(OR(ISNUMBER(SEARCH("TRASLUCIDO",INVENTARIO!C325)),ISNUMBER(SEARCH("TRANSLUCIDO",INVENTARIO!C325))),"TRA",
"")))))))))))))</f>
        <v/>
      </c>
    </row>
    <row r="326" spans="1:8">
      <c r="A326" t="str">
        <f>IF(ISNUMBER(SEARCH("LONA",INVENTARIO!C326)),"LON",
IF(ISNUMBER(SEARCH("VINIL",INVENTARIO!C326)),"VIN",
IF(ISNUMBER(SEARCH("KROMACOTE",INVENTARIO!C326)),"KRO",
IF(ISNUMBER(SEARCH("STARDREAM",INVENTARIO!C326)),"STA",
IF(ISNUMBER(SEARCH("DISPLAY",INVENTARIO!C326)),"DIS",
IF(ISNUMBER(SEARCH("ROLL UP",INVENTARIO!C326)),"ROL-UP",
IF(ISNUMBER(SEARCH("TRANSFER DE PAPEL",INVENTARIO!C326)),"TRA-PAP",
IF(ISNUMBER(SEARCH("TRANSFER",INVENTARIO!C326)),"TRA",IF(ISNUMBER(SEARCH("KOLA LOKA",INVENTARIO!C326)),"KOL-LOK",
IF(ISNUMBER(SEARCH("PETG",INVENTARIO!C326)),"PET",
IF(ISNUMBER(SEARCH("OJILLO",INVENTARIO!C326)),"OJI",
IF(ISNUMBER(SEARCH("COUCHE",INVENTARIO!C326)),"COU",
IF(ISNUMBER(SEARCH("PANEL DE ALUMINIO",INVENTARIO!C326)),"PAN-ALU",
IF(ISNUMBER(SEARCH("PVC",INVENTARIO!C326)),"PVC",
IF(ISNUMBER(SEARCH("PAPEL",INVENTARIO!C326)),"PAP",
IF(ISNUMBER(SEARCH("TELA",INVENTARIO!C326)),"TEL",
IF(ISNUMBER(SEARCH("CARTULINA",INVENTARIO!C326)),"CAR",
IF(OR(ISNUMBER(SEARCH("LAMINA",INVENTARIO!C326)),ISNUMBER(SEARCH("LÁMINA",INVENTARIO!C326)),ISNUMBER(SEARCH("LAMPARAS",INVENTARIO!C326))),"LAM",
IF(ISNUMBER(SEARCH("ESTIRENO",INVENTARIO!C326)),"EST",
IF(ISNUMBER(SEARCH("FOAMBOARD",INVENTARIO!C326)),"FOA",
IF(ISNUMBER(SEARCH("SOLVENTE",INVENTARIO!C326)),"SOL",
IF(ISNUMBER(SEARCH("TINTA",INVENTARIO!C326)),"TIN",
IF(ISNUMBER(SEARCH("ACRILICO",INVENTARIO!C326)),"ACR",
IF(ISNUMBER(SEARCH("MICROLED",INVENTARIO!C326)),"MIC",
IF(ISNUMBER(SEARCH("LED",INVENTARIO!C326)),"LED",
IF(ISNUMBER(SEARCH("FUENTE DE PODER",INVENTARIO!C326)),"FUE-POD",
IF(ISNUMBER(SEARCH("PETG",INVENTARIO!C326)),"PET",
IF(ISNUMBER(SEARCH("ALUMINIO",INVENTARIO!C326)),"ALU",
IF(ISNUMBER(SEARCH("CANAL",INVENTARIO!C326)),"CAN",
IF(ISNUMBER(SEARCH("ESCUADRA",INVENTARIO!C326)),"ESC",
IF(ISNUMBER(SEARCH("SOPORTE",INVENTARIO!C326)),"SOP","OTR")
))))))))))))))))))))))))))))))</f>
        <v>PAP</v>
      </c>
      <c r="B326" t="str">
        <f>IF(ISNUMBER(SEARCH("CORTE",INVENTARIO!C326)),"COR",
IF(ISNUMBER(SEARCH("CITYLIGHT",INVENTARIO!C326)),"CIT",
IF(ISNUMBER(SEARCH("LINO",INVENTARIO!C326)),"LIN",
IF(ISNUMBER(SEARCH("FABRIANO",INVENTARIO!C326)),"FAB",
IF(ISNUMBER(SEARCH("SUNDANCE",INVENTARIO!C326)),"SUN",
IF(ISNUMBER(SEARCH("SINTETICA",INVENTARIO!C326)),"SIN",
IF(ISNUMBER(SEARCH("CONTROL",INVENTARIO!C326)),"CON",
IF(ISNUMBER(SEARCH("TERMICO",INVENTARIO!C326)),"TER",
IF(ISNUMBER(SEARCH("C-15",INVENTARIO!C326)),"C15",
IF(ISNUMBER(SEARCH("C-20",INVENTARIO!C326)),"C20",
IF(ISNUMBER(SEARCH("C-30",INVENTARIO!C326)),"C30",
IF(ISNUMBER(SEARCH("C-40",INVENTARIO!C326)),"C40",
IF(ISNUMBER(SEARCH("C-60",INVENTARIO!C326)),"C60",
IF(ISNUMBER(SEARCH("C-80",INVENTARIO!C326)),"C80",
IF(ISNUMBER(SEARCH("EQUIPO",INVENTARIO!C326)),"EQU",
IF(ISNUMBER(SEARCH("FLOOR",INVENTARIO!C326)),"FLO",
IF(ISNUMBER(SEARCH("CRISTAL",INVENTARIO!C326)),"CRI",
IF(ISNUMBER(SEARCH(" SULFATADA",INVENTARIO!C337)),"SUL",
IF(ISNUMBER(SEARCH("OPALINA",INVENTARIO!C326)),"OPA",
IF(ISNUMBER(SEARCH("ADHERIBLE",INVENTARIO!C326)),"ADH",
IF(ISNUMBER(SEARCH("MICRO",INVENTARIO!C326)),"MIC","")))))))))))))))))))))</f>
        <v>LIN</v>
      </c>
      <c r="C326" t="str">
        <f>IF(ISNUMBER(SEARCH("PARED",INVENTARIO!C326)),"PAR",
IF(ISNUMBER(SEARCH("FRONT",INVENTARIO!C326)),"FRO",
IF(ISNUMBER(SEARCH("ALTA RESISTENCIA",INVENTARIO!C326)),
"ALT-RES",IF(ISNUMBER(SEARCH("BACKLITE",INVENTARIO!C326)),"BAC",
IF(ISNUMBER(SEARCH("MATE",INVENTARIO!C326)),"MAT",
IF(ISNUMBER(SEARCH("MESH",INVENTARIO!C326)),"MES",
IF(ISNUMBER(SEARCH("BRILLANTE",INVENTARIO!C326)),"BRI",
IF(ISNUMBER(SEARCH("DELGADA",INVENTARIO!C326)),"DEL",
IF(ISNUMBER(SEARCH("GRUESA",INVENTARIO!C326)),"GRU",
IF(ISNUMBER(SEARCH("ESTATICO",INVENTARIO!C326)),"EST",
IF(ISNUMBER(SEARCH("REFLECTIVO",INVENTARIO!C326)),"REF",
IF(ISNUMBER(SEARCH("LX700",INVENTARIO!C326)),"LX7",
IF(ISNUMBER(SEARCH("GRANDO",INVENTARIO!C326)),"GRA",
IF(ISNUMBER(SEARCH("FB700",INVENTARIO!C326)),"FB7",
IF(ISNUMBER(SEARCH("LX360",INVENTARIO!C326)),"LX3",
IF(ISNUMBER(SEARCH("XEROX",INVENTARIO!C326)),"XER",
IF(ISNUMBER(SEARCH("CEPILLADO",INVENTARIO!C326)),"CEP",
IF(ISNUMBER(SEARCH("ESPEJO",INVENTARIO!C326)),"ESP",
IF(ISNUMBER(SEARCH("10 PTS",INVENTARIO!C326)),"10PT",
IF(ISNUMBER(SEARCH("12 PTS",INVENTARIO!C326)),"12PT",
IF(ISNUMBER(SEARCH("14 PTS",INVENTARIO!C326)),"14PT",
IF(ISNUMBER(SEARCH("CLASICO",INVENTARIO!C326)),"CLA",
""))))))))))))))))))))))</f>
        <v/>
      </c>
      <c r="D326" t="str">
        <f>IF(ISNUMBER(SEARCH("GRAN FORMATO",INVENTARIO!C326)),"GRA-FOR",
IF(ISNUMBER(SEARCH("CAMA PLANA",INVENTARIO!C326)),"CAM-PLA",
IF(ISNUMBER(SEARCH("GRADO INGENIERIA",INVENTARIO!C326)),"GRA-ING",
IF(ISNUMBER(SEARCH("130 GRS",INVENTARIO!C326)),"130GR",
IF(ISNUMBER(SEARCH("150 GRS",INVENTARIO!C326)),"150GR",
IF(ISNUMBER(SEARCH("185 GRS",INVENTARIO!C326)),"185GR",
IF(ISNUMBER(SEARCH("200 GRS",INVENTARIO!C326)),"200GR",
IF(ISNUMBER(SEARCH("250 GRS",INVENTARIO!C326)),"250GR",
IF(ISNUMBER(SEARCH("300 GRS",INVENTARIO!C326)),"300GR",
IF(ISNUMBER(SEARCH("350 GRS",INVENTARIO!C326)),"350GR",
IF(ISNUMBER(SEARCH("18 OZ",INVENTARIO!C326)),"18OZ",
IF(ISNUMBER(SEARCH("15 OZ",INVENTARIO!C326)),"15OZ",
IF(OR(ISNUMBER(SEARCH("13 OZ",INVENTARIO!C326)),ISNUMBER(SEARCH("13 ONZAS",INVENTARIO!C326))),"13OZ",
IF(OR(ISNUMBER(SEARCH("9 OZ",INVENTARIO!C326)),ISNUMBER(SEARCH("9 ONZAS",INVENTARIO!C326))),"09OZ",
IF(ISNUMBER(SEARCH("DOBLE CARA",INVENTARIO!C326)),"DOB-CAR",
"")))))))))))))))</f>
        <v/>
      </c>
      <c r="E326" t="str">
        <f>IF(OR(ISNUMBER(SEARCH("TRANSPARENTE",INVENTARIO!C326)),ISNUMBER(SEARCH("TRANSPARENTES",INVENTARIO!C326))),"TRA",
IF(OR(ISNUMBER(SEARCH("BLANCO",INVENTARIO!C326)),ISNUMBER(SEARCH("BCO",INVENTARIO!C326))),"BLA",
IF(ISNUMBER(SEARCH("FOTOGRAFICO",INVENTARIO!C326)),"FOT",
IF(ISNUMBER(SEARCH("MARFIL",INVENTARIO!C326)),"MAR",
IF(ISNUMBER(SEARCH("VERDE",INVENTARIO!C326)),"VER",
IF(ISNUMBER(SEARCH("MORADO",INVENTARIO!C326)),"MOR",
IF(ISNUMBER(SEARCH("PLATA",INVENTARIO!C326)),"PLA",
IF(ISNUMBER(SEARCH("ORO",INVENTARIO!C326)),"ORO",
IF(ISNUMBER(SEARCH("AMARILLO",INVENTARIO!C326)),"AMA",
IF(ISNUMBER(SEARCH("NARANJA",INVENTARIO!C326)),"NAR",
IF(ISNUMBER(SEARCH("NEGRO",INVENTARIO!C326)),"NEG",
IF(ISNUMBER(SEARCH("ROJO",INVENTARIO!C326)),"ROJ",
IF(ISNUMBER(SEARCH("AZUL",INVENTARIO!C326)),"AZU","")))))))))))))</f>
        <v>MAR</v>
      </c>
      <c r="F326" t="str">
        <f>IF(ISNUMBER(SEARCH("ARLON",INVENTARIO!C326)),"ARL",
IF(ISNUMBER(SEARCH("SUNTHINKS",INVENTARIO!C326)),"SUN",
IF(ISNUMBER(SEARCH("FRIO",INVENTARIO!C326)),"FRI",
IF(ISNUMBER(SEARCH("CALIDO",INVENTARIO!C326)),"CAL",
IF(ISNUMBER(SEARCH("CEPILLADO",INVENTARIO!C326)),"CEP",
IF(ISNUMBER(SEARCH("ESPEJO",INVENTARIO!C326)),"ESP",
""))))))</f>
        <v/>
      </c>
      <c r="G326" t="str">
        <f>IF(ISNUMBER(SEARCH("LATEX",INVENTARIO!C326)),"LAT",
IF(ISNUMBER(SEARCH("RESP. NEGRO",INVENTARIO!C326)),"RES-NEG",
IF(ISNUMBER(SEARCH("RESPALDO CAFE",INVENTARIO!C326)),"RES-CAF",
IF(ISNUMBER(SEARCH("RESPALDO GRIS",INVENTARIO!C326)),"RES-GRI",
IF(ISNUMBER(SEARCH("OPTICO",INVENTARIO!C326)),"OPT",
IF(ISNUMBER(SEARCH("1,2 MM",INVENTARIO!C326)),"1MM2",
IF(ISNUMBER(SEARCH("2 MM",INVENTARIO!C326)),"2MM",
IF(ISNUMBER(SEARCH("3 MM",INVENTARIO!C326)),"3MM",
IF(ISNUMBER(SEARCH("4 MM",INVENTARIO!C326)),"4MM",
IF(ISNUMBER(SEARCH("5 MM",INVENTARIO!C326)),"5MM",
IF(ISNUMBER(SEARCH("6 MM",INVENTARIO!C326)),"6MM",
IF(ISNUMBER(SEARCH("9 MM",INVENTARIO!C326)),"9MM",
IF(ISNUMBER(SEARCH("10 MM",INVENTARIO!C326)),"10MM","")))))))))))))</f>
        <v/>
      </c>
      <c r="H326" t="str">
        <f>IF(ISNUMBER(SEARCH("GAMA BAJA",INVENTARIO!C326)),"GAM-BAJ",
IF(ISNUMBER(SEARCH("OPTIMIZADOR",INVENTARIO!C326)),"OPT",
IF(ISNUMBER(SEARCH("OVERCOAT",INVENTARIO!C326)),"OVE",
IF(ISNUMBER(SEARCH("WHITE",INVENTARIO!C326)),"WHI",
IF(ISNUMBER(SEARCH("LIGHT CYAN",INVENTARIO!C326)),"LIG-CYA",
IF(ISNUMBER(SEARCH("CYAN",INVENTARIO!C326)),"CYA",
IF(ISNUMBER(SEARCH("LIGHT MAGENTA",INVENTARIO!C326)),"LIG-MAG",
IF(ISNUMBER(SEARCH("MAGENTA",INVENTARIO!C326)),"MAG",
IF(ISNUMBER(SEARCH("BLACK",INVENTARIO!C326)),"BLA",
IF(ISNUMBER(SEARCH("YELLOW",INVENTARIO!C326)),"YEL",
IF(ISNUMBER(SEARCH("2 DIODOS",INVENTARIO!C326)),"2DI",
IF(ISNUMBER(SEARCH("3 DIODOS",INVENTARIO!C326)),"3DI",
IF(OR(ISNUMBER(SEARCH("TRASLUCIDO",INVENTARIO!C326)),ISNUMBER(SEARCH("TRANSLUCIDO",INVENTARIO!C326))),"TRA",
"")))))))))))))</f>
        <v/>
      </c>
    </row>
    <row r="327" spans="1:8">
      <c r="A327" t="str">
        <f>IF(ISNUMBER(SEARCH("LONA",INVENTARIO!C327)),"LON",
IF(ISNUMBER(SEARCH("VINIL",INVENTARIO!C327)),"VIN",
IF(ISNUMBER(SEARCH("KROMACOTE",INVENTARIO!C327)),"KRO",
IF(ISNUMBER(SEARCH("STARDREAM",INVENTARIO!C327)),"STA",
IF(ISNUMBER(SEARCH("DISPLAY",INVENTARIO!C327)),"DIS",
IF(ISNUMBER(SEARCH("ROLL UP",INVENTARIO!C327)),"ROL-UP",
IF(ISNUMBER(SEARCH("TRANSFER DE PAPEL",INVENTARIO!C327)),"TRA-PAP",
IF(ISNUMBER(SEARCH("TRANSFER",INVENTARIO!C327)),"TRA",IF(ISNUMBER(SEARCH("KOLA LOKA",INVENTARIO!C327)),"KOL-LOK",
IF(ISNUMBER(SEARCH("PETG",INVENTARIO!C327)),"PET",
IF(ISNUMBER(SEARCH("OJILLO",INVENTARIO!C327)),"OJI",
IF(ISNUMBER(SEARCH("COUCHE",INVENTARIO!C327)),"COU",
IF(ISNUMBER(SEARCH("PANEL DE ALUMINIO",INVENTARIO!C327)),"PAN-ALU",
IF(ISNUMBER(SEARCH("PVC",INVENTARIO!C327)),"PVC",
IF(ISNUMBER(SEARCH("PAPEL",INVENTARIO!C327)),"PAP",
IF(ISNUMBER(SEARCH("TELA",INVENTARIO!C327)),"TEL",
IF(ISNUMBER(SEARCH("CARTULINA",INVENTARIO!C327)),"CAR",
IF(OR(ISNUMBER(SEARCH("LAMINA",INVENTARIO!C327)),ISNUMBER(SEARCH("LÁMINA",INVENTARIO!C327)),ISNUMBER(SEARCH("LAMPARAS",INVENTARIO!C327))),"LAM",
IF(ISNUMBER(SEARCH("ESTIRENO",INVENTARIO!C327)),"EST",
IF(ISNUMBER(SEARCH("FOAMBOARD",INVENTARIO!C327)),"FOA",
IF(ISNUMBER(SEARCH("SOLVENTE",INVENTARIO!C327)),"SOL",
IF(ISNUMBER(SEARCH("TINTA",INVENTARIO!C327)),"TIN",
IF(ISNUMBER(SEARCH("ACRILICO",INVENTARIO!C327)),"ACR",
IF(ISNUMBER(SEARCH("MICROLED",INVENTARIO!C327)),"MIC",
IF(ISNUMBER(SEARCH("LED",INVENTARIO!C327)),"LED",
IF(ISNUMBER(SEARCH("FUENTE DE PODER",INVENTARIO!C327)),"FUE-POD",
IF(ISNUMBER(SEARCH("PETG",INVENTARIO!C327)),"PET",
IF(ISNUMBER(SEARCH("ALUMINIO",INVENTARIO!C327)),"ALU",
IF(ISNUMBER(SEARCH("CANAL",INVENTARIO!C327)),"CAN",
IF(ISNUMBER(SEARCH("ESCUADRA",INVENTARIO!C327)),"ESC",
IF(ISNUMBER(SEARCH("SOPORTE",INVENTARIO!C327)),"SOP","OTR")
))))))))))))))))))))))))))))))</f>
        <v>PAP</v>
      </c>
      <c r="B327" t="str">
        <f>IF(ISNUMBER(SEARCH("CORTE",INVENTARIO!C327)),"COR",
IF(ISNUMBER(SEARCH("CITYLIGHT",INVENTARIO!C327)),"CIT",
IF(ISNUMBER(SEARCH("LINO",INVENTARIO!C327)),"LIN",
IF(ISNUMBER(SEARCH("FABRIANO",INVENTARIO!C327)),"FAB",
IF(ISNUMBER(SEARCH("SUNDANCE",INVENTARIO!C327)),"SUN",
IF(ISNUMBER(SEARCH("SINTETICA",INVENTARIO!C327)),"SIN",
IF(ISNUMBER(SEARCH("CONTROL",INVENTARIO!C327)),"CON",
IF(ISNUMBER(SEARCH("TERMICO",INVENTARIO!C327)),"TER",
IF(ISNUMBER(SEARCH("C-15",INVENTARIO!C327)),"C15",
IF(ISNUMBER(SEARCH("C-20",INVENTARIO!C327)),"C20",
IF(ISNUMBER(SEARCH("C-30",INVENTARIO!C327)),"C30",
IF(ISNUMBER(SEARCH("C-40",INVENTARIO!C327)),"C40",
IF(ISNUMBER(SEARCH("C-60",INVENTARIO!C327)),"C60",
IF(ISNUMBER(SEARCH("C-80",INVENTARIO!C327)),"C80",
IF(ISNUMBER(SEARCH("EQUIPO",INVENTARIO!C327)),"EQU",
IF(ISNUMBER(SEARCH("FLOOR",INVENTARIO!C327)),"FLO",
IF(ISNUMBER(SEARCH("CRISTAL",INVENTARIO!C327)),"CRI",
IF(ISNUMBER(SEARCH(" SULFATADA",INVENTARIO!C338)),"SUL",
IF(ISNUMBER(SEARCH("OPALINA",INVENTARIO!C327)),"OPA",
IF(ISNUMBER(SEARCH("ADHERIBLE",INVENTARIO!C327)),"ADH",
IF(ISNUMBER(SEARCH("MICRO",INVENTARIO!C327)),"MIC","")))))))))))))))))))))</f>
        <v/>
      </c>
      <c r="C327" t="str">
        <f>IF(ISNUMBER(SEARCH("PARED",INVENTARIO!C327)),"PAR",
IF(ISNUMBER(SEARCH("FRONT",INVENTARIO!C327)),"FRO",
IF(ISNUMBER(SEARCH("ALTA RESISTENCIA",INVENTARIO!C327)),
"ALT-RES",IF(ISNUMBER(SEARCH("BACKLITE",INVENTARIO!C327)),"BAC",
IF(ISNUMBER(SEARCH("MATE",INVENTARIO!C327)),"MAT",
IF(ISNUMBER(SEARCH("MESH",INVENTARIO!C327)),"MES",
IF(ISNUMBER(SEARCH("BRILLANTE",INVENTARIO!C327)),"BRI",
IF(ISNUMBER(SEARCH("DELGADA",INVENTARIO!C327)),"DEL",
IF(ISNUMBER(SEARCH("GRUESA",INVENTARIO!C327)),"GRU",
IF(ISNUMBER(SEARCH("ESTATICO",INVENTARIO!C327)),"EST",
IF(ISNUMBER(SEARCH("REFLECTIVO",INVENTARIO!C327)),"REF",
IF(ISNUMBER(SEARCH("LX700",INVENTARIO!C327)),"LX7",
IF(ISNUMBER(SEARCH("GRANDO",INVENTARIO!C327)),"GRA",
IF(ISNUMBER(SEARCH("FB700",INVENTARIO!C327)),"FB7",
IF(ISNUMBER(SEARCH("LX360",INVENTARIO!C327)),"LX3",
IF(ISNUMBER(SEARCH("XEROX",INVENTARIO!C327)),"XER",
IF(ISNUMBER(SEARCH("CEPILLADO",INVENTARIO!C327)),"CEP",
IF(ISNUMBER(SEARCH("ESPEJO",INVENTARIO!C327)),"ESP",
IF(ISNUMBER(SEARCH("10 PTS",INVENTARIO!C327)),"10PT",
IF(ISNUMBER(SEARCH("12 PTS",INVENTARIO!C327)),"12PT",
IF(ISNUMBER(SEARCH("14 PTS",INVENTARIO!C327)),"14PT",
IF(ISNUMBER(SEARCH("CLASICO",INVENTARIO!C327)),"CLA",
""))))))))))))))))))))))</f>
        <v/>
      </c>
      <c r="D327" t="str">
        <f>IF(ISNUMBER(SEARCH("GRAN FORMATO",INVENTARIO!C327)),"GRA-FOR",
IF(ISNUMBER(SEARCH("CAMA PLANA",INVENTARIO!C327)),"CAM-PLA",
IF(ISNUMBER(SEARCH("GRADO INGENIERIA",INVENTARIO!C327)),"GRA-ING",
IF(ISNUMBER(SEARCH("130 GRS",INVENTARIO!C327)),"130GR",
IF(ISNUMBER(SEARCH("150 GRS",INVENTARIO!C327)),"150GR",
IF(ISNUMBER(SEARCH("185 GRS",INVENTARIO!C327)),"185GR",
IF(ISNUMBER(SEARCH("200 GRS",INVENTARIO!C327)),"200GR",
IF(ISNUMBER(SEARCH("250 GRS",INVENTARIO!C327)),"250GR",
IF(ISNUMBER(SEARCH("300 GRS",INVENTARIO!C327)),"300GR",
IF(ISNUMBER(SEARCH("350 GRS",INVENTARIO!C327)),"350GR",
IF(ISNUMBER(SEARCH("18 OZ",INVENTARIO!C327)),"18OZ",
IF(ISNUMBER(SEARCH("15 OZ",INVENTARIO!C327)),"15OZ",
IF(OR(ISNUMBER(SEARCH("13 OZ",INVENTARIO!C327)),ISNUMBER(SEARCH("13 ONZAS",INVENTARIO!C327))),"13OZ",
IF(OR(ISNUMBER(SEARCH("9 OZ",INVENTARIO!C327)),ISNUMBER(SEARCH("9 ONZAS",INVENTARIO!C327))),"09OZ",
IF(ISNUMBER(SEARCH("DOBLE CARA",INVENTARIO!C327)),"DOB-CAR",
"")))))))))))))))</f>
        <v/>
      </c>
      <c r="E327" t="str">
        <f>IF(OR(ISNUMBER(SEARCH("TRANSPARENTE",INVENTARIO!C327)),ISNUMBER(SEARCH("TRANSPARENTES",INVENTARIO!C327))),"TRA",
IF(OR(ISNUMBER(SEARCH("BLANCO",INVENTARIO!C327)),ISNUMBER(SEARCH("BCO",INVENTARIO!C327))),"BLA",
IF(ISNUMBER(SEARCH("FOTOGRAFICO",INVENTARIO!C327)),"FOT",
IF(ISNUMBER(SEARCH("MARFIL",INVENTARIO!C327)),"MAR",
IF(ISNUMBER(SEARCH("VERDE",INVENTARIO!C327)),"VER",
IF(ISNUMBER(SEARCH("MORADO",INVENTARIO!C327)),"MOR",
IF(ISNUMBER(SEARCH("PLATA",INVENTARIO!C327)),"PLA",
IF(ISNUMBER(SEARCH("ORO",INVENTARIO!C327)),"ORO",
IF(ISNUMBER(SEARCH("AMARILLO",INVENTARIO!C327)),"AMA",
IF(ISNUMBER(SEARCH("NARANJA",INVENTARIO!C327)),"NAR",
IF(ISNUMBER(SEARCH("NEGRO",INVENTARIO!C327)),"NEG",
IF(ISNUMBER(SEARCH("ROJO",INVENTARIO!C327)),"ROJ",
IF(ISNUMBER(SEARCH("AZUL",INVENTARIO!C327)),"AZU","")))))))))))))</f>
        <v/>
      </c>
      <c r="F327" t="str">
        <f>IF(ISNUMBER(SEARCH("ARLON",INVENTARIO!C327)),"ARL",
IF(ISNUMBER(SEARCH("SUNTHINKS",INVENTARIO!C327)),"SUN",
IF(ISNUMBER(SEARCH("FRIO",INVENTARIO!C327)),"FRI",
IF(ISNUMBER(SEARCH("CALIDO",INVENTARIO!C327)),"CAL",
IF(ISNUMBER(SEARCH("CEPILLADO",INVENTARIO!C327)),"CEP",
IF(ISNUMBER(SEARCH("ESPEJO",INVENTARIO!C327)),"ESP",
""))))))</f>
        <v/>
      </c>
      <c r="G327" t="str">
        <f>IF(ISNUMBER(SEARCH("LATEX",INVENTARIO!C327)),"LAT",
IF(ISNUMBER(SEARCH("RESP. NEGRO",INVENTARIO!C327)),"RES-NEG",
IF(ISNUMBER(SEARCH("RESPALDO CAFE",INVENTARIO!C327)),"RES-CAF",
IF(ISNUMBER(SEARCH("RESPALDO GRIS",INVENTARIO!C327)),"RES-GRI",
IF(ISNUMBER(SEARCH("OPTICO",INVENTARIO!C327)),"OPT",
IF(ISNUMBER(SEARCH("1,2 MM",INVENTARIO!C327)),"1MM2",
IF(ISNUMBER(SEARCH("2 MM",INVENTARIO!C327)),"2MM",
IF(ISNUMBER(SEARCH("3 MM",INVENTARIO!C327)),"3MM",
IF(ISNUMBER(SEARCH("4 MM",INVENTARIO!C327)),"4MM",
IF(ISNUMBER(SEARCH("5 MM",INVENTARIO!C327)),"5MM",
IF(ISNUMBER(SEARCH("6 MM",INVENTARIO!C327)),"6MM",
IF(ISNUMBER(SEARCH("9 MM",INVENTARIO!C327)),"9MM",
IF(ISNUMBER(SEARCH("10 MM",INVENTARIO!C327)),"10MM","")))))))))))))</f>
        <v/>
      </c>
      <c r="H327" t="str">
        <f>IF(ISNUMBER(SEARCH("GAMA BAJA",INVENTARIO!C327)),"GAM-BAJ",
IF(ISNUMBER(SEARCH("OPTIMIZADOR",INVENTARIO!C327)),"OPT",
IF(ISNUMBER(SEARCH("OVERCOAT",INVENTARIO!C327)),"OVE",
IF(ISNUMBER(SEARCH("WHITE",INVENTARIO!C327)),"WHI",
IF(ISNUMBER(SEARCH("LIGHT CYAN",INVENTARIO!C327)),"LIG-CYA",
IF(ISNUMBER(SEARCH("CYAN",INVENTARIO!C327)),"CYA",
IF(ISNUMBER(SEARCH("LIGHT MAGENTA",INVENTARIO!C327)),"LIG-MAG",
IF(ISNUMBER(SEARCH("MAGENTA",INVENTARIO!C327)),"MAG",
IF(ISNUMBER(SEARCH("BLACK",INVENTARIO!C327)),"BLA",
IF(ISNUMBER(SEARCH("YELLOW",INVENTARIO!C327)),"YEL",
IF(ISNUMBER(SEARCH("2 DIODOS",INVENTARIO!C327)),"2DI",
IF(ISNUMBER(SEARCH("3 DIODOS",INVENTARIO!C327)),"3DI",
IF(OR(ISNUMBER(SEARCH("TRASLUCIDO",INVENTARIO!C327)),ISNUMBER(SEARCH("TRANSLUCIDO",INVENTARIO!C327))),"TRA",
"")))))))))))))</f>
        <v/>
      </c>
    </row>
    <row r="328" spans="1:8">
      <c r="A328" t="str">
        <f>IF(ISNUMBER(SEARCH("LONA",INVENTARIO!C328)),"LON",
IF(ISNUMBER(SEARCH("VINIL",INVENTARIO!C328)),"VIN",
IF(ISNUMBER(SEARCH("KROMACOTE",INVENTARIO!C328)),"KRO",
IF(ISNUMBER(SEARCH("STARDREAM",INVENTARIO!C328)),"STA",
IF(ISNUMBER(SEARCH("DISPLAY",INVENTARIO!C328)),"DIS",
IF(ISNUMBER(SEARCH("ROLL UP",INVENTARIO!C328)),"ROL-UP",
IF(ISNUMBER(SEARCH("TRANSFER DE PAPEL",INVENTARIO!C328)),"TRA-PAP",
IF(ISNUMBER(SEARCH("TRANSFER",INVENTARIO!C328)),"TRA",IF(ISNUMBER(SEARCH("KOLA LOKA",INVENTARIO!C328)),"KOL-LOK",
IF(ISNUMBER(SEARCH("PETG",INVENTARIO!C328)),"PET",
IF(ISNUMBER(SEARCH("OJILLO",INVENTARIO!C328)),"OJI",
IF(ISNUMBER(SEARCH("COUCHE",INVENTARIO!C328)),"COU",
IF(ISNUMBER(SEARCH("PANEL DE ALUMINIO",INVENTARIO!C328)),"PAN-ALU",
IF(ISNUMBER(SEARCH("PVC",INVENTARIO!C328)),"PVC",
IF(ISNUMBER(SEARCH("PAPEL",INVENTARIO!C328)),"PAP",
IF(ISNUMBER(SEARCH("TELA",INVENTARIO!C328)),"TEL",
IF(ISNUMBER(SEARCH("CARTULINA",INVENTARIO!C328)),"CAR",
IF(OR(ISNUMBER(SEARCH("LAMINA",INVENTARIO!C328)),ISNUMBER(SEARCH("LÁMINA",INVENTARIO!C328)),ISNUMBER(SEARCH("LAMPARAS",INVENTARIO!C328))),"LAM",
IF(ISNUMBER(SEARCH("ESTIRENO",INVENTARIO!C328)),"EST",
IF(ISNUMBER(SEARCH("FOAMBOARD",INVENTARIO!C328)),"FOA",
IF(ISNUMBER(SEARCH("SOLVENTE",INVENTARIO!C328)),"SOL",
IF(ISNUMBER(SEARCH("TINTA",INVENTARIO!C328)),"TIN",
IF(ISNUMBER(SEARCH("ACRILICO",INVENTARIO!C328)),"ACR",
IF(ISNUMBER(SEARCH("MICROLED",INVENTARIO!C328)),"MIC",
IF(ISNUMBER(SEARCH("LED",INVENTARIO!C328)),"LED",
IF(ISNUMBER(SEARCH("FUENTE DE PODER",INVENTARIO!C328)),"FUE-POD",
IF(ISNUMBER(SEARCH("PETG",INVENTARIO!C328)),"PET",
IF(ISNUMBER(SEARCH("ALUMINIO",INVENTARIO!C328)),"ALU",
IF(ISNUMBER(SEARCH("CANAL",INVENTARIO!C328)),"CAN",
IF(ISNUMBER(SEARCH("ESCUADRA",INVENTARIO!C328)),"ESC",
IF(ISNUMBER(SEARCH("SOPORTE",INVENTARIO!C328)),"SOP","OTR")
))))))))))))))))))))))))))))))</f>
        <v>OTR</v>
      </c>
      <c r="B328" t="str">
        <f>IF(ISNUMBER(SEARCH("CORTE",INVENTARIO!C328)),"COR",
IF(ISNUMBER(SEARCH("CITYLIGHT",INVENTARIO!C328)),"CIT",
IF(ISNUMBER(SEARCH("LINO",INVENTARIO!C328)),"LIN",
IF(ISNUMBER(SEARCH("FABRIANO",INVENTARIO!C328)),"FAB",
IF(ISNUMBER(SEARCH("SUNDANCE",INVENTARIO!C328)),"SUN",
IF(ISNUMBER(SEARCH("SINTETICA",INVENTARIO!C328)),"SIN",
IF(ISNUMBER(SEARCH("CONTROL",INVENTARIO!C328)),"CON",
IF(ISNUMBER(SEARCH("TERMICO",INVENTARIO!C328)),"TER",
IF(ISNUMBER(SEARCH("C-15",INVENTARIO!C328)),"C15",
IF(ISNUMBER(SEARCH("C-20",INVENTARIO!C328)),"C20",
IF(ISNUMBER(SEARCH("C-30",INVENTARIO!C328)),"C30",
IF(ISNUMBER(SEARCH("C-40",INVENTARIO!C328)),"C40",
IF(ISNUMBER(SEARCH("C-60",INVENTARIO!C328)),"C60",
IF(ISNUMBER(SEARCH("C-80",INVENTARIO!C328)),"C80",
IF(ISNUMBER(SEARCH("EQUIPO",INVENTARIO!C328)),"EQU",
IF(ISNUMBER(SEARCH("FLOOR",INVENTARIO!C328)),"FLO",
IF(ISNUMBER(SEARCH("CRISTAL",INVENTARIO!C328)),"CRI",
IF(ISNUMBER(SEARCH(" SULFATADA",INVENTARIO!C339)),"SUL",
IF(ISNUMBER(SEARCH("OPALINA",INVENTARIO!C328)),"OPA",
IF(ISNUMBER(SEARCH("ADHERIBLE",INVENTARIO!C328)),"ADH",
IF(ISNUMBER(SEARCH("MICRO",INVENTARIO!C328)),"MIC","")))))))))))))))))))))</f>
        <v/>
      </c>
      <c r="C328" t="str">
        <f>IF(ISNUMBER(SEARCH("PARED",INVENTARIO!C328)),"PAR",
IF(ISNUMBER(SEARCH("FRONT",INVENTARIO!C328)),"FRO",
IF(ISNUMBER(SEARCH("ALTA RESISTENCIA",INVENTARIO!C328)),
"ALT-RES",IF(ISNUMBER(SEARCH("BACKLITE",INVENTARIO!C328)),"BAC",
IF(ISNUMBER(SEARCH("MATE",INVENTARIO!C328)),"MAT",
IF(ISNUMBER(SEARCH("MESH",INVENTARIO!C328)),"MES",
IF(ISNUMBER(SEARCH("BRILLANTE",INVENTARIO!C328)),"BRI",
IF(ISNUMBER(SEARCH("DELGADA",INVENTARIO!C328)),"DEL",
IF(ISNUMBER(SEARCH("GRUESA",INVENTARIO!C328)),"GRU",
IF(ISNUMBER(SEARCH("ESTATICO",INVENTARIO!C328)),"EST",
IF(ISNUMBER(SEARCH("REFLECTIVO",INVENTARIO!C328)),"REF",
IF(ISNUMBER(SEARCH("LX700",INVENTARIO!C328)),"LX7",
IF(ISNUMBER(SEARCH("GRANDO",INVENTARIO!C328)),"GRA",
IF(ISNUMBER(SEARCH("FB700",INVENTARIO!C328)),"FB7",
IF(ISNUMBER(SEARCH("LX360",INVENTARIO!C328)),"LX3",
IF(ISNUMBER(SEARCH("XEROX",INVENTARIO!C328)),"XER",
IF(ISNUMBER(SEARCH("CEPILLADO",INVENTARIO!C328)),"CEP",
IF(ISNUMBER(SEARCH("ESPEJO",INVENTARIO!C328)),"ESP",
IF(ISNUMBER(SEARCH("10 PTS",INVENTARIO!C328)),"10PT",
IF(ISNUMBER(SEARCH("12 PTS",INVENTARIO!C328)),"12PT",
IF(ISNUMBER(SEARCH("14 PTS",INVENTARIO!C328)),"14PT",
IF(ISNUMBER(SEARCH("CLASICO",INVENTARIO!C328)),"CLA",
""))))))))))))))))))))))</f>
        <v/>
      </c>
      <c r="D328" t="str">
        <f>IF(ISNUMBER(SEARCH("GRAN FORMATO",INVENTARIO!C328)),"GRA-FOR",
IF(ISNUMBER(SEARCH("CAMA PLANA",INVENTARIO!C328)),"CAM-PLA",
IF(ISNUMBER(SEARCH("GRADO INGENIERIA",INVENTARIO!C328)),"GRA-ING",
IF(ISNUMBER(SEARCH("130 GRS",INVENTARIO!C328)),"130GR",
IF(ISNUMBER(SEARCH("150 GRS",INVENTARIO!C328)),"150GR",
IF(ISNUMBER(SEARCH("185 GRS",INVENTARIO!C328)),"185GR",
IF(ISNUMBER(SEARCH("200 GRS",INVENTARIO!C328)),"200GR",
IF(ISNUMBER(SEARCH("250 GRS",INVENTARIO!C328)),"250GR",
IF(ISNUMBER(SEARCH("300 GRS",INVENTARIO!C328)),"300GR",
IF(ISNUMBER(SEARCH("350 GRS",INVENTARIO!C328)),"350GR",
IF(ISNUMBER(SEARCH("18 OZ",INVENTARIO!C328)),"18OZ",
IF(ISNUMBER(SEARCH("15 OZ",INVENTARIO!C328)),"15OZ",
IF(OR(ISNUMBER(SEARCH("13 OZ",INVENTARIO!C328)),ISNUMBER(SEARCH("13 ONZAS",INVENTARIO!C328))),"13OZ",
IF(OR(ISNUMBER(SEARCH("9 OZ",INVENTARIO!C328)),ISNUMBER(SEARCH("9 ONZAS",INVENTARIO!C328))),"09OZ",
IF(ISNUMBER(SEARCH("DOBLE CARA",INVENTARIO!C328)),"DOB-CAR",
"")))))))))))))))</f>
        <v/>
      </c>
      <c r="E328" t="str">
        <f>IF(OR(ISNUMBER(SEARCH("TRANSPARENTE",INVENTARIO!C328)),ISNUMBER(SEARCH("TRANSPARENTES",INVENTARIO!C328))),"TRA",
IF(OR(ISNUMBER(SEARCH("BLANCO",INVENTARIO!C328)),ISNUMBER(SEARCH("BCO",INVENTARIO!C328))),"BLA",
IF(ISNUMBER(SEARCH("FOTOGRAFICO",INVENTARIO!C328)),"FOT",
IF(ISNUMBER(SEARCH("MARFIL",INVENTARIO!C328)),"MAR",
IF(ISNUMBER(SEARCH("VERDE",INVENTARIO!C328)),"VER",
IF(ISNUMBER(SEARCH("MORADO",INVENTARIO!C328)),"MOR",
IF(ISNUMBER(SEARCH("PLATA",INVENTARIO!C328)),"PLA",
IF(ISNUMBER(SEARCH("ORO",INVENTARIO!C328)),"ORO",
IF(ISNUMBER(SEARCH("AMARILLO",INVENTARIO!C328)),"AMA",
IF(ISNUMBER(SEARCH("NARANJA",INVENTARIO!C328)),"NAR",
IF(ISNUMBER(SEARCH("NEGRO",INVENTARIO!C328)),"NEG",
IF(ISNUMBER(SEARCH("ROJO",INVENTARIO!C328)),"ROJ",
IF(ISNUMBER(SEARCH("AZUL",INVENTARIO!C328)),"AZU","")))))))))))))</f>
        <v/>
      </c>
      <c r="F328" t="str">
        <f>IF(ISNUMBER(SEARCH("ARLON",INVENTARIO!C328)),"ARL",
IF(ISNUMBER(SEARCH("SUNTHINKS",INVENTARIO!C328)),"SUN",
IF(ISNUMBER(SEARCH("FRIO",INVENTARIO!C328)),"FRI",
IF(ISNUMBER(SEARCH("CALIDO",INVENTARIO!C328)),"CAL",
IF(ISNUMBER(SEARCH("CEPILLADO",INVENTARIO!C328)),"CEP",
IF(ISNUMBER(SEARCH("ESPEJO",INVENTARIO!C328)),"ESP",
""))))))</f>
        <v/>
      </c>
      <c r="G328" t="str">
        <f>IF(ISNUMBER(SEARCH("LATEX",INVENTARIO!C328)),"LAT",
IF(ISNUMBER(SEARCH("RESP. NEGRO",INVENTARIO!C328)),"RES-NEG",
IF(ISNUMBER(SEARCH("RESPALDO CAFE",INVENTARIO!C328)),"RES-CAF",
IF(ISNUMBER(SEARCH("RESPALDO GRIS",INVENTARIO!C328)),"RES-GRI",
IF(ISNUMBER(SEARCH("OPTICO",INVENTARIO!C328)),"OPT",
IF(ISNUMBER(SEARCH("1,2 MM",INVENTARIO!C328)),"1MM2",
IF(ISNUMBER(SEARCH("2 MM",INVENTARIO!C328)),"2MM",
IF(ISNUMBER(SEARCH("3 MM",INVENTARIO!C328)),"3MM",
IF(ISNUMBER(SEARCH("4 MM",INVENTARIO!C328)),"4MM",
IF(ISNUMBER(SEARCH("5 MM",INVENTARIO!C328)),"5MM",
IF(ISNUMBER(SEARCH("6 MM",INVENTARIO!C328)),"6MM",
IF(ISNUMBER(SEARCH("9 MM",INVENTARIO!C328)),"9MM",
IF(ISNUMBER(SEARCH("10 MM",INVENTARIO!C328)),"10MM","")))))))))))))</f>
        <v>RES-GRI</v>
      </c>
      <c r="H328" t="str">
        <f>IF(ISNUMBER(SEARCH("GAMA BAJA",INVENTARIO!C328)),"GAM-BAJ",
IF(ISNUMBER(SEARCH("OPTIMIZADOR",INVENTARIO!C328)),"OPT",
IF(ISNUMBER(SEARCH("OVERCOAT",INVENTARIO!C328)),"OVE",
IF(ISNUMBER(SEARCH("WHITE",INVENTARIO!C328)),"WHI",
IF(ISNUMBER(SEARCH("LIGHT CYAN",INVENTARIO!C328)),"LIG-CYA",
IF(ISNUMBER(SEARCH("CYAN",INVENTARIO!C328)),"CYA",
IF(ISNUMBER(SEARCH("LIGHT MAGENTA",INVENTARIO!C328)),"LIG-MAG",
IF(ISNUMBER(SEARCH("MAGENTA",INVENTARIO!C328)),"MAG",
IF(ISNUMBER(SEARCH("BLACK",INVENTARIO!C328)),"BLA",
IF(ISNUMBER(SEARCH("YELLOW",INVENTARIO!C328)),"YEL",
IF(ISNUMBER(SEARCH("2 DIODOS",INVENTARIO!C328)),"2DI",
IF(ISNUMBER(SEARCH("3 DIODOS",INVENTARIO!C328)),"3DI",
IF(OR(ISNUMBER(SEARCH("TRASLUCIDO",INVENTARIO!C328)),ISNUMBER(SEARCH("TRANSLUCIDO",INVENTARIO!C328))),"TRA",
"")))))))))))))</f>
        <v/>
      </c>
    </row>
    <row r="329" spans="1:8">
      <c r="A329" t="str">
        <f>IF(ISNUMBER(SEARCH("LONA",INVENTARIO!C329)),"LON",
IF(ISNUMBER(SEARCH("VINIL",INVENTARIO!C329)),"VIN",
IF(ISNUMBER(SEARCH("KROMACOTE",INVENTARIO!C329)),"KRO",
IF(ISNUMBER(SEARCH("STARDREAM",INVENTARIO!C329)),"STA",
IF(ISNUMBER(SEARCH("DISPLAY",INVENTARIO!C329)),"DIS",
IF(ISNUMBER(SEARCH("ROLL UP",INVENTARIO!C329)),"ROL-UP",
IF(ISNUMBER(SEARCH("TRANSFER DE PAPEL",INVENTARIO!C329)),"TRA-PAP",
IF(ISNUMBER(SEARCH("TRANSFER",INVENTARIO!C329)),"TRA",IF(ISNUMBER(SEARCH("KOLA LOKA",INVENTARIO!C329)),"KOL-LOK",
IF(ISNUMBER(SEARCH("PETG",INVENTARIO!C329)),"PET",
IF(ISNUMBER(SEARCH("OJILLO",INVENTARIO!C329)),"OJI",
IF(ISNUMBER(SEARCH("COUCHE",INVENTARIO!C329)),"COU",
IF(ISNUMBER(SEARCH("PANEL DE ALUMINIO",INVENTARIO!C329)),"PAN-ALU",
IF(ISNUMBER(SEARCH("PVC",INVENTARIO!C329)),"PVC",
IF(ISNUMBER(SEARCH("PAPEL",INVENTARIO!C329)),"PAP",
IF(ISNUMBER(SEARCH("TELA",INVENTARIO!C329)),"TEL",
IF(ISNUMBER(SEARCH("CARTULINA",INVENTARIO!C329)),"CAR",
IF(OR(ISNUMBER(SEARCH("LAMINA",INVENTARIO!C329)),ISNUMBER(SEARCH("LÁMINA",INVENTARIO!C329)),ISNUMBER(SEARCH("LAMPARAS",INVENTARIO!C329))),"LAM",
IF(ISNUMBER(SEARCH("ESTIRENO",INVENTARIO!C329)),"EST",
IF(ISNUMBER(SEARCH("FOAMBOARD",INVENTARIO!C329)),"FOA",
IF(ISNUMBER(SEARCH("SOLVENTE",INVENTARIO!C329)),"SOL",
IF(ISNUMBER(SEARCH("TINTA",INVENTARIO!C329)),"TIN",
IF(ISNUMBER(SEARCH("ACRILICO",INVENTARIO!C329)),"ACR",
IF(ISNUMBER(SEARCH("MICROLED",INVENTARIO!C329)),"MIC",
IF(ISNUMBER(SEARCH("LED",INVENTARIO!C329)),"LED",
IF(ISNUMBER(SEARCH("FUENTE DE PODER",INVENTARIO!C329)),"FUE-POD",
IF(ISNUMBER(SEARCH("PETG",INVENTARIO!C329)),"PET",
IF(ISNUMBER(SEARCH("ALUMINIO",INVENTARIO!C329)),"ALU",
IF(ISNUMBER(SEARCH("CANAL",INVENTARIO!C329)),"CAN",
IF(ISNUMBER(SEARCH("ESCUADRA",INVENTARIO!C329)),"ESC",
IF(ISNUMBER(SEARCH("SOPORTE",INVENTARIO!C329)),"SOP","OTR")
))))))))))))))))))))))))))))))</f>
        <v>OTR</v>
      </c>
      <c r="B329" t="str">
        <f>IF(ISNUMBER(SEARCH("CORTE",INVENTARIO!C329)),"COR",
IF(ISNUMBER(SEARCH("CITYLIGHT",INVENTARIO!C329)),"CIT",
IF(ISNUMBER(SEARCH("LINO",INVENTARIO!C329)),"LIN",
IF(ISNUMBER(SEARCH("FABRIANO",INVENTARIO!C329)),"FAB",
IF(ISNUMBER(SEARCH("SUNDANCE",INVENTARIO!C329)),"SUN",
IF(ISNUMBER(SEARCH("SINTETICA",INVENTARIO!C329)),"SIN",
IF(ISNUMBER(SEARCH("CONTROL",INVENTARIO!C329)),"CON",
IF(ISNUMBER(SEARCH("TERMICO",INVENTARIO!C329)),"TER",
IF(ISNUMBER(SEARCH("C-15",INVENTARIO!C329)),"C15",
IF(ISNUMBER(SEARCH("C-20",INVENTARIO!C329)),"C20",
IF(ISNUMBER(SEARCH("C-30",INVENTARIO!C329)),"C30",
IF(ISNUMBER(SEARCH("C-40",INVENTARIO!C329)),"C40",
IF(ISNUMBER(SEARCH("C-60",INVENTARIO!C329)),"C60",
IF(ISNUMBER(SEARCH("C-80",INVENTARIO!C329)),"C80",
IF(ISNUMBER(SEARCH("EQUIPO",INVENTARIO!C329)),"EQU",
IF(ISNUMBER(SEARCH("FLOOR",INVENTARIO!C329)),"FLO",
IF(ISNUMBER(SEARCH("CRISTAL",INVENTARIO!C329)),"CRI",
IF(ISNUMBER(SEARCH(" SULFATADA",INVENTARIO!C340)),"SUL",
IF(ISNUMBER(SEARCH("OPALINA",INVENTARIO!C329)),"OPA",
IF(ISNUMBER(SEARCH("ADHERIBLE",INVENTARIO!C329)),"ADH",
IF(ISNUMBER(SEARCH("MICRO",INVENTARIO!C329)),"MIC","")))))))))))))))))))))</f>
        <v/>
      </c>
      <c r="C329" t="str">
        <f>IF(ISNUMBER(SEARCH("PARED",INVENTARIO!C329)),"PAR",
IF(ISNUMBER(SEARCH("FRONT",INVENTARIO!C329)),"FRO",
IF(ISNUMBER(SEARCH("ALTA RESISTENCIA",INVENTARIO!C329)),
"ALT-RES",IF(ISNUMBER(SEARCH("BACKLITE",INVENTARIO!C329)),"BAC",
IF(ISNUMBER(SEARCH("MATE",INVENTARIO!C329)),"MAT",
IF(ISNUMBER(SEARCH("MESH",INVENTARIO!C329)),"MES",
IF(ISNUMBER(SEARCH("BRILLANTE",INVENTARIO!C329)),"BRI",
IF(ISNUMBER(SEARCH("DELGADA",INVENTARIO!C329)),"DEL",
IF(ISNUMBER(SEARCH("GRUESA",INVENTARIO!C329)),"GRU",
IF(ISNUMBER(SEARCH("ESTATICO",INVENTARIO!C329)),"EST",
IF(ISNUMBER(SEARCH("REFLECTIVO",INVENTARIO!C329)),"REF",
IF(ISNUMBER(SEARCH("LX700",INVENTARIO!C329)),"LX7",
IF(ISNUMBER(SEARCH("GRANDO",INVENTARIO!C329)),"GRA",
IF(ISNUMBER(SEARCH("FB700",INVENTARIO!C329)),"FB7",
IF(ISNUMBER(SEARCH("LX360",INVENTARIO!C329)),"LX3",
IF(ISNUMBER(SEARCH("XEROX",INVENTARIO!C329)),"XER",
IF(ISNUMBER(SEARCH("CEPILLADO",INVENTARIO!C329)),"CEP",
IF(ISNUMBER(SEARCH("ESPEJO",INVENTARIO!C329)),"ESP",
IF(ISNUMBER(SEARCH("10 PTS",INVENTARIO!C329)),"10PT",
IF(ISNUMBER(SEARCH("12 PTS",INVENTARIO!C329)),"12PT",
IF(ISNUMBER(SEARCH("14 PTS",INVENTARIO!C329)),"14PT",
IF(ISNUMBER(SEARCH("CLASICO",INVENTARIO!C329)),"CLA",
""))))))))))))))))))))))</f>
        <v/>
      </c>
      <c r="D329" t="str">
        <f>IF(ISNUMBER(SEARCH("GRAN FORMATO",INVENTARIO!C329)),"GRA-FOR",
IF(ISNUMBER(SEARCH("CAMA PLANA",INVENTARIO!C329)),"CAM-PLA",
IF(ISNUMBER(SEARCH("GRADO INGENIERIA",INVENTARIO!C329)),"GRA-ING",
IF(ISNUMBER(SEARCH("130 GRS",INVENTARIO!C329)),"130GR",
IF(ISNUMBER(SEARCH("150 GRS",INVENTARIO!C329)),"150GR",
IF(ISNUMBER(SEARCH("185 GRS",INVENTARIO!C329)),"185GR",
IF(ISNUMBER(SEARCH("200 GRS",INVENTARIO!C329)),"200GR",
IF(ISNUMBER(SEARCH("250 GRS",INVENTARIO!C329)),"250GR",
IF(ISNUMBER(SEARCH("300 GRS",INVENTARIO!C329)),"300GR",
IF(ISNUMBER(SEARCH("350 GRS",INVENTARIO!C329)),"350GR",
IF(ISNUMBER(SEARCH("18 OZ",INVENTARIO!C329)),"18OZ",
IF(ISNUMBER(SEARCH("15 OZ",INVENTARIO!C329)),"15OZ",
IF(OR(ISNUMBER(SEARCH("13 OZ",INVENTARIO!C329)),ISNUMBER(SEARCH("13 ONZAS",INVENTARIO!C329))),"13OZ",
IF(OR(ISNUMBER(SEARCH("9 OZ",INVENTARIO!C329)),ISNUMBER(SEARCH("9 ONZAS",INVENTARIO!C329))),"09OZ",
IF(ISNUMBER(SEARCH("DOBLE CARA",INVENTARIO!C329)),"DOB-CAR",
"")))))))))))))))</f>
        <v/>
      </c>
      <c r="E329" t="str">
        <f>IF(OR(ISNUMBER(SEARCH("TRANSPARENTE",INVENTARIO!C329)),ISNUMBER(SEARCH("TRANSPARENTES",INVENTARIO!C329))),"TRA",
IF(OR(ISNUMBER(SEARCH("BLANCO",INVENTARIO!C329)),ISNUMBER(SEARCH("BCO",INVENTARIO!C329))),"BLA",
IF(ISNUMBER(SEARCH("FOTOGRAFICO",INVENTARIO!C329)),"FOT",
IF(ISNUMBER(SEARCH("MARFIL",INVENTARIO!C329)),"MAR",
IF(ISNUMBER(SEARCH("VERDE",INVENTARIO!C329)),"VER",
IF(ISNUMBER(SEARCH("MORADO",INVENTARIO!C329)),"MOR",
IF(ISNUMBER(SEARCH("PLATA",INVENTARIO!C329)),"PLA",
IF(ISNUMBER(SEARCH("ORO",INVENTARIO!C329)),"ORO",
IF(ISNUMBER(SEARCH("AMARILLO",INVENTARIO!C329)),"AMA",
IF(ISNUMBER(SEARCH("NARANJA",INVENTARIO!C329)),"NAR",
IF(ISNUMBER(SEARCH("NEGRO",INVENTARIO!C329)),"NEG",
IF(ISNUMBER(SEARCH("ROJO",INVENTARIO!C329)),"ROJ",
IF(ISNUMBER(SEARCH("AZUL",INVENTARIO!C329)),"AZU","")))))))))))))</f>
        <v/>
      </c>
      <c r="F329" t="str">
        <f>IF(ISNUMBER(SEARCH("ARLON",INVENTARIO!C329)),"ARL",
IF(ISNUMBER(SEARCH("SUNTHINKS",INVENTARIO!C329)),"SUN",
IF(ISNUMBER(SEARCH("FRIO",INVENTARIO!C329)),"FRI",
IF(ISNUMBER(SEARCH("CALIDO",INVENTARIO!C329)),"CAL",
IF(ISNUMBER(SEARCH("CEPILLADO",INVENTARIO!C329)),"CEP",
IF(ISNUMBER(SEARCH("ESPEJO",INVENTARIO!C329)),"ESP",
""))))))</f>
        <v/>
      </c>
      <c r="G329" t="str">
        <f>IF(ISNUMBER(SEARCH("LATEX",INVENTARIO!C329)),"LAT",
IF(ISNUMBER(SEARCH("RESP. NEGRO",INVENTARIO!C329)),"RES-NEG",
IF(ISNUMBER(SEARCH("RESPALDO CAFE",INVENTARIO!C329)),"RES-CAF",
IF(ISNUMBER(SEARCH("RESPALDO GRIS",INVENTARIO!C329)),"RES-GRI",
IF(ISNUMBER(SEARCH("OPTICO",INVENTARIO!C329)),"OPT",
IF(ISNUMBER(SEARCH("1,2 MM",INVENTARIO!C329)),"1MM2",
IF(ISNUMBER(SEARCH("2 MM",INVENTARIO!C329)),"2MM",
IF(ISNUMBER(SEARCH("3 MM",INVENTARIO!C329)),"3MM",
IF(ISNUMBER(SEARCH("4 MM",INVENTARIO!C329)),"4MM",
IF(ISNUMBER(SEARCH("5 MM",INVENTARIO!C329)),"5MM",
IF(ISNUMBER(SEARCH("6 MM",INVENTARIO!C329)),"6MM",
IF(ISNUMBER(SEARCH("9 MM",INVENTARIO!C329)),"9MM",
IF(ISNUMBER(SEARCH("10 MM",INVENTARIO!C329)),"10MM","")))))))))))))</f>
        <v>RES-CAF</v>
      </c>
      <c r="H329" t="str">
        <f>IF(ISNUMBER(SEARCH("GAMA BAJA",INVENTARIO!C329)),"GAM-BAJ",
IF(ISNUMBER(SEARCH("OPTIMIZADOR",INVENTARIO!C329)),"OPT",
IF(ISNUMBER(SEARCH("OVERCOAT",INVENTARIO!C329)),"OVE",
IF(ISNUMBER(SEARCH("WHITE",INVENTARIO!C329)),"WHI",
IF(ISNUMBER(SEARCH("LIGHT CYAN",INVENTARIO!C329)),"LIG-CYA",
IF(ISNUMBER(SEARCH("CYAN",INVENTARIO!C329)),"CYA",
IF(ISNUMBER(SEARCH("LIGHT MAGENTA",INVENTARIO!C329)),"LIG-MAG",
IF(ISNUMBER(SEARCH("MAGENTA",INVENTARIO!C329)),"MAG",
IF(ISNUMBER(SEARCH("BLACK",INVENTARIO!C329)),"BLA",
IF(ISNUMBER(SEARCH("YELLOW",INVENTARIO!C329)),"YEL",
IF(ISNUMBER(SEARCH("2 DIODOS",INVENTARIO!C329)),"2DI",
IF(ISNUMBER(SEARCH("3 DIODOS",INVENTARIO!C329)),"3DI",
IF(OR(ISNUMBER(SEARCH("TRASLUCIDO",INVENTARIO!C329)),ISNUMBER(SEARCH("TRANSLUCIDO",INVENTARIO!C329))),"TRA",
"")))))))))))))</f>
        <v/>
      </c>
    </row>
    <row r="330" spans="1:8">
      <c r="A330" t="str">
        <f>IF(ISNUMBER(SEARCH("LONA",INVENTARIO!C330)),"LON",
IF(ISNUMBER(SEARCH("VINIL",INVENTARIO!C330)),"VIN",
IF(ISNUMBER(SEARCH("KROMACOTE",INVENTARIO!C330)),"KRO",
IF(ISNUMBER(SEARCH("STARDREAM",INVENTARIO!C330)),"STA",
IF(ISNUMBER(SEARCH("DISPLAY",INVENTARIO!C330)),"DIS",
IF(ISNUMBER(SEARCH("ROLL UP",INVENTARIO!C330)),"ROL-UP",
IF(ISNUMBER(SEARCH("TRANSFER DE PAPEL",INVENTARIO!C330)),"TRA-PAP",
IF(ISNUMBER(SEARCH("TRANSFER",INVENTARIO!C330)),"TRA",IF(ISNUMBER(SEARCH("KOLA LOKA",INVENTARIO!C330)),"KOL-LOK",
IF(ISNUMBER(SEARCH("PETG",INVENTARIO!C330)),"PET",
IF(ISNUMBER(SEARCH("OJILLO",INVENTARIO!C330)),"OJI",
IF(ISNUMBER(SEARCH("COUCHE",INVENTARIO!C330)),"COU",
IF(ISNUMBER(SEARCH("PANEL DE ALUMINIO",INVENTARIO!C330)),"PAN-ALU",
IF(ISNUMBER(SEARCH("PVC",INVENTARIO!C330)),"PVC",
IF(ISNUMBER(SEARCH("PAPEL",INVENTARIO!C330)),"PAP",
IF(ISNUMBER(SEARCH("TELA",INVENTARIO!C330)),"TEL",
IF(ISNUMBER(SEARCH("CARTULINA",INVENTARIO!C330)),"CAR",
IF(OR(ISNUMBER(SEARCH("LAMINA",INVENTARIO!C330)),ISNUMBER(SEARCH("LÁMINA",INVENTARIO!C330)),ISNUMBER(SEARCH("LAMPARAS",INVENTARIO!C330))),"LAM",
IF(ISNUMBER(SEARCH("ESTIRENO",INVENTARIO!C330)),"EST",
IF(ISNUMBER(SEARCH("FOAMBOARD",INVENTARIO!C330)),"FOA",
IF(ISNUMBER(SEARCH("SOLVENTE",INVENTARIO!C330)),"SOL",
IF(ISNUMBER(SEARCH("TINTA",INVENTARIO!C330)),"TIN",
IF(ISNUMBER(SEARCH("ACRILICO",INVENTARIO!C330)),"ACR",
IF(ISNUMBER(SEARCH("MICROLED",INVENTARIO!C330)),"MIC",
IF(ISNUMBER(SEARCH("LED",INVENTARIO!C330)),"LED",
IF(ISNUMBER(SEARCH("FUENTE DE PODER",INVENTARIO!C330)),"FUE-POD",
IF(ISNUMBER(SEARCH("PETG",INVENTARIO!C330)),"PET",
IF(ISNUMBER(SEARCH("ALUMINIO",INVENTARIO!C330)),"ALU",
IF(ISNUMBER(SEARCH("CANAL",INVENTARIO!C330)),"CAN",
IF(ISNUMBER(SEARCH("ESCUADRA",INVENTARIO!C330)),"ESC",
IF(ISNUMBER(SEARCH("SOPORTE",INVENTARIO!C330)),"SOP","OTR")
))))))))))))))))))))))))))))))</f>
        <v>PAP</v>
      </c>
      <c r="B330" t="str">
        <f>IF(ISNUMBER(SEARCH("CORTE",INVENTARIO!C330)),"COR",
IF(ISNUMBER(SEARCH("CITYLIGHT",INVENTARIO!C330)),"CIT",
IF(ISNUMBER(SEARCH("LINO",INVENTARIO!C330)),"LIN",
IF(ISNUMBER(SEARCH("FABRIANO",INVENTARIO!C330)),"FAB",
IF(ISNUMBER(SEARCH("SUNDANCE",INVENTARIO!C330)),"SUN",
IF(ISNUMBER(SEARCH("SINTETICA",INVENTARIO!C330)),"SIN",
IF(ISNUMBER(SEARCH("CONTROL",INVENTARIO!C330)),"CON",
IF(ISNUMBER(SEARCH("TERMICO",INVENTARIO!C330)),"TER",
IF(ISNUMBER(SEARCH("C-15",INVENTARIO!C330)),"C15",
IF(ISNUMBER(SEARCH("C-20",INVENTARIO!C330)),"C20",
IF(ISNUMBER(SEARCH("C-30",INVENTARIO!C330)),"C30",
IF(ISNUMBER(SEARCH("C-40",INVENTARIO!C330)),"C40",
IF(ISNUMBER(SEARCH("C-60",INVENTARIO!C330)),"C60",
IF(ISNUMBER(SEARCH("C-80",INVENTARIO!C330)),"C80",
IF(ISNUMBER(SEARCH("EQUIPO",INVENTARIO!C330)),"EQU",
IF(ISNUMBER(SEARCH("FLOOR",INVENTARIO!C330)),"FLO",
IF(ISNUMBER(SEARCH("CRISTAL",INVENTARIO!C330)),"CRI",
IF(ISNUMBER(SEARCH(" SULFATADA",INVENTARIO!C341)),"SUL",
IF(ISNUMBER(SEARCH("OPALINA",INVENTARIO!C330)),"OPA",
IF(ISNUMBER(SEARCH("ADHERIBLE",INVENTARIO!C330)),"ADH",
IF(ISNUMBER(SEARCH("MICRO",INVENTARIO!C330)),"MIC","")))))))))))))))))))))</f>
        <v/>
      </c>
      <c r="C330" t="str">
        <f>IF(ISNUMBER(SEARCH("PARED",INVENTARIO!C330)),"PAR",
IF(ISNUMBER(SEARCH("FRONT",INVENTARIO!C330)),"FRO",
IF(ISNUMBER(SEARCH("ALTA RESISTENCIA",INVENTARIO!C330)),
"ALT-RES",IF(ISNUMBER(SEARCH("BACKLITE",INVENTARIO!C330)),"BAC",
IF(ISNUMBER(SEARCH("MATE",INVENTARIO!C330)),"MAT",
IF(ISNUMBER(SEARCH("MESH",INVENTARIO!C330)),"MES",
IF(ISNUMBER(SEARCH("BRILLANTE",INVENTARIO!C330)),"BRI",
IF(ISNUMBER(SEARCH("DELGADA",INVENTARIO!C330)),"DEL",
IF(ISNUMBER(SEARCH("GRUESA",INVENTARIO!C330)),"GRU",
IF(ISNUMBER(SEARCH("ESTATICO",INVENTARIO!C330)),"EST",
IF(ISNUMBER(SEARCH("REFLECTIVO",INVENTARIO!C330)),"REF",
IF(ISNUMBER(SEARCH("LX700",INVENTARIO!C330)),"LX7",
IF(ISNUMBER(SEARCH("GRANDO",INVENTARIO!C330)),"GRA",
IF(ISNUMBER(SEARCH("FB700",INVENTARIO!C330)),"FB7",
IF(ISNUMBER(SEARCH("LX360",INVENTARIO!C330)),"LX3",
IF(ISNUMBER(SEARCH("XEROX",INVENTARIO!C330)),"XER",
IF(ISNUMBER(SEARCH("CEPILLADO",INVENTARIO!C330)),"CEP",
IF(ISNUMBER(SEARCH("ESPEJO",INVENTARIO!C330)),"ESP",
IF(ISNUMBER(SEARCH("10 PTS",INVENTARIO!C330)),"10PT",
IF(ISNUMBER(SEARCH("12 PTS",INVENTARIO!C330)),"12PT",
IF(ISNUMBER(SEARCH("14 PTS",INVENTARIO!C330)),"14PT",
IF(ISNUMBER(SEARCH("CLASICO",INVENTARIO!C330)),"CLA",
""))))))))))))))))))))))</f>
        <v/>
      </c>
      <c r="D330" t="str">
        <f>IF(ISNUMBER(SEARCH("GRAN FORMATO",INVENTARIO!C330)),"GRA-FOR",
IF(ISNUMBER(SEARCH("CAMA PLANA",INVENTARIO!C330)),"CAM-PLA",
IF(ISNUMBER(SEARCH("GRADO INGENIERIA",INVENTARIO!C330)),"GRA-ING",
IF(ISNUMBER(SEARCH("130 GRS",INVENTARIO!C330)),"130GR",
IF(ISNUMBER(SEARCH("150 GRS",INVENTARIO!C330)),"150GR",
IF(ISNUMBER(SEARCH("185 GRS",INVENTARIO!C330)),"185GR",
IF(ISNUMBER(SEARCH("200 GRS",INVENTARIO!C330)),"200GR",
IF(ISNUMBER(SEARCH("250 GRS",INVENTARIO!C330)),"250GR",
IF(ISNUMBER(SEARCH("300 GRS",INVENTARIO!C330)),"300GR",
IF(ISNUMBER(SEARCH("350 GRS",INVENTARIO!C330)),"350GR",
IF(ISNUMBER(SEARCH("18 OZ",INVENTARIO!C330)),"18OZ",
IF(ISNUMBER(SEARCH("15 OZ",INVENTARIO!C330)),"15OZ",
IF(OR(ISNUMBER(SEARCH("13 OZ",INVENTARIO!C330)),ISNUMBER(SEARCH("13 ONZAS",INVENTARIO!C330))),"13OZ",
IF(OR(ISNUMBER(SEARCH("9 OZ",INVENTARIO!C330)),ISNUMBER(SEARCH("9 ONZAS",INVENTARIO!C330))),"09OZ",
IF(ISNUMBER(SEARCH("DOBLE CARA",INVENTARIO!C330)),"DOB-CAR",
"")))))))))))))))</f>
        <v/>
      </c>
      <c r="E330" t="str">
        <f>IF(OR(ISNUMBER(SEARCH("TRANSPARENTE",INVENTARIO!C330)),ISNUMBER(SEARCH("TRANSPARENTES",INVENTARIO!C330))),"TRA",
IF(OR(ISNUMBER(SEARCH("BLANCO",INVENTARIO!C330)),ISNUMBER(SEARCH("BCO",INVENTARIO!C330))),"BLA",
IF(ISNUMBER(SEARCH("FOTOGRAFICO",INVENTARIO!C330)),"FOT",
IF(ISNUMBER(SEARCH("MARFIL",INVENTARIO!C330)),"MAR",
IF(ISNUMBER(SEARCH("VERDE",INVENTARIO!C330)),"VER",
IF(ISNUMBER(SEARCH("MORADO",INVENTARIO!C330)),"MOR",
IF(ISNUMBER(SEARCH("PLATA",INVENTARIO!C330)),"PLA",
IF(ISNUMBER(SEARCH("ORO",INVENTARIO!C330)),"ORO",
IF(ISNUMBER(SEARCH("AMARILLO",INVENTARIO!C330)),"AMA",
IF(ISNUMBER(SEARCH("NARANJA",INVENTARIO!C330)),"NAR",
IF(ISNUMBER(SEARCH("NEGRO",INVENTARIO!C330)),"NEG",
IF(ISNUMBER(SEARCH("ROJO",INVENTARIO!C330)),"ROJ",
IF(ISNUMBER(SEARCH("AZUL",INVENTARIO!C330)),"AZU","")))))))))))))</f>
        <v/>
      </c>
      <c r="F330" t="str">
        <f>IF(ISNUMBER(SEARCH("ARLON",INVENTARIO!C330)),"ARL",
IF(ISNUMBER(SEARCH("SUNTHINKS",INVENTARIO!C330)),"SUN",
IF(ISNUMBER(SEARCH("FRIO",INVENTARIO!C330)),"FRI",
IF(ISNUMBER(SEARCH("CALIDO",INVENTARIO!C330)),"CAL",
IF(ISNUMBER(SEARCH("CEPILLADO",INVENTARIO!C330)),"CEP",
IF(ISNUMBER(SEARCH("ESPEJO",INVENTARIO!C330)),"ESP",
""))))))</f>
        <v/>
      </c>
      <c r="G330" t="str">
        <f>IF(ISNUMBER(SEARCH("LATEX",INVENTARIO!C330)),"LAT",
IF(ISNUMBER(SEARCH("RESP. NEGRO",INVENTARIO!C330)),"RES-NEG",
IF(ISNUMBER(SEARCH("RESPALDO CAFE",INVENTARIO!C330)),"RES-CAF",
IF(ISNUMBER(SEARCH("RESPALDO GRIS",INVENTARIO!C330)),"RES-GRI",
IF(ISNUMBER(SEARCH("OPTICO",INVENTARIO!C330)),"OPT",
IF(ISNUMBER(SEARCH("1,2 MM",INVENTARIO!C330)),"1MM2",
IF(ISNUMBER(SEARCH("2 MM",INVENTARIO!C330)),"2MM",
IF(ISNUMBER(SEARCH("3 MM",INVENTARIO!C330)),"3MM",
IF(ISNUMBER(SEARCH("4 MM",INVENTARIO!C330)),"4MM",
IF(ISNUMBER(SEARCH("5 MM",INVENTARIO!C330)),"5MM",
IF(ISNUMBER(SEARCH("6 MM",INVENTARIO!C330)),"6MM",
IF(ISNUMBER(SEARCH("9 MM",INVENTARIO!C330)),"9MM",
IF(ISNUMBER(SEARCH("10 MM",INVENTARIO!C330)),"10MM","")))))))))))))</f>
        <v/>
      </c>
      <c r="H330" t="str">
        <f>IF(ISNUMBER(SEARCH("GAMA BAJA",INVENTARIO!C330)),"GAM-BAJ",
IF(ISNUMBER(SEARCH("OPTIMIZADOR",INVENTARIO!C330)),"OPT",
IF(ISNUMBER(SEARCH("OVERCOAT",INVENTARIO!C330)),"OVE",
IF(ISNUMBER(SEARCH("WHITE",INVENTARIO!C330)),"WHI",
IF(ISNUMBER(SEARCH("LIGHT CYAN",INVENTARIO!C330)),"LIG-CYA",
IF(ISNUMBER(SEARCH("CYAN",INVENTARIO!C330)),"CYA",
IF(ISNUMBER(SEARCH("LIGHT MAGENTA",INVENTARIO!C330)),"LIG-MAG",
IF(ISNUMBER(SEARCH("MAGENTA",INVENTARIO!C330)),"MAG",
IF(ISNUMBER(SEARCH("BLACK",INVENTARIO!C330)),"BLA",
IF(ISNUMBER(SEARCH("YELLOW",INVENTARIO!C330)),"YEL",
IF(ISNUMBER(SEARCH("2 DIODOS",INVENTARIO!C330)),"2DI",
IF(ISNUMBER(SEARCH("3 DIODOS",INVENTARIO!C330)),"3DI",
IF(OR(ISNUMBER(SEARCH("TRASLUCIDO",INVENTARIO!C330)),ISNUMBER(SEARCH("TRANSLUCIDO",INVENTARIO!C330))),"TRA",
"")))))))))))))</f>
        <v/>
      </c>
    </row>
    <row r="331" spans="1:8">
      <c r="A331" t="str">
        <f>IF(ISNUMBER(SEARCH("LONA",INVENTARIO!C331)),"LON",
IF(ISNUMBER(SEARCH("VINIL",INVENTARIO!C331)),"VIN",
IF(ISNUMBER(SEARCH("KROMACOTE",INVENTARIO!C331)),"KRO",
IF(ISNUMBER(SEARCH("STARDREAM",INVENTARIO!C331)),"STA",
IF(ISNUMBER(SEARCH("DISPLAY",INVENTARIO!C331)),"DIS",
IF(ISNUMBER(SEARCH("ROLL UP",INVENTARIO!C331)),"ROL-UP",
IF(ISNUMBER(SEARCH("TRANSFER DE PAPEL",INVENTARIO!C331)),"TRA-PAP",
IF(ISNUMBER(SEARCH("TRANSFER",INVENTARIO!C331)),"TRA",IF(ISNUMBER(SEARCH("KOLA LOKA",INVENTARIO!C331)),"KOL-LOK",
IF(ISNUMBER(SEARCH("PETG",INVENTARIO!C331)),"PET",
IF(ISNUMBER(SEARCH("OJILLO",INVENTARIO!C331)),"OJI",
IF(ISNUMBER(SEARCH("COUCHE",INVENTARIO!C331)),"COU",
IF(ISNUMBER(SEARCH("PANEL DE ALUMINIO",INVENTARIO!C331)),"PAN-ALU",
IF(ISNUMBER(SEARCH("PVC",INVENTARIO!C331)),"PVC",
IF(ISNUMBER(SEARCH("PAPEL",INVENTARIO!C331)),"PAP",
IF(ISNUMBER(SEARCH("TELA",INVENTARIO!C331)),"TEL",
IF(ISNUMBER(SEARCH("CARTULINA",INVENTARIO!C331)),"CAR",
IF(OR(ISNUMBER(SEARCH("LAMINA",INVENTARIO!C331)),ISNUMBER(SEARCH("LÁMINA",INVENTARIO!C331)),ISNUMBER(SEARCH("LAMPARAS",INVENTARIO!C331))),"LAM",
IF(ISNUMBER(SEARCH("ESTIRENO",INVENTARIO!C331)),"EST",
IF(ISNUMBER(SEARCH("FOAMBOARD",INVENTARIO!C331)),"FOA",
IF(ISNUMBER(SEARCH("SOLVENTE",INVENTARIO!C331)),"SOL",
IF(ISNUMBER(SEARCH("TINTA",INVENTARIO!C331)),"TIN",
IF(ISNUMBER(SEARCH("ACRILICO",INVENTARIO!C331)),"ACR",
IF(ISNUMBER(SEARCH("MICROLED",INVENTARIO!C331)),"MIC",
IF(ISNUMBER(SEARCH("LED",INVENTARIO!C331)),"LED",
IF(ISNUMBER(SEARCH("FUENTE DE PODER",INVENTARIO!C331)),"FUE-POD",
IF(ISNUMBER(SEARCH("PETG",INVENTARIO!C331)),"PET",
IF(ISNUMBER(SEARCH("ALUMINIO",INVENTARIO!C331)),"ALU",
IF(ISNUMBER(SEARCH("CANAL",INVENTARIO!C331)),"CAN",
IF(ISNUMBER(SEARCH("ESCUADRA",INVENTARIO!C331)),"ESC",
IF(ISNUMBER(SEARCH("SOPORTE",INVENTARIO!C331)),"SOP","OTR")
))))))))))))))))))))))))))))))</f>
        <v>COU</v>
      </c>
      <c r="B331" t="str">
        <f>IF(ISNUMBER(SEARCH("CORTE",INVENTARIO!C331)),"COR",
IF(ISNUMBER(SEARCH("CITYLIGHT",INVENTARIO!C331)),"CIT",
IF(ISNUMBER(SEARCH("LINO",INVENTARIO!C331)),"LIN",
IF(ISNUMBER(SEARCH("FABRIANO",INVENTARIO!C331)),"FAB",
IF(ISNUMBER(SEARCH("SUNDANCE",INVENTARIO!C331)),"SUN",
IF(ISNUMBER(SEARCH("SINTETICA",INVENTARIO!C331)),"SIN",
IF(ISNUMBER(SEARCH("CONTROL",INVENTARIO!C331)),"CON",
IF(ISNUMBER(SEARCH("TERMICO",INVENTARIO!C331)),"TER",
IF(ISNUMBER(SEARCH("C-15",INVENTARIO!C331)),"C15",
IF(ISNUMBER(SEARCH("C-20",INVENTARIO!C331)),"C20",
IF(ISNUMBER(SEARCH("C-30",INVENTARIO!C331)),"C30",
IF(ISNUMBER(SEARCH("C-40",INVENTARIO!C331)),"C40",
IF(ISNUMBER(SEARCH("C-60",INVENTARIO!C331)),"C60",
IF(ISNUMBER(SEARCH("C-80",INVENTARIO!C331)),"C80",
IF(ISNUMBER(SEARCH("EQUIPO",INVENTARIO!C331)),"EQU",
IF(ISNUMBER(SEARCH("FLOOR",INVENTARIO!C331)),"FLO",
IF(ISNUMBER(SEARCH("CRISTAL",INVENTARIO!C331)),"CRI",
IF(ISNUMBER(SEARCH(" SULFATADA",INVENTARIO!C342)),"SUL",
IF(ISNUMBER(SEARCH("OPALINA",INVENTARIO!C331)),"OPA",
IF(ISNUMBER(SEARCH("ADHERIBLE",INVENTARIO!C331)),"ADH",
IF(ISNUMBER(SEARCH("MICRO",INVENTARIO!C331)),"MIC","")))))))))))))))))))))</f>
        <v/>
      </c>
      <c r="C331" t="str">
        <f>IF(ISNUMBER(SEARCH("PARED",INVENTARIO!C331)),"PAR",
IF(ISNUMBER(SEARCH("FRONT",INVENTARIO!C331)),"FRO",
IF(ISNUMBER(SEARCH("ALTA RESISTENCIA",INVENTARIO!C331)),
"ALT-RES",IF(ISNUMBER(SEARCH("BACKLITE",INVENTARIO!C331)),"BAC",
IF(ISNUMBER(SEARCH("MATE",INVENTARIO!C331)),"MAT",
IF(ISNUMBER(SEARCH("MESH",INVENTARIO!C331)),"MES",
IF(ISNUMBER(SEARCH("BRILLANTE",INVENTARIO!C331)),"BRI",
IF(ISNUMBER(SEARCH("DELGADA",INVENTARIO!C331)),"DEL",
IF(ISNUMBER(SEARCH("GRUESA",INVENTARIO!C331)),"GRU",
IF(ISNUMBER(SEARCH("ESTATICO",INVENTARIO!C331)),"EST",
IF(ISNUMBER(SEARCH("REFLECTIVO",INVENTARIO!C331)),"REF",
IF(ISNUMBER(SEARCH("LX700",INVENTARIO!C331)),"LX7",
IF(ISNUMBER(SEARCH("GRANDO",INVENTARIO!C331)),"GRA",
IF(ISNUMBER(SEARCH("FB700",INVENTARIO!C331)),"FB7",
IF(ISNUMBER(SEARCH("LX360",INVENTARIO!C331)),"LX3",
IF(ISNUMBER(SEARCH("XEROX",INVENTARIO!C331)),"XER",
IF(ISNUMBER(SEARCH("CEPILLADO",INVENTARIO!C331)),"CEP",
IF(ISNUMBER(SEARCH("ESPEJO",INVENTARIO!C331)),"ESP",
IF(ISNUMBER(SEARCH("10 PTS",INVENTARIO!C331)),"10PT",
IF(ISNUMBER(SEARCH("12 PTS",INVENTARIO!C331)),"12PT",
IF(ISNUMBER(SEARCH("14 PTS",INVENTARIO!C331)),"14PT",
IF(ISNUMBER(SEARCH("CLASICO",INVENTARIO!C331)),"CLA",
""))))))))))))))))))))))</f>
        <v>MAT</v>
      </c>
      <c r="D331" t="str">
        <f>IF(ISNUMBER(SEARCH("GRAN FORMATO",INVENTARIO!C331)),"GRA-FOR",
IF(ISNUMBER(SEARCH("CAMA PLANA",INVENTARIO!C331)),"CAM-PLA",
IF(ISNUMBER(SEARCH("GRADO INGENIERIA",INVENTARIO!C331)),"GRA-ING",
IF(ISNUMBER(SEARCH("130 GRS",INVENTARIO!C331)),"130GR",
IF(ISNUMBER(SEARCH("150 GRS",INVENTARIO!C331)),"150GR",
IF(ISNUMBER(SEARCH("185 GRS",INVENTARIO!C331)),"185GR",
IF(ISNUMBER(SEARCH("200 GRS",INVENTARIO!C331)),"200GR",
IF(ISNUMBER(SEARCH("250 GRS",INVENTARIO!C331)),"250GR",
IF(ISNUMBER(SEARCH("300 GRS",INVENTARIO!C331)),"300GR",
IF(ISNUMBER(SEARCH("350 GRS",INVENTARIO!C331)),"350GR",
IF(ISNUMBER(SEARCH("18 OZ",INVENTARIO!C331)),"18OZ",
IF(ISNUMBER(SEARCH("15 OZ",INVENTARIO!C331)),"15OZ",
IF(OR(ISNUMBER(SEARCH("13 OZ",INVENTARIO!C331)),ISNUMBER(SEARCH("13 ONZAS",INVENTARIO!C331))),"13OZ",
IF(OR(ISNUMBER(SEARCH("9 OZ",INVENTARIO!C331)),ISNUMBER(SEARCH("9 ONZAS",INVENTARIO!C331))),"09OZ",
IF(ISNUMBER(SEARCH("DOBLE CARA",INVENTARIO!C331)),"DOB-CAR",
"")))))))))))))))</f>
        <v>130GR</v>
      </c>
      <c r="E331" t="str">
        <f>IF(OR(ISNUMBER(SEARCH("TRANSPARENTE",INVENTARIO!C331)),ISNUMBER(SEARCH("TRANSPARENTES",INVENTARIO!C331))),"TRA",
IF(OR(ISNUMBER(SEARCH("BLANCO",INVENTARIO!C331)),ISNUMBER(SEARCH("BCO",INVENTARIO!C331))),"BLA",
IF(ISNUMBER(SEARCH("FOTOGRAFICO",INVENTARIO!C331)),"FOT",
IF(ISNUMBER(SEARCH("MARFIL",INVENTARIO!C331)),"MAR",
IF(ISNUMBER(SEARCH("VERDE",INVENTARIO!C331)),"VER",
IF(ISNUMBER(SEARCH("MORADO",INVENTARIO!C331)),"MOR",
IF(ISNUMBER(SEARCH("PLATA",INVENTARIO!C331)),"PLA",
IF(ISNUMBER(SEARCH("ORO",INVENTARIO!C331)),"ORO",
IF(ISNUMBER(SEARCH("AMARILLO",INVENTARIO!C331)),"AMA",
IF(ISNUMBER(SEARCH("NARANJA",INVENTARIO!C331)),"NAR",
IF(ISNUMBER(SEARCH("NEGRO",INVENTARIO!C331)),"NEG",
IF(ISNUMBER(SEARCH("ROJO",INVENTARIO!C331)),"ROJ",
IF(ISNUMBER(SEARCH("AZUL",INVENTARIO!C331)),"AZU","")))))))))))))</f>
        <v/>
      </c>
      <c r="F331" t="str">
        <f>IF(ISNUMBER(SEARCH("ARLON",INVENTARIO!C331)),"ARL",
IF(ISNUMBER(SEARCH("SUNTHINKS",INVENTARIO!C331)),"SUN",
IF(ISNUMBER(SEARCH("FRIO",INVENTARIO!C331)),"FRI",
IF(ISNUMBER(SEARCH("CALIDO",INVENTARIO!C331)),"CAL",
IF(ISNUMBER(SEARCH("CEPILLADO",INVENTARIO!C331)),"CEP",
IF(ISNUMBER(SEARCH("ESPEJO",INVENTARIO!C331)),"ESP",
""))))))</f>
        <v/>
      </c>
      <c r="G331" t="str">
        <f>IF(ISNUMBER(SEARCH("LATEX",INVENTARIO!C331)),"LAT",
IF(ISNUMBER(SEARCH("RESP. NEGRO",INVENTARIO!C331)),"RES-NEG",
IF(ISNUMBER(SEARCH("RESPALDO CAFE",INVENTARIO!C331)),"RES-CAF",
IF(ISNUMBER(SEARCH("RESPALDO GRIS",INVENTARIO!C331)),"RES-GRI",
IF(ISNUMBER(SEARCH("OPTICO",INVENTARIO!C331)),"OPT",
IF(ISNUMBER(SEARCH("1,2 MM",INVENTARIO!C331)),"1MM2",
IF(ISNUMBER(SEARCH("2 MM",INVENTARIO!C331)),"2MM",
IF(ISNUMBER(SEARCH("3 MM",INVENTARIO!C331)),"3MM",
IF(ISNUMBER(SEARCH("4 MM",INVENTARIO!C331)),"4MM",
IF(ISNUMBER(SEARCH("5 MM",INVENTARIO!C331)),"5MM",
IF(ISNUMBER(SEARCH("6 MM",INVENTARIO!C331)),"6MM",
IF(ISNUMBER(SEARCH("9 MM",INVENTARIO!C331)),"9MM",
IF(ISNUMBER(SEARCH("10 MM",INVENTARIO!C331)),"10MM","")))))))))))))</f>
        <v/>
      </c>
      <c r="H331" t="str">
        <f>IF(ISNUMBER(SEARCH("GAMA BAJA",INVENTARIO!C331)),"GAM-BAJ",
IF(ISNUMBER(SEARCH("OPTIMIZADOR",INVENTARIO!C331)),"OPT",
IF(ISNUMBER(SEARCH("OVERCOAT",INVENTARIO!C331)),"OVE",
IF(ISNUMBER(SEARCH("WHITE",INVENTARIO!C331)),"WHI",
IF(ISNUMBER(SEARCH("LIGHT CYAN",INVENTARIO!C331)),"LIG-CYA",
IF(ISNUMBER(SEARCH("CYAN",INVENTARIO!C331)),"CYA",
IF(ISNUMBER(SEARCH("LIGHT MAGENTA",INVENTARIO!C331)),"LIG-MAG",
IF(ISNUMBER(SEARCH("MAGENTA",INVENTARIO!C331)),"MAG",
IF(ISNUMBER(SEARCH("BLACK",INVENTARIO!C331)),"BLA",
IF(ISNUMBER(SEARCH("YELLOW",INVENTARIO!C331)),"YEL",
IF(ISNUMBER(SEARCH("2 DIODOS",INVENTARIO!C331)),"2DI",
IF(ISNUMBER(SEARCH("3 DIODOS",INVENTARIO!C331)),"3DI",
IF(OR(ISNUMBER(SEARCH("TRASLUCIDO",INVENTARIO!C331)),ISNUMBER(SEARCH("TRANSLUCIDO",INVENTARIO!C331))),"TRA",
"")))))))))))))</f>
        <v/>
      </c>
    </row>
    <row r="332" spans="1:8">
      <c r="A332" t="str">
        <f>IF(ISNUMBER(SEARCH("LONA",INVENTARIO!C332)),"LON",
IF(ISNUMBER(SEARCH("VINIL",INVENTARIO!C332)),"VIN",
IF(ISNUMBER(SEARCH("KROMACOTE",INVENTARIO!C332)),"KRO",
IF(ISNUMBER(SEARCH("STARDREAM",INVENTARIO!C332)),"STA",
IF(ISNUMBER(SEARCH("DISPLAY",INVENTARIO!C332)),"DIS",
IF(ISNUMBER(SEARCH("ROLL UP",INVENTARIO!C332)),"ROL-UP",
IF(ISNUMBER(SEARCH("TRANSFER DE PAPEL",INVENTARIO!C332)),"TRA-PAP",
IF(ISNUMBER(SEARCH("TRANSFER",INVENTARIO!C332)),"TRA",IF(ISNUMBER(SEARCH("KOLA LOKA",INVENTARIO!C332)),"KOL-LOK",
IF(ISNUMBER(SEARCH("PETG",INVENTARIO!C332)),"PET",
IF(ISNUMBER(SEARCH("OJILLO",INVENTARIO!C332)),"OJI",
IF(ISNUMBER(SEARCH("COUCHE",INVENTARIO!C332)),"COU",
IF(ISNUMBER(SEARCH("PANEL DE ALUMINIO",INVENTARIO!C332)),"PAN-ALU",
IF(ISNUMBER(SEARCH("PVC",INVENTARIO!C332)),"PVC",
IF(ISNUMBER(SEARCH("PAPEL",INVENTARIO!C332)),"PAP",
IF(ISNUMBER(SEARCH("TELA",INVENTARIO!C332)),"TEL",
IF(ISNUMBER(SEARCH("CARTULINA",INVENTARIO!C332)),"CAR",
IF(OR(ISNUMBER(SEARCH("LAMINA",INVENTARIO!C332)),ISNUMBER(SEARCH("LÁMINA",INVENTARIO!C332)),ISNUMBER(SEARCH("LAMPARAS",INVENTARIO!C332))),"LAM",
IF(ISNUMBER(SEARCH("ESTIRENO",INVENTARIO!C332)),"EST",
IF(ISNUMBER(SEARCH("FOAMBOARD",INVENTARIO!C332)),"FOA",
IF(ISNUMBER(SEARCH("SOLVENTE",INVENTARIO!C332)),"SOL",
IF(ISNUMBER(SEARCH("TINTA",INVENTARIO!C332)),"TIN",
IF(ISNUMBER(SEARCH("ACRILICO",INVENTARIO!C332)),"ACR",
IF(ISNUMBER(SEARCH("MICROLED",INVENTARIO!C332)),"MIC",
IF(ISNUMBER(SEARCH("LED",INVENTARIO!C332)),"LED",
IF(ISNUMBER(SEARCH("FUENTE DE PODER",INVENTARIO!C332)),"FUE-POD",
IF(ISNUMBER(SEARCH("PETG",INVENTARIO!C332)),"PET",
IF(ISNUMBER(SEARCH("ALUMINIO",INVENTARIO!C332)),"ALU",
IF(ISNUMBER(SEARCH("CANAL",INVENTARIO!C332)),"CAN",
IF(ISNUMBER(SEARCH("ESCUADRA",INVENTARIO!C332)),"ESC",
IF(ISNUMBER(SEARCH("SOPORTE",INVENTARIO!C332)),"SOP","OTR")
))))))))))))))))))))))))))))))</f>
        <v>COU</v>
      </c>
      <c r="B332" t="str">
        <f>IF(ISNUMBER(SEARCH("CORTE",INVENTARIO!C332)),"COR",
IF(ISNUMBER(SEARCH("CITYLIGHT",INVENTARIO!C332)),"CIT",
IF(ISNUMBER(SEARCH("LINO",INVENTARIO!C332)),"LIN",
IF(ISNUMBER(SEARCH("FABRIANO",INVENTARIO!C332)),"FAB",
IF(ISNUMBER(SEARCH("SUNDANCE",INVENTARIO!C332)),"SUN",
IF(ISNUMBER(SEARCH("SINTETICA",INVENTARIO!C332)),"SIN",
IF(ISNUMBER(SEARCH("CONTROL",INVENTARIO!C332)),"CON",
IF(ISNUMBER(SEARCH("TERMICO",INVENTARIO!C332)),"TER",
IF(ISNUMBER(SEARCH("C-15",INVENTARIO!C332)),"C15",
IF(ISNUMBER(SEARCH("C-20",INVENTARIO!C332)),"C20",
IF(ISNUMBER(SEARCH("C-30",INVENTARIO!C332)),"C30",
IF(ISNUMBER(SEARCH("C-40",INVENTARIO!C332)),"C40",
IF(ISNUMBER(SEARCH("C-60",INVENTARIO!C332)),"C60",
IF(ISNUMBER(SEARCH("C-80",INVENTARIO!C332)),"C80",
IF(ISNUMBER(SEARCH("EQUIPO",INVENTARIO!C332)),"EQU",
IF(ISNUMBER(SEARCH("FLOOR",INVENTARIO!C332)),"FLO",
IF(ISNUMBER(SEARCH("CRISTAL",INVENTARIO!C332)),"CRI",
IF(ISNUMBER(SEARCH(" SULFATADA",INVENTARIO!C343)),"SUL",
IF(ISNUMBER(SEARCH("OPALINA",INVENTARIO!C332)),"OPA",
IF(ISNUMBER(SEARCH("ADHERIBLE",INVENTARIO!C332)),"ADH",
IF(ISNUMBER(SEARCH("MICRO",INVENTARIO!C332)),"MIC","")))))))))))))))))))))</f>
        <v/>
      </c>
      <c r="C332" t="str">
        <f>IF(ISNUMBER(SEARCH("PARED",INVENTARIO!C332)),"PAR",
IF(ISNUMBER(SEARCH("FRONT",INVENTARIO!C332)),"FRO",
IF(ISNUMBER(SEARCH("ALTA RESISTENCIA",INVENTARIO!C332)),
"ALT-RES",IF(ISNUMBER(SEARCH("BACKLITE",INVENTARIO!C332)),"BAC",
IF(ISNUMBER(SEARCH("MATE",INVENTARIO!C332)),"MAT",
IF(ISNUMBER(SEARCH("MESH",INVENTARIO!C332)),"MES",
IF(ISNUMBER(SEARCH("BRILLANTE",INVENTARIO!C332)),"BRI",
IF(ISNUMBER(SEARCH("DELGADA",INVENTARIO!C332)),"DEL",
IF(ISNUMBER(SEARCH("GRUESA",INVENTARIO!C332)),"GRU",
IF(ISNUMBER(SEARCH("ESTATICO",INVENTARIO!C332)),"EST",
IF(ISNUMBER(SEARCH("REFLECTIVO",INVENTARIO!C332)),"REF",
IF(ISNUMBER(SEARCH("LX700",INVENTARIO!C332)),"LX7",
IF(ISNUMBER(SEARCH("GRANDO",INVENTARIO!C332)),"GRA",
IF(ISNUMBER(SEARCH("FB700",INVENTARIO!C332)),"FB7",
IF(ISNUMBER(SEARCH("LX360",INVENTARIO!C332)),"LX3",
IF(ISNUMBER(SEARCH("XEROX",INVENTARIO!C332)),"XER",
IF(ISNUMBER(SEARCH("CEPILLADO",INVENTARIO!C332)),"CEP",
IF(ISNUMBER(SEARCH("ESPEJO",INVENTARIO!C332)),"ESP",
IF(ISNUMBER(SEARCH("10 PTS",INVENTARIO!C332)),"10PT",
IF(ISNUMBER(SEARCH("12 PTS",INVENTARIO!C332)),"12PT",
IF(ISNUMBER(SEARCH("14 PTS",INVENTARIO!C332)),"14PT",
IF(ISNUMBER(SEARCH("CLASICO",INVENTARIO!C332)),"CLA",
""))))))))))))))))))))))</f>
        <v>MAT</v>
      </c>
      <c r="D332" t="str">
        <f>IF(ISNUMBER(SEARCH("GRAN FORMATO",INVENTARIO!C332)),"GRA-FOR",
IF(ISNUMBER(SEARCH("CAMA PLANA",INVENTARIO!C332)),"CAM-PLA",
IF(ISNUMBER(SEARCH("GRADO INGENIERIA",INVENTARIO!C332)),"GRA-ING",
IF(ISNUMBER(SEARCH("130 GRS",INVENTARIO!C332)),"130GR",
IF(ISNUMBER(SEARCH("150 GRS",INVENTARIO!C332)),"150GR",
IF(ISNUMBER(SEARCH("185 GRS",INVENTARIO!C332)),"185GR",
IF(ISNUMBER(SEARCH("200 GRS",INVENTARIO!C332)),"200GR",
IF(ISNUMBER(SEARCH("250 GRS",INVENTARIO!C332)),"250GR",
IF(ISNUMBER(SEARCH("300 GRS",INVENTARIO!C332)),"300GR",
IF(ISNUMBER(SEARCH("350 GRS",INVENTARIO!C332)),"350GR",
IF(ISNUMBER(SEARCH("18 OZ",INVENTARIO!C332)),"18OZ",
IF(ISNUMBER(SEARCH("15 OZ",INVENTARIO!C332)),"15OZ",
IF(OR(ISNUMBER(SEARCH("13 OZ",INVENTARIO!C332)),ISNUMBER(SEARCH("13 ONZAS",INVENTARIO!C332))),"13OZ",
IF(OR(ISNUMBER(SEARCH("9 OZ",INVENTARIO!C332)),ISNUMBER(SEARCH("9 ONZAS",INVENTARIO!C332))),"09OZ",
IF(ISNUMBER(SEARCH("DOBLE CARA",INVENTARIO!C332)),"DOB-CAR",
"")))))))))))))))</f>
        <v>150GR</v>
      </c>
      <c r="E332" t="str">
        <f>IF(OR(ISNUMBER(SEARCH("TRANSPARENTE",INVENTARIO!C332)),ISNUMBER(SEARCH("TRANSPARENTES",INVENTARIO!C332))),"TRA",
IF(OR(ISNUMBER(SEARCH("BLANCO",INVENTARIO!C332)),ISNUMBER(SEARCH("BCO",INVENTARIO!C332))),"BLA",
IF(ISNUMBER(SEARCH("FOTOGRAFICO",INVENTARIO!C332)),"FOT",
IF(ISNUMBER(SEARCH("MARFIL",INVENTARIO!C332)),"MAR",
IF(ISNUMBER(SEARCH("VERDE",INVENTARIO!C332)),"VER",
IF(ISNUMBER(SEARCH("MORADO",INVENTARIO!C332)),"MOR",
IF(ISNUMBER(SEARCH("PLATA",INVENTARIO!C332)),"PLA",
IF(ISNUMBER(SEARCH("ORO",INVENTARIO!C332)),"ORO",
IF(ISNUMBER(SEARCH("AMARILLO",INVENTARIO!C332)),"AMA",
IF(ISNUMBER(SEARCH("NARANJA",INVENTARIO!C332)),"NAR",
IF(ISNUMBER(SEARCH("NEGRO",INVENTARIO!C332)),"NEG",
IF(ISNUMBER(SEARCH("ROJO",INVENTARIO!C332)),"ROJ",
IF(ISNUMBER(SEARCH("AZUL",INVENTARIO!C332)),"AZU","")))))))))))))</f>
        <v/>
      </c>
      <c r="F332" t="str">
        <f>IF(ISNUMBER(SEARCH("ARLON",INVENTARIO!C332)),"ARL",
IF(ISNUMBER(SEARCH("SUNTHINKS",INVENTARIO!C332)),"SUN",
IF(ISNUMBER(SEARCH("FRIO",INVENTARIO!C332)),"FRI",
IF(ISNUMBER(SEARCH("CALIDO",INVENTARIO!C332)),"CAL",
IF(ISNUMBER(SEARCH("CEPILLADO",INVENTARIO!C332)),"CEP",
IF(ISNUMBER(SEARCH("ESPEJO",INVENTARIO!C332)),"ESP",
""))))))</f>
        <v/>
      </c>
      <c r="G332" t="str">
        <f>IF(ISNUMBER(SEARCH("LATEX",INVENTARIO!C332)),"LAT",
IF(ISNUMBER(SEARCH("RESP. NEGRO",INVENTARIO!C332)),"RES-NEG",
IF(ISNUMBER(SEARCH("RESPALDO CAFE",INVENTARIO!C332)),"RES-CAF",
IF(ISNUMBER(SEARCH("RESPALDO GRIS",INVENTARIO!C332)),"RES-GRI",
IF(ISNUMBER(SEARCH("OPTICO",INVENTARIO!C332)),"OPT",
IF(ISNUMBER(SEARCH("1,2 MM",INVENTARIO!C332)),"1MM2",
IF(ISNUMBER(SEARCH("2 MM",INVENTARIO!C332)),"2MM",
IF(ISNUMBER(SEARCH("3 MM",INVENTARIO!C332)),"3MM",
IF(ISNUMBER(SEARCH("4 MM",INVENTARIO!C332)),"4MM",
IF(ISNUMBER(SEARCH("5 MM",INVENTARIO!C332)),"5MM",
IF(ISNUMBER(SEARCH("6 MM",INVENTARIO!C332)),"6MM",
IF(ISNUMBER(SEARCH("9 MM",INVENTARIO!C332)),"9MM",
IF(ISNUMBER(SEARCH("10 MM",INVENTARIO!C332)),"10MM","")))))))))))))</f>
        <v/>
      </c>
      <c r="H332" t="str">
        <f>IF(ISNUMBER(SEARCH("GAMA BAJA",INVENTARIO!C332)),"GAM-BAJ",
IF(ISNUMBER(SEARCH("OPTIMIZADOR",INVENTARIO!C332)),"OPT",
IF(ISNUMBER(SEARCH("OVERCOAT",INVENTARIO!C332)),"OVE",
IF(ISNUMBER(SEARCH("WHITE",INVENTARIO!C332)),"WHI",
IF(ISNUMBER(SEARCH("LIGHT CYAN",INVENTARIO!C332)),"LIG-CYA",
IF(ISNUMBER(SEARCH("CYAN",INVENTARIO!C332)),"CYA",
IF(ISNUMBER(SEARCH("LIGHT MAGENTA",INVENTARIO!C332)),"LIG-MAG",
IF(ISNUMBER(SEARCH("MAGENTA",INVENTARIO!C332)),"MAG",
IF(ISNUMBER(SEARCH("BLACK",INVENTARIO!C332)),"BLA",
IF(ISNUMBER(SEARCH("YELLOW",INVENTARIO!C332)),"YEL",
IF(ISNUMBER(SEARCH("2 DIODOS",INVENTARIO!C332)),"2DI",
IF(ISNUMBER(SEARCH("3 DIODOS",INVENTARIO!C332)),"3DI",
IF(OR(ISNUMBER(SEARCH("TRASLUCIDO",INVENTARIO!C332)),ISNUMBER(SEARCH("TRANSLUCIDO",INVENTARIO!C332))),"TRA",
"")))))))))))))</f>
        <v/>
      </c>
    </row>
    <row r="333" spans="1:8">
      <c r="A333" t="str">
        <f>IF(ISNUMBER(SEARCH("LONA",INVENTARIO!C333)),"LON",
IF(ISNUMBER(SEARCH("VINIL",INVENTARIO!C333)),"VIN",
IF(ISNUMBER(SEARCH("KROMACOTE",INVENTARIO!C333)),"KRO",
IF(ISNUMBER(SEARCH("STARDREAM",INVENTARIO!C333)),"STA",
IF(ISNUMBER(SEARCH("DISPLAY",INVENTARIO!C333)),"DIS",
IF(ISNUMBER(SEARCH("ROLL UP",INVENTARIO!C333)),"ROL-UP",
IF(ISNUMBER(SEARCH("TRANSFER DE PAPEL",INVENTARIO!C333)),"TRA-PAP",
IF(ISNUMBER(SEARCH("TRANSFER",INVENTARIO!C333)),"TRA",IF(ISNUMBER(SEARCH("KOLA LOKA",INVENTARIO!C333)),"KOL-LOK",
IF(ISNUMBER(SEARCH("PETG",INVENTARIO!C333)),"PET",
IF(ISNUMBER(SEARCH("OJILLO",INVENTARIO!C333)),"OJI",
IF(ISNUMBER(SEARCH("COUCHE",INVENTARIO!C333)),"COU",
IF(ISNUMBER(SEARCH("PANEL DE ALUMINIO",INVENTARIO!C333)),"PAN-ALU",
IF(ISNUMBER(SEARCH("PVC",INVENTARIO!C333)),"PVC",
IF(ISNUMBER(SEARCH("PAPEL",INVENTARIO!C333)),"PAP",
IF(ISNUMBER(SEARCH("TELA",INVENTARIO!C333)),"TEL",
IF(ISNUMBER(SEARCH("CARTULINA",INVENTARIO!C333)),"CAR",
IF(OR(ISNUMBER(SEARCH("LAMINA",INVENTARIO!C333)),ISNUMBER(SEARCH("LÁMINA",INVENTARIO!C333)),ISNUMBER(SEARCH("LAMPARAS",INVENTARIO!C333))),"LAM",
IF(ISNUMBER(SEARCH("ESTIRENO",INVENTARIO!C333)),"EST",
IF(ISNUMBER(SEARCH("FOAMBOARD",INVENTARIO!C333)),"FOA",
IF(ISNUMBER(SEARCH("SOLVENTE",INVENTARIO!C333)),"SOL",
IF(ISNUMBER(SEARCH("TINTA",INVENTARIO!C333)),"TIN",
IF(ISNUMBER(SEARCH("ACRILICO",INVENTARIO!C333)),"ACR",
IF(ISNUMBER(SEARCH("MICROLED",INVENTARIO!C333)),"MIC",
IF(ISNUMBER(SEARCH("LED",INVENTARIO!C333)),"LED",
IF(ISNUMBER(SEARCH("FUENTE DE PODER",INVENTARIO!C333)),"FUE-POD",
IF(ISNUMBER(SEARCH("PETG",INVENTARIO!C333)),"PET",
IF(ISNUMBER(SEARCH("ALUMINIO",INVENTARIO!C333)),"ALU",
IF(ISNUMBER(SEARCH("CANAL",INVENTARIO!C333)),"CAN",
IF(ISNUMBER(SEARCH("ESCUADRA",INVENTARIO!C333)),"ESC",
IF(ISNUMBER(SEARCH("SOPORTE",INVENTARIO!C333)),"SOP","OTR")
))))))))))))))))))))))))))))))</f>
        <v>COU</v>
      </c>
      <c r="B333" t="str">
        <f>IF(ISNUMBER(SEARCH("CORTE",INVENTARIO!C333)),"COR",
IF(ISNUMBER(SEARCH("CITYLIGHT",INVENTARIO!C333)),"CIT",
IF(ISNUMBER(SEARCH("LINO",INVENTARIO!C333)),"LIN",
IF(ISNUMBER(SEARCH("FABRIANO",INVENTARIO!C333)),"FAB",
IF(ISNUMBER(SEARCH("SUNDANCE",INVENTARIO!C333)),"SUN",
IF(ISNUMBER(SEARCH("SINTETICA",INVENTARIO!C333)),"SIN",
IF(ISNUMBER(SEARCH("CONTROL",INVENTARIO!C333)),"CON",
IF(ISNUMBER(SEARCH("TERMICO",INVENTARIO!C333)),"TER",
IF(ISNUMBER(SEARCH("C-15",INVENTARIO!C333)),"C15",
IF(ISNUMBER(SEARCH("C-20",INVENTARIO!C333)),"C20",
IF(ISNUMBER(SEARCH("C-30",INVENTARIO!C333)),"C30",
IF(ISNUMBER(SEARCH("C-40",INVENTARIO!C333)),"C40",
IF(ISNUMBER(SEARCH("C-60",INVENTARIO!C333)),"C60",
IF(ISNUMBER(SEARCH("C-80",INVENTARIO!C333)),"C80",
IF(ISNUMBER(SEARCH("EQUIPO",INVENTARIO!C333)),"EQU",
IF(ISNUMBER(SEARCH("FLOOR",INVENTARIO!C333)),"FLO",
IF(ISNUMBER(SEARCH("CRISTAL",INVENTARIO!C333)),"CRI",
IF(ISNUMBER(SEARCH(" SULFATADA",INVENTARIO!C344)),"SUL",
IF(ISNUMBER(SEARCH("OPALINA",INVENTARIO!C333)),"OPA",
IF(ISNUMBER(SEARCH("ADHERIBLE",INVENTARIO!C333)),"ADH",
IF(ISNUMBER(SEARCH("MICRO",INVENTARIO!C333)),"MIC","")))))))))))))))))))))</f>
        <v/>
      </c>
      <c r="C333" t="str">
        <f>IF(ISNUMBER(SEARCH("PARED",INVENTARIO!C333)),"PAR",
IF(ISNUMBER(SEARCH("FRONT",INVENTARIO!C333)),"FRO",
IF(ISNUMBER(SEARCH("ALTA RESISTENCIA",INVENTARIO!C333)),
"ALT-RES",IF(ISNUMBER(SEARCH("BACKLITE",INVENTARIO!C333)),"BAC",
IF(ISNUMBER(SEARCH("MATE",INVENTARIO!C333)),"MAT",
IF(ISNUMBER(SEARCH("MESH",INVENTARIO!C333)),"MES",
IF(ISNUMBER(SEARCH("BRILLANTE",INVENTARIO!C333)),"BRI",
IF(ISNUMBER(SEARCH("DELGADA",INVENTARIO!C333)),"DEL",
IF(ISNUMBER(SEARCH("GRUESA",INVENTARIO!C333)),"GRU",
IF(ISNUMBER(SEARCH("ESTATICO",INVENTARIO!C333)),"EST",
IF(ISNUMBER(SEARCH("REFLECTIVO",INVENTARIO!C333)),"REF",
IF(ISNUMBER(SEARCH("LX700",INVENTARIO!C333)),"LX7",
IF(ISNUMBER(SEARCH("GRANDO",INVENTARIO!C333)),"GRA",
IF(ISNUMBER(SEARCH("FB700",INVENTARIO!C333)),"FB7",
IF(ISNUMBER(SEARCH("LX360",INVENTARIO!C333)),"LX3",
IF(ISNUMBER(SEARCH("XEROX",INVENTARIO!C333)),"XER",
IF(ISNUMBER(SEARCH("CEPILLADO",INVENTARIO!C333)),"CEP",
IF(ISNUMBER(SEARCH("ESPEJO",INVENTARIO!C333)),"ESP",
IF(ISNUMBER(SEARCH("10 PTS",INVENTARIO!C333)),"10PT",
IF(ISNUMBER(SEARCH("12 PTS",INVENTARIO!C333)),"12PT",
IF(ISNUMBER(SEARCH("14 PTS",INVENTARIO!C333)),"14PT",
IF(ISNUMBER(SEARCH("CLASICO",INVENTARIO!C333)),"CLA",
""))))))))))))))))))))))</f>
        <v>MAT</v>
      </c>
      <c r="D333" t="str">
        <f>IF(ISNUMBER(SEARCH("GRAN FORMATO",INVENTARIO!C333)),"GRA-FOR",
IF(ISNUMBER(SEARCH("CAMA PLANA",INVENTARIO!C333)),"CAM-PLA",
IF(ISNUMBER(SEARCH("GRADO INGENIERIA",INVENTARIO!C333)),"GRA-ING",
IF(ISNUMBER(SEARCH("130 GRS",INVENTARIO!C333)),"130GR",
IF(ISNUMBER(SEARCH("150 GRS",INVENTARIO!C333)),"150GR",
IF(ISNUMBER(SEARCH("185 GRS",INVENTARIO!C333)),"185GR",
IF(ISNUMBER(SEARCH("200 GRS",INVENTARIO!C333)),"200GR",
IF(ISNUMBER(SEARCH("250 GRS",INVENTARIO!C333)),"250GR",
IF(ISNUMBER(SEARCH("300 GRS",INVENTARIO!C333)),"300GR",
IF(ISNUMBER(SEARCH("350 GRS",INVENTARIO!C333)),"350GR",
IF(ISNUMBER(SEARCH("18 OZ",INVENTARIO!C333)),"18OZ",
IF(ISNUMBER(SEARCH("15 OZ",INVENTARIO!C333)),"15OZ",
IF(OR(ISNUMBER(SEARCH("13 OZ",INVENTARIO!C333)),ISNUMBER(SEARCH("13 ONZAS",INVENTARIO!C333))),"13OZ",
IF(OR(ISNUMBER(SEARCH("9 OZ",INVENTARIO!C333)),ISNUMBER(SEARCH("9 ONZAS",INVENTARIO!C333))),"09OZ",
IF(ISNUMBER(SEARCH("DOBLE CARA",INVENTARIO!C333)),"DOB-CAR",
"")))))))))))))))</f>
        <v>200GR</v>
      </c>
      <c r="E333" t="str">
        <f>IF(OR(ISNUMBER(SEARCH("TRANSPARENTE",INVENTARIO!C333)),ISNUMBER(SEARCH("TRANSPARENTES",INVENTARIO!C333))),"TRA",
IF(OR(ISNUMBER(SEARCH("BLANCO",INVENTARIO!C333)),ISNUMBER(SEARCH("BCO",INVENTARIO!C333))),"BLA",
IF(ISNUMBER(SEARCH("FOTOGRAFICO",INVENTARIO!C333)),"FOT",
IF(ISNUMBER(SEARCH("MARFIL",INVENTARIO!C333)),"MAR",
IF(ISNUMBER(SEARCH("VERDE",INVENTARIO!C333)),"VER",
IF(ISNUMBER(SEARCH("MORADO",INVENTARIO!C333)),"MOR",
IF(ISNUMBER(SEARCH("PLATA",INVENTARIO!C333)),"PLA",
IF(ISNUMBER(SEARCH("ORO",INVENTARIO!C333)),"ORO",
IF(ISNUMBER(SEARCH("AMARILLO",INVENTARIO!C333)),"AMA",
IF(ISNUMBER(SEARCH("NARANJA",INVENTARIO!C333)),"NAR",
IF(ISNUMBER(SEARCH("NEGRO",INVENTARIO!C333)),"NEG",
IF(ISNUMBER(SEARCH("ROJO",INVENTARIO!C333)),"ROJ",
IF(ISNUMBER(SEARCH("AZUL",INVENTARIO!C333)),"AZU","")))))))))))))</f>
        <v/>
      </c>
      <c r="F333" t="str">
        <f>IF(ISNUMBER(SEARCH("ARLON",INVENTARIO!C333)),"ARL",
IF(ISNUMBER(SEARCH("SUNTHINKS",INVENTARIO!C333)),"SUN",
IF(ISNUMBER(SEARCH("FRIO",INVENTARIO!C333)),"FRI",
IF(ISNUMBER(SEARCH("CALIDO",INVENTARIO!C333)),"CAL",
IF(ISNUMBER(SEARCH("CEPILLADO",INVENTARIO!C333)),"CEP",
IF(ISNUMBER(SEARCH("ESPEJO",INVENTARIO!C333)),"ESP",
""))))))</f>
        <v/>
      </c>
      <c r="G333" t="str">
        <f>IF(ISNUMBER(SEARCH("LATEX",INVENTARIO!C333)),"LAT",
IF(ISNUMBER(SEARCH("RESP. NEGRO",INVENTARIO!C333)),"RES-NEG",
IF(ISNUMBER(SEARCH("RESPALDO CAFE",INVENTARIO!C333)),"RES-CAF",
IF(ISNUMBER(SEARCH("RESPALDO GRIS",INVENTARIO!C333)),"RES-GRI",
IF(ISNUMBER(SEARCH("OPTICO",INVENTARIO!C333)),"OPT",
IF(ISNUMBER(SEARCH("1,2 MM",INVENTARIO!C333)),"1MM2",
IF(ISNUMBER(SEARCH("2 MM",INVENTARIO!C333)),"2MM",
IF(ISNUMBER(SEARCH("3 MM",INVENTARIO!C333)),"3MM",
IF(ISNUMBER(SEARCH("4 MM",INVENTARIO!C333)),"4MM",
IF(ISNUMBER(SEARCH("5 MM",INVENTARIO!C333)),"5MM",
IF(ISNUMBER(SEARCH("6 MM",INVENTARIO!C333)),"6MM",
IF(ISNUMBER(SEARCH("9 MM",INVENTARIO!C333)),"9MM",
IF(ISNUMBER(SEARCH("10 MM",INVENTARIO!C333)),"10MM","")))))))))))))</f>
        <v/>
      </c>
      <c r="H333" t="str">
        <f>IF(ISNUMBER(SEARCH("GAMA BAJA",INVENTARIO!C333)),"GAM-BAJ",
IF(ISNUMBER(SEARCH("OPTIMIZADOR",INVENTARIO!C333)),"OPT",
IF(ISNUMBER(SEARCH("OVERCOAT",INVENTARIO!C333)),"OVE",
IF(ISNUMBER(SEARCH("WHITE",INVENTARIO!C333)),"WHI",
IF(ISNUMBER(SEARCH("LIGHT CYAN",INVENTARIO!C333)),"LIG-CYA",
IF(ISNUMBER(SEARCH("CYAN",INVENTARIO!C333)),"CYA",
IF(ISNUMBER(SEARCH("LIGHT MAGENTA",INVENTARIO!C333)),"LIG-MAG",
IF(ISNUMBER(SEARCH("MAGENTA",INVENTARIO!C333)),"MAG",
IF(ISNUMBER(SEARCH("BLACK",INVENTARIO!C333)),"BLA",
IF(ISNUMBER(SEARCH("YELLOW",INVENTARIO!C333)),"YEL",
IF(ISNUMBER(SEARCH("2 DIODOS",INVENTARIO!C333)),"2DI",
IF(ISNUMBER(SEARCH("3 DIODOS",INVENTARIO!C333)),"3DI",
IF(OR(ISNUMBER(SEARCH("TRASLUCIDO",INVENTARIO!C333)),ISNUMBER(SEARCH("TRANSLUCIDO",INVENTARIO!C333))),"TRA",
"")))))))))))))</f>
        <v/>
      </c>
    </row>
    <row r="334" spans="1:8">
      <c r="A334" t="str">
        <f>IF(ISNUMBER(SEARCH("LONA",INVENTARIO!C334)),"LON",
IF(ISNUMBER(SEARCH("VINIL",INVENTARIO!C334)),"VIN",
IF(ISNUMBER(SEARCH("KROMACOTE",INVENTARIO!C334)),"KRO",
IF(ISNUMBER(SEARCH("STARDREAM",INVENTARIO!C334)),"STA",
IF(ISNUMBER(SEARCH("DISPLAY",INVENTARIO!C334)),"DIS",
IF(ISNUMBER(SEARCH("ROLL UP",INVENTARIO!C334)),"ROL-UP",
IF(ISNUMBER(SEARCH("TRANSFER DE PAPEL",INVENTARIO!C334)),"TRA-PAP",
IF(ISNUMBER(SEARCH("TRANSFER",INVENTARIO!C334)),"TRA",IF(ISNUMBER(SEARCH("KOLA LOKA",INVENTARIO!C334)),"KOL-LOK",
IF(ISNUMBER(SEARCH("PETG",INVENTARIO!C334)),"PET",
IF(ISNUMBER(SEARCH("OJILLO",INVENTARIO!C334)),"OJI",
IF(ISNUMBER(SEARCH("COUCHE",INVENTARIO!C334)),"COU",
IF(ISNUMBER(SEARCH("PANEL DE ALUMINIO",INVENTARIO!C334)),"PAN-ALU",
IF(ISNUMBER(SEARCH("PVC",INVENTARIO!C334)),"PVC",
IF(ISNUMBER(SEARCH("PAPEL",INVENTARIO!C334)),"PAP",
IF(ISNUMBER(SEARCH("TELA",INVENTARIO!C334)),"TEL",
IF(ISNUMBER(SEARCH("CARTULINA",INVENTARIO!C334)),"CAR",
IF(OR(ISNUMBER(SEARCH("LAMINA",INVENTARIO!C334)),ISNUMBER(SEARCH("LÁMINA",INVENTARIO!C334)),ISNUMBER(SEARCH("LAMPARAS",INVENTARIO!C334))),"LAM",
IF(ISNUMBER(SEARCH("ESTIRENO",INVENTARIO!C334)),"EST",
IF(ISNUMBER(SEARCH("FOAMBOARD",INVENTARIO!C334)),"FOA",
IF(ISNUMBER(SEARCH("SOLVENTE",INVENTARIO!C334)),"SOL",
IF(ISNUMBER(SEARCH("TINTA",INVENTARIO!C334)),"TIN",
IF(ISNUMBER(SEARCH("ACRILICO",INVENTARIO!C334)),"ACR",
IF(ISNUMBER(SEARCH("MICROLED",INVENTARIO!C334)),"MIC",
IF(ISNUMBER(SEARCH("LED",INVENTARIO!C334)),"LED",
IF(ISNUMBER(SEARCH("FUENTE DE PODER",INVENTARIO!C334)),"FUE-POD",
IF(ISNUMBER(SEARCH("PETG",INVENTARIO!C334)),"PET",
IF(ISNUMBER(SEARCH("ALUMINIO",INVENTARIO!C334)),"ALU",
IF(ISNUMBER(SEARCH("CANAL",INVENTARIO!C334)),"CAN",
IF(ISNUMBER(SEARCH("ESCUADRA",INVENTARIO!C334)),"ESC",
IF(ISNUMBER(SEARCH("SOPORTE",INVENTARIO!C334)),"SOP","OTR")
))))))))))))))))))))))))))))))</f>
        <v>COU</v>
      </c>
      <c r="B334" t="str">
        <f>IF(ISNUMBER(SEARCH("CORTE",INVENTARIO!C334)),"COR",
IF(ISNUMBER(SEARCH("CITYLIGHT",INVENTARIO!C334)),"CIT",
IF(ISNUMBER(SEARCH("LINO",INVENTARIO!C334)),"LIN",
IF(ISNUMBER(SEARCH("FABRIANO",INVENTARIO!C334)),"FAB",
IF(ISNUMBER(SEARCH("SUNDANCE",INVENTARIO!C334)),"SUN",
IF(ISNUMBER(SEARCH("SINTETICA",INVENTARIO!C334)),"SIN",
IF(ISNUMBER(SEARCH("CONTROL",INVENTARIO!C334)),"CON",
IF(ISNUMBER(SEARCH("TERMICO",INVENTARIO!C334)),"TER",
IF(ISNUMBER(SEARCH("C-15",INVENTARIO!C334)),"C15",
IF(ISNUMBER(SEARCH("C-20",INVENTARIO!C334)),"C20",
IF(ISNUMBER(SEARCH("C-30",INVENTARIO!C334)),"C30",
IF(ISNUMBER(SEARCH("C-40",INVENTARIO!C334)),"C40",
IF(ISNUMBER(SEARCH("C-60",INVENTARIO!C334)),"C60",
IF(ISNUMBER(SEARCH("C-80",INVENTARIO!C334)),"C80",
IF(ISNUMBER(SEARCH("EQUIPO",INVENTARIO!C334)),"EQU",
IF(ISNUMBER(SEARCH("FLOOR",INVENTARIO!C334)),"FLO",
IF(ISNUMBER(SEARCH("CRISTAL",INVENTARIO!C334)),"CRI",
IF(ISNUMBER(SEARCH(" SULFATADA",INVENTARIO!C345)),"SUL",
IF(ISNUMBER(SEARCH("OPALINA",INVENTARIO!C334)),"OPA",
IF(ISNUMBER(SEARCH("ADHERIBLE",INVENTARIO!C334)),"ADH",
IF(ISNUMBER(SEARCH("MICRO",INVENTARIO!C334)),"MIC","")))))))))))))))))))))</f>
        <v/>
      </c>
      <c r="C334" t="str">
        <f>IF(ISNUMBER(SEARCH("PARED",INVENTARIO!C334)),"PAR",
IF(ISNUMBER(SEARCH("FRONT",INVENTARIO!C334)),"FRO",
IF(ISNUMBER(SEARCH("ALTA RESISTENCIA",INVENTARIO!C334)),
"ALT-RES",IF(ISNUMBER(SEARCH("BACKLITE",INVENTARIO!C334)),"BAC",
IF(ISNUMBER(SEARCH("MATE",INVENTARIO!C334)),"MAT",
IF(ISNUMBER(SEARCH("MESH",INVENTARIO!C334)),"MES",
IF(ISNUMBER(SEARCH("BRILLANTE",INVENTARIO!C334)),"BRI",
IF(ISNUMBER(SEARCH("DELGADA",INVENTARIO!C334)),"DEL",
IF(ISNUMBER(SEARCH("GRUESA",INVENTARIO!C334)),"GRU",
IF(ISNUMBER(SEARCH("ESTATICO",INVENTARIO!C334)),"EST",
IF(ISNUMBER(SEARCH("REFLECTIVO",INVENTARIO!C334)),"REF",
IF(ISNUMBER(SEARCH("LX700",INVENTARIO!C334)),"LX7",
IF(ISNUMBER(SEARCH("GRANDO",INVENTARIO!C334)),"GRA",
IF(ISNUMBER(SEARCH("FB700",INVENTARIO!C334)),"FB7",
IF(ISNUMBER(SEARCH("LX360",INVENTARIO!C334)),"LX3",
IF(ISNUMBER(SEARCH("XEROX",INVENTARIO!C334)),"XER",
IF(ISNUMBER(SEARCH("CEPILLADO",INVENTARIO!C334)),"CEP",
IF(ISNUMBER(SEARCH("ESPEJO",INVENTARIO!C334)),"ESP",
IF(ISNUMBER(SEARCH("10 PTS",INVENTARIO!C334)),"10PT",
IF(ISNUMBER(SEARCH("12 PTS",INVENTARIO!C334)),"12PT",
IF(ISNUMBER(SEARCH("14 PTS",INVENTARIO!C334)),"14PT",
IF(ISNUMBER(SEARCH("CLASICO",INVENTARIO!C334)),"CLA",
""))))))))))))))))))))))</f>
        <v>MAT</v>
      </c>
      <c r="D334" t="str">
        <f>IF(ISNUMBER(SEARCH("GRAN FORMATO",INVENTARIO!C334)),"GRA-FOR",
IF(ISNUMBER(SEARCH("CAMA PLANA",INVENTARIO!C334)),"CAM-PLA",
IF(ISNUMBER(SEARCH("GRADO INGENIERIA",INVENTARIO!C334)),"GRA-ING",
IF(ISNUMBER(SEARCH("130 GRS",INVENTARIO!C334)),"130GR",
IF(ISNUMBER(SEARCH("150 GRS",INVENTARIO!C334)),"150GR",
IF(ISNUMBER(SEARCH("185 GRS",INVENTARIO!C334)),"185GR",
IF(ISNUMBER(SEARCH("200 GRS",INVENTARIO!C334)),"200GR",
IF(ISNUMBER(SEARCH("250 GRS",INVENTARIO!C334)),"250GR",
IF(ISNUMBER(SEARCH("300 GRS",INVENTARIO!C334)),"300GR",
IF(ISNUMBER(SEARCH("350 GRS",INVENTARIO!C334)),"350GR",
IF(ISNUMBER(SEARCH("18 OZ",INVENTARIO!C334)),"18OZ",
IF(ISNUMBER(SEARCH("15 OZ",INVENTARIO!C334)),"15OZ",
IF(OR(ISNUMBER(SEARCH("13 OZ",INVENTARIO!C334)),ISNUMBER(SEARCH("13 ONZAS",INVENTARIO!C334))),"13OZ",
IF(OR(ISNUMBER(SEARCH("9 OZ",INVENTARIO!C334)),ISNUMBER(SEARCH("9 ONZAS",INVENTARIO!C334))),"09OZ",
IF(ISNUMBER(SEARCH("DOBLE CARA",INVENTARIO!C334)),"DOB-CAR",
"")))))))))))))))</f>
        <v>250GR</v>
      </c>
      <c r="E334" t="str">
        <f>IF(OR(ISNUMBER(SEARCH("TRANSPARENTE",INVENTARIO!C334)),ISNUMBER(SEARCH("TRANSPARENTES",INVENTARIO!C334))),"TRA",
IF(OR(ISNUMBER(SEARCH("BLANCO",INVENTARIO!C334)),ISNUMBER(SEARCH("BCO",INVENTARIO!C334))),"BLA",
IF(ISNUMBER(SEARCH("FOTOGRAFICO",INVENTARIO!C334)),"FOT",
IF(ISNUMBER(SEARCH("MARFIL",INVENTARIO!C334)),"MAR",
IF(ISNUMBER(SEARCH("VERDE",INVENTARIO!C334)),"VER",
IF(ISNUMBER(SEARCH("MORADO",INVENTARIO!C334)),"MOR",
IF(ISNUMBER(SEARCH("PLATA",INVENTARIO!C334)),"PLA",
IF(ISNUMBER(SEARCH("ORO",INVENTARIO!C334)),"ORO",
IF(ISNUMBER(SEARCH("AMARILLO",INVENTARIO!C334)),"AMA",
IF(ISNUMBER(SEARCH("NARANJA",INVENTARIO!C334)),"NAR",
IF(ISNUMBER(SEARCH("NEGRO",INVENTARIO!C334)),"NEG",
IF(ISNUMBER(SEARCH("ROJO",INVENTARIO!C334)),"ROJ",
IF(ISNUMBER(SEARCH("AZUL",INVENTARIO!C334)),"AZU","")))))))))))))</f>
        <v/>
      </c>
      <c r="F334" t="str">
        <f>IF(ISNUMBER(SEARCH("ARLON",INVENTARIO!C334)),"ARL",
IF(ISNUMBER(SEARCH("SUNTHINKS",INVENTARIO!C334)),"SUN",
IF(ISNUMBER(SEARCH("FRIO",INVENTARIO!C334)),"FRI",
IF(ISNUMBER(SEARCH("CALIDO",INVENTARIO!C334)),"CAL",
IF(ISNUMBER(SEARCH("CEPILLADO",INVENTARIO!C334)),"CEP",
IF(ISNUMBER(SEARCH("ESPEJO",INVENTARIO!C334)),"ESP",
""))))))</f>
        <v/>
      </c>
      <c r="G334" t="str">
        <f>IF(ISNUMBER(SEARCH("LATEX",INVENTARIO!C334)),"LAT",
IF(ISNUMBER(SEARCH("RESP. NEGRO",INVENTARIO!C334)),"RES-NEG",
IF(ISNUMBER(SEARCH("RESPALDO CAFE",INVENTARIO!C334)),"RES-CAF",
IF(ISNUMBER(SEARCH("RESPALDO GRIS",INVENTARIO!C334)),"RES-GRI",
IF(ISNUMBER(SEARCH("OPTICO",INVENTARIO!C334)),"OPT",
IF(ISNUMBER(SEARCH("1,2 MM",INVENTARIO!C334)),"1MM2",
IF(ISNUMBER(SEARCH("2 MM",INVENTARIO!C334)),"2MM",
IF(ISNUMBER(SEARCH("3 MM",INVENTARIO!C334)),"3MM",
IF(ISNUMBER(SEARCH("4 MM",INVENTARIO!C334)),"4MM",
IF(ISNUMBER(SEARCH("5 MM",INVENTARIO!C334)),"5MM",
IF(ISNUMBER(SEARCH("6 MM",INVENTARIO!C334)),"6MM",
IF(ISNUMBER(SEARCH("9 MM",INVENTARIO!C334)),"9MM",
IF(ISNUMBER(SEARCH("10 MM",INVENTARIO!C334)),"10MM","")))))))))))))</f>
        <v/>
      </c>
      <c r="H334" t="str">
        <f>IF(ISNUMBER(SEARCH("GAMA BAJA",INVENTARIO!C334)),"GAM-BAJ",
IF(ISNUMBER(SEARCH("OPTIMIZADOR",INVENTARIO!C334)),"OPT",
IF(ISNUMBER(SEARCH("OVERCOAT",INVENTARIO!C334)),"OVE",
IF(ISNUMBER(SEARCH("WHITE",INVENTARIO!C334)),"WHI",
IF(ISNUMBER(SEARCH("LIGHT CYAN",INVENTARIO!C334)),"LIG-CYA",
IF(ISNUMBER(SEARCH("CYAN",INVENTARIO!C334)),"CYA",
IF(ISNUMBER(SEARCH("LIGHT MAGENTA",INVENTARIO!C334)),"LIG-MAG",
IF(ISNUMBER(SEARCH("MAGENTA",INVENTARIO!C334)),"MAG",
IF(ISNUMBER(SEARCH("BLACK",INVENTARIO!C334)),"BLA",
IF(ISNUMBER(SEARCH("YELLOW",INVENTARIO!C334)),"YEL",
IF(ISNUMBER(SEARCH("2 DIODOS",INVENTARIO!C334)),"2DI",
IF(ISNUMBER(SEARCH("3 DIODOS",INVENTARIO!C334)),"3DI",
IF(OR(ISNUMBER(SEARCH("TRASLUCIDO",INVENTARIO!C334)),ISNUMBER(SEARCH("TRANSLUCIDO",INVENTARIO!C334))),"TRA",
"")))))))))))))</f>
        <v/>
      </c>
    </row>
    <row r="335" spans="1:8">
      <c r="A335" t="str">
        <f>IF(ISNUMBER(SEARCH("LONA",INVENTARIO!C335)),"LON",
IF(ISNUMBER(SEARCH("VINIL",INVENTARIO!C335)),"VIN",
IF(ISNUMBER(SEARCH("KROMACOTE",INVENTARIO!C335)),"KRO",
IF(ISNUMBER(SEARCH("STARDREAM",INVENTARIO!C335)),"STA",
IF(ISNUMBER(SEARCH("DISPLAY",INVENTARIO!C335)),"DIS",
IF(ISNUMBER(SEARCH("ROLL UP",INVENTARIO!C335)),"ROL-UP",
IF(ISNUMBER(SEARCH("TRANSFER DE PAPEL",INVENTARIO!C335)),"TRA-PAP",
IF(ISNUMBER(SEARCH("TRANSFER",INVENTARIO!C335)),"TRA",IF(ISNUMBER(SEARCH("KOLA LOKA",INVENTARIO!C335)),"KOL-LOK",
IF(ISNUMBER(SEARCH("PETG",INVENTARIO!C335)),"PET",
IF(ISNUMBER(SEARCH("OJILLO",INVENTARIO!C335)),"OJI",
IF(ISNUMBER(SEARCH("COUCHE",INVENTARIO!C335)),"COU",
IF(ISNUMBER(SEARCH("PANEL DE ALUMINIO",INVENTARIO!C335)),"PAN-ALU",
IF(ISNUMBER(SEARCH("PVC",INVENTARIO!C335)),"PVC",
IF(ISNUMBER(SEARCH("PAPEL",INVENTARIO!C335)),"PAP",
IF(ISNUMBER(SEARCH("TELA",INVENTARIO!C335)),"TEL",
IF(ISNUMBER(SEARCH("CARTULINA",INVENTARIO!C335)),"CAR",
IF(OR(ISNUMBER(SEARCH("LAMINA",INVENTARIO!C335)),ISNUMBER(SEARCH("LÁMINA",INVENTARIO!C335)),ISNUMBER(SEARCH("LAMPARAS",INVENTARIO!C335))),"LAM",
IF(ISNUMBER(SEARCH("ESTIRENO",INVENTARIO!C335)),"EST",
IF(ISNUMBER(SEARCH("FOAMBOARD",INVENTARIO!C335)),"FOA",
IF(ISNUMBER(SEARCH("SOLVENTE",INVENTARIO!C335)),"SOL",
IF(ISNUMBER(SEARCH("TINTA",INVENTARIO!C335)),"TIN",
IF(ISNUMBER(SEARCH("ACRILICO",INVENTARIO!C335)),"ACR",
IF(ISNUMBER(SEARCH("MICROLED",INVENTARIO!C335)),"MIC",
IF(ISNUMBER(SEARCH("LED",INVENTARIO!C335)),"LED",
IF(ISNUMBER(SEARCH("FUENTE DE PODER",INVENTARIO!C335)),"FUE-POD",
IF(ISNUMBER(SEARCH("PETG",INVENTARIO!C335)),"PET",
IF(ISNUMBER(SEARCH("ALUMINIO",INVENTARIO!C335)),"ALU",
IF(ISNUMBER(SEARCH("CANAL",INVENTARIO!C335)),"CAN",
IF(ISNUMBER(SEARCH("ESCUADRA",INVENTARIO!C335)),"ESC",
IF(ISNUMBER(SEARCH("SOPORTE",INVENTARIO!C335)),"SOP","OTR")
))))))))))))))))))))))))))))))</f>
        <v>COU</v>
      </c>
      <c r="B335" t="str">
        <f>IF(ISNUMBER(SEARCH("CORTE",INVENTARIO!C335)),"COR",
IF(ISNUMBER(SEARCH("CITYLIGHT",INVENTARIO!C335)),"CIT",
IF(ISNUMBER(SEARCH("LINO",INVENTARIO!C335)),"LIN",
IF(ISNUMBER(SEARCH("FABRIANO",INVENTARIO!C335)),"FAB",
IF(ISNUMBER(SEARCH("SUNDANCE",INVENTARIO!C335)),"SUN",
IF(ISNUMBER(SEARCH("SINTETICA",INVENTARIO!C335)),"SIN",
IF(ISNUMBER(SEARCH("CONTROL",INVENTARIO!C335)),"CON",
IF(ISNUMBER(SEARCH("TERMICO",INVENTARIO!C335)),"TER",
IF(ISNUMBER(SEARCH("C-15",INVENTARIO!C335)),"C15",
IF(ISNUMBER(SEARCH("C-20",INVENTARIO!C335)),"C20",
IF(ISNUMBER(SEARCH("C-30",INVENTARIO!C335)),"C30",
IF(ISNUMBER(SEARCH("C-40",INVENTARIO!C335)),"C40",
IF(ISNUMBER(SEARCH("C-60",INVENTARIO!C335)),"C60",
IF(ISNUMBER(SEARCH("C-80",INVENTARIO!C335)),"C80",
IF(ISNUMBER(SEARCH("EQUIPO",INVENTARIO!C335)),"EQU",
IF(ISNUMBER(SEARCH("FLOOR",INVENTARIO!C335)),"FLO",
IF(ISNUMBER(SEARCH("CRISTAL",INVENTARIO!C335)),"CRI",
IF(ISNUMBER(SEARCH(" SULFATADA",INVENTARIO!C346)),"SUL",
IF(ISNUMBER(SEARCH("OPALINA",INVENTARIO!C335)),"OPA",
IF(ISNUMBER(SEARCH("ADHERIBLE",INVENTARIO!C335)),"ADH",
IF(ISNUMBER(SEARCH("MICRO",INVENTARIO!C335)),"MIC","")))))))))))))))))))))</f>
        <v/>
      </c>
      <c r="C335" t="str">
        <f>IF(ISNUMBER(SEARCH("PARED",INVENTARIO!C335)),"PAR",
IF(ISNUMBER(SEARCH("FRONT",INVENTARIO!C335)),"FRO",
IF(ISNUMBER(SEARCH("ALTA RESISTENCIA",INVENTARIO!C335)),
"ALT-RES",IF(ISNUMBER(SEARCH("BACKLITE",INVENTARIO!C335)),"BAC",
IF(ISNUMBER(SEARCH("MATE",INVENTARIO!C335)),"MAT",
IF(ISNUMBER(SEARCH("MESH",INVENTARIO!C335)),"MES",
IF(ISNUMBER(SEARCH("BRILLANTE",INVENTARIO!C335)),"BRI",
IF(ISNUMBER(SEARCH("DELGADA",INVENTARIO!C335)),"DEL",
IF(ISNUMBER(SEARCH("GRUESA",INVENTARIO!C335)),"GRU",
IF(ISNUMBER(SEARCH("ESTATICO",INVENTARIO!C335)),"EST",
IF(ISNUMBER(SEARCH("REFLECTIVO",INVENTARIO!C335)),"REF",
IF(ISNUMBER(SEARCH("LX700",INVENTARIO!C335)),"LX7",
IF(ISNUMBER(SEARCH("GRANDO",INVENTARIO!C335)),"GRA",
IF(ISNUMBER(SEARCH("FB700",INVENTARIO!C335)),"FB7",
IF(ISNUMBER(SEARCH("LX360",INVENTARIO!C335)),"LX3",
IF(ISNUMBER(SEARCH("XEROX",INVENTARIO!C335)),"XER",
IF(ISNUMBER(SEARCH("CEPILLADO",INVENTARIO!C335)),"CEP",
IF(ISNUMBER(SEARCH("ESPEJO",INVENTARIO!C335)),"ESP",
IF(ISNUMBER(SEARCH("10 PTS",INVENTARIO!C335)),"10PT",
IF(ISNUMBER(SEARCH("12 PTS",INVENTARIO!C335)),"12PT",
IF(ISNUMBER(SEARCH("14 PTS",INVENTARIO!C335)),"14PT",
IF(ISNUMBER(SEARCH("CLASICO",INVENTARIO!C335)),"CLA",
""))))))))))))))))))))))</f>
        <v>MAT</v>
      </c>
      <c r="D335" t="str">
        <f>IF(ISNUMBER(SEARCH("GRAN FORMATO",INVENTARIO!C335)),"GRA-FOR",
IF(ISNUMBER(SEARCH("CAMA PLANA",INVENTARIO!C335)),"CAM-PLA",
IF(ISNUMBER(SEARCH("GRADO INGENIERIA",INVENTARIO!C335)),"GRA-ING",
IF(ISNUMBER(SEARCH("130 GRS",INVENTARIO!C335)),"130GR",
IF(ISNUMBER(SEARCH("150 GRS",INVENTARIO!C335)),"150GR",
IF(ISNUMBER(SEARCH("185 GRS",INVENTARIO!C335)),"185GR",
IF(ISNUMBER(SEARCH("200 GRS",INVENTARIO!C335)),"200GR",
IF(ISNUMBER(SEARCH("250 GRS",INVENTARIO!C335)),"250GR",
IF(ISNUMBER(SEARCH("300 GRS",INVENTARIO!C335)),"300GR",
IF(ISNUMBER(SEARCH("350 GRS",INVENTARIO!C335)),"350GR",
IF(ISNUMBER(SEARCH("18 OZ",INVENTARIO!C335)),"18OZ",
IF(ISNUMBER(SEARCH("15 OZ",INVENTARIO!C335)),"15OZ",
IF(OR(ISNUMBER(SEARCH("13 OZ",INVENTARIO!C335)),ISNUMBER(SEARCH("13 ONZAS",INVENTARIO!C335))),"13OZ",
IF(OR(ISNUMBER(SEARCH("9 OZ",INVENTARIO!C335)),ISNUMBER(SEARCH("9 ONZAS",INVENTARIO!C335))),"09OZ",
IF(ISNUMBER(SEARCH("DOBLE CARA",INVENTARIO!C335)),"DOB-CAR",
"")))))))))))))))</f>
        <v>300GR</v>
      </c>
      <c r="E335" t="str">
        <f>IF(OR(ISNUMBER(SEARCH("TRANSPARENTE",INVENTARIO!C335)),ISNUMBER(SEARCH("TRANSPARENTES",INVENTARIO!C335))),"TRA",
IF(OR(ISNUMBER(SEARCH("BLANCO",INVENTARIO!C335)),ISNUMBER(SEARCH("BCO",INVENTARIO!C335))),"BLA",
IF(ISNUMBER(SEARCH("FOTOGRAFICO",INVENTARIO!C335)),"FOT",
IF(ISNUMBER(SEARCH("MARFIL",INVENTARIO!C335)),"MAR",
IF(ISNUMBER(SEARCH("VERDE",INVENTARIO!C335)),"VER",
IF(ISNUMBER(SEARCH("MORADO",INVENTARIO!C335)),"MOR",
IF(ISNUMBER(SEARCH("PLATA",INVENTARIO!C335)),"PLA",
IF(ISNUMBER(SEARCH("ORO",INVENTARIO!C335)),"ORO",
IF(ISNUMBER(SEARCH("AMARILLO",INVENTARIO!C335)),"AMA",
IF(ISNUMBER(SEARCH("NARANJA",INVENTARIO!C335)),"NAR",
IF(ISNUMBER(SEARCH("NEGRO",INVENTARIO!C335)),"NEG",
IF(ISNUMBER(SEARCH("ROJO",INVENTARIO!C335)),"ROJ",
IF(ISNUMBER(SEARCH("AZUL",INVENTARIO!C335)),"AZU","")))))))))))))</f>
        <v/>
      </c>
      <c r="F335" t="str">
        <f>IF(ISNUMBER(SEARCH("ARLON",INVENTARIO!C335)),"ARL",
IF(ISNUMBER(SEARCH("SUNTHINKS",INVENTARIO!C335)),"SUN",
IF(ISNUMBER(SEARCH("FRIO",INVENTARIO!C335)),"FRI",
IF(ISNUMBER(SEARCH("CALIDO",INVENTARIO!C335)),"CAL",
IF(ISNUMBER(SEARCH("CEPILLADO",INVENTARIO!C335)),"CEP",
IF(ISNUMBER(SEARCH("ESPEJO",INVENTARIO!C335)),"ESP",
""))))))</f>
        <v/>
      </c>
      <c r="G335" t="str">
        <f>IF(ISNUMBER(SEARCH("LATEX",INVENTARIO!C335)),"LAT",
IF(ISNUMBER(SEARCH("RESP. NEGRO",INVENTARIO!C335)),"RES-NEG",
IF(ISNUMBER(SEARCH("RESPALDO CAFE",INVENTARIO!C335)),"RES-CAF",
IF(ISNUMBER(SEARCH("RESPALDO GRIS",INVENTARIO!C335)),"RES-GRI",
IF(ISNUMBER(SEARCH("OPTICO",INVENTARIO!C335)),"OPT",
IF(ISNUMBER(SEARCH("1,2 MM",INVENTARIO!C335)),"1MM2",
IF(ISNUMBER(SEARCH("2 MM",INVENTARIO!C335)),"2MM",
IF(ISNUMBER(SEARCH("3 MM",INVENTARIO!C335)),"3MM",
IF(ISNUMBER(SEARCH("4 MM",INVENTARIO!C335)),"4MM",
IF(ISNUMBER(SEARCH("5 MM",INVENTARIO!C335)),"5MM",
IF(ISNUMBER(SEARCH("6 MM",INVENTARIO!C335)),"6MM",
IF(ISNUMBER(SEARCH("9 MM",INVENTARIO!C335)),"9MM",
IF(ISNUMBER(SEARCH("10 MM",INVENTARIO!C335)),"10MM","")))))))))))))</f>
        <v/>
      </c>
      <c r="H335" t="str">
        <f>IF(ISNUMBER(SEARCH("GAMA BAJA",INVENTARIO!C335)),"GAM-BAJ",
IF(ISNUMBER(SEARCH("OPTIMIZADOR",INVENTARIO!C335)),"OPT",
IF(ISNUMBER(SEARCH("OVERCOAT",INVENTARIO!C335)),"OVE",
IF(ISNUMBER(SEARCH("WHITE",INVENTARIO!C335)),"WHI",
IF(ISNUMBER(SEARCH("LIGHT CYAN",INVENTARIO!C335)),"LIG-CYA",
IF(ISNUMBER(SEARCH("CYAN",INVENTARIO!C335)),"CYA",
IF(ISNUMBER(SEARCH("LIGHT MAGENTA",INVENTARIO!C335)),"LIG-MAG",
IF(ISNUMBER(SEARCH("MAGENTA",INVENTARIO!C335)),"MAG",
IF(ISNUMBER(SEARCH("BLACK",INVENTARIO!C335)),"BLA",
IF(ISNUMBER(SEARCH("YELLOW",INVENTARIO!C335)),"YEL",
IF(ISNUMBER(SEARCH("2 DIODOS",INVENTARIO!C335)),"2DI",
IF(ISNUMBER(SEARCH("3 DIODOS",INVENTARIO!C335)),"3DI",
IF(OR(ISNUMBER(SEARCH("TRASLUCIDO",INVENTARIO!C335)),ISNUMBER(SEARCH("TRANSLUCIDO",INVENTARIO!C335))),"TRA",
"")))))))))))))</f>
        <v/>
      </c>
    </row>
    <row r="336" spans="1:8">
      <c r="A336" t="str">
        <f>IF(ISNUMBER(SEARCH("LONA",INVENTARIO!C336)),"LON",
IF(ISNUMBER(SEARCH("VINIL",INVENTARIO!C336)),"VIN",
IF(ISNUMBER(SEARCH("KROMACOTE",INVENTARIO!C336)),"KRO",
IF(ISNUMBER(SEARCH("STARDREAM",INVENTARIO!C336)),"STA",
IF(ISNUMBER(SEARCH("DISPLAY",INVENTARIO!C336)),"DIS",
IF(ISNUMBER(SEARCH("ROLL UP",INVENTARIO!C336)),"ROL-UP",
IF(ISNUMBER(SEARCH("TRANSFER DE PAPEL",INVENTARIO!C336)),"TRA-PAP",
IF(ISNUMBER(SEARCH("TRANSFER",INVENTARIO!C336)),"TRA",IF(ISNUMBER(SEARCH("KOLA LOKA",INVENTARIO!C336)),"KOL-LOK",
IF(ISNUMBER(SEARCH("PETG",INVENTARIO!C336)),"PET",
IF(ISNUMBER(SEARCH("OJILLO",INVENTARIO!C336)),"OJI",
IF(ISNUMBER(SEARCH("COUCHE",INVENTARIO!C336)),"COU",
IF(ISNUMBER(SEARCH("PANEL DE ALUMINIO",INVENTARIO!C336)),"PAN-ALU",
IF(ISNUMBER(SEARCH("PVC",INVENTARIO!C336)),"PVC",
IF(ISNUMBER(SEARCH("PAPEL",INVENTARIO!C336)),"PAP",
IF(ISNUMBER(SEARCH("TELA",INVENTARIO!C336)),"TEL",
IF(ISNUMBER(SEARCH("CARTULINA",INVENTARIO!C336)),"CAR",
IF(OR(ISNUMBER(SEARCH("LAMINA",INVENTARIO!C336)),ISNUMBER(SEARCH("LÁMINA",INVENTARIO!C336)),ISNUMBER(SEARCH("LAMPARAS",INVENTARIO!C336))),"LAM",
IF(ISNUMBER(SEARCH("ESTIRENO",INVENTARIO!C336)),"EST",
IF(ISNUMBER(SEARCH("FOAMBOARD",INVENTARIO!C336)),"FOA",
IF(ISNUMBER(SEARCH("SOLVENTE",INVENTARIO!C336)),"SOL",
IF(ISNUMBER(SEARCH("TINTA",INVENTARIO!C336)),"TIN",
IF(ISNUMBER(SEARCH("ACRILICO",INVENTARIO!C336)),"ACR",
IF(ISNUMBER(SEARCH("MICROLED",INVENTARIO!C336)),"MIC",
IF(ISNUMBER(SEARCH("LED",INVENTARIO!C336)),"LED",
IF(ISNUMBER(SEARCH("FUENTE DE PODER",INVENTARIO!C336)),"FUE-POD",
IF(ISNUMBER(SEARCH("PETG",INVENTARIO!C336)),"PET",
IF(ISNUMBER(SEARCH("ALUMINIO",INVENTARIO!C336)),"ALU",
IF(ISNUMBER(SEARCH("CANAL",INVENTARIO!C336)),"CAN",
IF(ISNUMBER(SEARCH("ESCUADRA",INVENTARIO!C336)),"ESC",
IF(ISNUMBER(SEARCH("SOPORTE",INVENTARIO!C336)),"SOP","OTR")
))))))))))))))))))))))))))))))</f>
        <v>COU</v>
      </c>
      <c r="B336" t="str">
        <f>IF(ISNUMBER(SEARCH("CORTE",INVENTARIO!C336)),"COR",
IF(ISNUMBER(SEARCH("CITYLIGHT",INVENTARIO!C336)),"CIT",
IF(ISNUMBER(SEARCH("LINO",INVENTARIO!C336)),"LIN",
IF(ISNUMBER(SEARCH("FABRIANO",INVENTARIO!C336)),"FAB",
IF(ISNUMBER(SEARCH("SUNDANCE",INVENTARIO!C336)),"SUN",
IF(ISNUMBER(SEARCH("SINTETICA",INVENTARIO!C336)),"SIN",
IF(ISNUMBER(SEARCH("CONTROL",INVENTARIO!C336)),"CON",
IF(ISNUMBER(SEARCH("TERMICO",INVENTARIO!C336)),"TER",
IF(ISNUMBER(SEARCH("C-15",INVENTARIO!C336)),"C15",
IF(ISNUMBER(SEARCH("C-20",INVENTARIO!C336)),"C20",
IF(ISNUMBER(SEARCH("C-30",INVENTARIO!C336)),"C30",
IF(ISNUMBER(SEARCH("C-40",INVENTARIO!C336)),"C40",
IF(ISNUMBER(SEARCH("C-60",INVENTARIO!C336)),"C60",
IF(ISNUMBER(SEARCH("C-80",INVENTARIO!C336)),"C80",
IF(ISNUMBER(SEARCH("EQUIPO",INVENTARIO!C336)),"EQU",
IF(ISNUMBER(SEARCH("FLOOR",INVENTARIO!C336)),"FLO",
IF(ISNUMBER(SEARCH("CRISTAL",INVENTARIO!C336)),"CRI",
IF(ISNUMBER(SEARCH(" SULFATADA",INVENTARIO!C347)),"SUL",
IF(ISNUMBER(SEARCH("OPALINA",INVENTARIO!C336)),"OPA",
IF(ISNUMBER(SEARCH("ADHERIBLE",INVENTARIO!C336)),"ADH",
IF(ISNUMBER(SEARCH("MICRO",INVENTARIO!C336)),"MIC","")))))))))))))))))))))</f>
        <v/>
      </c>
      <c r="C336" t="str">
        <f>IF(ISNUMBER(SEARCH("PARED",INVENTARIO!C336)),"PAR",
IF(ISNUMBER(SEARCH("FRONT",INVENTARIO!C336)),"FRO",
IF(ISNUMBER(SEARCH("ALTA RESISTENCIA",INVENTARIO!C336)),
"ALT-RES",IF(ISNUMBER(SEARCH("BACKLITE",INVENTARIO!C336)),"BAC",
IF(ISNUMBER(SEARCH("MATE",INVENTARIO!C336)),"MAT",
IF(ISNUMBER(SEARCH("MESH",INVENTARIO!C336)),"MES",
IF(ISNUMBER(SEARCH("BRILLANTE",INVENTARIO!C336)),"BRI",
IF(ISNUMBER(SEARCH("DELGADA",INVENTARIO!C336)),"DEL",
IF(ISNUMBER(SEARCH("GRUESA",INVENTARIO!C336)),"GRU",
IF(ISNUMBER(SEARCH("ESTATICO",INVENTARIO!C336)),"EST",
IF(ISNUMBER(SEARCH("REFLECTIVO",INVENTARIO!C336)),"REF",
IF(ISNUMBER(SEARCH("LX700",INVENTARIO!C336)),"LX7",
IF(ISNUMBER(SEARCH("GRANDO",INVENTARIO!C336)),"GRA",
IF(ISNUMBER(SEARCH("FB700",INVENTARIO!C336)),"FB7",
IF(ISNUMBER(SEARCH("LX360",INVENTARIO!C336)),"LX3",
IF(ISNUMBER(SEARCH("XEROX",INVENTARIO!C336)),"XER",
IF(ISNUMBER(SEARCH("CEPILLADO",INVENTARIO!C336)),"CEP",
IF(ISNUMBER(SEARCH("ESPEJO",INVENTARIO!C336)),"ESP",
IF(ISNUMBER(SEARCH("10 PTS",INVENTARIO!C336)),"10PT",
IF(ISNUMBER(SEARCH("12 PTS",INVENTARIO!C336)),"12PT",
IF(ISNUMBER(SEARCH("14 PTS",INVENTARIO!C336)),"14PT",
IF(ISNUMBER(SEARCH("CLASICO",INVENTARIO!C336)),"CLA",
""))))))))))))))))))))))</f>
        <v>MAT</v>
      </c>
      <c r="D336" t="str">
        <f>IF(ISNUMBER(SEARCH("GRAN FORMATO",INVENTARIO!C336)),"GRA-FOR",
IF(ISNUMBER(SEARCH("CAMA PLANA",INVENTARIO!C336)),"CAM-PLA",
IF(ISNUMBER(SEARCH("GRADO INGENIERIA",INVENTARIO!C336)),"GRA-ING",
IF(ISNUMBER(SEARCH("130 GRS",INVENTARIO!C336)),"130GR",
IF(ISNUMBER(SEARCH("150 GRS",INVENTARIO!C336)),"150GR",
IF(ISNUMBER(SEARCH("185 GRS",INVENTARIO!C336)),"185GR",
IF(ISNUMBER(SEARCH("200 GRS",INVENTARIO!C336)),"200GR",
IF(ISNUMBER(SEARCH("250 GRS",INVENTARIO!C336)),"250GR",
IF(ISNUMBER(SEARCH("300 GRS",INVENTARIO!C336)),"300GR",
IF(ISNUMBER(SEARCH("350 GRS",INVENTARIO!C336)),"350GR",
IF(ISNUMBER(SEARCH("18 OZ",INVENTARIO!C336)),"18OZ",
IF(ISNUMBER(SEARCH("15 OZ",INVENTARIO!C336)),"15OZ",
IF(OR(ISNUMBER(SEARCH("13 OZ",INVENTARIO!C336)),ISNUMBER(SEARCH("13 ONZAS",INVENTARIO!C336))),"13OZ",
IF(OR(ISNUMBER(SEARCH("9 OZ",INVENTARIO!C336)),ISNUMBER(SEARCH("9 ONZAS",INVENTARIO!C336))),"09OZ",
IF(ISNUMBER(SEARCH("DOBLE CARA",INVENTARIO!C336)),"DOB-CAR",
"")))))))))))))))</f>
        <v>350GR</v>
      </c>
      <c r="E336" t="str">
        <f>IF(OR(ISNUMBER(SEARCH("TRANSPARENTE",INVENTARIO!C336)),ISNUMBER(SEARCH("TRANSPARENTES",INVENTARIO!C336))),"TRA",
IF(OR(ISNUMBER(SEARCH("BLANCO",INVENTARIO!C336)),ISNUMBER(SEARCH("BCO",INVENTARIO!C336))),"BLA",
IF(ISNUMBER(SEARCH("FOTOGRAFICO",INVENTARIO!C336)),"FOT",
IF(ISNUMBER(SEARCH("MARFIL",INVENTARIO!C336)),"MAR",
IF(ISNUMBER(SEARCH("VERDE",INVENTARIO!C336)),"VER",
IF(ISNUMBER(SEARCH("MORADO",INVENTARIO!C336)),"MOR",
IF(ISNUMBER(SEARCH("PLATA",INVENTARIO!C336)),"PLA",
IF(ISNUMBER(SEARCH("ORO",INVENTARIO!C336)),"ORO",
IF(ISNUMBER(SEARCH("AMARILLO",INVENTARIO!C336)),"AMA",
IF(ISNUMBER(SEARCH("NARANJA",INVENTARIO!C336)),"NAR",
IF(ISNUMBER(SEARCH("NEGRO",INVENTARIO!C336)),"NEG",
IF(ISNUMBER(SEARCH("ROJO",INVENTARIO!C336)),"ROJ",
IF(ISNUMBER(SEARCH("AZUL",INVENTARIO!C336)),"AZU","")))))))))))))</f>
        <v/>
      </c>
      <c r="F336" t="str">
        <f>IF(ISNUMBER(SEARCH("ARLON",INVENTARIO!C336)),"ARL",
IF(ISNUMBER(SEARCH("SUNTHINKS",INVENTARIO!C336)),"SUN",
IF(ISNUMBER(SEARCH("FRIO",INVENTARIO!C336)),"FRI",
IF(ISNUMBER(SEARCH("CALIDO",INVENTARIO!C336)),"CAL",
IF(ISNUMBER(SEARCH("CEPILLADO",INVENTARIO!C336)),"CEP",
IF(ISNUMBER(SEARCH("ESPEJO",INVENTARIO!C336)),"ESP",
""))))))</f>
        <v/>
      </c>
      <c r="G336" t="str">
        <f>IF(ISNUMBER(SEARCH("LATEX",INVENTARIO!C336)),"LAT",
IF(ISNUMBER(SEARCH("RESP. NEGRO",INVENTARIO!C336)),"RES-NEG",
IF(ISNUMBER(SEARCH("RESPALDO CAFE",INVENTARIO!C336)),"RES-CAF",
IF(ISNUMBER(SEARCH("RESPALDO GRIS",INVENTARIO!C336)),"RES-GRI",
IF(ISNUMBER(SEARCH("OPTICO",INVENTARIO!C336)),"OPT",
IF(ISNUMBER(SEARCH("1,2 MM",INVENTARIO!C336)),"1MM2",
IF(ISNUMBER(SEARCH("2 MM",INVENTARIO!C336)),"2MM",
IF(ISNUMBER(SEARCH("3 MM",INVENTARIO!C336)),"3MM",
IF(ISNUMBER(SEARCH("4 MM",INVENTARIO!C336)),"4MM",
IF(ISNUMBER(SEARCH("5 MM",INVENTARIO!C336)),"5MM",
IF(ISNUMBER(SEARCH("6 MM",INVENTARIO!C336)),"6MM",
IF(ISNUMBER(SEARCH("9 MM",INVENTARIO!C336)),"9MM",
IF(ISNUMBER(SEARCH("10 MM",INVENTARIO!C336)),"10MM","")))))))))))))</f>
        <v/>
      </c>
      <c r="H336" t="str">
        <f>IF(ISNUMBER(SEARCH("GAMA BAJA",INVENTARIO!C336)),"GAM-BAJ",
IF(ISNUMBER(SEARCH("OPTIMIZADOR",INVENTARIO!C336)),"OPT",
IF(ISNUMBER(SEARCH("OVERCOAT",INVENTARIO!C336)),"OVE",
IF(ISNUMBER(SEARCH("WHITE",INVENTARIO!C336)),"WHI",
IF(ISNUMBER(SEARCH("LIGHT CYAN",INVENTARIO!C336)),"LIG-CYA",
IF(ISNUMBER(SEARCH("CYAN",INVENTARIO!C336)),"CYA",
IF(ISNUMBER(SEARCH("LIGHT MAGENTA",INVENTARIO!C336)),"LIG-MAG",
IF(ISNUMBER(SEARCH("MAGENTA",INVENTARIO!C336)),"MAG",
IF(ISNUMBER(SEARCH("BLACK",INVENTARIO!C336)),"BLA",
IF(ISNUMBER(SEARCH("YELLOW",INVENTARIO!C336)),"YEL",
IF(ISNUMBER(SEARCH("2 DIODOS",INVENTARIO!C336)),"2DI",
IF(ISNUMBER(SEARCH("3 DIODOS",INVENTARIO!C336)),"3DI",
IF(OR(ISNUMBER(SEARCH("TRASLUCIDO",INVENTARIO!C336)),ISNUMBER(SEARCH("TRANSLUCIDO",INVENTARIO!C336))),"TRA",
"")))))))))))))</f>
        <v/>
      </c>
    </row>
    <row r="337" spans="1:8">
      <c r="A337" t="str">
        <f>IF(ISNUMBER(SEARCH("LONA",INVENTARIO!C337)),"LON",
IF(ISNUMBER(SEARCH("VINIL",INVENTARIO!C337)),"VIN",
IF(ISNUMBER(SEARCH("KROMACOTE",INVENTARIO!C337)),"KRO",
IF(ISNUMBER(SEARCH("STARDREAM",INVENTARIO!C337)),"STA",
IF(ISNUMBER(SEARCH("DISPLAY",INVENTARIO!C337)),"DIS",
IF(ISNUMBER(SEARCH("ROLL UP",INVENTARIO!C337)),"ROL-UP",
IF(ISNUMBER(SEARCH("TRANSFER DE PAPEL",INVENTARIO!C337)),"TRA-PAP",
IF(ISNUMBER(SEARCH("TRANSFER",INVENTARIO!C337)),"TRA",IF(ISNUMBER(SEARCH("KOLA LOKA",INVENTARIO!C337)),"KOL-LOK",
IF(ISNUMBER(SEARCH("PETG",INVENTARIO!C337)),"PET",
IF(ISNUMBER(SEARCH("OJILLO",INVENTARIO!C337)),"OJI",
IF(ISNUMBER(SEARCH("COUCHE",INVENTARIO!C337)),"COU",
IF(ISNUMBER(SEARCH("PANEL DE ALUMINIO",INVENTARIO!C337)),"PAN-ALU",
IF(ISNUMBER(SEARCH("PVC",INVENTARIO!C337)),"PVC",
IF(ISNUMBER(SEARCH("PAPEL",INVENTARIO!C337)),"PAP",
IF(ISNUMBER(SEARCH("TELA",INVENTARIO!C337)),"TEL",
IF(ISNUMBER(SEARCH("CARTULINA",INVENTARIO!C337)),"CAR",
IF(OR(ISNUMBER(SEARCH("LAMINA",INVENTARIO!C337)),ISNUMBER(SEARCH("LÁMINA",INVENTARIO!C337)),ISNUMBER(SEARCH("LAMPARAS",INVENTARIO!C337))),"LAM",
IF(ISNUMBER(SEARCH("ESTIRENO",INVENTARIO!C337)),"EST",
IF(ISNUMBER(SEARCH("FOAMBOARD",INVENTARIO!C337)),"FOA",
IF(ISNUMBER(SEARCH("SOLVENTE",INVENTARIO!C337)),"SOL",
IF(ISNUMBER(SEARCH("TINTA",INVENTARIO!C337)),"TIN",
IF(ISNUMBER(SEARCH("ACRILICO",INVENTARIO!C337)),"ACR",
IF(ISNUMBER(SEARCH("MICROLED",INVENTARIO!C337)),"MIC",
IF(ISNUMBER(SEARCH("LED",INVENTARIO!C337)),"LED",
IF(ISNUMBER(SEARCH("FUENTE DE PODER",INVENTARIO!C337)),"FUE-POD",
IF(ISNUMBER(SEARCH("PETG",INVENTARIO!C337)),"PET",
IF(ISNUMBER(SEARCH("ALUMINIO",INVENTARIO!C337)),"ALU",
IF(ISNUMBER(SEARCH("CANAL",INVENTARIO!C337)),"CAN",
IF(ISNUMBER(SEARCH("ESCUADRA",INVENTARIO!C337)),"ESC",
IF(ISNUMBER(SEARCH("SOPORTE",INVENTARIO!C337)),"SOP","OTR")
))))))))))))))))))))))))))))))</f>
        <v>OTR</v>
      </c>
      <c r="B337" t="str">
        <f>IF(ISNUMBER(SEARCH("CORTE",INVENTARIO!C337)),"COR",
IF(ISNUMBER(SEARCH("CITYLIGHT",INVENTARIO!C337)),"CIT",
IF(ISNUMBER(SEARCH("LINO",INVENTARIO!C337)),"LIN",
IF(ISNUMBER(SEARCH("FABRIANO",INVENTARIO!C337)),"FAB",
IF(ISNUMBER(SEARCH("SUNDANCE",INVENTARIO!C337)),"SUN",
IF(ISNUMBER(SEARCH("SINTETICA",INVENTARIO!C337)),"SIN",
IF(ISNUMBER(SEARCH("CONTROL",INVENTARIO!C337)),"CON",
IF(ISNUMBER(SEARCH("TERMICO",INVENTARIO!C337)),"TER",
IF(ISNUMBER(SEARCH("C-15",INVENTARIO!C337)),"C15",
IF(ISNUMBER(SEARCH("C-20",INVENTARIO!C337)),"C20",
IF(ISNUMBER(SEARCH("C-30",INVENTARIO!C337)),"C30",
IF(ISNUMBER(SEARCH("C-40",INVENTARIO!C337)),"C40",
IF(ISNUMBER(SEARCH("C-60",INVENTARIO!C337)),"C60",
IF(ISNUMBER(SEARCH("C-80",INVENTARIO!C337)),"C80",
IF(ISNUMBER(SEARCH("EQUIPO",INVENTARIO!C337)),"EQU",
IF(ISNUMBER(SEARCH("FLOOR",INVENTARIO!C337)),"FLO",
IF(ISNUMBER(SEARCH("CRISTAL",INVENTARIO!C337)),"CRI",
IF(ISNUMBER(SEARCH(" SULFATADA",INVENTARIO!C348)),"SUL",
IF(ISNUMBER(SEARCH("OPALINA",INVENTARIO!C337)),"OPA",
IF(ISNUMBER(SEARCH("ADHERIBLE",INVENTARIO!C337)),"ADH",
IF(ISNUMBER(SEARCH("MICRO",INVENTARIO!C337)),"MIC","")))))))))))))))))))))</f>
        <v/>
      </c>
      <c r="C337" t="str">
        <f>IF(ISNUMBER(SEARCH("PARED",INVENTARIO!C337)),"PAR",
IF(ISNUMBER(SEARCH("FRONT",INVENTARIO!C337)),"FRO",
IF(ISNUMBER(SEARCH("ALTA RESISTENCIA",INVENTARIO!C337)),
"ALT-RES",IF(ISNUMBER(SEARCH("BACKLITE",INVENTARIO!C337)),"BAC",
IF(ISNUMBER(SEARCH("MATE",INVENTARIO!C337)),"MAT",
IF(ISNUMBER(SEARCH("MESH",INVENTARIO!C337)),"MES",
IF(ISNUMBER(SEARCH("BRILLANTE",INVENTARIO!C337)),"BRI",
IF(ISNUMBER(SEARCH("DELGADA",INVENTARIO!C337)),"DEL",
IF(ISNUMBER(SEARCH("GRUESA",INVENTARIO!C337)),"GRU",
IF(ISNUMBER(SEARCH("ESTATICO",INVENTARIO!C337)),"EST",
IF(ISNUMBER(SEARCH("REFLECTIVO",INVENTARIO!C337)),"REF",
IF(ISNUMBER(SEARCH("LX700",INVENTARIO!C337)),"LX7",
IF(ISNUMBER(SEARCH("GRANDO",INVENTARIO!C337)),"GRA",
IF(ISNUMBER(SEARCH("FB700",INVENTARIO!C337)),"FB7",
IF(ISNUMBER(SEARCH("LX360",INVENTARIO!C337)),"LX3",
IF(ISNUMBER(SEARCH("XEROX",INVENTARIO!C337)),"XER",
IF(ISNUMBER(SEARCH("CEPILLADO",INVENTARIO!C337)),"CEP",
IF(ISNUMBER(SEARCH("ESPEJO",INVENTARIO!C337)),"ESP",
IF(ISNUMBER(SEARCH("10 PTS",INVENTARIO!C337)),"10PT",
IF(ISNUMBER(SEARCH("12 PTS",INVENTARIO!C337)),"12PT",
IF(ISNUMBER(SEARCH("14 PTS",INVENTARIO!C337)),"14PT",
IF(ISNUMBER(SEARCH("CLASICO",INVENTARIO!C337)),"CLA",
""))))))))))))))))))))))</f>
        <v/>
      </c>
      <c r="D337" t="str">
        <f>IF(ISNUMBER(SEARCH("GRAN FORMATO",INVENTARIO!C337)),"GRA-FOR",
IF(ISNUMBER(SEARCH("CAMA PLANA",INVENTARIO!C337)),"CAM-PLA",
IF(ISNUMBER(SEARCH("GRADO INGENIERIA",INVENTARIO!C337)),"GRA-ING",
IF(ISNUMBER(SEARCH("130 GRS",INVENTARIO!C337)),"130GR",
IF(ISNUMBER(SEARCH("150 GRS",INVENTARIO!C337)),"150GR",
IF(ISNUMBER(SEARCH("185 GRS",INVENTARIO!C337)),"185GR",
IF(ISNUMBER(SEARCH("200 GRS",INVENTARIO!C337)),"200GR",
IF(ISNUMBER(SEARCH("250 GRS",INVENTARIO!C337)),"250GR",
IF(ISNUMBER(SEARCH("300 GRS",INVENTARIO!C337)),"300GR",
IF(ISNUMBER(SEARCH("350 GRS",INVENTARIO!C337)),"350GR",
IF(ISNUMBER(SEARCH("18 OZ",INVENTARIO!C337)),"18OZ",
IF(ISNUMBER(SEARCH("15 OZ",INVENTARIO!C337)),"15OZ",
IF(OR(ISNUMBER(SEARCH("13 OZ",INVENTARIO!C337)),ISNUMBER(SEARCH("13 ONZAS",INVENTARIO!C337))),"13OZ",
IF(OR(ISNUMBER(SEARCH("9 OZ",INVENTARIO!C337)),ISNUMBER(SEARCH("9 ONZAS",INVENTARIO!C337))),"09OZ",
IF(ISNUMBER(SEARCH("DOBLE CARA",INVENTARIO!C337)),"DOB-CAR",
"")))))))))))))))</f>
        <v/>
      </c>
      <c r="E337" t="str">
        <f>IF(OR(ISNUMBER(SEARCH("TRANSPARENTE",INVENTARIO!C337)),ISNUMBER(SEARCH("TRANSPARENTES",INVENTARIO!C337))),"TRA",
IF(OR(ISNUMBER(SEARCH("BLANCO",INVENTARIO!C337)),ISNUMBER(SEARCH("BCO",INVENTARIO!C337))),"BLA",
IF(ISNUMBER(SEARCH("FOTOGRAFICO",INVENTARIO!C337)),"FOT",
IF(ISNUMBER(SEARCH("MARFIL",INVENTARIO!C337)),"MAR",
IF(ISNUMBER(SEARCH("VERDE",INVENTARIO!C337)),"VER",
IF(ISNUMBER(SEARCH("MORADO",INVENTARIO!C337)),"MOR",
IF(ISNUMBER(SEARCH("PLATA",INVENTARIO!C337)),"PLA",
IF(ISNUMBER(SEARCH("ORO",INVENTARIO!C337)),"ORO",
IF(ISNUMBER(SEARCH("AMARILLO",INVENTARIO!C337)),"AMA",
IF(ISNUMBER(SEARCH("NARANJA",INVENTARIO!C337)),"NAR",
IF(ISNUMBER(SEARCH("NEGRO",INVENTARIO!C337)),"NEG",
IF(ISNUMBER(SEARCH("ROJO",INVENTARIO!C337)),"ROJ",
IF(ISNUMBER(SEARCH("AZUL",INVENTARIO!C337)),"AZU","")))))))))))))</f>
        <v>MAR</v>
      </c>
      <c r="F337" t="str">
        <f>IF(ISNUMBER(SEARCH("ARLON",INVENTARIO!C337)),"ARL",
IF(ISNUMBER(SEARCH("SUNTHINKS",INVENTARIO!C337)),"SUN",
IF(ISNUMBER(SEARCH("FRIO",INVENTARIO!C337)),"FRI",
IF(ISNUMBER(SEARCH("CALIDO",INVENTARIO!C337)),"CAL",
IF(ISNUMBER(SEARCH("CEPILLADO",INVENTARIO!C337)),"CEP",
IF(ISNUMBER(SEARCH("ESPEJO",INVENTARIO!C337)),"ESP",
""))))))</f>
        <v/>
      </c>
      <c r="G337" t="str">
        <f>IF(ISNUMBER(SEARCH("LATEX",INVENTARIO!C337)),"LAT",
IF(ISNUMBER(SEARCH("RESP. NEGRO",INVENTARIO!C337)),"RES-NEG",
IF(ISNUMBER(SEARCH("RESPALDO CAFE",INVENTARIO!C337)),"RES-CAF",
IF(ISNUMBER(SEARCH("RESPALDO GRIS",INVENTARIO!C337)),"RES-GRI",
IF(ISNUMBER(SEARCH("OPTICO",INVENTARIO!C337)),"OPT",
IF(ISNUMBER(SEARCH("1,2 MM",INVENTARIO!C337)),"1MM2",
IF(ISNUMBER(SEARCH("2 MM",INVENTARIO!C337)),"2MM",
IF(ISNUMBER(SEARCH("3 MM",INVENTARIO!C337)),"3MM",
IF(ISNUMBER(SEARCH("4 MM",INVENTARIO!C337)),"4MM",
IF(ISNUMBER(SEARCH("5 MM",INVENTARIO!C337)),"5MM",
IF(ISNUMBER(SEARCH("6 MM",INVENTARIO!C337)),"6MM",
IF(ISNUMBER(SEARCH("9 MM",INVENTARIO!C337)),"9MM",
IF(ISNUMBER(SEARCH("10 MM",INVENTARIO!C337)),"10MM","")))))))))))))</f>
        <v/>
      </c>
      <c r="H337" t="str">
        <f>IF(ISNUMBER(SEARCH("GAMA BAJA",INVENTARIO!C337)),"GAM-BAJ",
IF(ISNUMBER(SEARCH("OPTIMIZADOR",INVENTARIO!C337)),"OPT",
IF(ISNUMBER(SEARCH("OVERCOAT",INVENTARIO!C337)),"OVE",
IF(ISNUMBER(SEARCH("WHITE",INVENTARIO!C337)),"WHI",
IF(ISNUMBER(SEARCH("LIGHT CYAN",INVENTARIO!C337)),"LIG-CYA",
IF(ISNUMBER(SEARCH("CYAN",INVENTARIO!C337)),"CYA",
IF(ISNUMBER(SEARCH("LIGHT MAGENTA",INVENTARIO!C337)),"LIG-MAG",
IF(ISNUMBER(SEARCH("MAGENTA",INVENTARIO!C337)),"MAG",
IF(ISNUMBER(SEARCH("BLACK",INVENTARIO!C337)),"BLA",
IF(ISNUMBER(SEARCH("YELLOW",INVENTARIO!C337)),"YEL",
IF(ISNUMBER(SEARCH("2 DIODOS",INVENTARIO!C337)),"2DI",
IF(ISNUMBER(SEARCH("3 DIODOS",INVENTARIO!C337)),"3DI",
IF(OR(ISNUMBER(SEARCH("TRASLUCIDO",INVENTARIO!C337)),ISNUMBER(SEARCH("TRANSLUCIDO",INVENTARIO!C337))),"TRA",
"")))))))))))))</f>
        <v/>
      </c>
    </row>
    <row r="338" spans="1:8">
      <c r="A338" t="str">
        <f>IF(ISNUMBER(SEARCH("LONA",INVENTARIO!C338)),"LON",
IF(ISNUMBER(SEARCH("VINIL",INVENTARIO!C338)),"VIN",
IF(ISNUMBER(SEARCH("KROMACOTE",INVENTARIO!C338)),"KRO",
IF(ISNUMBER(SEARCH("STARDREAM",INVENTARIO!C338)),"STA",
IF(ISNUMBER(SEARCH("DISPLAY",INVENTARIO!C338)),"DIS",
IF(ISNUMBER(SEARCH("ROLL UP",INVENTARIO!C338)),"ROL-UP",
IF(ISNUMBER(SEARCH("TRANSFER DE PAPEL",INVENTARIO!C338)),"TRA-PAP",
IF(ISNUMBER(SEARCH("TRANSFER",INVENTARIO!C338)),"TRA",IF(ISNUMBER(SEARCH("KOLA LOKA",INVENTARIO!C338)),"KOL-LOK",
IF(ISNUMBER(SEARCH("PETG",INVENTARIO!C338)),"PET",
IF(ISNUMBER(SEARCH("OJILLO",INVENTARIO!C338)),"OJI",
IF(ISNUMBER(SEARCH("COUCHE",INVENTARIO!C338)),"COU",
IF(ISNUMBER(SEARCH("PANEL DE ALUMINIO",INVENTARIO!C338)),"PAN-ALU",
IF(ISNUMBER(SEARCH("PVC",INVENTARIO!C338)),"PVC",
IF(ISNUMBER(SEARCH("PAPEL",INVENTARIO!C338)),"PAP",
IF(ISNUMBER(SEARCH("TELA",INVENTARIO!C338)),"TEL",
IF(ISNUMBER(SEARCH("CARTULINA",INVENTARIO!C338)),"CAR",
IF(OR(ISNUMBER(SEARCH("LAMINA",INVENTARIO!C338)),ISNUMBER(SEARCH("LÁMINA",INVENTARIO!C338)),ISNUMBER(SEARCH("LAMPARAS",INVENTARIO!C338))),"LAM",
IF(ISNUMBER(SEARCH("ESTIRENO",INVENTARIO!C338)),"EST",
IF(ISNUMBER(SEARCH("FOAMBOARD",INVENTARIO!C338)),"FOA",
IF(ISNUMBER(SEARCH("SOLVENTE",INVENTARIO!C338)),"SOL",
IF(ISNUMBER(SEARCH("TINTA",INVENTARIO!C338)),"TIN",
IF(ISNUMBER(SEARCH("ACRILICO",INVENTARIO!C338)),"ACR",
IF(ISNUMBER(SEARCH("MICROLED",INVENTARIO!C338)),"MIC",
IF(ISNUMBER(SEARCH("LED",INVENTARIO!C338)),"LED",
IF(ISNUMBER(SEARCH("FUENTE DE PODER",INVENTARIO!C338)),"FUE-POD",
IF(ISNUMBER(SEARCH("PETG",INVENTARIO!C338)),"PET",
IF(ISNUMBER(SEARCH("ALUMINIO",INVENTARIO!C338)),"ALU",
IF(ISNUMBER(SEARCH("CANAL",INVENTARIO!C338)),"CAN",
IF(ISNUMBER(SEARCH("ESCUADRA",INVENTARIO!C338)),"ESC",
IF(ISNUMBER(SEARCH("SOPORTE",INVENTARIO!C338)),"SOP","OTR")
))))))))))))))))))))))))))))))</f>
        <v>OTR</v>
      </c>
      <c r="B338" t="str">
        <f>IF(ISNUMBER(SEARCH("CORTE",INVENTARIO!C338)),"COR",
IF(ISNUMBER(SEARCH("CITYLIGHT",INVENTARIO!C338)),"CIT",
IF(ISNUMBER(SEARCH("LINO",INVENTARIO!C338)),"LIN",
IF(ISNUMBER(SEARCH("FABRIANO",INVENTARIO!C338)),"FAB",
IF(ISNUMBER(SEARCH("SUNDANCE",INVENTARIO!C338)),"SUN",
IF(ISNUMBER(SEARCH("SINTETICA",INVENTARIO!C338)),"SIN",
IF(ISNUMBER(SEARCH("CONTROL",INVENTARIO!C338)),"CON",
IF(ISNUMBER(SEARCH("TERMICO",INVENTARIO!C338)),"TER",
IF(ISNUMBER(SEARCH("C-15",INVENTARIO!C338)),"C15",
IF(ISNUMBER(SEARCH("C-20",INVENTARIO!C338)),"C20",
IF(ISNUMBER(SEARCH("C-30",INVENTARIO!C338)),"C30",
IF(ISNUMBER(SEARCH("C-40",INVENTARIO!C338)),"C40",
IF(ISNUMBER(SEARCH("C-60",INVENTARIO!C338)),"C60",
IF(ISNUMBER(SEARCH("C-80",INVENTARIO!C338)),"C80",
IF(ISNUMBER(SEARCH("EQUIPO",INVENTARIO!C338)),"EQU",
IF(ISNUMBER(SEARCH("FLOOR",INVENTARIO!C338)),"FLO",
IF(ISNUMBER(SEARCH("CRISTAL",INVENTARIO!C338)),"CRI",
IF(ISNUMBER(SEARCH(" SULFATADA",INVENTARIO!C349)),"SUL",
IF(ISNUMBER(SEARCH("OPALINA",INVENTARIO!C338)),"OPA",
IF(ISNUMBER(SEARCH("ADHERIBLE",INVENTARIO!C338)),"ADH",
IF(ISNUMBER(SEARCH("MICRO",INVENTARIO!C338)),"MIC","")))))))))))))))))))))</f>
        <v/>
      </c>
      <c r="C338" t="str">
        <f>IF(ISNUMBER(SEARCH("PARED",INVENTARIO!C338)),"PAR",
IF(ISNUMBER(SEARCH("FRONT",INVENTARIO!C338)),"FRO",
IF(ISNUMBER(SEARCH("ALTA RESISTENCIA",INVENTARIO!C338)),
"ALT-RES",IF(ISNUMBER(SEARCH("BACKLITE",INVENTARIO!C338)),"BAC",
IF(ISNUMBER(SEARCH("MATE",INVENTARIO!C338)),"MAT",
IF(ISNUMBER(SEARCH("MESH",INVENTARIO!C338)),"MES",
IF(ISNUMBER(SEARCH("BRILLANTE",INVENTARIO!C338)),"BRI",
IF(ISNUMBER(SEARCH("DELGADA",INVENTARIO!C338)),"DEL",
IF(ISNUMBER(SEARCH("GRUESA",INVENTARIO!C338)),"GRU",
IF(ISNUMBER(SEARCH("ESTATICO",INVENTARIO!C338)),"EST",
IF(ISNUMBER(SEARCH("REFLECTIVO",INVENTARIO!C338)),"REF",
IF(ISNUMBER(SEARCH("LX700",INVENTARIO!C338)),"LX7",
IF(ISNUMBER(SEARCH("GRANDO",INVENTARIO!C338)),"GRA",
IF(ISNUMBER(SEARCH("FB700",INVENTARIO!C338)),"FB7",
IF(ISNUMBER(SEARCH("LX360",INVENTARIO!C338)),"LX3",
IF(ISNUMBER(SEARCH("XEROX",INVENTARIO!C338)),"XER",
IF(ISNUMBER(SEARCH("CEPILLADO",INVENTARIO!C338)),"CEP",
IF(ISNUMBER(SEARCH("ESPEJO",INVENTARIO!C338)),"ESP",
IF(ISNUMBER(SEARCH("10 PTS",INVENTARIO!C338)),"10PT",
IF(ISNUMBER(SEARCH("12 PTS",INVENTARIO!C338)),"12PT",
IF(ISNUMBER(SEARCH("14 PTS",INVENTARIO!C338)),"14PT",
IF(ISNUMBER(SEARCH("CLASICO",INVENTARIO!C338)),"CLA",
""))))))))))))))))))))))</f>
        <v/>
      </c>
      <c r="D338" t="str">
        <f>IF(ISNUMBER(SEARCH("GRAN FORMATO",INVENTARIO!C338)),"GRA-FOR",
IF(ISNUMBER(SEARCH("CAMA PLANA",INVENTARIO!C338)),"CAM-PLA",
IF(ISNUMBER(SEARCH("GRADO INGENIERIA",INVENTARIO!C338)),"GRA-ING",
IF(ISNUMBER(SEARCH("130 GRS",INVENTARIO!C338)),"130GR",
IF(ISNUMBER(SEARCH("150 GRS",INVENTARIO!C338)),"150GR",
IF(ISNUMBER(SEARCH("185 GRS",INVENTARIO!C338)),"185GR",
IF(ISNUMBER(SEARCH("200 GRS",INVENTARIO!C338)),"200GR",
IF(ISNUMBER(SEARCH("250 GRS",INVENTARIO!C338)),"250GR",
IF(ISNUMBER(SEARCH("300 GRS",INVENTARIO!C338)),"300GR",
IF(ISNUMBER(SEARCH("350 GRS",INVENTARIO!C338)),"350GR",
IF(ISNUMBER(SEARCH("18 OZ",INVENTARIO!C338)),"18OZ",
IF(ISNUMBER(SEARCH("15 OZ",INVENTARIO!C338)),"15OZ",
IF(OR(ISNUMBER(SEARCH("13 OZ",INVENTARIO!C338)),ISNUMBER(SEARCH("13 ONZAS",INVENTARIO!C338))),"13OZ",
IF(OR(ISNUMBER(SEARCH("9 OZ",INVENTARIO!C338)),ISNUMBER(SEARCH("9 ONZAS",INVENTARIO!C338))),"09OZ",
IF(ISNUMBER(SEARCH("DOBLE CARA",INVENTARIO!C338)),"DOB-CAR",
"")))))))))))))))</f>
        <v/>
      </c>
      <c r="E338" t="str">
        <f>IF(OR(ISNUMBER(SEARCH("TRANSPARENTE",INVENTARIO!C338)),ISNUMBER(SEARCH("TRANSPARENTES",INVENTARIO!C338))),"TRA",
IF(OR(ISNUMBER(SEARCH("BLANCO",INVENTARIO!C338)),ISNUMBER(SEARCH("BCO",INVENTARIO!C338))),"BLA",
IF(ISNUMBER(SEARCH("FOTOGRAFICO",INVENTARIO!C338)),"FOT",
IF(ISNUMBER(SEARCH("MARFIL",INVENTARIO!C338)),"MAR",
IF(ISNUMBER(SEARCH("VERDE",INVENTARIO!C338)),"VER",
IF(ISNUMBER(SEARCH("MORADO",INVENTARIO!C338)),"MOR",
IF(ISNUMBER(SEARCH("PLATA",INVENTARIO!C338)),"PLA",
IF(ISNUMBER(SEARCH("ORO",INVENTARIO!C338)),"ORO",
IF(ISNUMBER(SEARCH("AMARILLO",INVENTARIO!C338)),"AMA",
IF(ISNUMBER(SEARCH("NARANJA",INVENTARIO!C338)),"NAR",
IF(ISNUMBER(SEARCH("NEGRO",INVENTARIO!C338)),"NEG",
IF(ISNUMBER(SEARCH("ROJO",INVENTARIO!C338)),"ROJ",
IF(ISNUMBER(SEARCH("AZUL",INVENTARIO!C338)),"AZU","")))))))))))))</f>
        <v/>
      </c>
      <c r="F338" t="str">
        <f>IF(ISNUMBER(SEARCH("ARLON",INVENTARIO!C338)),"ARL",
IF(ISNUMBER(SEARCH("SUNTHINKS",INVENTARIO!C338)),"SUN",
IF(ISNUMBER(SEARCH("FRIO",INVENTARIO!C338)),"FRI",
IF(ISNUMBER(SEARCH("CALIDO",INVENTARIO!C338)),"CAL",
IF(ISNUMBER(SEARCH("CEPILLADO",INVENTARIO!C338)),"CEP",
IF(ISNUMBER(SEARCH("ESPEJO",INVENTARIO!C338)),"ESP",
""))))))</f>
        <v/>
      </c>
      <c r="G338" t="str">
        <f>IF(ISNUMBER(SEARCH("LATEX",INVENTARIO!C338)),"LAT",
IF(ISNUMBER(SEARCH("RESP. NEGRO",INVENTARIO!C338)),"RES-NEG",
IF(ISNUMBER(SEARCH("RESPALDO CAFE",INVENTARIO!C338)),"RES-CAF",
IF(ISNUMBER(SEARCH("RESPALDO GRIS",INVENTARIO!C338)),"RES-GRI",
IF(ISNUMBER(SEARCH("OPTICO",INVENTARIO!C338)),"OPT",
IF(ISNUMBER(SEARCH("1,2 MM",INVENTARIO!C338)),"1MM2",
IF(ISNUMBER(SEARCH("2 MM",INVENTARIO!C338)),"2MM",
IF(ISNUMBER(SEARCH("3 MM",INVENTARIO!C338)),"3MM",
IF(ISNUMBER(SEARCH("4 MM",INVENTARIO!C338)),"4MM",
IF(ISNUMBER(SEARCH("5 MM",INVENTARIO!C338)),"5MM",
IF(ISNUMBER(SEARCH("6 MM",INVENTARIO!C338)),"6MM",
IF(ISNUMBER(SEARCH("9 MM",INVENTARIO!C338)),"9MM",
IF(ISNUMBER(SEARCH("10 MM",INVENTARIO!C338)),"10MM","")))))))))))))</f>
        <v/>
      </c>
      <c r="H338" t="str">
        <f>IF(ISNUMBER(SEARCH("GAMA BAJA",INVENTARIO!C338)),"GAM-BAJ",
IF(ISNUMBER(SEARCH("OPTIMIZADOR",INVENTARIO!C338)),"OPT",
IF(ISNUMBER(SEARCH("OVERCOAT",INVENTARIO!C338)),"OVE",
IF(ISNUMBER(SEARCH("WHITE",INVENTARIO!C338)),"WHI",
IF(ISNUMBER(SEARCH("LIGHT CYAN",INVENTARIO!C338)),"LIG-CYA",
IF(ISNUMBER(SEARCH("CYAN",INVENTARIO!C338)),"CYA",
IF(ISNUMBER(SEARCH("LIGHT MAGENTA",INVENTARIO!C338)),"LIG-MAG",
IF(ISNUMBER(SEARCH("MAGENTA",INVENTARIO!C338)),"MAG",
IF(ISNUMBER(SEARCH("BLACK",INVENTARIO!C338)),"BLA",
IF(ISNUMBER(SEARCH("YELLOW",INVENTARIO!C338)),"YEL",
IF(ISNUMBER(SEARCH("2 DIODOS",INVENTARIO!C338)),"2DI",
IF(ISNUMBER(SEARCH("3 DIODOS",INVENTARIO!C338)),"3DI",
IF(OR(ISNUMBER(SEARCH("TRASLUCIDO",INVENTARIO!C338)),ISNUMBER(SEARCH("TRANSLUCIDO",INVENTARIO!C338))),"TRA",
"")))))))))))))</f>
        <v/>
      </c>
    </row>
    <row r="339" spans="1:8">
      <c r="A339" t="str">
        <f>IF(ISNUMBER(SEARCH("LONA",INVENTARIO!C339)),"LON",
IF(ISNUMBER(SEARCH("VINIL",INVENTARIO!C339)),"VIN",
IF(ISNUMBER(SEARCH("KROMACOTE",INVENTARIO!C339)),"KRO",
IF(ISNUMBER(SEARCH("STARDREAM",INVENTARIO!C339)),"STA",
IF(ISNUMBER(SEARCH("DISPLAY",INVENTARIO!C339)),"DIS",
IF(ISNUMBER(SEARCH("ROLL UP",INVENTARIO!C339)),"ROL-UP",
IF(ISNUMBER(SEARCH("TRANSFER DE PAPEL",INVENTARIO!C339)),"TRA-PAP",
IF(ISNUMBER(SEARCH("TRANSFER",INVENTARIO!C339)),"TRA",IF(ISNUMBER(SEARCH("KOLA LOKA",INVENTARIO!C339)),"KOL-LOK",
IF(ISNUMBER(SEARCH("PETG",INVENTARIO!C339)),"PET",
IF(ISNUMBER(SEARCH("OJILLO",INVENTARIO!C339)),"OJI",
IF(ISNUMBER(SEARCH("COUCHE",INVENTARIO!C339)),"COU",
IF(ISNUMBER(SEARCH("PANEL DE ALUMINIO",INVENTARIO!C339)),"PAN-ALU",
IF(ISNUMBER(SEARCH("PVC",INVENTARIO!C339)),"PVC",
IF(ISNUMBER(SEARCH("PAPEL",INVENTARIO!C339)),"PAP",
IF(ISNUMBER(SEARCH("TELA",INVENTARIO!C339)),"TEL",
IF(ISNUMBER(SEARCH("CARTULINA",INVENTARIO!C339)),"CAR",
IF(OR(ISNUMBER(SEARCH("LAMINA",INVENTARIO!C339)),ISNUMBER(SEARCH("LÁMINA",INVENTARIO!C339)),ISNUMBER(SEARCH("LAMPARAS",INVENTARIO!C339))),"LAM",
IF(ISNUMBER(SEARCH("ESTIRENO",INVENTARIO!C339)),"EST",
IF(ISNUMBER(SEARCH("FOAMBOARD",INVENTARIO!C339)),"FOA",
IF(ISNUMBER(SEARCH("SOLVENTE",INVENTARIO!C339)),"SOL",
IF(ISNUMBER(SEARCH("TINTA",INVENTARIO!C339)),"TIN",
IF(ISNUMBER(SEARCH("ACRILICO",INVENTARIO!C339)),"ACR",
IF(ISNUMBER(SEARCH("MICROLED",INVENTARIO!C339)),"MIC",
IF(ISNUMBER(SEARCH("LED",INVENTARIO!C339)),"LED",
IF(ISNUMBER(SEARCH("FUENTE DE PODER",INVENTARIO!C339)),"FUE-POD",
IF(ISNUMBER(SEARCH("PETG",INVENTARIO!C339)),"PET",
IF(ISNUMBER(SEARCH("ALUMINIO",INVENTARIO!C339)),"ALU",
IF(ISNUMBER(SEARCH("CANAL",INVENTARIO!C339)),"CAN",
IF(ISNUMBER(SEARCH("ESCUADRA",INVENTARIO!C339)),"ESC",
IF(ISNUMBER(SEARCH("SOPORTE",INVENTARIO!C339)),"SOP","OTR")
))))))))))))))))))))))))))))))</f>
        <v>PAP</v>
      </c>
      <c r="B339" t="str">
        <f>IF(ISNUMBER(SEARCH("CORTE",INVENTARIO!C339)),"COR",
IF(ISNUMBER(SEARCH("CITYLIGHT",INVENTARIO!C339)),"CIT",
IF(ISNUMBER(SEARCH("LINO",INVENTARIO!C339)),"LIN",
IF(ISNUMBER(SEARCH("FABRIANO",INVENTARIO!C339)),"FAB",
IF(ISNUMBER(SEARCH("SUNDANCE",INVENTARIO!C339)),"SUN",
IF(ISNUMBER(SEARCH("SINTETICA",INVENTARIO!C339)),"SIN",
IF(ISNUMBER(SEARCH("CONTROL",INVENTARIO!C339)),"CON",
IF(ISNUMBER(SEARCH("TERMICO",INVENTARIO!C339)),"TER",
IF(ISNUMBER(SEARCH("C-15",INVENTARIO!C339)),"C15",
IF(ISNUMBER(SEARCH("C-20",INVENTARIO!C339)),"C20",
IF(ISNUMBER(SEARCH("C-30",INVENTARIO!C339)),"C30",
IF(ISNUMBER(SEARCH("C-40",INVENTARIO!C339)),"C40",
IF(ISNUMBER(SEARCH("C-60",INVENTARIO!C339)),"C60",
IF(ISNUMBER(SEARCH("C-80",INVENTARIO!C339)),"C80",
IF(ISNUMBER(SEARCH("EQUIPO",INVENTARIO!C339)),"EQU",
IF(ISNUMBER(SEARCH("FLOOR",INVENTARIO!C339)),"FLO",
IF(ISNUMBER(SEARCH("CRISTAL",INVENTARIO!C339)),"CRI",
IF(ISNUMBER(SEARCH(" SULFATADA",INVENTARIO!C350)),"SUL",
IF(ISNUMBER(SEARCH("OPALINA",INVENTARIO!C339)),"OPA",
IF(ISNUMBER(SEARCH("ADHERIBLE",INVENTARIO!C339)),"ADH",
IF(ISNUMBER(SEARCH("MICRO",INVENTARIO!C339)),"MIC","")))))))))))))))))))))</f>
        <v>SUN</v>
      </c>
      <c r="C339" t="str">
        <f>IF(ISNUMBER(SEARCH("PARED",INVENTARIO!C339)),"PAR",
IF(ISNUMBER(SEARCH("FRONT",INVENTARIO!C339)),"FRO",
IF(ISNUMBER(SEARCH("ALTA RESISTENCIA",INVENTARIO!C339)),
"ALT-RES",IF(ISNUMBER(SEARCH("BACKLITE",INVENTARIO!C339)),"BAC",
IF(ISNUMBER(SEARCH("MATE",INVENTARIO!C339)),"MAT",
IF(ISNUMBER(SEARCH("MESH",INVENTARIO!C339)),"MES",
IF(ISNUMBER(SEARCH("BRILLANTE",INVENTARIO!C339)),"BRI",
IF(ISNUMBER(SEARCH("DELGADA",INVENTARIO!C339)),"DEL",
IF(ISNUMBER(SEARCH("GRUESA",INVENTARIO!C339)),"GRU",
IF(ISNUMBER(SEARCH("ESTATICO",INVENTARIO!C339)),"EST",
IF(ISNUMBER(SEARCH("REFLECTIVO",INVENTARIO!C339)),"REF",
IF(ISNUMBER(SEARCH("LX700",INVENTARIO!C339)),"LX7",
IF(ISNUMBER(SEARCH("GRANDO",INVENTARIO!C339)),"GRA",
IF(ISNUMBER(SEARCH("FB700",INVENTARIO!C339)),"FB7",
IF(ISNUMBER(SEARCH("LX360",INVENTARIO!C339)),"LX3",
IF(ISNUMBER(SEARCH("XEROX",INVENTARIO!C339)),"XER",
IF(ISNUMBER(SEARCH("CEPILLADO",INVENTARIO!C339)),"CEP",
IF(ISNUMBER(SEARCH("ESPEJO",INVENTARIO!C339)),"ESP",
IF(ISNUMBER(SEARCH("10 PTS",INVENTARIO!C339)),"10PT",
IF(ISNUMBER(SEARCH("12 PTS",INVENTARIO!C339)),"12PT",
IF(ISNUMBER(SEARCH("14 PTS",INVENTARIO!C339)),"14PT",
IF(ISNUMBER(SEARCH("CLASICO",INVENTARIO!C339)),"CLA",
""))))))))))))))))))))))</f>
        <v/>
      </c>
      <c r="D339" t="str">
        <f>IF(ISNUMBER(SEARCH("GRAN FORMATO",INVENTARIO!C339)),"GRA-FOR",
IF(ISNUMBER(SEARCH("CAMA PLANA",INVENTARIO!C339)),"CAM-PLA",
IF(ISNUMBER(SEARCH("GRADO INGENIERIA",INVENTARIO!C339)),"GRA-ING",
IF(ISNUMBER(SEARCH("130 GRS",INVENTARIO!C339)),"130GR",
IF(ISNUMBER(SEARCH("150 GRS",INVENTARIO!C339)),"150GR",
IF(ISNUMBER(SEARCH("185 GRS",INVENTARIO!C339)),"185GR",
IF(ISNUMBER(SEARCH("200 GRS",INVENTARIO!C339)),"200GR",
IF(ISNUMBER(SEARCH("250 GRS",INVENTARIO!C339)),"250GR",
IF(ISNUMBER(SEARCH("300 GRS",INVENTARIO!C339)),"300GR",
IF(ISNUMBER(SEARCH("350 GRS",INVENTARIO!C339)),"350GR",
IF(ISNUMBER(SEARCH("18 OZ",INVENTARIO!C339)),"18OZ",
IF(ISNUMBER(SEARCH("15 OZ",INVENTARIO!C339)),"15OZ",
IF(OR(ISNUMBER(SEARCH("13 OZ",INVENTARIO!C339)),ISNUMBER(SEARCH("13 ONZAS",INVENTARIO!C339))),"13OZ",
IF(OR(ISNUMBER(SEARCH("9 OZ",INVENTARIO!C339)),ISNUMBER(SEARCH("9 ONZAS",INVENTARIO!C339))),"09OZ",
IF(ISNUMBER(SEARCH("DOBLE CARA",INVENTARIO!C339)),"DOB-CAR",
"")))))))))))))))</f>
        <v/>
      </c>
      <c r="E339" t="str">
        <f>IF(OR(ISNUMBER(SEARCH("TRANSPARENTE",INVENTARIO!C339)),ISNUMBER(SEARCH("TRANSPARENTES",INVENTARIO!C339))),"TRA",
IF(OR(ISNUMBER(SEARCH("BLANCO",INVENTARIO!C339)),ISNUMBER(SEARCH("BCO",INVENTARIO!C339))),"BLA",
IF(ISNUMBER(SEARCH("FOTOGRAFICO",INVENTARIO!C339)),"FOT",
IF(ISNUMBER(SEARCH("MARFIL",INVENTARIO!C339)),"MAR",
IF(ISNUMBER(SEARCH("VERDE",INVENTARIO!C339)),"VER",
IF(ISNUMBER(SEARCH("MORADO",INVENTARIO!C339)),"MOR",
IF(ISNUMBER(SEARCH("PLATA",INVENTARIO!C339)),"PLA",
IF(ISNUMBER(SEARCH("ORO",INVENTARIO!C339)),"ORO",
IF(ISNUMBER(SEARCH("AMARILLO",INVENTARIO!C339)),"AMA",
IF(ISNUMBER(SEARCH("NARANJA",INVENTARIO!C339)),"NAR",
IF(ISNUMBER(SEARCH("NEGRO",INVENTARIO!C339)),"NEG",
IF(ISNUMBER(SEARCH("ROJO",INVENTARIO!C339)),"ROJ",
IF(ISNUMBER(SEARCH("AZUL",INVENTARIO!C339)),"AZU","")))))))))))))</f>
        <v>BLA</v>
      </c>
      <c r="F339" t="str">
        <f>IF(ISNUMBER(SEARCH("ARLON",INVENTARIO!C339)),"ARL",
IF(ISNUMBER(SEARCH("SUNTHINKS",INVENTARIO!C339)),"SUN",
IF(ISNUMBER(SEARCH("FRIO",INVENTARIO!C339)),"FRI",
IF(ISNUMBER(SEARCH("CALIDO",INVENTARIO!C339)),"CAL",
IF(ISNUMBER(SEARCH("CEPILLADO",INVENTARIO!C339)),"CEP",
IF(ISNUMBER(SEARCH("ESPEJO",INVENTARIO!C339)),"ESP",
""))))))</f>
        <v/>
      </c>
      <c r="G339" t="str">
        <f>IF(ISNUMBER(SEARCH("LATEX",INVENTARIO!C339)),"LAT",
IF(ISNUMBER(SEARCH("RESP. NEGRO",INVENTARIO!C339)),"RES-NEG",
IF(ISNUMBER(SEARCH("RESPALDO CAFE",INVENTARIO!C339)),"RES-CAF",
IF(ISNUMBER(SEARCH("RESPALDO GRIS",INVENTARIO!C339)),"RES-GRI",
IF(ISNUMBER(SEARCH("OPTICO",INVENTARIO!C339)),"OPT",
IF(ISNUMBER(SEARCH("1,2 MM",INVENTARIO!C339)),"1MM2",
IF(ISNUMBER(SEARCH("2 MM",INVENTARIO!C339)),"2MM",
IF(ISNUMBER(SEARCH("3 MM",INVENTARIO!C339)),"3MM",
IF(ISNUMBER(SEARCH("4 MM",INVENTARIO!C339)),"4MM",
IF(ISNUMBER(SEARCH("5 MM",INVENTARIO!C339)),"5MM",
IF(ISNUMBER(SEARCH("6 MM",INVENTARIO!C339)),"6MM",
IF(ISNUMBER(SEARCH("9 MM",INVENTARIO!C339)),"9MM",
IF(ISNUMBER(SEARCH("10 MM",INVENTARIO!C339)),"10MM","")))))))))))))</f>
        <v/>
      </c>
      <c r="H339" t="str">
        <f>IF(ISNUMBER(SEARCH("GAMA BAJA",INVENTARIO!C339)),"GAM-BAJ",
IF(ISNUMBER(SEARCH("OPTIMIZADOR",INVENTARIO!C339)),"OPT",
IF(ISNUMBER(SEARCH("OVERCOAT",INVENTARIO!C339)),"OVE",
IF(ISNUMBER(SEARCH("WHITE",INVENTARIO!C339)),"WHI",
IF(ISNUMBER(SEARCH("LIGHT CYAN",INVENTARIO!C339)),"LIG-CYA",
IF(ISNUMBER(SEARCH("CYAN",INVENTARIO!C339)),"CYA",
IF(ISNUMBER(SEARCH("LIGHT MAGENTA",INVENTARIO!C339)),"LIG-MAG",
IF(ISNUMBER(SEARCH("MAGENTA",INVENTARIO!C339)),"MAG",
IF(ISNUMBER(SEARCH("BLACK",INVENTARIO!C339)),"BLA",
IF(ISNUMBER(SEARCH("YELLOW",INVENTARIO!C339)),"YEL",
IF(ISNUMBER(SEARCH("2 DIODOS",INVENTARIO!C339)),"2DI",
IF(ISNUMBER(SEARCH("3 DIODOS",INVENTARIO!C339)),"3DI",
IF(OR(ISNUMBER(SEARCH("TRASLUCIDO",INVENTARIO!C339)),ISNUMBER(SEARCH("TRANSLUCIDO",INVENTARIO!C339))),"TRA",
"")))))))))))))</f>
        <v/>
      </c>
    </row>
    <row r="340" spans="1:8">
      <c r="A340" t="str">
        <f>IF(ISNUMBER(SEARCH("LONA",INVENTARIO!C340)),"LON",
IF(ISNUMBER(SEARCH("VINIL",INVENTARIO!C340)),"VIN",
IF(ISNUMBER(SEARCH("KROMACOTE",INVENTARIO!C340)),"KRO",
IF(ISNUMBER(SEARCH("STARDREAM",INVENTARIO!C340)),"STA",
IF(ISNUMBER(SEARCH("DISPLAY",INVENTARIO!C340)),"DIS",
IF(ISNUMBER(SEARCH("ROLL UP",INVENTARIO!C340)),"ROL-UP",
IF(ISNUMBER(SEARCH("TRANSFER DE PAPEL",INVENTARIO!C340)),"TRA-PAP",
IF(ISNUMBER(SEARCH("TRANSFER",INVENTARIO!C340)),"TRA",IF(ISNUMBER(SEARCH("KOLA LOKA",INVENTARIO!C340)),"KOL-LOK",
IF(ISNUMBER(SEARCH("PETG",INVENTARIO!C340)),"PET",
IF(ISNUMBER(SEARCH("OJILLO",INVENTARIO!C340)),"OJI",
IF(ISNUMBER(SEARCH("COUCHE",INVENTARIO!C340)),"COU",
IF(ISNUMBER(SEARCH("PANEL DE ALUMINIO",INVENTARIO!C340)),"PAN-ALU",
IF(ISNUMBER(SEARCH("PVC",INVENTARIO!C340)),"PVC",
IF(ISNUMBER(SEARCH("PAPEL",INVENTARIO!C340)),"PAP",
IF(ISNUMBER(SEARCH("TELA",INVENTARIO!C340)),"TEL",
IF(ISNUMBER(SEARCH("CARTULINA",INVENTARIO!C340)),"CAR",
IF(OR(ISNUMBER(SEARCH("LAMINA",INVENTARIO!C340)),ISNUMBER(SEARCH("LÁMINA",INVENTARIO!C340)),ISNUMBER(SEARCH("LAMPARAS",INVENTARIO!C340))),"LAM",
IF(ISNUMBER(SEARCH("ESTIRENO",INVENTARIO!C340)),"EST",
IF(ISNUMBER(SEARCH("FOAMBOARD",INVENTARIO!C340)),"FOA",
IF(ISNUMBER(SEARCH("SOLVENTE",INVENTARIO!C340)),"SOL",
IF(ISNUMBER(SEARCH("TINTA",INVENTARIO!C340)),"TIN",
IF(ISNUMBER(SEARCH("ACRILICO",INVENTARIO!C340)),"ACR",
IF(ISNUMBER(SEARCH("MICROLED",INVENTARIO!C340)),"MIC",
IF(ISNUMBER(SEARCH("LED",INVENTARIO!C340)),"LED",
IF(ISNUMBER(SEARCH("FUENTE DE PODER",INVENTARIO!C340)),"FUE-POD",
IF(ISNUMBER(SEARCH("PETG",INVENTARIO!C340)),"PET",
IF(ISNUMBER(SEARCH("ALUMINIO",INVENTARIO!C340)),"ALU",
IF(ISNUMBER(SEARCH("CANAL",INVENTARIO!C340)),"CAN",
IF(ISNUMBER(SEARCH("ESCUADRA",INVENTARIO!C340)),"ESC",
IF(ISNUMBER(SEARCH("SOPORTE",INVENTARIO!C340)),"SOP","OTR")
))))))))))))))))))))))))))))))</f>
        <v>CAR</v>
      </c>
      <c r="B340" t="str">
        <f>IF(ISNUMBER(SEARCH("CORTE",INVENTARIO!C340)),"COR",
IF(ISNUMBER(SEARCH("CITYLIGHT",INVENTARIO!C340)),"CIT",
IF(ISNUMBER(SEARCH("LINO",INVENTARIO!C340)),"LIN",
IF(ISNUMBER(SEARCH("FABRIANO",INVENTARIO!C340)),"FAB",
IF(ISNUMBER(SEARCH("SUNDANCE",INVENTARIO!C340)),"SUN",
IF(ISNUMBER(SEARCH("SINTETICA",INVENTARIO!C340)),"SIN",
IF(ISNUMBER(SEARCH("CONTROL",INVENTARIO!C340)),"CON",
IF(ISNUMBER(SEARCH("TERMICO",INVENTARIO!C340)),"TER",
IF(ISNUMBER(SEARCH("C-15",INVENTARIO!C340)),"C15",
IF(ISNUMBER(SEARCH("C-20",INVENTARIO!C340)),"C20",
IF(ISNUMBER(SEARCH("C-30",INVENTARIO!C340)),"C30",
IF(ISNUMBER(SEARCH("C-40",INVENTARIO!C340)),"C40",
IF(ISNUMBER(SEARCH("C-60",INVENTARIO!C340)),"C60",
IF(ISNUMBER(SEARCH("C-80",INVENTARIO!C340)),"C80",
IF(ISNUMBER(SEARCH("EQUIPO",INVENTARIO!C340)),"EQU",
IF(ISNUMBER(SEARCH("FLOOR",INVENTARIO!C340)),"FLO",
IF(ISNUMBER(SEARCH("CRISTAL",INVENTARIO!C340)),"CRI",
IF(ISNUMBER(SEARCH(" SULFATADA",INVENTARIO!C351)),"SUL",
IF(ISNUMBER(SEARCH("OPALINA",INVENTARIO!C340)),"OPA",
IF(ISNUMBER(SEARCH("ADHERIBLE",INVENTARIO!C340)),"ADH",
IF(ISNUMBER(SEARCH("MICRO",INVENTARIO!C340)),"MIC","")))))))))))))))))))))</f>
        <v>SUN</v>
      </c>
      <c r="C340" t="str">
        <f>IF(ISNUMBER(SEARCH("PARED",INVENTARIO!C340)),"PAR",
IF(ISNUMBER(SEARCH("FRONT",INVENTARIO!C340)),"FRO",
IF(ISNUMBER(SEARCH("ALTA RESISTENCIA",INVENTARIO!C340)),
"ALT-RES",IF(ISNUMBER(SEARCH("BACKLITE",INVENTARIO!C340)),"BAC",
IF(ISNUMBER(SEARCH("MATE",INVENTARIO!C340)),"MAT",
IF(ISNUMBER(SEARCH("MESH",INVENTARIO!C340)),"MES",
IF(ISNUMBER(SEARCH("BRILLANTE",INVENTARIO!C340)),"BRI",
IF(ISNUMBER(SEARCH("DELGADA",INVENTARIO!C340)),"DEL",
IF(ISNUMBER(SEARCH("GRUESA",INVENTARIO!C340)),"GRU",
IF(ISNUMBER(SEARCH("ESTATICO",INVENTARIO!C340)),"EST",
IF(ISNUMBER(SEARCH("REFLECTIVO",INVENTARIO!C340)),"REF",
IF(ISNUMBER(SEARCH("LX700",INVENTARIO!C340)),"LX7",
IF(ISNUMBER(SEARCH("GRANDO",INVENTARIO!C340)),"GRA",
IF(ISNUMBER(SEARCH("FB700",INVENTARIO!C340)),"FB7",
IF(ISNUMBER(SEARCH("LX360",INVENTARIO!C340)),"LX3",
IF(ISNUMBER(SEARCH("XEROX",INVENTARIO!C340)),"XER",
IF(ISNUMBER(SEARCH("CEPILLADO",INVENTARIO!C340)),"CEP",
IF(ISNUMBER(SEARCH("ESPEJO",INVENTARIO!C340)),"ESP",
IF(ISNUMBER(SEARCH("10 PTS",INVENTARIO!C340)),"10PT",
IF(ISNUMBER(SEARCH("12 PTS",INVENTARIO!C340)),"12PT",
IF(ISNUMBER(SEARCH("14 PTS",INVENTARIO!C340)),"14PT",
IF(ISNUMBER(SEARCH("CLASICO",INVENTARIO!C340)),"CLA",
""))))))))))))))))))))))</f>
        <v/>
      </c>
      <c r="D340" t="str">
        <f>IF(ISNUMBER(SEARCH("GRAN FORMATO",INVENTARIO!C340)),"GRA-FOR",
IF(ISNUMBER(SEARCH("CAMA PLANA",INVENTARIO!C340)),"CAM-PLA",
IF(ISNUMBER(SEARCH("GRADO INGENIERIA",INVENTARIO!C340)),"GRA-ING",
IF(ISNUMBER(SEARCH("130 GRS",INVENTARIO!C340)),"130GR",
IF(ISNUMBER(SEARCH("150 GRS",INVENTARIO!C340)),"150GR",
IF(ISNUMBER(SEARCH("185 GRS",INVENTARIO!C340)),"185GR",
IF(ISNUMBER(SEARCH("200 GRS",INVENTARIO!C340)),"200GR",
IF(ISNUMBER(SEARCH("250 GRS",INVENTARIO!C340)),"250GR",
IF(ISNUMBER(SEARCH("300 GRS",INVENTARIO!C340)),"300GR",
IF(ISNUMBER(SEARCH("350 GRS",INVENTARIO!C340)),"350GR",
IF(ISNUMBER(SEARCH("18 OZ",INVENTARIO!C340)),"18OZ",
IF(ISNUMBER(SEARCH("15 OZ",INVENTARIO!C340)),"15OZ",
IF(OR(ISNUMBER(SEARCH("13 OZ",INVENTARIO!C340)),ISNUMBER(SEARCH("13 ONZAS",INVENTARIO!C340))),"13OZ",
IF(OR(ISNUMBER(SEARCH("9 OZ",INVENTARIO!C340)),ISNUMBER(SEARCH("9 ONZAS",INVENTARIO!C340))),"09OZ",
IF(ISNUMBER(SEARCH("DOBLE CARA",INVENTARIO!C340)),"DOB-CAR",
"")))))))))))))))</f>
        <v/>
      </c>
      <c r="E340" t="str">
        <f>IF(OR(ISNUMBER(SEARCH("TRANSPARENTE",INVENTARIO!C340)),ISNUMBER(SEARCH("TRANSPARENTES",INVENTARIO!C340))),"TRA",
IF(OR(ISNUMBER(SEARCH("BLANCO",INVENTARIO!C340)),ISNUMBER(SEARCH("BCO",INVENTARIO!C340))),"BLA",
IF(ISNUMBER(SEARCH("FOTOGRAFICO",INVENTARIO!C340)),"FOT",
IF(ISNUMBER(SEARCH("MARFIL",INVENTARIO!C340)),"MAR",
IF(ISNUMBER(SEARCH("VERDE",INVENTARIO!C340)),"VER",
IF(ISNUMBER(SEARCH("MORADO",INVENTARIO!C340)),"MOR",
IF(ISNUMBER(SEARCH("PLATA",INVENTARIO!C340)),"PLA",
IF(ISNUMBER(SEARCH("ORO",INVENTARIO!C340)),"ORO",
IF(ISNUMBER(SEARCH("AMARILLO",INVENTARIO!C340)),"AMA",
IF(ISNUMBER(SEARCH("NARANJA",INVENTARIO!C340)),"NAR",
IF(ISNUMBER(SEARCH("NEGRO",INVENTARIO!C340)),"NEG",
IF(ISNUMBER(SEARCH("ROJO",INVENTARIO!C340)),"ROJ",
IF(ISNUMBER(SEARCH("AZUL",INVENTARIO!C340)),"AZU","")))))))))))))</f>
        <v>BLA</v>
      </c>
      <c r="F340" t="str">
        <f>IF(ISNUMBER(SEARCH("ARLON",INVENTARIO!C340)),"ARL",
IF(ISNUMBER(SEARCH("SUNTHINKS",INVENTARIO!C340)),"SUN",
IF(ISNUMBER(SEARCH("FRIO",INVENTARIO!C340)),"FRI",
IF(ISNUMBER(SEARCH("CALIDO",INVENTARIO!C340)),"CAL",
IF(ISNUMBER(SEARCH("CEPILLADO",INVENTARIO!C340)),"CEP",
IF(ISNUMBER(SEARCH("ESPEJO",INVENTARIO!C340)),"ESP",
""))))))</f>
        <v/>
      </c>
      <c r="G340" t="str">
        <f>IF(ISNUMBER(SEARCH("LATEX",INVENTARIO!C340)),"LAT",
IF(ISNUMBER(SEARCH("RESP. NEGRO",INVENTARIO!C340)),"RES-NEG",
IF(ISNUMBER(SEARCH("RESPALDO CAFE",INVENTARIO!C340)),"RES-CAF",
IF(ISNUMBER(SEARCH("RESPALDO GRIS",INVENTARIO!C340)),"RES-GRI",
IF(ISNUMBER(SEARCH("OPTICO",INVENTARIO!C340)),"OPT",
IF(ISNUMBER(SEARCH("1,2 MM",INVENTARIO!C340)),"1MM2",
IF(ISNUMBER(SEARCH("2 MM",INVENTARIO!C340)),"2MM",
IF(ISNUMBER(SEARCH("3 MM",INVENTARIO!C340)),"3MM",
IF(ISNUMBER(SEARCH("4 MM",INVENTARIO!C340)),"4MM",
IF(ISNUMBER(SEARCH("5 MM",INVENTARIO!C340)),"5MM",
IF(ISNUMBER(SEARCH("6 MM",INVENTARIO!C340)),"6MM",
IF(ISNUMBER(SEARCH("9 MM",INVENTARIO!C340)),"9MM",
IF(ISNUMBER(SEARCH("10 MM",INVENTARIO!C340)),"10MM","")))))))))))))</f>
        <v/>
      </c>
      <c r="H340" t="str">
        <f>IF(ISNUMBER(SEARCH("GAMA BAJA",INVENTARIO!C340)),"GAM-BAJ",
IF(ISNUMBER(SEARCH("OPTIMIZADOR",INVENTARIO!C340)),"OPT",
IF(ISNUMBER(SEARCH("OVERCOAT",INVENTARIO!C340)),"OVE",
IF(ISNUMBER(SEARCH("WHITE",INVENTARIO!C340)),"WHI",
IF(ISNUMBER(SEARCH("LIGHT CYAN",INVENTARIO!C340)),"LIG-CYA",
IF(ISNUMBER(SEARCH("CYAN",INVENTARIO!C340)),"CYA",
IF(ISNUMBER(SEARCH("LIGHT MAGENTA",INVENTARIO!C340)),"LIG-MAG",
IF(ISNUMBER(SEARCH("MAGENTA",INVENTARIO!C340)),"MAG",
IF(ISNUMBER(SEARCH("BLACK",INVENTARIO!C340)),"BLA",
IF(ISNUMBER(SEARCH("YELLOW",INVENTARIO!C340)),"YEL",
IF(ISNUMBER(SEARCH("2 DIODOS",INVENTARIO!C340)),"2DI",
IF(ISNUMBER(SEARCH("3 DIODOS",INVENTARIO!C340)),"3DI",
IF(OR(ISNUMBER(SEARCH("TRASLUCIDO",INVENTARIO!C340)),ISNUMBER(SEARCH("TRANSLUCIDO",INVENTARIO!C340))),"TRA",
"")))))))))))))</f>
        <v/>
      </c>
    </row>
    <row r="341" spans="1:8">
      <c r="A341" t="str">
        <f>IF(ISNUMBER(SEARCH("LONA",INVENTARIO!C341)),"LON",
IF(ISNUMBER(SEARCH("VINIL",INVENTARIO!C341)),"VIN",
IF(ISNUMBER(SEARCH("KROMACOTE",INVENTARIO!C341)),"KRO",
IF(ISNUMBER(SEARCH("STARDREAM",INVENTARIO!C341)),"STA",
IF(ISNUMBER(SEARCH("DISPLAY",INVENTARIO!C341)),"DIS",
IF(ISNUMBER(SEARCH("ROLL UP",INVENTARIO!C341)),"ROL-UP",
IF(ISNUMBER(SEARCH("TRANSFER DE PAPEL",INVENTARIO!C341)),"TRA-PAP",
IF(ISNUMBER(SEARCH("TRANSFER",INVENTARIO!C341)),"TRA",IF(ISNUMBER(SEARCH("KOLA LOKA",INVENTARIO!C341)),"KOL-LOK",
IF(ISNUMBER(SEARCH("PETG",INVENTARIO!C341)),"PET",
IF(ISNUMBER(SEARCH("OJILLO",INVENTARIO!C341)),"OJI",
IF(ISNUMBER(SEARCH("COUCHE",INVENTARIO!C341)),"COU",
IF(ISNUMBER(SEARCH("PANEL DE ALUMINIO",INVENTARIO!C341)),"PAN-ALU",
IF(ISNUMBER(SEARCH("PVC",INVENTARIO!C341)),"PVC",
IF(ISNUMBER(SEARCH("PAPEL",INVENTARIO!C341)),"PAP",
IF(ISNUMBER(SEARCH("TELA",INVENTARIO!C341)),"TEL",
IF(ISNUMBER(SEARCH("CARTULINA",INVENTARIO!C341)),"CAR",
IF(OR(ISNUMBER(SEARCH("LAMINA",INVENTARIO!C341)),ISNUMBER(SEARCH("LÁMINA",INVENTARIO!C341)),ISNUMBER(SEARCH("LAMPARAS",INVENTARIO!C341))),"LAM",
IF(ISNUMBER(SEARCH("ESTIRENO",INVENTARIO!C341)),"EST",
IF(ISNUMBER(SEARCH("FOAMBOARD",INVENTARIO!C341)),"FOA",
IF(ISNUMBER(SEARCH("SOLVENTE",INVENTARIO!C341)),"SOL",
IF(ISNUMBER(SEARCH("TINTA",INVENTARIO!C341)),"TIN",
IF(ISNUMBER(SEARCH("ACRILICO",INVENTARIO!C341)),"ACR",
IF(ISNUMBER(SEARCH("MICROLED",INVENTARIO!C341)),"MIC",
IF(ISNUMBER(SEARCH("LED",INVENTARIO!C341)),"LED",
IF(ISNUMBER(SEARCH("FUENTE DE PODER",INVENTARIO!C341)),"FUE-POD",
IF(ISNUMBER(SEARCH("PETG",INVENTARIO!C341)),"PET",
IF(ISNUMBER(SEARCH("ALUMINIO",INVENTARIO!C341)),"ALU",
IF(ISNUMBER(SEARCH("CANAL",INVENTARIO!C341)),"CAN",
IF(ISNUMBER(SEARCH("ESCUADRA",INVENTARIO!C341)),"ESC",
IF(ISNUMBER(SEARCH("SOPORTE",INVENTARIO!C341)),"SOP","OTR")
))))))))))))))))))))))))))))))</f>
        <v>CAR</v>
      </c>
      <c r="B341" t="str">
        <f>IF(ISNUMBER(SEARCH("CORTE",INVENTARIO!C341)),"COR",
IF(ISNUMBER(SEARCH("CITYLIGHT",INVENTARIO!C341)),"CIT",
IF(ISNUMBER(SEARCH("LINO",INVENTARIO!C341)),"LIN",
IF(ISNUMBER(SEARCH("FABRIANO",INVENTARIO!C341)),"FAB",
IF(ISNUMBER(SEARCH("SUNDANCE",INVENTARIO!C341)),"SUN",
IF(ISNUMBER(SEARCH("SINTETICA",INVENTARIO!C341)),"SIN",
IF(ISNUMBER(SEARCH("CONTROL",INVENTARIO!C341)),"CON",
IF(ISNUMBER(SEARCH("TERMICO",INVENTARIO!C341)),"TER",
IF(ISNUMBER(SEARCH("C-15",INVENTARIO!C341)),"C15",
IF(ISNUMBER(SEARCH("C-20",INVENTARIO!C341)),"C20",
IF(ISNUMBER(SEARCH("C-30",INVENTARIO!C341)),"C30",
IF(ISNUMBER(SEARCH("C-40",INVENTARIO!C341)),"C40",
IF(ISNUMBER(SEARCH("C-60",INVENTARIO!C341)),"C60",
IF(ISNUMBER(SEARCH("C-80",INVENTARIO!C341)),"C80",
IF(ISNUMBER(SEARCH("EQUIPO",INVENTARIO!C341)),"EQU",
IF(ISNUMBER(SEARCH("FLOOR",INVENTARIO!C341)),"FLO",
IF(ISNUMBER(SEARCH("CRISTAL",INVENTARIO!C341)),"CRI",
IF(ISNUMBER(SEARCH(" SULFATADA",INVENTARIO!C352)),"SUL",
IF(ISNUMBER(SEARCH("OPALINA",INVENTARIO!C341)),"OPA",
IF(ISNUMBER(SEARCH("ADHERIBLE",INVENTARIO!C341)),"ADH",
IF(ISNUMBER(SEARCH("MICRO",INVENTARIO!C341)),"MIC","")))))))))))))))))))))</f>
        <v/>
      </c>
      <c r="C341" t="str">
        <f>IF(ISNUMBER(SEARCH("PARED",INVENTARIO!C341)),"PAR",
IF(ISNUMBER(SEARCH("FRONT",INVENTARIO!C341)),"FRO",
IF(ISNUMBER(SEARCH("ALTA RESISTENCIA",INVENTARIO!C341)),
"ALT-RES",IF(ISNUMBER(SEARCH("BACKLITE",INVENTARIO!C341)),"BAC",
IF(ISNUMBER(SEARCH("MATE",INVENTARIO!C341)),"MAT",
IF(ISNUMBER(SEARCH("MESH",INVENTARIO!C341)),"MES",
IF(ISNUMBER(SEARCH("BRILLANTE",INVENTARIO!C341)),"BRI",
IF(ISNUMBER(SEARCH("DELGADA",INVENTARIO!C341)),"DEL",
IF(ISNUMBER(SEARCH("GRUESA",INVENTARIO!C341)),"GRU",
IF(ISNUMBER(SEARCH("ESTATICO",INVENTARIO!C341)),"EST",
IF(ISNUMBER(SEARCH("REFLECTIVO",INVENTARIO!C341)),"REF",
IF(ISNUMBER(SEARCH("LX700",INVENTARIO!C341)),"LX7",
IF(ISNUMBER(SEARCH("GRANDO",INVENTARIO!C341)),"GRA",
IF(ISNUMBER(SEARCH("FB700",INVENTARIO!C341)),"FB7",
IF(ISNUMBER(SEARCH("LX360",INVENTARIO!C341)),"LX3",
IF(ISNUMBER(SEARCH("XEROX",INVENTARIO!C341)),"XER",
IF(ISNUMBER(SEARCH("CEPILLADO",INVENTARIO!C341)),"CEP",
IF(ISNUMBER(SEARCH("ESPEJO",INVENTARIO!C341)),"ESP",
IF(ISNUMBER(SEARCH("10 PTS",INVENTARIO!C341)),"10PT",
IF(ISNUMBER(SEARCH("12 PTS",INVENTARIO!C341)),"12PT",
IF(ISNUMBER(SEARCH("14 PTS",INVENTARIO!C341)),"14PT",
IF(ISNUMBER(SEARCH("CLASICO",INVENTARIO!C341)),"CLA",
""))))))))))))))))))))))</f>
        <v/>
      </c>
      <c r="D341" t="str">
        <f>IF(ISNUMBER(SEARCH("GRAN FORMATO",INVENTARIO!C341)),"GRA-FOR",
IF(ISNUMBER(SEARCH("CAMA PLANA",INVENTARIO!C341)),"CAM-PLA",
IF(ISNUMBER(SEARCH("GRADO INGENIERIA",INVENTARIO!C341)),"GRA-ING",
IF(ISNUMBER(SEARCH("130 GRS",INVENTARIO!C341)),"130GR",
IF(ISNUMBER(SEARCH("150 GRS",INVENTARIO!C341)),"150GR",
IF(ISNUMBER(SEARCH("185 GRS",INVENTARIO!C341)),"185GR",
IF(ISNUMBER(SEARCH("200 GRS",INVENTARIO!C341)),"200GR",
IF(ISNUMBER(SEARCH("250 GRS",INVENTARIO!C341)),"250GR",
IF(ISNUMBER(SEARCH("300 GRS",INVENTARIO!C341)),"300GR",
IF(ISNUMBER(SEARCH("350 GRS",INVENTARIO!C341)),"350GR",
IF(ISNUMBER(SEARCH("18 OZ",INVENTARIO!C341)),"18OZ",
IF(ISNUMBER(SEARCH("15 OZ",INVENTARIO!C341)),"15OZ",
IF(OR(ISNUMBER(SEARCH("13 OZ",INVENTARIO!C341)),ISNUMBER(SEARCH("13 ONZAS",INVENTARIO!C341))),"13OZ",
IF(OR(ISNUMBER(SEARCH("9 OZ",INVENTARIO!C341)),ISNUMBER(SEARCH("9 ONZAS",INVENTARIO!C341))),"09OZ",
IF(ISNUMBER(SEARCH("DOBLE CARA",INVENTARIO!C341)),"DOB-CAR",
"")))))))))))))))</f>
        <v/>
      </c>
      <c r="E341" t="str">
        <f>IF(OR(ISNUMBER(SEARCH("TRANSPARENTE",INVENTARIO!C341)),ISNUMBER(SEARCH("TRANSPARENTES",INVENTARIO!C341))),"TRA",
IF(OR(ISNUMBER(SEARCH("BLANCO",INVENTARIO!C341)),ISNUMBER(SEARCH("BCO",INVENTARIO!C341))),"BLA",
IF(ISNUMBER(SEARCH("FOTOGRAFICO",INVENTARIO!C341)),"FOT",
IF(ISNUMBER(SEARCH("MARFIL",INVENTARIO!C341)),"MAR",
IF(ISNUMBER(SEARCH("VERDE",INVENTARIO!C341)),"VER",
IF(ISNUMBER(SEARCH("MORADO",INVENTARIO!C341)),"MOR",
IF(ISNUMBER(SEARCH("PLATA",INVENTARIO!C341)),"PLA",
IF(ISNUMBER(SEARCH("ORO",INVENTARIO!C341)),"ORO",
IF(ISNUMBER(SEARCH("AMARILLO",INVENTARIO!C341)),"AMA",
IF(ISNUMBER(SEARCH("NARANJA",INVENTARIO!C341)),"NAR",
IF(ISNUMBER(SEARCH("NEGRO",INVENTARIO!C341)),"NEG",
IF(ISNUMBER(SEARCH("ROJO",INVENTARIO!C341)),"ROJ",
IF(ISNUMBER(SEARCH("AZUL",INVENTARIO!C341)),"AZU","")))))))))))))</f>
        <v/>
      </c>
      <c r="F341" t="str">
        <f>IF(ISNUMBER(SEARCH("ARLON",INVENTARIO!C341)),"ARL",
IF(ISNUMBER(SEARCH("SUNTHINKS",INVENTARIO!C341)),"SUN",
IF(ISNUMBER(SEARCH("FRIO",INVENTARIO!C341)),"FRI",
IF(ISNUMBER(SEARCH("CALIDO",INVENTARIO!C341)),"CAL",
IF(ISNUMBER(SEARCH("CEPILLADO",INVENTARIO!C341)),"CEP",
IF(ISNUMBER(SEARCH("ESPEJO",INVENTARIO!C341)),"ESP",
""))))))</f>
        <v/>
      </c>
      <c r="G341" t="str">
        <f>IF(ISNUMBER(SEARCH("LATEX",INVENTARIO!C341)),"LAT",
IF(ISNUMBER(SEARCH("RESP. NEGRO",INVENTARIO!C341)),"RES-NEG",
IF(ISNUMBER(SEARCH("RESPALDO CAFE",INVENTARIO!C341)),"RES-CAF",
IF(ISNUMBER(SEARCH("RESPALDO GRIS",INVENTARIO!C341)),"RES-GRI",
IF(ISNUMBER(SEARCH("OPTICO",INVENTARIO!C341)),"OPT",
IF(ISNUMBER(SEARCH("1,2 MM",INVENTARIO!C341)),"1MM2",
IF(ISNUMBER(SEARCH("2 MM",INVENTARIO!C341)),"2MM",
IF(ISNUMBER(SEARCH("3 MM",INVENTARIO!C341)),"3MM",
IF(ISNUMBER(SEARCH("4 MM",INVENTARIO!C341)),"4MM",
IF(ISNUMBER(SEARCH("5 MM",INVENTARIO!C341)),"5MM",
IF(ISNUMBER(SEARCH("6 MM",INVENTARIO!C341)),"6MM",
IF(ISNUMBER(SEARCH("9 MM",INVENTARIO!C341)),"9MM",
IF(ISNUMBER(SEARCH("10 MM",INVENTARIO!C341)),"10MM","")))))))))))))</f>
        <v/>
      </c>
      <c r="H341" t="str">
        <f>IF(ISNUMBER(SEARCH("GAMA BAJA",INVENTARIO!C341)),"GAM-BAJ",
IF(ISNUMBER(SEARCH("OPTIMIZADOR",INVENTARIO!C341)),"OPT",
IF(ISNUMBER(SEARCH("OVERCOAT",INVENTARIO!C341)),"OVE",
IF(ISNUMBER(SEARCH("WHITE",INVENTARIO!C341)),"WHI",
IF(ISNUMBER(SEARCH("LIGHT CYAN",INVENTARIO!C341)),"LIG-CYA",
IF(ISNUMBER(SEARCH("CYAN",INVENTARIO!C341)),"CYA",
IF(ISNUMBER(SEARCH("LIGHT MAGENTA",INVENTARIO!C341)),"LIG-MAG",
IF(ISNUMBER(SEARCH("MAGENTA",INVENTARIO!C341)),"MAG",
IF(ISNUMBER(SEARCH("BLACK",INVENTARIO!C341)),"BLA",
IF(ISNUMBER(SEARCH("YELLOW",INVENTARIO!C341)),"YEL",
IF(ISNUMBER(SEARCH("2 DIODOS",INVENTARIO!C341)),"2DI",
IF(ISNUMBER(SEARCH("3 DIODOS",INVENTARIO!C341)),"3DI",
IF(OR(ISNUMBER(SEARCH("TRASLUCIDO",INVENTARIO!C341)),ISNUMBER(SEARCH("TRANSLUCIDO",INVENTARIO!C341))),"TRA",
"")))))))))))))</f>
        <v/>
      </c>
    </row>
    <row r="342" spans="1:8">
      <c r="A342" t="str">
        <f>IF(ISNUMBER(SEARCH("LONA",INVENTARIO!C342)),"LON",
IF(ISNUMBER(SEARCH("VINIL",INVENTARIO!C342)),"VIN",
IF(ISNUMBER(SEARCH("KROMACOTE",INVENTARIO!C342)),"KRO",
IF(ISNUMBER(SEARCH("STARDREAM",INVENTARIO!C342)),"STA",
IF(ISNUMBER(SEARCH("DISPLAY",INVENTARIO!C342)),"DIS",
IF(ISNUMBER(SEARCH("ROLL UP",INVENTARIO!C342)),"ROL-UP",
IF(ISNUMBER(SEARCH("TRANSFER DE PAPEL",INVENTARIO!C342)),"TRA-PAP",
IF(ISNUMBER(SEARCH("TRANSFER",INVENTARIO!C342)),"TRA",IF(ISNUMBER(SEARCH("KOLA LOKA",INVENTARIO!C342)),"KOL-LOK",
IF(ISNUMBER(SEARCH("PETG",INVENTARIO!C342)),"PET",
IF(ISNUMBER(SEARCH("OJILLO",INVENTARIO!C342)),"OJI",
IF(ISNUMBER(SEARCH("COUCHE",INVENTARIO!C342)),"COU",
IF(ISNUMBER(SEARCH("PANEL DE ALUMINIO",INVENTARIO!C342)),"PAN-ALU",
IF(ISNUMBER(SEARCH("PVC",INVENTARIO!C342)),"PVC",
IF(ISNUMBER(SEARCH("PAPEL",INVENTARIO!C342)),"PAP",
IF(ISNUMBER(SEARCH("TELA",INVENTARIO!C342)),"TEL",
IF(ISNUMBER(SEARCH("CARTULINA",INVENTARIO!C342)),"CAR",
IF(OR(ISNUMBER(SEARCH("LAMINA",INVENTARIO!C342)),ISNUMBER(SEARCH("LÁMINA",INVENTARIO!C342)),ISNUMBER(SEARCH("LAMPARAS",INVENTARIO!C342))),"LAM",
IF(ISNUMBER(SEARCH("ESTIRENO",INVENTARIO!C342)),"EST",
IF(ISNUMBER(SEARCH("FOAMBOARD",INVENTARIO!C342)),"FOA",
IF(ISNUMBER(SEARCH("SOLVENTE",INVENTARIO!C342)),"SOL",
IF(ISNUMBER(SEARCH("TINTA",INVENTARIO!C342)),"TIN",
IF(ISNUMBER(SEARCH("ACRILICO",INVENTARIO!C342)),"ACR",
IF(ISNUMBER(SEARCH("MICROLED",INVENTARIO!C342)),"MIC",
IF(ISNUMBER(SEARCH("LED",INVENTARIO!C342)),"LED",
IF(ISNUMBER(SEARCH("FUENTE DE PODER",INVENTARIO!C342)),"FUE-POD",
IF(ISNUMBER(SEARCH("PETG",INVENTARIO!C342)),"PET",
IF(ISNUMBER(SEARCH("ALUMINIO",INVENTARIO!C342)),"ALU",
IF(ISNUMBER(SEARCH("CANAL",INVENTARIO!C342)),"CAN",
IF(ISNUMBER(SEARCH("ESCUADRA",INVENTARIO!C342)),"ESC",
IF(ISNUMBER(SEARCH("SOPORTE",INVENTARIO!C342)),"SOP","OTR")
))))))))))))))))))))))))))))))</f>
        <v>CAR</v>
      </c>
      <c r="B342" t="str">
        <f>IF(ISNUMBER(SEARCH("CORTE",INVENTARIO!C342)),"COR",
IF(ISNUMBER(SEARCH("CITYLIGHT",INVENTARIO!C342)),"CIT",
IF(ISNUMBER(SEARCH("LINO",INVENTARIO!C342)),"LIN",
IF(ISNUMBER(SEARCH("FABRIANO",INVENTARIO!C342)),"FAB",
IF(ISNUMBER(SEARCH("SUNDANCE",INVENTARIO!C342)),"SUN",
IF(ISNUMBER(SEARCH("SINTETICA",INVENTARIO!C342)),"SIN",
IF(ISNUMBER(SEARCH("CONTROL",INVENTARIO!C342)),"CON",
IF(ISNUMBER(SEARCH("TERMICO",INVENTARIO!C342)),"TER",
IF(ISNUMBER(SEARCH("C-15",INVENTARIO!C342)),"C15",
IF(ISNUMBER(SEARCH("C-20",INVENTARIO!C342)),"C20",
IF(ISNUMBER(SEARCH("C-30",INVENTARIO!C342)),"C30",
IF(ISNUMBER(SEARCH("C-40",INVENTARIO!C342)),"C40",
IF(ISNUMBER(SEARCH("C-60",INVENTARIO!C342)),"C60",
IF(ISNUMBER(SEARCH("C-80",INVENTARIO!C342)),"C80",
IF(ISNUMBER(SEARCH("EQUIPO",INVENTARIO!C342)),"EQU",
IF(ISNUMBER(SEARCH("FLOOR",INVENTARIO!C342)),"FLO",
IF(ISNUMBER(SEARCH("CRISTAL",INVENTARIO!C342)),"CRI",
IF(ISNUMBER(SEARCH(" SULFATADA",INVENTARIO!C353)),"SUL",
IF(ISNUMBER(SEARCH("OPALINA",INVENTARIO!C342)),"OPA",
IF(ISNUMBER(SEARCH("ADHERIBLE",INVENTARIO!C342)),"ADH",
IF(ISNUMBER(SEARCH("MICRO",INVENTARIO!C342)),"MIC","")))))))))))))))))))))</f>
        <v>FAB</v>
      </c>
      <c r="C342" t="str">
        <f>IF(ISNUMBER(SEARCH("PARED",INVENTARIO!C342)),"PAR",
IF(ISNUMBER(SEARCH("FRONT",INVENTARIO!C342)),"FRO",
IF(ISNUMBER(SEARCH("ALTA RESISTENCIA",INVENTARIO!C342)),
"ALT-RES",IF(ISNUMBER(SEARCH("BACKLITE",INVENTARIO!C342)),"BAC",
IF(ISNUMBER(SEARCH("MATE",INVENTARIO!C342)),"MAT",
IF(ISNUMBER(SEARCH("MESH",INVENTARIO!C342)),"MES",
IF(ISNUMBER(SEARCH("BRILLANTE",INVENTARIO!C342)),"BRI",
IF(ISNUMBER(SEARCH("DELGADA",INVENTARIO!C342)),"DEL",
IF(ISNUMBER(SEARCH("GRUESA",INVENTARIO!C342)),"GRU",
IF(ISNUMBER(SEARCH("ESTATICO",INVENTARIO!C342)),"EST",
IF(ISNUMBER(SEARCH("REFLECTIVO",INVENTARIO!C342)),"REF",
IF(ISNUMBER(SEARCH("LX700",INVENTARIO!C342)),"LX7",
IF(ISNUMBER(SEARCH("GRANDO",INVENTARIO!C342)),"GRA",
IF(ISNUMBER(SEARCH("FB700",INVENTARIO!C342)),"FB7",
IF(ISNUMBER(SEARCH("LX360",INVENTARIO!C342)),"LX3",
IF(ISNUMBER(SEARCH("XEROX",INVENTARIO!C342)),"XER",
IF(ISNUMBER(SEARCH("CEPILLADO",INVENTARIO!C342)),"CEP",
IF(ISNUMBER(SEARCH("ESPEJO",INVENTARIO!C342)),"ESP",
IF(ISNUMBER(SEARCH("10 PTS",INVENTARIO!C342)),"10PT",
IF(ISNUMBER(SEARCH("12 PTS",INVENTARIO!C342)),"12PT",
IF(ISNUMBER(SEARCH("14 PTS",INVENTARIO!C342)),"14PT",
IF(ISNUMBER(SEARCH("CLASICO",INVENTARIO!C342)),"CLA",
""))))))))))))))))))))))</f>
        <v/>
      </c>
      <c r="D342" t="str">
        <f>IF(ISNUMBER(SEARCH("GRAN FORMATO",INVENTARIO!C342)),"GRA-FOR",
IF(ISNUMBER(SEARCH("CAMA PLANA",INVENTARIO!C342)),"CAM-PLA",
IF(ISNUMBER(SEARCH("GRADO INGENIERIA",INVENTARIO!C342)),"GRA-ING",
IF(ISNUMBER(SEARCH("130 GRS",INVENTARIO!C342)),"130GR",
IF(ISNUMBER(SEARCH("150 GRS",INVENTARIO!C342)),"150GR",
IF(ISNUMBER(SEARCH("185 GRS",INVENTARIO!C342)),"185GR",
IF(ISNUMBER(SEARCH("200 GRS",INVENTARIO!C342)),"200GR",
IF(ISNUMBER(SEARCH("250 GRS",INVENTARIO!C342)),"250GR",
IF(ISNUMBER(SEARCH("300 GRS",INVENTARIO!C342)),"300GR",
IF(ISNUMBER(SEARCH("350 GRS",INVENTARIO!C342)),"350GR",
IF(ISNUMBER(SEARCH("18 OZ",INVENTARIO!C342)),"18OZ",
IF(ISNUMBER(SEARCH("15 OZ",INVENTARIO!C342)),"15OZ",
IF(OR(ISNUMBER(SEARCH("13 OZ",INVENTARIO!C342)),ISNUMBER(SEARCH("13 ONZAS",INVENTARIO!C342))),"13OZ",
IF(OR(ISNUMBER(SEARCH("9 OZ",INVENTARIO!C342)),ISNUMBER(SEARCH("9 ONZAS",INVENTARIO!C342))),"09OZ",
IF(ISNUMBER(SEARCH("DOBLE CARA",INVENTARIO!C342)),"DOB-CAR",
"")))))))))))))))</f>
        <v>185GR</v>
      </c>
      <c r="E342" t="str">
        <f>IF(OR(ISNUMBER(SEARCH("TRANSPARENTE",INVENTARIO!C342)),ISNUMBER(SEARCH("TRANSPARENTES",INVENTARIO!C342))),"TRA",
IF(OR(ISNUMBER(SEARCH("BLANCO",INVENTARIO!C342)),ISNUMBER(SEARCH("BCO",INVENTARIO!C342))),"BLA",
IF(ISNUMBER(SEARCH("FOTOGRAFICO",INVENTARIO!C342)),"FOT",
IF(ISNUMBER(SEARCH("MARFIL",INVENTARIO!C342)),"MAR",
IF(ISNUMBER(SEARCH("VERDE",INVENTARIO!C342)),"VER",
IF(ISNUMBER(SEARCH("MORADO",INVENTARIO!C342)),"MOR",
IF(ISNUMBER(SEARCH("PLATA",INVENTARIO!C342)),"PLA",
IF(ISNUMBER(SEARCH("ORO",INVENTARIO!C342)),"ORO",
IF(ISNUMBER(SEARCH("AMARILLO",INVENTARIO!C342)),"AMA",
IF(ISNUMBER(SEARCH("NARANJA",INVENTARIO!C342)),"NAR",
IF(ISNUMBER(SEARCH("NEGRO",INVENTARIO!C342)),"NEG",
IF(ISNUMBER(SEARCH("ROJO",INVENTARIO!C342)),"ROJ",
IF(ISNUMBER(SEARCH("AZUL",INVENTARIO!C342)),"AZU","")))))))))))))</f>
        <v/>
      </c>
      <c r="F342" t="str">
        <f>IF(ISNUMBER(SEARCH("ARLON",INVENTARIO!C342)),"ARL",
IF(ISNUMBER(SEARCH("SUNTHINKS",INVENTARIO!C342)),"SUN",
IF(ISNUMBER(SEARCH("FRIO",INVENTARIO!C342)),"FRI",
IF(ISNUMBER(SEARCH("CALIDO",INVENTARIO!C342)),"CAL",
IF(ISNUMBER(SEARCH("CEPILLADO",INVENTARIO!C342)),"CEP",
IF(ISNUMBER(SEARCH("ESPEJO",INVENTARIO!C342)),"ESP",
""))))))</f>
        <v/>
      </c>
      <c r="G342" t="str">
        <f>IF(ISNUMBER(SEARCH("LATEX",INVENTARIO!C342)),"LAT",
IF(ISNUMBER(SEARCH("RESP. NEGRO",INVENTARIO!C342)),"RES-NEG",
IF(ISNUMBER(SEARCH("RESPALDO CAFE",INVENTARIO!C342)),"RES-CAF",
IF(ISNUMBER(SEARCH("RESPALDO GRIS",INVENTARIO!C342)),"RES-GRI",
IF(ISNUMBER(SEARCH("OPTICO",INVENTARIO!C342)),"OPT",
IF(ISNUMBER(SEARCH("1,2 MM",INVENTARIO!C342)),"1MM2",
IF(ISNUMBER(SEARCH("2 MM",INVENTARIO!C342)),"2MM",
IF(ISNUMBER(SEARCH("3 MM",INVENTARIO!C342)),"3MM",
IF(ISNUMBER(SEARCH("4 MM",INVENTARIO!C342)),"4MM",
IF(ISNUMBER(SEARCH("5 MM",INVENTARIO!C342)),"5MM",
IF(ISNUMBER(SEARCH("6 MM",INVENTARIO!C342)),"6MM",
IF(ISNUMBER(SEARCH("9 MM",INVENTARIO!C342)),"9MM",
IF(ISNUMBER(SEARCH("10 MM",INVENTARIO!C342)),"10MM","")))))))))))))</f>
        <v/>
      </c>
      <c r="H342" t="str">
        <f>IF(ISNUMBER(SEARCH("GAMA BAJA",INVENTARIO!C342)),"GAM-BAJ",
IF(ISNUMBER(SEARCH("OPTIMIZADOR",INVENTARIO!C342)),"OPT",
IF(ISNUMBER(SEARCH("OVERCOAT",INVENTARIO!C342)),"OVE",
IF(ISNUMBER(SEARCH("WHITE",INVENTARIO!C342)),"WHI",
IF(ISNUMBER(SEARCH("LIGHT CYAN",INVENTARIO!C342)),"LIG-CYA",
IF(ISNUMBER(SEARCH("CYAN",INVENTARIO!C342)),"CYA",
IF(ISNUMBER(SEARCH("LIGHT MAGENTA",INVENTARIO!C342)),"LIG-MAG",
IF(ISNUMBER(SEARCH("MAGENTA",INVENTARIO!C342)),"MAG",
IF(ISNUMBER(SEARCH("BLACK",INVENTARIO!C342)),"BLA",
IF(ISNUMBER(SEARCH("YELLOW",INVENTARIO!C342)),"YEL",
IF(ISNUMBER(SEARCH("2 DIODOS",INVENTARIO!C342)),"2DI",
IF(ISNUMBER(SEARCH("3 DIODOS",INVENTARIO!C342)),"3DI",
IF(OR(ISNUMBER(SEARCH("TRASLUCIDO",INVENTARIO!C342)),ISNUMBER(SEARCH("TRANSLUCIDO",INVENTARIO!C342))),"TRA",
"")))))))))))))</f>
        <v/>
      </c>
    </row>
    <row r="343" spans="1:8">
      <c r="A343" t="str">
        <f>IF(ISNUMBER(SEARCH("LONA",INVENTARIO!C343)),"LON",
IF(ISNUMBER(SEARCH("VINIL",INVENTARIO!C343)),"VIN",
IF(ISNUMBER(SEARCH("KROMACOTE",INVENTARIO!C343)),"KRO",
IF(ISNUMBER(SEARCH("STARDREAM",INVENTARIO!C343)),"STA",
IF(ISNUMBER(SEARCH("DISPLAY",INVENTARIO!C343)),"DIS",
IF(ISNUMBER(SEARCH("ROLL UP",INVENTARIO!C343)),"ROL-UP",
IF(ISNUMBER(SEARCH("TRANSFER DE PAPEL",INVENTARIO!C343)),"TRA-PAP",
IF(ISNUMBER(SEARCH("TRANSFER",INVENTARIO!C343)),"TRA",IF(ISNUMBER(SEARCH("KOLA LOKA",INVENTARIO!C343)),"KOL-LOK",
IF(ISNUMBER(SEARCH("PETG",INVENTARIO!C343)),"PET",
IF(ISNUMBER(SEARCH("OJILLO",INVENTARIO!C343)),"OJI",
IF(ISNUMBER(SEARCH("COUCHE",INVENTARIO!C343)),"COU",
IF(ISNUMBER(SEARCH("PANEL DE ALUMINIO",INVENTARIO!C343)),"PAN-ALU",
IF(ISNUMBER(SEARCH("PVC",INVENTARIO!C343)),"PVC",
IF(ISNUMBER(SEARCH("PAPEL",INVENTARIO!C343)),"PAP",
IF(ISNUMBER(SEARCH("TELA",INVENTARIO!C343)),"TEL",
IF(ISNUMBER(SEARCH("CARTULINA",INVENTARIO!C343)),"CAR",
IF(OR(ISNUMBER(SEARCH("LAMINA",INVENTARIO!C343)),ISNUMBER(SEARCH("LÁMINA",INVENTARIO!C343)),ISNUMBER(SEARCH("LAMPARAS",INVENTARIO!C343))),"LAM",
IF(ISNUMBER(SEARCH("ESTIRENO",INVENTARIO!C343)),"EST",
IF(ISNUMBER(SEARCH("FOAMBOARD",INVENTARIO!C343)),"FOA",
IF(ISNUMBER(SEARCH("SOLVENTE",INVENTARIO!C343)),"SOL",
IF(ISNUMBER(SEARCH("TINTA",INVENTARIO!C343)),"TIN",
IF(ISNUMBER(SEARCH("ACRILICO",INVENTARIO!C343)),"ACR",
IF(ISNUMBER(SEARCH("MICROLED",INVENTARIO!C343)),"MIC",
IF(ISNUMBER(SEARCH("LED",INVENTARIO!C343)),"LED",
IF(ISNUMBER(SEARCH("FUENTE DE PODER",INVENTARIO!C343)),"FUE-POD",
IF(ISNUMBER(SEARCH("PETG",INVENTARIO!C343)),"PET",
IF(ISNUMBER(SEARCH("ALUMINIO",INVENTARIO!C343)),"ALU",
IF(ISNUMBER(SEARCH("CANAL",INVENTARIO!C343)),"CAN",
IF(ISNUMBER(SEARCH("ESCUADRA",INVENTARIO!C343)),"ESC",
IF(ISNUMBER(SEARCH("SOPORTE",INVENTARIO!C343)),"SOP","OTR")
))))))))))))))))))))))))))))))</f>
        <v>PAP</v>
      </c>
      <c r="B343" t="str">
        <f>IF(ISNUMBER(SEARCH("CORTE",INVENTARIO!C343)),"COR",
IF(ISNUMBER(SEARCH("CITYLIGHT",INVENTARIO!C343)),"CIT",
IF(ISNUMBER(SEARCH("LINO",INVENTARIO!C343)),"LIN",
IF(ISNUMBER(SEARCH("FABRIANO",INVENTARIO!C343)),"FAB",
IF(ISNUMBER(SEARCH("SUNDANCE",INVENTARIO!C343)),"SUN",
IF(ISNUMBER(SEARCH("SINTETICA",INVENTARIO!C343)),"SIN",
IF(ISNUMBER(SEARCH("CONTROL",INVENTARIO!C343)),"CON",
IF(ISNUMBER(SEARCH("TERMICO",INVENTARIO!C343)),"TER",
IF(ISNUMBER(SEARCH("C-15",INVENTARIO!C343)),"C15",
IF(ISNUMBER(SEARCH("C-20",INVENTARIO!C343)),"C20",
IF(ISNUMBER(SEARCH("C-30",INVENTARIO!C343)),"C30",
IF(ISNUMBER(SEARCH("C-40",INVENTARIO!C343)),"C40",
IF(ISNUMBER(SEARCH("C-60",INVENTARIO!C343)),"C60",
IF(ISNUMBER(SEARCH("C-80",INVENTARIO!C343)),"C80",
IF(ISNUMBER(SEARCH("EQUIPO",INVENTARIO!C343)),"EQU",
IF(ISNUMBER(SEARCH("FLOOR",INVENTARIO!C343)),"FLO",
IF(ISNUMBER(SEARCH("CRISTAL",INVENTARIO!C343)),"CRI",
IF(ISNUMBER(SEARCH(" SULFATADA",INVENTARIO!C354)),"SUL",
IF(ISNUMBER(SEARCH("OPALINA",INVENTARIO!C343)),"OPA",
IF(ISNUMBER(SEARCH("ADHERIBLE",INVENTARIO!C343)),"ADH",
IF(ISNUMBER(SEARCH("MICRO",INVENTARIO!C343)),"MIC","")))))))))))))))))))))</f>
        <v>FAB</v>
      </c>
      <c r="C343" t="str">
        <f>IF(ISNUMBER(SEARCH("PARED",INVENTARIO!C343)),"PAR",
IF(ISNUMBER(SEARCH("FRONT",INVENTARIO!C343)),"FRO",
IF(ISNUMBER(SEARCH("ALTA RESISTENCIA",INVENTARIO!C343)),
"ALT-RES",IF(ISNUMBER(SEARCH("BACKLITE",INVENTARIO!C343)),"BAC",
IF(ISNUMBER(SEARCH("MATE",INVENTARIO!C343)),"MAT",
IF(ISNUMBER(SEARCH("MESH",INVENTARIO!C343)),"MES",
IF(ISNUMBER(SEARCH("BRILLANTE",INVENTARIO!C343)),"BRI",
IF(ISNUMBER(SEARCH("DELGADA",INVENTARIO!C343)),"DEL",
IF(ISNUMBER(SEARCH("GRUESA",INVENTARIO!C343)),"GRU",
IF(ISNUMBER(SEARCH("ESTATICO",INVENTARIO!C343)),"EST",
IF(ISNUMBER(SEARCH("REFLECTIVO",INVENTARIO!C343)),"REF",
IF(ISNUMBER(SEARCH("LX700",INVENTARIO!C343)),"LX7",
IF(ISNUMBER(SEARCH("GRANDO",INVENTARIO!C343)),"GRA",
IF(ISNUMBER(SEARCH("FB700",INVENTARIO!C343)),"FB7",
IF(ISNUMBER(SEARCH("LX360",INVENTARIO!C343)),"LX3",
IF(ISNUMBER(SEARCH("XEROX",INVENTARIO!C343)),"XER",
IF(ISNUMBER(SEARCH("CEPILLADO",INVENTARIO!C343)),"CEP",
IF(ISNUMBER(SEARCH("ESPEJO",INVENTARIO!C343)),"ESP",
IF(ISNUMBER(SEARCH("10 PTS",INVENTARIO!C343)),"10PT",
IF(ISNUMBER(SEARCH("12 PTS",INVENTARIO!C343)),"12PT",
IF(ISNUMBER(SEARCH("14 PTS",INVENTARIO!C343)),"14PT",
IF(ISNUMBER(SEARCH("CLASICO",INVENTARIO!C343)),"CLA",
""))))))))))))))))))))))</f>
        <v>CLA</v>
      </c>
      <c r="D343" t="str">
        <f>IF(ISNUMBER(SEARCH("GRAN FORMATO",INVENTARIO!C343)),"GRA-FOR",
IF(ISNUMBER(SEARCH("CAMA PLANA",INVENTARIO!C343)),"CAM-PLA",
IF(ISNUMBER(SEARCH("GRADO INGENIERIA",INVENTARIO!C343)),"GRA-ING",
IF(ISNUMBER(SEARCH("130 GRS",INVENTARIO!C343)),"130GR",
IF(ISNUMBER(SEARCH("150 GRS",INVENTARIO!C343)),"150GR",
IF(ISNUMBER(SEARCH("185 GRS",INVENTARIO!C343)),"185GR",
IF(ISNUMBER(SEARCH("200 GRS",INVENTARIO!C343)),"200GR",
IF(ISNUMBER(SEARCH("250 GRS",INVENTARIO!C343)),"250GR",
IF(ISNUMBER(SEARCH("300 GRS",INVENTARIO!C343)),"300GR",
IF(ISNUMBER(SEARCH("350 GRS",INVENTARIO!C343)),"350GR",
IF(ISNUMBER(SEARCH("18 OZ",INVENTARIO!C343)),"18OZ",
IF(ISNUMBER(SEARCH("15 OZ",INVENTARIO!C343)),"15OZ",
IF(OR(ISNUMBER(SEARCH("13 OZ",INVENTARIO!C343)),ISNUMBER(SEARCH("13 ONZAS",INVENTARIO!C343))),"13OZ",
IF(OR(ISNUMBER(SEARCH("9 OZ",INVENTARIO!C343)),ISNUMBER(SEARCH("9 ONZAS",INVENTARIO!C343))),"09OZ",
IF(ISNUMBER(SEARCH("DOBLE CARA",INVENTARIO!C343)),"DOB-CAR",
"")))))))))))))))</f>
        <v>130GR</v>
      </c>
      <c r="E343" t="str">
        <f>IF(OR(ISNUMBER(SEARCH("TRANSPARENTE",INVENTARIO!C343)),ISNUMBER(SEARCH("TRANSPARENTES",INVENTARIO!C343))),"TRA",
IF(OR(ISNUMBER(SEARCH("BLANCO",INVENTARIO!C343)),ISNUMBER(SEARCH("BCO",INVENTARIO!C343))),"BLA",
IF(ISNUMBER(SEARCH("FOTOGRAFICO",INVENTARIO!C343)),"FOT",
IF(ISNUMBER(SEARCH("MARFIL",INVENTARIO!C343)),"MAR",
IF(ISNUMBER(SEARCH("VERDE",INVENTARIO!C343)),"VER",
IF(ISNUMBER(SEARCH("MORADO",INVENTARIO!C343)),"MOR",
IF(ISNUMBER(SEARCH("PLATA",INVENTARIO!C343)),"PLA",
IF(ISNUMBER(SEARCH("ORO",INVENTARIO!C343)),"ORO",
IF(ISNUMBER(SEARCH("AMARILLO",INVENTARIO!C343)),"AMA",
IF(ISNUMBER(SEARCH("NARANJA",INVENTARIO!C343)),"NAR",
IF(ISNUMBER(SEARCH("NEGRO",INVENTARIO!C343)),"NEG",
IF(ISNUMBER(SEARCH("ROJO",INVENTARIO!C343)),"ROJ",
IF(ISNUMBER(SEARCH("AZUL",INVENTARIO!C343)),"AZU","")))))))))))))</f>
        <v/>
      </c>
      <c r="F343" t="str">
        <f>IF(ISNUMBER(SEARCH("ARLON",INVENTARIO!C343)),"ARL",
IF(ISNUMBER(SEARCH("SUNTHINKS",INVENTARIO!C343)),"SUN",
IF(ISNUMBER(SEARCH("FRIO",INVENTARIO!C343)),"FRI",
IF(ISNUMBER(SEARCH("CALIDO",INVENTARIO!C343)),"CAL",
IF(ISNUMBER(SEARCH("CEPILLADO",INVENTARIO!C343)),"CEP",
IF(ISNUMBER(SEARCH("ESPEJO",INVENTARIO!C343)),"ESP",
""))))))</f>
        <v/>
      </c>
      <c r="G343" t="str">
        <f>IF(ISNUMBER(SEARCH("LATEX",INVENTARIO!C343)),"LAT",
IF(ISNUMBER(SEARCH("RESP. NEGRO",INVENTARIO!C343)),"RES-NEG",
IF(ISNUMBER(SEARCH("RESPALDO CAFE",INVENTARIO!C343)),"RES-CAF",
IF(ISNUMBER(SEARCH("RESPALDO GRIS",INVENTARIO!C343)),"RES-GRI",
IF(ISNUMBER(SEARCH("OPTICO",INVENTARIO!C343)),"OPT",
IF(ISNUMBER(SEARCH("1,2 MM",INVENTARIO!C343)),"1MM2",
IF(ISNUMBER(SEARCH("2 MM",INVENTARIO!C343)),"2MM",
IF(ISNUMBER(SEARCH("3 MM",INVENTARIO!C343)),"3MM",
IF(ISNUMBER(SEARCH("4 MM",INVENTARIO!C343)),"4MM",
IF(ISNUMBER(SEARCH("5 MM",INVENTARIO!C343)),"5MM",
IF(ISNUMBER(SEARCH("6 MM",INVENTARIO!C343)),"6MM",
IF(ISNUMBER(SEARCH("9 MM",INVENTARIO!C343)),"9MM",
IF(ISNUMBER(SEARCH("10 MM",INVENTARIO!C343)),"10MM","")))))))))))))</f>
        <v/>
      </c>
      <c r="H343" t="str">
        <f>IF(ISNUMBER(SEARCH("GAMA BAJA",INVENTARIO!C343)),"GAM-BAJ",
IF(ISNUMBER(SEARCH("OPTIMIZADOR",INVENTARIO!C343)),"OPT",
IF(ISNUMBER(SEARCH("OVERCOAT",INVENTARIO!C343)),"OVE",
IF(ISNUMBER(SEARCH("WHITE",INVENTARIO!C343)),"WHI",
IF(ISNUMBER(SEARCH("LIGHT CYAN",INVENTARIO!C343)),"LIG-CYA",
IF(ISNUMBER(SEARCH("CYAN",INVENTARIO!C343)),"CYA",
IF(ISNUMBER(SEARCH("LIGHT MAGENTA",INVENTARIO!C343)),"LIG-MAG",
IF(ISNUMBER(SEARCH("MAGENTA",INVENTARIO!C343)),"MAG",
IF(ISNUMBER(SEARCH("BLACK",INVENTARIO!C343)),"BLA",
IF(ISNUMBER(SEARCH("YELLOW",INVENTARIO!C343)),"YEL",
IF(ISNUMBER(SEARCH("2 DIODOS",INVENTARIO!C343)),"2DI",
IF(ISNUMBER(SEARCH("3 DIODOS",INVENTARIO!C343)),"3DI",
IF(OR(ISNUMBER(SEARCH("TRASLUCIDO",INVENTARIO!C343)),ISNUMBER(SEARCH("TRANSLUCIDO",INVENTARIO!C343))),"TRA",
"")))))))))))))</f>
        <v/>
      </c>
    </row>
    <row r="344" spans="1:8">
      <c r="A344" t="str">
        <f>IF(ISNUMBER(SEARCH("LONA",INVENTARIO!C344)),"LON",
IF(ISNUMBER(SEARCH("VINIL",INVENTARIO!C344)),"VIN",
IF(ISNUMBER(SEARCH("KROMACOTE",INVENTARIO!C344)),"KRO",
IF(ISNUMBER(SEARCH("STARDREAM",INVENTARIO!C344)),"STA",
IF(ISNUMBER(SEARCH("DISPLAY",INVENTARIO!C344)),"DIS",
IF(ISNUMBER(SEARCH("ROLL UP",INVENTARIO!C344)),"ROL-UP",
IF(ISNUMBER(SEARCH("TRANSFER DE PAPEL",INVENTARIO!C344)),"TRA-PAP",
IF(ISNUMBER(SEARCH("TRANSFER",INVENTARIO!C344)),"TRA",IF(ISNUMBER(SEARCH("KOLA LOKA",INVENTARIO!C344)),"KOL-LOK",
IF(ISNUMBER(SEARCH("PETG",INVENTARIO!C344)),"PET",
IF(ISNUMBER(SEARCH("OJILLO",INVENTARIO!C344)),"OJI",
IF(ISNUMBER(SEARCH("COUCHE",INVENTARIO!C344)),"COU",
IF(ISNUMBER(SEARCH("PANEL DE ALUMINIO",INVENTARIO!C344)),"PAN-ALU",
IF(ISNUMBER(SEARCH("PVC",INVENTARIO!C344)),"PVC",
IF(ISNUMBER(SEARCH("PAPEL",INVENTARIO!C344)),"PAP",
IF(ISNUMBER(SEARCH("TELA",INVENTARIO!C344)),"TEL",
IF(ISNUMBER(SEARCH("CARTULINA",INVENTARIO!C344)),"CAR",
IF(OR(ISNUMBER(SEARCH("LAMINA",INVENTARIO!C344)),ISNUMBER(SEARCH("LÁMINA",INVENTARIO!C344)),ISNUMBER(SEARCH("LAMPARAS",INVENTARIO!C344))),"LAM",
IF(ISNUMBER(SEARCH("ESTIRENO",INVENTARIO!C344)),"EST",
IF(ISNUMBER(SEARCH("FOAMBOARD",INVENTARIO!C344)),"FOA",
IF(ISNUMBER(SEARCH("SOLVENTE",INVENTARIO!C344)),"SOL",
IF(ISNUMBER(SEARCH("TINTA",INVENTARIO!C344)),"TIN",
IF(ISNUMBER(SEARCH("ACRILICO",INVENTARIO!C344)),"ACR",
IF(ISNUMBER(SEARCH("MICROLED",INVENTARIO!C344)),"MIC",
IF(ISNUMBER(SEARCH("LED",INVENTARIO!C344)),"LED",
IF(ISNUMBER(SEARCH("FUENTE DE PODER",INVENTARIO!C344)),"FUE-POD",
IF(ISNUMBER(SEARCH("PETG",INVENTARIO!C344)),"PET",
IF(ISNUMBER(SEARCH("ALUMINIO",INVENTARIO!C344)),"ALU",
IF(ISNUMBER(SEARCH("CANAL",INVENTARIO!C344)),"CAN",
IF(ISNUMBER(SEARCH("ESCUADRA",INVENTARIO!C344)),"ESC",
IF(ISNUMBER(SEARCH("SOPORTE",INVENTARIO!C344)),"SOP","OTR")
))))))))))))))))))))))))))))))</f>
        <v>OTR</v>
      </c>
      <c r="B344" t="str">
        <f>IF(ISNUMBER(SEARCH("CORTE",INVENTARIO!C344)),"COR",
IF(ISNUMBER(SEARCH("CITYLIGHT",INVENTARIO!C344)),"CIT",
IF(ISNUMBER(SEARCH("LINO",INVENTARIO!C344)),"LIN",
IF(ISNUMBER(SEARCH("FABRIANO",INVENTARIO!C344)),"FAB",
IF(ISNUMBER(SEARCH("SUNDANCE",INVENTARIO!C344)),"SUN",
IF(ISNUMBER(SEARCH("SINTETICA",INVENTARIO!C344)),"SIN",
IF(ISNUMBER(SEARCH("CONTROL",INVENTARIO!C344)),"CON",
IF(ISNUMBER(SEARCH("TERMICO",INVENTARIO!C344)),"TER",
IF(ISNUMBER(SEARCH("C-15",INVENTARIO!C344)),"C15",
IF(ISNUMBER(SEARCH("C-20",INVENTARIO!C344)),"C20",
IF(ISNUMBER(SEARCH("C-30",INVENTARIO!C344)),"C30",
IF(ISNUMBER(SEARCH("C-40",INVENTARIO!C344)),"C40",
IF(ISNUMBER(SEARCH("C-60",INVENTARIO!C344)),"C60",
IF(ISNUMBER(SEARCH("C-80",INVENTARIO!C344)),"C80",
IF(ISNUMBER(SEARCH("EQUIPO",INVENTARIO!C344)),"EQU",
IF(ISNUMBER(SEARCH("FLOOR",INVENTARIO!C344)),"FLO",
IF(ISNUMBER(SEARCH("CRISTAL",INVENTARIO!C344)),"CRI",
IF(ISNUMBER(SEARCH(" SULFATADA",INVENTARIO!C355)),"SUL",
IF(ISNUMBER(SEARCH("OPALINA",INVENTARIO!C344)),"OPA",
IF(ISNUMBER(SEARCH("ADHERIBLE",INVENTARIO!C344)),"ADH",
IF(ISNUMBER(SEARCH("MICRO",INVENTARIO!C344)),"MIC","")))))))))))))))))))))</f>
        <v>FAB</v>
      </c>
      <c r="C344" t="str">
        <f>IF(ISNUMBER(SEARCH("PARED",INVENTARIO!C344)),"PAR",
IF(ISNUMBER(SEARCH("FRONT",INVENTARIO!C344)),"FRO",
IF(ISNUMBER(SEARCH("ALTA RESISTENCIA",INVENTARIO!C344)),
"ALT-RES",IF(ISNUMBER(SEARCH("BACKLITE",INVENTARIO!C344)),"BAC",
IF(ISNUMBER(SEARCH("MATE",INVENTARIO!C344)),"MAT",
IF(ISNUMBER(SEARCH("MESH",INVENTARIO!C344)),"MES",
IF(ISNUMBER(SEARCH("BRILLANTE",INVENTARIO!C344)),"BRI",
IF(ISNUMBER(SEARCH("DELGADA",INVENTARIO!C344)),"DEL",
IF(ISNUMBER(SEARCH("GRUESA",INVENTARIO!C344)),"GRU",
IF(ISNUMBER(SEARCH("ESTATICO",INVENTARIO!C344)),"EST",
IF(ISNUMBER(SEARCH("REFLECTIVO",INVENTARIO!C344)),"REF",
IF(ISNUMBER(SEARCH("LX700",INVENTARIO!C344)),"LX7",
IF(ISNUMBER(SEARCH("GRANDO",INVENTARIO!C344)),"GRA",
IF(ISNUMBER(SEARCH("FB700",INVENTARIO!C344)),"FB7",
IF(ISNUMBER(SEARCH("LX360",INVENTARIO!C344)),"LX3",
IF(ISNUMBER(SEARCH("XEROX",INVENTARIO!C344)),"XER",
IF(ISNUMBER(SEARCH("CEPILLADO",INVENTARIO!C344)),"CEP",
IF(ISNUMBER(SEARCH("ESPEJO",INVENTARIO!C344)),"ESP",
IF(ISNUMBER(SEARCH("10 PTS",INVENTARIO!C344)),"10PT",
IF(ISNUMBER(SEARCH("12 PTS",INVENTARIO!C344)),"12PT",
IF(ISNUMBER(SEARCH("14 PTS",INVENTARIO!C344)),"14PT",
IF(ISNUMBER(SEARCH("CLASICO",INVENTARIO!C344)),"CLA",
""))))))))))))))))))))))</f>
        <v/>
      </c>
      <c r="D344" t="str">
        <f>IF(ISNUMBER(SEARCH("GRAN FORMATO",INVENTARIO!C344)),"GRA-FOR",
IF(ISNUMBER(SEARCH("CAMA PLANA",INVENTARIO!C344)),"CAM-PLA",
IF(ISNUMBER(SEARCH("GRADO INGENIERIA",INVENTARIO!C344)),"GRA-ING",
IF(ISNUMBER(SEARCH("130 GRS",INVENTARIO!C344)),"130GR",
IF(ISNUMBER(SEARCH("150 GRS",INVENTARIO!C344)),"150GR",
IF(ISNUMBER(SEARCH("185 GRS",INVENTARIO!C344)),"185GR",
IF(ISNUMBER(SEARCH("200 GRS",INVENTARIO!C344)),"200GR",
IF(ISNUMBER(SEARCH("250 GRS",INVENTARIO!C344)),"250GR",
IF(ISNUMBER(SEARCH("300 GRS",INVENTARIO!C344)),"300GR",
IF(ISNUMBER(SEARCH("350 GRS",INVENTARIO!C344)),"350GR",
IF(ISNUMBER(SEARCH("18 OZ",INVENTARIO!C344)),"18OZ",
IF(ISNUMBER(SEARCH("15 OZ",INVENTARIO!C344)),"15OZ",
IF(OR(ISNUMBER(SEARCH("13 OZ",INVENTARIO!C344)),ISNUMBER(SEARCH("13 ONZAS",INVENTARIO!C344))),"13OZ",
IF(OR(ISNUMBER(SEARCH("9 OZ",INVENTARIO!C344)),ISNUMBER(SEARCH("9 ONZAS",INVENTARIO!C344))),"09OZ",
IF(ISNUMBER(SEARCH("DOBLE CARA",INVENTARIO!C344)),"DOB-CAR",
"")))))))))))))))</f>
        <v>350GR</v>
      </c>
      <c r="E344" t="str">
        <f>IF(OR(ISNUMBER(SEARCH("TRANSPARENTE",INVENTARIO!C344)),ISNUMBER(SEARCH("TRANSPARENTES",INVENTARIO!C344))),"TRA",
IF(OR(ISNUMBER(SEARCH("BLANCO",INVENTARIO!C344)),ISNUMBER(SEARCH("BCO",INVENTARIO!C344))),"BLA",
IF(ISNUMBER(SEARCH("FOTOGRAFICO",INVENTARIO!C344)),"FOT",
IF(ISNUMBER(SEARCH("MARFIL",INVENTARIO!C344)),"MAR",
IF(ISNUMBER(SEARCH("VERDE",INVENTARIO!C344)),"VER",
IF(ISNUMBER(SEARCH("MORADO",INVENTARIO!C344)),"MOR",
IF(ISNUMBER(SEARCH("PLATA",INVENTARIO!C344)),"PLA",
IF(ISNUMBER(SEARCH("ORO",INVENTARIO!C344)),"ORO",
IF(ISNUMBER(SEARCH("AMARILLO",INVENTARIO!C344)),"AMA",
IF(ISNUMBER(SEARCH("NARANJA",INVENTARIO!C344)),"NAR",
IF(ISNUMBER(SEARCH("NEGRO",INVENTARIO!C344)),"NEG",
IF(ISNUMBER(SEARCH("ROJO",INVENTARIO!C344)),"ROJ",
IF(ISNUMBER(SEARCH("AZUL",INVENTARIO!C344)),"AZU","")))))))))))))</f>
        <v/>
      </c>
      <c r="F344" t="str">
        <f>IF(ISNUMBER(SEARCH("ARLON",INVENTARIO!C344)),"ARL",
IF(ISNUMBER(SEARCH("SUNTHINKS",INVENTARIO!C344)),"SUN",
IF(ISNUMBER(SEARCH("FRIO",INVENTARIO!C344)),"FRI",
IF(ISNUMBER(SEARCH("CALIDO",INVENTARIO!C344)),"CAL",
IF(ISNUMBER(SEARCH("CEPILLADO",INVENTARIO!C344)),"CEP",
IF(ISNUMBER(SEARCH("ESPEJO",INVENTARIO!C344)),"ESP",
""))))))</f>
        <v/>
      </c>
      <c r="G344" t="str">
        <f>IF(ISNUMBER(SEARCH("LATEX",INVENTARIO!C344)),"LAT",
IF(ISNUMBER(SEARCH("RESP. NEGRO",INVENTARIO!C344)),"RES-NEG",
IF(ISNUMBER(SEARCH("RESPALDO CAFE",INVENTARIO!C344)),"RES-CAF",
IF(ISNUMBER(SEARCH("RESPALDO GRIS",INVENTARIO!C344)),"RES-GRI",
IF(ISNUMBER(SEARCH("OPTICO",INVENTARIO!C344)),"OPT",
IF(ISNUMBER(SEARCH("1,2 MM",INVENTARIO!C344)),"1MM2",
IF(ISNUMBER(SEARCH("2 MM",INVENTARIO!C344)),"2MM",
IF(ISNUMBER(SEARCH("3 MM",INVENTARIO!C344)),"3MM",
IF(ISNUMBER(SEARCH("4 MM",INVENTARIO!C344)),"4MM",
IF(ISNUMBER(SEARCH("5 MM",INVENTARIO!C344)),"5MM",
IF(ISNUMBER(SEARCH("6 MM",INVENTARIO!C344)),"6MM",
IF(ISNUMBER(SEARCH("9 MM",INVENTARIO!C344)),"9MM",
IF(ISNUMBER(SEARCH("10 MM",INVENTARIO!C344)),"10MM","")))))))))))))</f>
        <v/>
      </c>
      <c r="H344" t="str">
        <f>IF(ISNUMBER(SEARCH("GAMA BAJA",INVENTARIO!C344)),"GAM-BAJ",
IF(ISNUMBER(SEARCH("OPTIMIZADOR",INVENTARIO!C344)),"OPT",
IF(ISNUMBER(SEARCH("OVERCOAT",INVENTARIO!C344)),"OVE",
IF(ISNUMBER(SEARCH("WHITE",INVENTARIO!C344)),"WHI",
IF(ISNUMBER(SEARCH("LIGHT CYAN",INVENTARIO!C344)),"LIG-CYA",
IF(ISNUMBER(SEARCH("CYAN",INVENTARIO!C344)),"CYA",
IF(ISNUMBER(SEARCH("LIGHT MAGENTA",INVENTARIO!C344)),"LIG-MAG",
IF(ISNUMBER(SEARCH("MAGENTA",INVENTARIO!C344)),"MAG",
IF(ISNUMBER(SEARCH("BLACK",INVENTARIO!C344)),"BLA",
IF(ISNUMBER(SEARCH("YELLOW",INVENTARIO!C344)),"YEL",
IF(ISNUMBER(SEARCH("2 DIODOS",INVENTARIO!C344)),"2DI",
IF(ISNUMBER(SEARCH("3 DIODOS",INVENTARIO!C344)),"3DI",
IF(OR(ISNUMBER(SEARCH("TRASLUCIDO",INVENTARIO!C344)),ISNUMBER(SEARCH("TRANSLUCIDO",INVENTARIO!C344))),"TRA",
"")))))))))))))</f>
        <v/>
      </c>
    </row>
    <row r="345" spans="1:8">
      <c r="D345" t="str">
        <f>IF(ISNUMBER(SEARCH("GRAN FORMATO",INVENTARIO!C345)),"GRA-FOR",
IF(ISNUMBER(SEARCH("CAMA PLANA",INVENTARIO!C345)),"CAM-PLA",
IF(ISNUMBER(SEARCH("GRADO INGENIERIA",INVENTARIO!C345)),"GRA-ING",
IF(ISNUMBER(SEARCH("130 GRS",INVENTARIO!C345)),"130GR",
IF(ISNUMBER(SEARCH("150 GRS",INVENTARIO!C345)),"150GR",
IF(ISNUMBER(SEARCH("185 GRS",INVENTARIO!C345)),"185GR",
IF(ISNUMBER(SEARCH("200 GRS",INVENTARIO!C345)),"200GR",
IF(ISNUMBER(SEARCH("250 GRS",INVENTARIO!C345)),"250GR",
IF(ISNUMBER(SEARCH("300 GRS",INVENTARIO!C345)),"300GR",
IF(ISNUMBER(SEARCH("350 GRS",INVENTARIO!C345)),"350GR",
IF(ISNUMBER(SEARCH("18 OZ",INVENTARIO!C345)),"18OZ",
IF(ISNUMBER(SEARCH("15 OZ",INVENTARIO!C345)),"15OZ",
IF(OR(ISNUMBER(SEARCH("13 OZ",INVENTARIO!C345)),ISNUMBER(SEARCH("13 ONZAS",INVENTARIO!C345))),"13OZ",
IF(OR(ISNUMBER(SEARCH("9 OZ",INVENTARIO!C345)),ISNUMBER(SEARCH("9 ONZAS",INVENTARIO!C345))),"09OZ",
IF(ISNUMBER(SEARCH("DOBLE CARA",INVENTARIO!C345)),"DOB-CAR",
"")))))))))))))))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RELACIONES</vt:lpstr>
      <vt:lpstr>PRODUCTOS</vt:lpstr>
      <vt:lpstr>INVENTARIO</vt:lpstr>
      <vt:lpstr>PROVEEDORES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Alberto Galindo Baxin</cp:lastModifiedBy>
  <dcterms:created xsi:type="dcterms:W3CDTF">2026-04-14T16:26:42Z</dcterms:created>
  <dcterms:modified xsi:type="dcterms:W3CDTF">2026-04-20T03:45:14Z</dcterms:modified>
</cp:coreProperties>
</file>