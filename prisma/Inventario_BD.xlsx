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g20\Downloads\"/>
    </mc:Choice>
  </mc:AlternateContent>
  <xr:revisionPtr revIDLastSave="0" documentId="13_ncr:1_{DD7BEE04-E2A7-43D8-B175-71AEE5CE2883}" xr6:coauthVersionLast="47" xr6:coauthVersionMax="47" xr10:uidLastSave="{00000000-0000-0000-0000-000000000000}"/>
  <bookViews>
    <workbookView xWindow="-120" yWindow="-120" windowWidth="20730" windowHeight="11040" xr2:uid="{18950426-CEF0-4852-82BB-BF03C2CA9479}"/>
  </bookViews>
  <sheets>
    <sheet name="Inventario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49" i="2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3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3" i="2"/>
  <c r="A29" i="1"/>
  <c r="A30" i="1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3" i="2"/>
  <c r="A197" i="1" l="1"/>
  <c r="A226" i="1"/>
  <c r="A190" i="1"/>
  <c r="A220" i="1"/>
  <c r="A159" i="1"/>
  <c r="A195" i="1"/>
  <c r="A213" i="1"/>
  <c r="A240" i="1"/>
  <c r="A204" i="1"/>
  <c r="A241" i="1"/>
  <c r="A193" i="1"/>
  <c r="A203" i="1"/>
  <c r="A191" i="1"/>
  <c r="A248" i="1"/>
  <c r="A224" i="1"/>
  <c r="A212" i="1"/>
  <c r="A200" i="1"/>
  <c r="A188" i="1"/>
  <c r="A194" i="1"/>
  <c r="A211" i="1"/>
  <c r="A199" i="1"/>
  <c r="A187" i="1"/>
  <c r="A250" i="1"/>
  <c r="A202" i="1"/>
  <c r="A246" i="1"/>
  <c r="A234" i="1"/>
  <c r="A210" i="1"/>
  <c r="A198" i="1"/>
  <c r="A186" i="1"/>
  <c r="A150" i="1"/>
  <c r="A201" i="1"/>
  <c r="A189" i="1"/>
  <c r="A151" i="1"/>
  <c r="A245" i="1"/>
  <c r="A209" i="1"/>
  <c r="A185" i="1"/>
  <c r="A196" i="1"/>
  <c r="A184" i="1"/>
  <c r="A207" i="1"/>
  <c r="A247" i="1"/>
  <c r="A244" i="1"/>
  <c r="A208" i="1"/>
  <c r="A192" i="1"/>
  <c r="A249" i="1"/>
  <c r="A225" i="1"/>
  <c r="A133" i="1"/>
  <c r="A134" i="1"/>
  <c r="A243" i="1"/>
  <c r="A228" i="1"/>
  <c r="A215" i="1"/>
  <c r="A242" i="1"/>
  <c r="A206" i="1"/>
  <c r="A217" i="1"/>
  <c r="A205" i="1"/>
  <c r="A216" i="1"/>
  <c r="A239" i="1"/>
  <c r="A238" i="1"/>
  <c r="A214" i="1"/>
  <c r="A237" i="1"/>
  <c r="A60" i="1"/>
  <c r="A143" i="1"/>
  <c r="A119" i="1"/>
  <c r="A71" i="1"/>
  <c r="A146" i="1"/>
  <c r="A74" i="1"/>
  <c r="A130" i="1"/>
  <c r="A106" i="1"/>
  <c r="A82" i="1"/>
  <c r="A70" i="1"/>
  <c r="A145" i="1"/>
  <c r="A73" i="1"/>
  <c r="A42" i="1"/>
  <c r="A131" i="1"/>
  <c r="A107" i="1"/>
  <c r="A83" i="1"/>
  <c r="A59" i="1"/>
  <c r="A47" i="1"/>
  <c r="A11" i="1"/>
  <c r="A155" i="1"/>
  <c r="A55" i="1"/>
  <c r="A7" i="1"/>
  <c r="A142" i="1"/>
  <c r="A118" i="1"/>
  <c r="A58" i="1"/>
  <c r="A46" i="1"/>
  <c r="A154" i="1"/>
  <c r="A125" i="1"/>
  <c r="A101" i="1"/>
  <c r="A17" i="1"/>
  <c r="A5" i="1"/>
  <c r="A2" i="1"/>
  <c r="A123" i="1"/>
  <c r="A56" i="1"/>
  <c r="A10" i="1"/>
  <c r="A110" i="1"/>
  <c r="A14" i="1"/>
  <c r="A117" i="1"/>
  <c r="A105" i="1"/>
  <c r="A69" i="1"/>
  <c r="A57" i="1"/>
  <c r="A45" i="1"/>
  <c r="A9" i="1"/>
  <c r="A109" i="1"/>
  <c r="A13" i="1"/>
  <c r="A144" i="1"/>
  <c r="A132" i="1"/>
  <c r="A120" i="1"/>
  <c r="A108" i="1"/>
  <c r="A72" i="1"/>
  <c r="A162" i="1"/>
  <c r="A128" i="1"/>
  <c r="A116" i="1"/>
  <c r="A104" i="1"/>
  <c r="A80" i="1"/>
  <c r="A68" i="1"/>
  <c r="A152" i="1"/>
  <c r="A84" i="1"/>
  <c r="A48" i="1"/>
  <c r="A12" i="1"/>
  <c r="A160" i="1"/>
  <c r="A139" i="1"/>
  <c r="A127" i="1"/>
  <c r="A115" i="1"/>
  <c r="A103" i="1"/>
  <c r="A79" i="1"/>
  <c r="A67" i="1"/>
  <c r="A19" i="1"/>
  <c r="A124" i="1"/>
  <c r="A112" i="1"/>
  <c r="A138" i="1"/>
  <c r="A126" i="1"/>
  <c r="A114" i="1"/>
  <c r="A102" i="1"/>
  <c r="A66" i="1"/>
  <c r="A54" i="1"/>
  <c r="A6" i="1"/>
  <c r="A113" i="1"/>
  <c r="A65" i="1"/>
  <c r="A76" i="1"/>
  <c r="A64" i="1"/>
  <c r="A16" i="1"/>
  <c r="A4" i="1"/>
  <c r="A111" i="1"/>
  <c r="A44" i="1"/>
  <c r="A122" i="1"/>
  <c r="A8" i="1"/>
  <c r="A43" i="1"/>
  <c r="A129" i="1"/>
  <c r="A157" i="1"/>
  <c r="A121" i="1"/>
  <c r="A147" i="1"/>
  <c r="A75" i="1"/>
  <c r="A63" i="1"/>
  <c r="A15" i="1"/>
  <c r="A3" i="1"/>
  <c r="A27" i="1"/>
  <c r="A181" i="1"/>
  <c r="A22" i="1"/>
  <c r="A24" i="1"/>
  <c r="A25" i="1"/>
  <c r="A23" i="1"/>
  <c r="A179" i="1"/>
  <c r="A232" i="1"/>
  <c r="A31" i="1"/>
  <c r="A140" i="1"/>
  <c r="A32" i="1"/>
  <c r="A164" i="1"/>
  <c r="A141" i="1"/>
  <c r="A167" i="1"/>
  <c r="A28" i="1"/>
  <c r="A81" i="1"/>
  <c r="A163" i="1"/>
  <c r="A26" i="1"/>
  <c r="A161" i="1"/>
  <c r="A149" i="1"/>
  <c r="A148" i="1"/>
  <c r="A156" i="1"/>
  <c r="A165" i="1"/>
  <c r="A182" i="1"/>
  <c r="A180" i="1"/>
  <c r="A166" i="1"/>
  <c r="A153" i="1"/>
  <c r="A178" i="1"/>
  <c r="A177" i="1"/>
  <c r="A183" i="1"/>
  <c r="A158" i="1"/>
  <c r="A227" i="1"/>
  <c r="A168" i="1"/>
  <c r="A236" i="1"/>
  <c r="A175" i="1"/>
  <c r="A233" i="1"/>
  <c r="A235" i="1"/>
  <c r="A174" i="1"/>
  <c r="A173" i="1"/>
  <c r="A229" i="1"/>
  <c r="A170" i="1"/>
  <c r="A176" i="1"/>
  <c r="A231" i="1"/>
  <c r="A230" i="1"/>
  <c r="A169" i="1"/>
  <c r="A172" i="1"/>
  <c r="A171" i="1"/>
</calcChain>
</file>

<file path=xl/sharedStrings.xml><?xml version="1.0" encoding="utf-8"?>
<sst xmlns="http://schemas.openxmlformats.org/spreadsheetml/2006/main" count="906" uniqueCount="384">
  <si>
    <t>LONA BACK LIT 15 OZ</t>
  </si>
  <si>
    <t>1,6</t>
  </si>
  <si>
    <t>SOLVENTE EQUIPO GRAN FORMATO</t>
  </si>
  <si>
    <t>SOLVENTE EQUIPO FB700 O SUNTHINKS</t>
  </si>
  <si>
    <t>2,5</t>
  </si>
  <si>
    <t>3,2</t>
  </si>
  <si>
    <t>LONA FRONT 13 ONZAS</t>
  </si>
  <si>
    <t>LONA FRONT 13 ONZAS / ALTA RESISTENCIA</t>
  </si>
  <si>
    <t>2,04</t>
  </si>
  <si>
    <t>LONA FRONT 9 ONZAS / CAMPAÑA</t>
  </si>
  <si>
    <t>LONA MATE 13 OZ</t>
  </si>
  <si>
    <t>LONA MATE 13 OZ (PALACIO)</t>
  </si>
  <si>
    <t>1,52</t>
  </si>
  <si>
    <t>LONA MATE 13 OZ - RESP. NEGRO</t>
  </si>
  <si>
    <t>LONA MATE 13 OZ RESP. NEGRO</t>
  </si>
  <si>
    <t>LONA MESH</t>
  </si>
  <si>
    <t>PAPEL BLUE BACK</t>
  </si>
  <si>
    <t>1,55</t>
  </si>
  <si>
    <t>PAPEL MATE 200 GRS FOTOGRAFICO</t>
  </si>
  <si>
    <t>PAPEL BRILLANTE 200 GRS FOTOGRAFICO</t>
  </si>
  <si>
    <t>PAPEL BACKLIT ( SEMIMATE)</t>
  </si>
  <si>
    <t>PAPEL SOLVATEX KRONALINE</t>
  </si>
  <si>
    <t>PAPEL CITYLIGHT - 1.60 X 50 MTS</t>
  </si>
  <si>
    <t>CARTULINA SULFATADA (COUCHE) ROLLO</t>
  </si>
  <si>
    <t>1,37</t>
  </si>
  <si>
    <t>TELA SINTETICA DELGADA</t>
  </si>
  <si>
    <t>TELA SINTETICA GRUESA</t>
  </si>
  <si>
    <t>TELA CANVAS - POLYCANVAS</t>
  </si>
  <si>
    <t>VINIL CONTROL TAC (IJ180)</t>
  </si>
  <si>
    <t>45,7</t>
  </si>
  <si>
    <t>91,4</t>
  </si>
  <si>
    <t>VINIL CONTROL 40 (40-C / IJ40)</t>
  </si>
  <si>
    <t>VINIL ESTATICO BLANCO LATEX</t>
  </si>
  <si>
    <t>VINIL ESTATICO BLANCO</t>
  </si>
  <si>
    <t>1,27</t>
  </si>
  <si>
    <t>41,7</t>
  </si>
  <si>
    <t>VINIL ESTATICO TRANSPARENTE</t>
  </si>
  <si>
    <t>VINIL FLOOR GRAPHICS C/TEXTURA</t>
  </si>
  <si>
    <t>VINIL FLOOR GRAPHICS C/TEXTURA PARA IMPRIMIR</t>
  </si>
  <si>
    <r>
      <t xml:space="preserve">VINIL REFLECTIVO COLORES </t>
    </r>
    <r>
      <rPr>
        <sz val="8"/>
        <color theme="1"/>
        <rFont val="Arimo"/>
      </rPr>
      <t>(GRADO ING. O DIAMANTE)</t>
    </r>
  </si>
  <si>
    <t>1,22</t>
  </si>
  <si>
    <t>VINIL IMANTADO C-30</t>
  </si>
  <si>
    <t>0,61</t>
  </si>
  <si>
    <t>RITRAMA - ALTO TAC</t>
  </si>
  <si>
    <t>VINIL MATE BLANCO RITRAMA BLOCKOUT</t>
  </si>
  <si>
    <t>VINIL MATE BLANCO GENERAL FORMULATION RESPALDO GRIS</t>
  </si>
  <si>
    <t>VINIL MATE BLANCO ARLON BLOCKOUT</t>
  </si>
  <si>
    <t>VINIL BRILLANTE RESPALDO GRIS</t>
  </si>
  <si>
    <t>VINIL TRANSPARENTE</t>
  </si>
  <si>
    <t>VINIL MICROPERFORADO</t>
  </si>
  <si>
    <t>VINIL BRILLANTE (SUPRINT Y/O RITRAMA, AVERY)</t>
  </si>
  <si>
    <t>VINIL BLANCO BTE.</t>
  </si>
  <si>
    <t>1,26</t>
  </si>
  <si>
    <t>1,05</t>
  </si>
  <si>
    <t>VINIL MATE (RITRAMA)</t>
  </si>
  <si>
    <t>VINIL MATE SUPRINT</t>
  </si>
  <si>
    <t>VINIL PARA PARED - wallgraphic LOZANO</t>
  </si>
  <si>
    <t>VINIL PARA PARED - ORAJET MATE</t>
  </si>
  <si>
    <t>VINIL PSXPVTX001SM-60 VINIL TEXT STONE</t>
  </si>
  <si>
    <t>VINIL WALL CANVAS - GF</t>
  </si>
  <si>
    <t>VINIL BLANCO TRANSLUCIDO PARA IMPRESIÓN</t>
  </si>
  <si>
    <t>LAMINADO 3M (PROTECCION LUSTRE 8519)</t>
  </si>
  <si>
    <t>LAMINADO TERMICO - BRILLANTE</t>
  </si>
  <si>
    <t>0,6</t>
  </si>
  <si>
    <t>PVC BCO 3MM (TROVICEL)</t>
  </si>
  <si>
    <t>2,44</t>
  </si>
  <si>
    <t>PVC BCO 3MM (TROVICEL) GAMA BAJA</t>
  </si>
  <si>
    <t>PVC BCO 2MM</t>
  </si>
  <si>
    <t>PVC BCO 6MM (TROVICEL)</t>
  </si>
  <si>
    <t>PVC BCO 6MM (TROVICEL) GAMA BAJA</t>
  </si>
  <si>
    <t>PVC BCO 10MM (TROVICEL)</t>
  </si>
  <si>
    <t>FOAMULAR 1"</t>
  </si>
  <si>
    <t>COROPLAST 4MM</t>
  </si>
  <si>
    <t>FOAMBOARD 5MM</t>
  </si>
  <si>
    <t>FOAMBOARD 10MM</t>
  </si>
  <si>
    <t>ESTIRENO C-15</t>
  </si>
  <si>
    <t>ESTIRENO C-20</t>
  </si>
  <si>
    <t>ESTIRENO C-30</t>
  </si>
  <si>
    <t>ESTIRENO C-40</t>
  </si>
  <si>
    <t>ESTIRENO C-60</t>
  </si>
  <si>
    <t>ESTIRENO C-80</t>
  </si>
  <si>
    <t>DISPLAY (BANNER X)</t>
  </si>
  <si>
    <t>0,8</t>
  </si>
  <si>
    <t>1,8</t>
  </si>
  <si>
    <t>ROLL UP</t>
  </si>
  <si>
    <t>0,85</t>
  </si>
  <si>
    <t>ARAÑA (MURO XTEND)</t>
  </si>
  <si>
    <t>2,96</t>
  </si>
  <si>
    <t>2,22</t>
  </si>
  <si>
    <t>TINTA LX700 LATEX CYAN</t>
  </si>
  <si>
    <t>TINTA LX700 LATEX MAGENTA</t>
  </si>
  <si>
    <t>TINTA LX700 LATEX YELLOW</t>
  </si>
  <si>
    <t>TINTA LX700 LATEX BLACK</t>
  </si>
  <si>
    <t>TINTA LX700 LATEX LIGHT CYAN</t>
  </si>
  <si>
    <t>TINTA LX700 LATEX LIGHT MAGENTA</t>
  </si>
  <si>
    <t>TINTA LX700 LATEX OPTIMIZADOR</t>
  </si>
  <si>
    <t>TINTA LX700 LATEX OVERCOAT</t>
  </si>
  <si>
    <t>TINTA GRANDO CYAN</t>
  </si>
  <si>
    <t>TINTA GRANDO MAGENTA</t>
  </si>
  <si>
    <t>TINTA GRANDO YELLOW</t>
  </si>
  <si>
    <t>TINTA GRANDO BLACK</t>
  </si>
  <si>
    <t>TINTA - CAMA PLANA SUNTHINKS CYAN</t>
  </si>
  <si>
    <t>TINTA - CAMA PLANA SUNTHINKS MAGENTA</t>
  </si>
  <si>
    <t>TINTA - CAMA PLANA SUNTHINKS YELLOW</t>
  </si>
  <si>
    <t>TINTA - CAMA PLANA SUNTHINKS BLACK</t>
  </si>
  <si>
    <t>TINTA - CAMA PLANA SUNTHINKS WHITE</t>
  </si>
  <si>
    <t>TINTA FB700 - CAMA PLANA CYAN</t>
  </si>
  <si>
    <t>TINTA FB700 - CAMA PLANA MAGENTA</t>
  </si>
  <si>
    <t>TINTA FB700 - CAMA PLANA YELLOW</t>
  </si>
  <si>
    <t>TINTA FB700 - CAMA PLANA BLACK</t>
  </si>
  <si>
    <t>TINTA FB700 - CAMA PLANA LIGHT CYAN</t>
  </si>
  <si>
    <t>TINTA FB700 - CAMA PLANA LIGHT MAGENTA</t>
  </si>
  <si>
    <t>TINTA LX360 CYAN</t>
  </si>
  <si>
    <t>TINTA LX360 MAGENTA</t>
  </si>
  <si>
    <t>TINTA LX360 YELLOW</t>
  </si>
  <si>
    <t>TINTA LX360 BLACK</t>
  </si>
  <si>
    <t>TINTA LX360 LIGHT CYAN</t>
  </si>
  <si>
    <t>TINTA LX360 LIGHT MAGENTA</t>
  </si>
  <si>
    <t>TINTA LX360 OPTIMIZADOR</t>
  </si>
  <si>
    <t>MANUALES #3</t>
  </si>
  <si>
    <t>EQ. FUKAIDO #3</t>
  </si>
  <si>
    <t>SEMIAUTOMATICOS</t>
  </si>
  <si>
    <t>VINIL DE CORTE CARDINAL RED</t>
  </si>
  <si>
    <t>VINIL DE CORTE GOLD</t>
  </si>
  <si>
    <t>VINIL DE CORTE BLANCO BTE</t>
  </si>
  <si>
    <t>VINIL DE CORTE BLANCO MATE</t>
  </si>
  <si>
    <t>VINIL DE CORTE ROYAL BLUE</t>
  </si>
  <si>
    <t>VINIL DE CORTE BURGUNDY</t>
  </si>
  <si>
    <t>VINIL DE CORTE ESMERILADO</t>
  </si>
  <si>
    <t>VINIL DE CORTE DARK GRAY</t>
  </si>
  <si>
    <t>VINIL DE CORTE DARK GRAY MATE</t>
  </si>
  <si>
    <t>VINIL DE CORTE FOTOLUMINSCENTE</t>
  </si>
  <si>
    <t>VINIL DE CORTE NEGRO MATE</t>
  </si>
  <si>
    <t>VINIL DE CORTE NEGRO BRILLANTE</t>
  </si>
  <si>
    <t>VINIL DE CORTE PLATA CEPILLADO</t>
  </si>
  <si>
    <t>VINIL DE CORTE ORO ESPEJO</t>
  </si>
  <si>
    <t>VINIL DE CORTE MEDIUM GRAY</t>
  </si>
  <si>
    <t>VINIL DE CORTE ROJO TRASLUCIDO</t>
  </si>
  <si>
    <t>VINIL DE CORTE TOMATO RED LG</t>
  </si>
  <si>
    <t>VINIL DE CORTE AZUL LG TRASLUCIDO FERCHE</t>
  </si>
  <si>
    <t>VINIL DE CORTE VERDE PEMEX</t>
  </si>
  <si>
    <t>VINIL DE CORTE OLYMPLIC BLUE</t>
  </si>
  <si>
    <t>VINIL DE CORTE SILVER</t>
  </si>
  <si>
    <t>VINIL DE CORTE MAJESTIC BLUE</t>
  </si>
  <si>
    <t>VINIL DE CORTE ORO ROSA</t>
  </si>
  <si>
    <t>VINIL DE CORTE NARANJA TRANSLUCIDO</t>
  </si>
  <si>
    <t>VINIL DE CORTE BLUE ORACAL</t>
  </si>
  <si>
    <t>VINIL DE CORTE BRIGHT ORANGE</t>
  </si>
  <si>
    <t>VINIL DE CORTE GREEN</t>
  </si>
  <si>
    <t>ACRILICO AZUL 3 MM</t>
  </si>
  <si>
    <t>ACRILICO NARANJA 3 MM</t>
  </si>
  <si>
    <t>ACRILICO BLANCO 3 MM</t>
  </si>
  <si>
    <t>ACRILICO BLANCO 5 MM</t>
  </si>
  <si>
    <t>ACRILICO CRISTAL 6 MM</t>
  </si>
  <si>
    <t>ACRILICO CRISTAL 3 MM</t>
  </si>
  <si>
    <t>ACRILICO CRISTAL 4 MM</t>
  </si>
  <si>
    <t>ACRILICO CRISTAL 5 MM</t>
  </si>
  <si>
    <t>ACRILICO CRISTAL 2 MM</t>
  </si>
  <si>
    <t>ACRILICO ROJO 3 MM</t>
  </si>
  <si>
    <t>ACRILICO ROJO 5 MM</t>
  </si>
  <si>
    <t>ACRILICO NEGRO 3 MM</t>
  </si>
  <si>
    <t>ACRILICO NEGRO 6MM</t>
  </si>
  <si>
    <t>ACRILICO AMARILLO 3MM</t>
  </si>
  <si>
    <t>ACRILICO AMARILLO 3MM - TRANSLUCIDO</t>
  </si>
  <si>
    <t>ACRILICO VERDE DE 3 MM</t>
  </si>
  <si>
    <t>LED UNIDIODO - BCO. FRIO</t>
  </si>
  <si>
    <t>LED 5050 2 DIODOS</t>
  </si>
  <si>
    <t>LED OPTICO 1 DIODO BCO. CAJAS DE LUZ</t>
  </si>
  <si>
    <t>LED OPTICO 3 DIODOS FRIO ROHS</t>
  </si>
  <si>
    <t>LED 5050 FRIO 3 DIODOS</t>
  </si>
  <si>
    <t>LED SYDEMEX 2 DIODOS BCO. FRIO</t>
  </si>
  <si>
    <t>LED OPTICOS 3 DIODOS ROJO 3M SILED</t>
  </si>
  <si>
    <t>LED MICROLED 2 DIODOS SILED BCO. FRIO</t>
  </si>
  <si>
    <t>LED SYDEMEX 3 DIODOS BCO. CALIDO</t>
  </si>
  <si>
    <t>LED SYDEMEX 3 DIODOS BCO. NEUTRO</t>
  </si>
  <si>
    <t>LED SILED BCO. FRIO 3 DIODOS - tubelite</t>
  </si>
  <si>
    <t>LED COLED OPTICO CALIDO 3 DIODOS</t>
  </si>
  <si>
    <t>LED COLED OPTICA FRIO 3 DIODOS</t>
  </si>
  <si>
    <t>LED COLED LED BCO. FRIO 3 DIODOS</t>
  </si>
  <si>
    <t>LED COLED LED BCO. CÁLIDO 3 DIODOS</t>
  </si>
  <si>
    <t>LED OPTICO BCO FRIO 3 DIODOS RISHANG</t>
  </si>
  <si>
    <t>LED OPTICO BCO FRIO 3 DIODOS VYG</t>
  </si>
  <si>
    <t>LED MICROLED 2 DIODOS SILED BCO. CALIDO</t>
  </si>
  <si>
    <t>LED SILED BCO. CALIDO 3 DIODOS</t>
  </si>
  <si>
    <t>LED MICROLED BCO. FRIO M602TA 2 DIODOS</t>
  </si>
  <si>
    <t>LED NANO LED 3 DIODOS FRIO ROHS</t>
  </si>
  <si>
    <t>LED ROJO OPTICO 2 DIODOS SILED</t>
  </si>
  <si>
    <t>LED  OPTICO 2 DIODOS FRIO SILED</t>
  </si>
  <si>
    <t>LED NANO LED 3 DIODOS FRIO SYDEMEX</t>
  </si>
  <si>
    <t>FUENTE VOLTAJE 30</t>
  </si>
  <si>
    <t>FUENTE VOLTAJE 60</t>
  </si>
  <si>
    <t>FUENTE VOLTAJE 100</t>
  </si>
  <si>
    <t>FUENTE VOLTAJE 150</t>
  </si>
  <si>
    <t>FUENTE VOLTAJE 220</t>
  </si>
  <si>
    <t>FUENTE VOLTAJE 360</t>
  </si>
  <si>
    <t>LÁMPARAS T8</t>
  </si>
  <si>
    <t>PLAYO</t>
  </si>
  <si>
    <t>BURBUJA</t>
  </si>
  <si>
    <t>PAPEL KRAFT</t>
  </si>
  <si>
    <t>ALUMINIO PLATA CEPILLADO</t>
  </si>
  <si>
    <t>ALUMINIO ORO ESPEJO</t>
  </si>
  <si>
    <t>ALUMINIO ORO CEPILLADO</t>
  </si>
  <si>
    <t>ALUMINIO PLATA ESPEJO</t>
  </si>
  <si>
    <t>SPEC NEGRO MATE</t>
  </si>
  <si>
    <t>KOLA LOKA KLM - 2000</t>
  </si>
  <si>
    <t>KOLA LOKA KL2 - 1200</t>
  </si>
  <si>
    <t>ALCOHOL PROPONOL LTS</t>
  </si>
  <si>
    <t>1,5</t>
  </si>
  <si>
    <t>LONA 18 OZ ROJO</t>
  </si>
  <si>
    <t>LONA 18 OZ AZUL</t>
  </si>
  <si>
    <t>LONA 18 OZ NEGRO</t>
  </si>
  <si>
    <t>ESTIRENO NEGRO CAL. 40</t>
  </si>
  <si>
    <t>PETG CAL. 60</t>
  </si>
  <si>
    <t>PETG CAL. 40</t>
  </si>
  <si>
    <t>PETG CAL. 30</t>
  </si>
  <si>
    <t>PETG CAL. 20</t>
  </si>
  <si>
    <t>TRANSFER 6 MM</t>
  </si>
  <si>
    <t>CIERRA BOLSAS</t>
  </si>
  <si>
    <t>MALLA VERDE</t>
  </si>
  <si>
    <t>PORTAMENSAJES ACERO</t>
  </si>
  <si>
    <t>ESCUADRA DE PLÁSTICO</t>
  </si>
  <si>
    <t>ESCUADRA DE PLÁSTICO - SIN SOPORTE</t>
  </si>
  <si>
    <t>SOPORTE PLASTICO 6 MM - FIESTAS</t>
  </si>
  <si>
    <t>SOPORTE PLASTICO 3 MM - BASE delgada no movible</t>
  </si>
  <si>
    <t>SOPORTE PLASTICO 3 MM - BASE DELGADA MOVIBLE</t>
  </si>
  <si>
    <t>TIRAS IMPULSO - VENDEDOR SILENCIOSO</t>
  </si>
  <si>
    <t>ESCUADRA DE METAL</t>
  </si>
  <si>
    <t>CANAL J NEGRO 1,2 MM</t>
  </si>
  <si>
    <t>CANAL J TRANSPARENTES 1,2 MM</t>
  </si>
  <si>
    <t>CANAL h TRANSPARENTES 1,2 MM</t>
  </si>
  <si>
    <t>CANAL J BLANCO 1,2 MM</t>
  </si>
  <si>
    <t>CANAL H BLANCO 1,2 MM</t>
  </si>
  <si>
    <t>CANAL J azul 1,2 MM</t>
  </si>
  <si>
    <t>CANAL H NEGRO 1,2 MM</t>
  </si>
  <si>
    <t>PCA TRANSPARENTES 1,2 MM</t>
  </si>
  <si>
    <t>LÁMINA PINTRO 1,2 MM</t>
  </si>
  <si>
    <t>TINTA XEROX CYAN</t>
  </si>
  <si>
    <t>TINTA XEROX MAGENTA</t>
  </si>
  <si>
    <t>TINTA XEROX YELLOW</t>
  </si>
  <si>
    <t>TINTA XEROX BLACK</t>
  </si>
  <si>
    <t>FUE-30W</t>
  </si>
  <si>
    <t>FUE-60W</t>
  </si>
  <si>
    <t>FUE-100W</t>
  </si>
  <si>
    <t>FUE-150W</t>
  </si>
  <si>
    <t>FUE-220W</t>
  </si>
  <si>
    <t>FUE-360W</t>
  </si>
  <si>
    <t>BUR</t>
  </si>
  <si>
    <t>PLY</t>
  </si>
  <si>
    <t>LMP-T8</t>
  </si>
  <si>
    <t>KLK-KLM-2000</t>
  </si>
  <si>
    <t>KLK-KL2-1200</t>
  </si>
  <si>
    <t>ALC-PRO-LTS</t>
  </si>
  <si>
    <t>EST-NG-C40</t>
  </si>
  <si>
    <t>PET-C60</t>
  </si>
  <si>
    <t>PET-C40</t>
  </si>
  <si>
    <t>PET-C30</t>
  </si>
  <si>
    <t>PET-C20</t>
  </si>
  <si>
    <t>SPC-NG-MAT</t>
  </si>
  <si>
    <t>CBL</t>
  </si>
  <si>
    <t>PMS-AC</t>
  </si>
  <si>
    <t>ESC-PL</t>
  </si>
  <si>
    <t>ESC-PL-SS</t>
  </si>
  <si>
    <t>ESC-MT</t>
  </si>
  <si>
    <t>SOP-PL-6MM-FST</t>
  </si>
  <si>
    <t>SOP-PL-3MM-BDNM</t>
  </si>
  <si>
    <t>SOP-PL-3MM-BDM</t>
  </si>
  <si>
    <t>MAL-VR</t>
  </si>
  <si>
    <t>PAP-KR</t>
  </si>
  <si>
    <t>TMP-VS</t>
  </si>
  <si>
    <t>LON-18OZ-AZ</t>
  </si>
  <si>
    <t>LON-18OZ-RJ</t>
  </si>
  <si>
    <t>LON-18OZ-NG</t>
  </si>
  <si>
    <t>LAM-PIN-1MM2</t>
  </si>
  <si>
    <t>CAN-J-1MM2-NG</t>
  </si>
  <si>
    <t>CAN-J-1MM2-TR</t>
  </si>
  <si>
    <t>CAN-H-1MM2-TR</t>
  </si>
  <si>
    <t>CAN-J-1MM2-BL</t>
  </si>
  <si>
    <t>CAN-H-1MM2-BL</t>
  </si>
  <si>
    <t>CAN-J-1MM2-AZ</t>
  </si>
  <si>
    <t>CAN-H-1MM2-NG</t>
  </si>
  <si>
    <t>PCA-1MM2-TR</t>
  </si>
  <si>
    <t>TRN-6MM</t>
  </si>
  <si>
    <t>COR-4MM</t>
  </si>
  <si>
    <t>FOA-5MM</t>
  </si>
  <si>
    <t>FOA-10MM</t>
  </si>
  <si>
    <t>EST-C15</t>
  </si>
  <si>
    <t>EST-C20</t>
  </si>
  <si>
    <t>EST-C30</t>
  </si>
  <si>
    <t>EST-C40</t>
  </si>
  <si>
    <t>EST-C60</t>
  </si>
  <si>
    <t>EST-C80</t>
  </si>
  <si>
    <t>CAR-SUL-COU-ROL</t>
  </si>
  <si>
    <t>LAM-3M-PRO-LUS-8519</t>
  </si>
  <si>
    <t>LAM-TER-BRI</t>
  </si>
  <si>
    <t>FOA-1GRA</t>
  </si>
  <si>
    <t>MAN-3</t>
  </si>
  <si>
    <t>EQ-FUK-3</t>
  </si>
  <si>
    <t>SAS</t>
  </si>
  <si>
    <t>TEL-SG</t>
  </si>
  <si>
    <t>VIN-FLG-TXT</t>
  </si>
  <si>
    <t>VIN-FLG-IMP</t>
  </si>
  <si>
    <t>VIN-REF-COL</t>
  </si>
  <si>
    <t>VIN-IM-C30</t>
  </si>
  <si>
    <t>ALU-PL-CEP</t>
  </si>
  <si>
    <t>ALU-OR-ESP</t>
  </si>
  <si>
    <t>ALU-OR-CEP</t>
  </si>
  <si>
    <t>ALU-PL-ESP</t>
  </si>
  <si>
    <t>SO-GF-1L</t>
  </si>
  <si>
    <t>SO-CP-1L</t>
  </si>
  <si>
    <t>TEL-CN-PCN</t>
  </si>
  <si>
    <t>VIN-U180-1</t>
  </si>
  <si>
    <t>VIN-U180-2</t>
  </si>
  <si>
    <t>VIN-CON-U40</t>
  </si>
  <si>
    <t>ALT-TAC-RT</t>
  </si>
  <si>
    <t>DIS-1</t>
  </si>
  <si>
    <t>DIS-2</t>
  </si>
  <si>
    <t>ROLU</t>
  </si>
  <si>
    <t>LON-MAT-13OZ-RNG-1</t>
  </si>
  <si>
    <t>LON-MAT-13OZ-RNG-2</t>
  </si>
  <si>
    <t>LON-MAT-13OZ-RNG-3</t>
  </si>
  <si>
    <t>VIN-MP-1</t>
  </si>
  <si>
    <t>VIN-MP-2</t>
  </si>
  <si>
    <t>ARA-MX</t>
  </si>
  <si>
    <t>TEL-SD-1</t>
  </si>
  <si>
    <t>TEL-SD-2</t>
  </si>
  <si>
    <t>TEL-SD-3</t>
  </si>
  <si>
    <t>PANEL DE ALUMINIO COMPUESTO PLATA BRILLANTE</t>
  </si>
  <si>
    <t>PANEL DE ALUMINIO COMPUESTO ORO CEPILLADO</t>
  </si>
  <si>
    <t>PANEL DE ALUMINIO COMPUESTO AZUL BRILLANTE</t>
  </si>
  <si>
    <t>PANEL DE ALUMINIO COMPUESTO NARANJA 4MM</t>
  </si>
  <si>
    <t>PANEL DE ALUMINIO COMPUESTO AZUL</t>
  </si>
  <si>
    <t>PANEL DE ALUMINIO COMPUESTO ROJO BRILLLANTE - 4 MM</t>
  </si>
  <si>
    <t>PANEL DE ALUMINIO COMPUESTO PLATA brillante - 4 mm ALCOPALME</t>
  </si>
  <si>
    <t>PANEL DE ALUMINIO COMPUESTO AZUL 4MM</t>
  </si>
  <si>
    <t>PANEL DE ALUMINIO COMPUESTO PLATA BRILLANTE - 3 MM</t>
  </si>
  <si>
    <t>PANEL DE ALUMINIO COMPUESTO VERDE</t>
  </si>
  <si>
    <t>PANEL DE ALUMINIO COMPUESTO VERDE NUEVO PEMEX ALCOPALME</t>
  </si>
  <si>
    <t>PANEL DE ALUMINIO COMPUESTO NEGRO - 4 MM</t>
  </si>
  <si>
    <t>PANEL DE ALUMINIO COMPUESTO NUEVO VERDE 5 X 1.20 ALUCOMEX</t>
  </si>
  <si>
    <t>PANEL DE ALUMINIO COMPUESTO NEGRO BRILLANTE 4 MM</t>
  </si>
  <si>
    <t xml:space="preserve">PANEL DE ALUMINIO COMPUESTO NEGRO </t>
  </si>
  <si>
    <t>PANEL DE ALUMINIO COMPUESTO NEGRO MATE 4MM</t>
  </si>
  <si>
    <t>PANEL DE ALUMINIO COMPUESTO PLATA CEPILLADO 3MM</t>
  </si>
  <si>
    <t>PANEL DE ALUMINIO COMPUESTO PLATA CEPILLADO 4MM</t>
  </si>
  <si>
    <t>PANEL DE ALUMINIO COMPUESTO NEGRO MATE 3MM</t>
  </si>
  <si>
    <t>PANEL DE ALUMINIO COMPUESTO BLANCO MATE 4MM</t>
  </si>
  <si>
    <t>PANEL DE ALUMINIO COMPUESTO BLANCO MATE 3MM</t>
  </si>
  <si>
    <t>PVC NARANJA OSCURO 3MM</t>
  </si>
  <si>
    <t>PVC AMARILLO 3 MM</t>
  </si>
  <si>
    <t>PVC NARANJA 3 MM</t>
  </si>
  <si>
    <t>PVC VERDE 3 MM</t>
  </si>
  <si>
    <t>PVC NEGRO 3 MM</t>
  </si>
  <si>
    <t>PVC NEGRO 3 MM - NEGRO GRIS</t>
  </si>
  <si>
    <t>PVC NEGRO 6 MM - NEGRO GRIS</t>
  </si>
  <si>
    <t>PVC NEGRO 6 MM</t>
  </si>
  <si>
    <t>PVC AZUL OSCURO 3 MM</t>
  </si>
  <si>
    <t>PVC GRIS 3 MM</t>
  </si>
  <si>
    <t>PVC MORADO 3 MM</t>
  </si>
  <si>
    <t>PVC AZUL 3 MM</t>
  </si>
  <si>
    <t>PVC ROJO 3MM</t>
  </si>
  <si>
    <t>PVC-NROS-3MM</t>
  </si>
  <si>
    <t>PVC-GR-3MM</t>
  </si>
  <si>
    <t>PVC-AZOS-3MM</t>
  </si>
  <si>
    <t>PVC-NG-6MM-NGGR</t>
  </si>
  <si>
    <t>PVC-NG-3MM-NGGR</t>
  </si>
  <si>
    <t>PANEL DE ALUMINIO COMPUESTO ROJO BRILLANTE</t>
  </si>
  <si>
    <t>sku</t>
  </si>
  <si>
    <t>base</t>
  </si>
  <si>
    <t>height</t>
  </si>
  <si>
    <t>currentStock</t>
  </si>
  <si>
    <t>minStock</t>
  </si>
  <si>
    <t>ROLLO</t>
  </si>
  <si>
    <t>LT1</t>
  </si>
  <si>
    <t>LT3</t>
  </si>
  <si>
    <t>LT5</t>
  </si>
  <si>
    <t>ML775</t>
  </si>
  <si>
    <t>CARTUCHO</t>
  </si>
  <si>
    <t>HOJA</t>
  </si>
  <si>
    <t>PIEZA</t>
  </si>
  <si>
    <t>OJILLOS</t>
  </si>
  <si>
    <t>name</t>
  </si>
  <si>
    <t>unitCost</t>
  </si>
  <si>
    <t>presentation</t>
  </si>
  <si>
    <t>totalWaste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</si>
</sst>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mo"/>
    </font>
    <font>
      <sz val="8"/>
      <color theme="1"/>
      <name val="Arial"/>
      <family val="2"/>
    </font>
    <font>
      <sz val="10"/>
      <color theme="1"/>
      <name val="Arial"/>
      <family val="2"/>
    </font>
    <font>
      <u/>
      <sz val="8"/>
      <color theme="1"/>
      <name val="Arimo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426F-8A03-4288-97EE-21C54EB4AC48}">
  <dimension ref="A1:I296"/>
  <sheetViews>
    <sheetView tabSelected="1" zoomScaleNormal="100" workbookViewId="0">
      <selection activeCell="G2" sqref="G2"/>
    </sheetView>
  </sheetViews>
  <sheetFormatPr baseColWidth="10" defaultRowHeight="15"/>
  <cols>
    <col min="1" max="1" width="32.28515625" customWidth="1"/>
    <col min="2" max="2" width="68.85546875" customWidth="1"/>
  </cols>
  <sheetData>
    <row r="1" spans="1:9" ht="20.25" customHeight="1">
      <c r="A1" s="17" t="s">
        <v>366</v>
      </c>
      <c r="B1" s="16" t="s">
        <v>380</v>
      </c>
      <c r="C1" s="7" t="s">
        <v>367</v>
      </c>
      <c r="D1" s="7" t="s">
        <v>368</v>
      </c>
      <c r="E1" s="7" t="s">
        <v>382</v>
      </c>
      <c r="F1" s="7" t="s">
        <v>369</v>
      </c>
      <c r="G1" s="8" t="s">
        <v>383</v>
      </c>
      <c r="H1" s="6" t="s">
        <v>370</v>
      </c>
      <c r="I1" s="6" t="s">
        <v>381</v>
      </c>
    </row>
    <row r="2" spans="1:9">
      <c r="A2" s="21" t="str">
        <f>_xlfn.TEXTJOIN("-",TRUE,Hoja2!A3:H3,1)</f>
        <v>LON-BAC-15OZ-1</v>
      </c>
      <c r="B2" s="9" t="s">
        <v>0</v>
      </c>
      <c r="C2" s="2" t="s">
        <v>1</v>
      </c>
      <c r="D2" s="3">
        <v>50</v>
      </c>
      <c r="E2" s="3" t="s">
        <v>371</v>
      </c>
      <c r="F2" s="4"/>
      <c r="G2" s="4"/>
      <c r="H2" s="10"/>
      <c r="I2" s="10"/>
    </row>
    <row r="3" spans="1:9">
      <c r="A3" s="1" t="str">
        <f>_xlfn.TEXTJOIN("-",TRUE,Hoja2!A4:H4,2)</f>
        <v>LON-BAC-15OZ-2</v>
      </c>
      <c r="B3" s="9" t="s">
        <v>0</v>
      </c>
      <c r="C3" s="2" t="s">
        <v>4</v>
      </c>
      <c r="D3" s="3">
        <v>50</v>
      </c>
      <c r="E3" s="3" t="s">
        <v>371</v>
      </c>
      <c r="F3" s="10"/>
      <c r="G3" s="10"/>
      <c r="H3" s="10"/>
      <c r="I3" s="10"/>
    </row>
    <row r="4" spans="1:9">
      <c r="A4" s="1" t="str">
        <f>_xlfn.TEXTJOIN("-",TRUE,Hoja2!A5:H5,3)</f>
        <v>LON-BAC-15OZ-3</v>
      </c>
      <c r="B4" s="9" t="s">
        <v>0</v>
      </c>
      <c r="C4" s="2" t="s">
        <v>5</v>
      </c>
      <c r="D4" s="3">
        <v>50</v>
      </c>
      <c r="E4" s="3" t="s">
        <v>371</v>
      </c>
      <c r="F4" s="10"/>
      <c r="G4" s="10"/>
      <c r="H4" s="10"/>
      <c r="I4" s="10"/>
    </row>
    <row r="5" spans="1:9">
      <c r="A5" s="1" t="str">
        <f>_xlfn.TEXTJOIN("-",TRUE,Hoja2!A6:H6,4)</f>
        <v>LON-FRO-13OZ-4</v>
      </c>
      <c r="B5" s="9" t="s">
        <v>6</v>
      </c>
      <c r="C5" s="2" t="s">
        <v>1</v>
      </c>
      <c r="D5" s="3">
        <v>50</v>
      </c>
      <c r="E5" s="3" t="s">
        <v>371</v>
      </c>
      <c r="F5" s="10"/>
      <c r="G5" s="10"/>
      <c r="H5" s="10"/>
      <c r="I5" s="10"/>
    </row>
    <row r="6" spans="1:9">
      <c r="A6" s="1" t="str">
        <f>_xlfn.TEXTJOIN("-",TRUE,Hoja2!A7:H7,1)</f>
        <v>LON-FRO-13OZ-AR-1</v>
      </c>
      <c r="B6" s="9" t="s">
        <v>7</v>
      </c>
      <c r="C6" s="2" t="s">
        <v>8</v>
      </c>
      <c r="D6" s="3">
        <v>50</v>
      </c>
      <c r="E6" s="3" t="s">
        <v>371</v>
      </c>
      <c r="F6" s="10"/>
      <c r="G6" s="10"/>
      <c r="H6" s="10"/>
      <c r="I6" s="10"/>
    </row>
    <row r="7" spans="1:9">
      <c r="A7" s="1" t="str">
        <f>_xlfn.TEXTJOIN("-",TRUE,Hoja2!A8:H8,1)</f>
        <v>LON-FRO-09OZ-CA-1</v>
      </c>
      <c r="B7" s="9" t="s">
        <v>9</v>
      </c>
      <c r="C7" s="2" t="s">
        <v>5</v>
      </c>
      <c r="D7" s="3">
        <v>50</v>
      </c>
      <c r="E7" s="3" t="s">
        <v>371</v>
      </c>
      <c r="F7" s="10"/>
      <c r="G7" s="10"/>
      <c r="H7" s="10"/>
      <c r="I7" s="10"/>
    </row>
    <row r="8" spans="1:9">
      <c r="A8" s="1" t="str">
        <f>_xlfn.TEXTJOIN("-",TRUE,Hoja2!A9:H9,2)</f>
        <v>LON-FRO-09OZ-CA-2</v>
      </c>
      <c r="B8" s="9" t="s">
        <v>9</v>
      </c>
      <c r="C8" s="2" t="s">
        <v>8</v>
      </c>
      <c r="D8" s="3">
        <v>50</v>
      </c>
      <c r="E8" s="3" t="s">
        <v>371</v>
      </c>
      <c r="F8" s="10"/>
      <c r="G8" s="10"/>
      <c r="H8" s="10"/>
      <c r="I8" s="10"/>
    </row>
    <row r="9" spans="1:9">
      <c r="A9" s="1" t="str">
        <f>_xlfn.TEXTJOIN("-",TRUE,Hoja2!A10:H10,2)</f>
        <v>LON-FRO-13OZ-AR-2</v>
      </c>
      <c r="B9" s="9" t="s">
        <v>7</v>
      </c>
      <c r="C9" s="2" t="s">
        <v>1</v>
      </c>
      <c r="D9" s="3">
        <v>50</v>
      </c>
      <c r="E9" s="3" t="s">
        <v>371</v>
      </c>
      <c r="F9" s="10"/>
      <c r="G9" s="10"/>
      <c r="H9" s="10"/>
      <c r="I9" s="10"/>
    </row>
    <row r="10" spans="1:9">
      <c r="A10" s="1" t="str">
        <f>_xlfn.TEXTJOIN("-",TRUE,Hoja2!A11:H11,3)</f>
        <v>LON-FRO-13OZ-AR-3</v>
      </c>
      <c r="B10" s="9" t="s">
        <v>7</v>
      </c>
      <c r="C10" s="2" t="s">
        <v>8</v>
      </c>
      <c r="D10" s="3">
        <v>50</v>
      </c>
      <c r="E10" s="3" t="s">
        <v>371</v>
      </c>
      <c r="F10" s="10"/>
      <c r="G10" s="10"/>
      <c r="H10" s="10"/>
      <c r="I10" s="10"/>
    </row>
    <row r="11" spans="1:9">
      <c r="A11" s="1" t="str">
        <f>_xlfn.TEXTJOIN("-",TRUE,Hoja2!A12:H12,4)</f>
        <v>LON-FRO-13OZ-AR-4</v>
      </c>
      <c r="B11" s="9" t="s">
        <v>7</v>
      </c>
      <c r="C11" s="2" t="s">
        <v>8</v>
      </c>
      <c r="D11" s="3">
        <v>100</v>
      </c>
      <c r="E11" s="3" t="s">
        <v>371</v>
      </c>
      <c r="F11" s="10"/>
      <c r="G11" s="10"/>
      <c r="H11" s="10"/>
      <c r="I11" s="10"/>
    </row>
    <row r="12" spans="1:9">
      <c r="A12" s="1" t="str">
        <f>_xlfn.TEXTJOIN("-",TRUE,Hoja2!A13:H13,5)</f>
        <v>LON-FRO-13OZ-AR-5</v>
      </c>
      <c r="B12" s="9" t="s">
        <v>7</v>
      </c>
      <c r="C12" s="2" t="s">
        <v>4</v>
      </c>
      <c r="D12" s="3">
        <v>50</v>
      </c>
      <c r="E12" s="3" t="s">
        <v>371</v>
      </c>
      <c r="F12" s="10"/>
      <c r="G12" s="10"/>
      <c r="H12" s="10"/>
      <c r="I12" s="10"/>
    </row>
    <row r="13" spans="1:9">
      <c r="A13" s="1" t="str">
        <f>_xlfn.TEXTJOIN("-",TRUE,Hoja2!A14:H14,6)</f>
        <v>LON-FRO-13OZ-AR-6</v>
      </c>
      <c r="B13" s="9" t="s">
        <v>7</v>
      </c>
      <c r="C13" s="2" t="s">
        <v>4</v>
      </c>
      <c r="D13" s="3">
        <v>100</v>
      </c>
      <c r="E13" s="3" t="s">
        <v>371</v>
      </c>
      <c r="F13" s="10"/>
      <c r="G13" s="10"/>
      <c r="H13" s="10"/>
      <c r="I13" s="10"/>
    </row>
    <row r="14" spans="1:9">
      <c r="A14" s="1" t="str">
        <f>_xlfn.TEXTJOIN("-",TRUE,Hoja2!A15:H15,7)</f>
        <v>LON-FRO-13OZ-AR-7</v>
      </c>
      <c r="B14" s="9" t="s">
        <v>7</v>
      </c>
      <c r="C14" s="2" t="s">
        <v>5</v>
      </c>
      <c r="D14" s="3">
        <v>50</v>
      </c>
      <c r="E14" s="3" t="s">
        <v>371</v>
      </c>
      <c r="F14" s="10"/>
      <c r="G14" s="10"/>
      <c r="H14" s="10"/>
      <c r="I14" s="10"/>
    </row>
    <row r="15" spans="1:9">
      <c r="A15" s="1" t="str">
        <f>_xlfn.TEXTJOIN("-",TRUE,Hoja2!A16:H16,1)</f>
        <v>LON-MAT-13OZ-1</v>
      </c>
      <c r="B15" s="9" t="s">
        <v>10</v>
      </c>
      <c r="C15" s="2" t="s">
        <v>1</v>
      </c>
      <c r="D15" s="3">
        <v>50</v>
      </c>
      <c r="E15" s="3" t="s">
        <v>371</v>
      </c>
      <c r="F15" s="10"/>
      <c r="G15" s="10"/>
      <c r="H15" s="10"/>
      <c r="I15" s="10"/>
    </row>
    <row r="16" spans="1:9">
      <c r="A16" s="1" t="str">
        <f>_xlfn.TEXTJOIN("-",TRUE,Hoja2!A17:H17,2)</f>
        <v>LON-MAT-13OZ-2</v>
      </c>
      <c r="B16" s="9" t="s">
        <v>11</v>
      </c>
      <c r="C16" s="2" t="s">
        <v>12</v>
      </c>
      <c r="D16" s="3">
        <v>50</v>
      </c>
      <c r="E16" s="3" t="s">
        <v>371</v>
      </c>
      <c r="F16" s="10"/>
      <c r="G16" s="10"/>
      <c r="H16" s="10"/>
      <c r="I16" s="10"/>
    </row>
    <row r="17" spans="1:9">
      <c r="A17" s="1" t="str">
        <f>_xlfn.TEXTJOIN("-",TRUE,Hoja2!A18:H18,3)</f>
        <v>LON-MAT-13OZ-3</v>
      </c>
      <c r="B17" s="9" t="s">
        <v>10</v>
      </c>
      <c r="C17" s="2" t="s">
        <v>4</v>
      </c>
      <c r="D17" s="3">
        <v>50</v>
      </c>
      <c r="E17" s="3" t="s">
        <v>371</v>
      </c>
      <c r="F17" s="10"/>
      <c r="G17" s="10"/>
      <c r="H17" s="10"/>
      <c r="I17" s="10"/>
    </row>
    <row r="18" spans="1:9">
      <c r="A18" s="1" t="s">
        <v>317</v>
      </c>
      <c r="B18" s="9" t="s">
        <v>13</v>
      </c>
      <c r="C18" s="2" t="s">
        <v>4</v>
      </c>
      <c r="D18" s="3">
        <v>100</v>
      </c>
      <c r="E18" s="3" t="s">
        <v>371</v>
      </c>
      <c r="F18" s="10"/>
      <c r="G18" s="10"/>
      <c r="H18" s="10"/>
      <c r="I18" s="10"/>
    </row>
    <row r="19" spans="1:9">
      <c r="A19" s="1" t="str">
        <f>_xlfn.TEXTJOIN("-",TRUE,Hoja2!A20:H20,4)</f>
        <v>LON-MAT-13OZ-4</v>
      </c>
      <c r="B19" s="9" t="s">
        <v>10</v>
      </c>
      <c r="C19" s="2" t="s">
        <v>5</v>
      </c>
      <c r="D19" s="3">
        <v>50</v>
      </c>
      <c r="E19" s="3" t="s">
        <v>371</v>
      </c>
      <c r="F19" s="10"/>
      <c r="G19" s="10"/>
      <c r="H19" s="10"/>
      <c r="I19" s="10"/>
    </row>
    <row r="20" spans="1:9">
      <c r="A20" s="1" t="s">
        <v>318</v>
      </c>
      <c r="B20" s="9" t="s">
        <v>14</v>
      </c>
      <c r="C20" s="2" t="s">
        <v>5</v>
      </c>
      <c r="D20" s="3">
        <v>50</v>
      </c>
      <c r="E20" s="3" t="s">
        <v>371</v>
      </c>
      <c r="F20" s="10"/>
      <c r="G20" s="10"/>
      <c r="H20" s="10"/>
      <c r="I20" s="10"/>
    </row>
    <row r="21" spans="1:9">
      <c r="A21" s="1" t="s">
        <v>319</v>
      </c>
      <c r="B21" s="9" t="s">
        <v>13</v>
      </c>
      <c r="C21" s="2" t="s">
        <v>5</v>
      </c>
      <c r="D21" s="3">
        <v>100</v>
      </c>
      <c r="E21" s="3" t="s">
        <v>371</v>
      </c>
      <c r="F21" s="10"/>
      <c r="G21" s="10"/>
      <c r="H21" s="10"/>
      <c r="I21" s="10"/>
    </row>
    <row r="22" spans="1:9">
      <c r="A22" s="1" t="str">
        <f>_xlfn.TEXTJOIN("-",TRUE,Hoja2!A23:H23,1)</f>
        <v>LON-MES-1</v>
      </c>
      <c r="B22" s="9" t="s">
        <v>15</v>
      </c>
      <c r="C22" s="11" t="s">
        <v>1</v>
      </c>
      <c r="D22" s="3">
        <v>50</v>
      </c>
      <c r="E22" s="3" t="s">
        <v>371</v>
      </c>
      <c r="F22" s="10"/>
      <c r="G22" s="10"/>
      <c r="H22" s="10"/>
      <c r="I22" s="10"/>
    </row>
    <row r="23" spans="1:9">
      <c r="A23" s="1" t="str">
        <f>_xlfn.TEXTJOIN("-",TRUE,Hoja2!A24:H24,2)</f>
        <v>LON-MES-2</v>
      </c>
      <c r="B23" s="9" t="s">
        <v>15</v>
      </c>
      <c r="C23" s="11" t="s">
        <v>4</v>
      </c>
      <c r="D23" s="3">
        <v>100</v>
      </c>
      <c r="E23" s="3" t="s">
        <v>371</v>
      </c>
      <c r="F23" s="10"/>
      <c r="G23" s="10"/>
      <c r="H23" s="10"/>
      <c r="I23" s="10"/>
    </row>
    <row r="24" spans="1:9">
      <c r="A24" s="1" t="str">
        <f>_xlfn.TEXTJOIN("-",TRUE,Hoja2!A25:H25,3)</f>
        <v>LON-MES-3</v>
      </c>
      <c r="B24" s="9" t="s">
        <v>15</v>
      </c>
      <c r="C24" s="11" t="s">
        <v>5</v>
      </c>
      <c r="D24" s="3">
        <v>50</v>
      </c>
      <c r="E24" s="3" t="s">
        <v>371</v>
      </c>
      <c r="F24" s="10"/>
      <c r="G24" s="10"/>
      <c r="H24" s="10"/>
      <c r="I24" s="10"/>
    </row>
    <row r="25" spans="1:9">
      <c r="A25" s="1" t="str">
        <f>_xlfn.TEXTJOIN("-",TRUE,Hoja2!A26:H26,4)</f>
        <v>LON-MES-4</v>
      </c>
      <c r="B25" s="9" t="s">
        <v>15</v>
      </c>
      <c r="C25" s="2" t="s">
        <v>5</v>
      </c>
      <c r="D25" s="3">
        <v>100</v>
      </c>
      <c r="E25" s="3" t="s">
        <v>371</v>
      </c>
      <c r="F25" s="10"/>
      <c r="G25" s="10"/>
      <c r="H25" s="10"/>
      <c r="I25" s="10"/>
    </row>
    <row r="26" spans="1:9">
      <c r="A26" s="1" t="str">
        <f>_xlfn.TEXTJOIN("-",TRUE,Hoja2!A27:H27,"BLU")</f>
        <v>PAP-BAC-BLU</v>
      </c>
      <c r="B26" s="9" t="s">
        <v>16</v>
      </c>
      <c r="C26" s="2" t="s">
        <v>17</v>
      </c>
      <c r="D26" s="3">
        <v>50</v>
      </c>
      <c r="E26" s="3" t="s">
        <v>371</v>
      </c>
      <c r="F26" s="10"/>
      <c r="G26" s="10"/>
      <c r="H26" s="10"/>
      <c r="I26" s="10"/>
    </row>
    <row r="27" spans="1:9">
      <c r="A27" s="1" t="str">
        <f>_xlfn.TEXTJOIN("-",TRUE,Hoja2!A28:H28,"200G","FG")</f>
        <v>PAP-MAT-200G-FG</v>
      </c>
      <c r="B27" s="9" t="s">
        <v>18</v>
      </c>
      <c r="C27" s="2" t="s">
        <v>12</v>
      </c>
      <c r="D27" s="3">
        <v>50</v>
      </c>
      <c r="E27" s="3" t="s">
        <v>371</v>
      </c>
      <c r="F27" s="10"/>
      <c r="G27" s="10"/>
      <c r="H27" s="10"/>
      <c r="I27" s="10"/>
    </row>
    <row r="28" spans="1:9">
      <c r="A28" s="1" t="str">
        <f>_xlfn.TEXTJOIN("-",TRUE,Hoja2!A29:H29,"200G","FT")</f>
        <v>PAP-BRI-200G-FT</v>
      </c>
      <c r="B28" s="9" t="s">
        <v>19</v>
      </c>
      <c r="C28" s="2" t="s">
        <v>12</v>
      </c>
      <c r="D28" s="3">
        <v>50</v>
      </c>
      <c r="E28" s="3" t="s">
        <v>371</v>
      </c>
      <c r="F28" s="10"/>
      <c r="G28" s="10"/>
      <c r="H28" s="10"/>
      <c r="I28" s="10"/>
    </row>
    <row r="29" spans="1:9">
      <c r="A29" s="1" t="str">
        <f>_xlfn.TEXTJOIN("-",TRUE,"PAP","BAC","SMT")</f>
        <v>PAP-BAC-SMT</v>
      </c>
      <c r="B29" s="9" t="s">
        <v>20</v>
      </c>
      <c r="C29" s="2" t="s">
        <v>12</v>
      </c>
      <c r="D29" s="3">
        <v>30</v>
      </c>
      <c r="E29" s="3" t="s">
        <v>371</v>
      </c>
      <c r="F29" s="10"/>
      <c r="G29" s="10"/>
      <c r="H29" s="10"/>
      <c r="I29" s="10"/>
    </row>
    <row r="30" spans="1:9">
      <c r="A30" s="1" t="str">
        <f>_xlfn.TEXTJOIN("-",TRUE,"PAP","SK")</f>
        <v>PAP-SK</v>
      </c>
      <c r="B30" s="9" t="s">
        <v>21</v>
      </c>
      <c r="C30" s="2" t="s">
        <v>12</v>
      </c>
      <c r="D30" s="3">
        <v>50</v>
      </c>
      <c r="E30" s="3" t="s">
        <v>371</v>
      </c>
      <c r="F30" s="10"/>
      <c r="G30" s="10"/>
      <c r="H30" s="10"/>
      <c r="I30" s="10"/>
    </row>
    <row r="31" spans="1:9">
      <c r="A31" s="1" t="str">
        <f>_xlfn.TEXTJOIN("-",TRUE,Hoja2!A32:H32,"CL",1)</f>
        <v>PAP-CL-1</v>
      </c>
      <c r="B31" s="9" t="s">
        <v>22</v>
      </c>
      <c r="C31" s="2" t="s">
        <v>1</v>
      </c>
      <c r="D31" s="3">
        <v>50</v>
      </c>
      <c r="E31" s="3" t="s">
        <v>371</v>
      </c>
      <c r="F31" s="10"/>
      <c r="G31" s="10"/>
      <c r="H31" s="10"/>
      <c r="I31" s="10"/>
    </row>
    <row r="32" spans="1:9">
      <c r="A32" s="1" t="str">
        <f>_xlfn.TEXTJOIN("-",TRUE,Hoja2!A33:H33,"CL",2)</f>
        <v>PAP-CL-2</v>
      </c>
      <c r="B32" s="9" t="s">
        <v>22</v>
      </c>
      <c r="C32" s="2" t="s">
        <v>1</v>
      </c>
      <c r="D32" s="3">
        <v>100</v>
      </c>
      <c r="E32" s="3" t="s">
        <v>371</v>
      </c>
      <c r="F32" s="10"/>
      <c r="G32" s="10"/>
      <c r="H32" s="10"/>
      <c r="I32" s="10"/>
    </row>
    <row r="33" spans="1:9">
      <c r="A33" s="10" t="s">
        <v>291</v>
      </c>
      <c r="B33" s="9" t="s">
        <v>23</v>
      </c>
      <c r="C33" s="2" t="s">
        <v>24</v>
      </c>
      <c r="D33" s="3">
        <v>50</v>
      </c>
      <c r="E33" s="3" t="s">
        <v>371</v>
      </c>
      <c r="F33" s="10"/>
      <c r="G33" s="10"/>
      <c r="H33" s="10"/>
      <c r="I33" s="10"/>
    </row>
    <row r="34" spans="1:9">
      <c r="A34" s="10" t="s">
        <v>323</v>
      </c>
      <c r="B34" s="9" t="s">
        <v>25</v>
      </c>
      <c r="C34" s="2" t="s">
        <v>12</v>
      </c>
      <c r="D34" s="3">
        <v>50</v>
      </c>
      <c r="E34" s="3" t="s">
        <v>371</v>
      </c>
      <c r="F34" s="10"/>
      <c r="G34" s="10"/>
      <c r="H34" s="10"/>
      <c r="I34" s="10"/>
    </row>
    <row r="35" spans="1:9">
      <c r="A35" s="10" t="s">
        <v>324</v>
      </c>
      <c r="B35" s="9" t="s">
        <v>25</v>
      </c>
      <c r="C35" s="2" t="s">
        <v>4</v>
      </c>
      <c r="D35" s="3">
        <v>50</v>
      </c>
      <c r="E35" s="3" t="s">
        <v>371</v>
      </c>
      <c r="F35" s="10"/>
      <c r="G35" s="10"/>
      <c r="H35" s="10"/>
      <c r="I35" s="10"/>
    </row>
    <row r="36" spans="1:9">
      <c r="A36" s="10" t="s">
        <v>325</v>
      </c>
      <c r="B36" s="9" t="s">
        <v>25</v>
      </c>
      <c r="C36" s="2" t="s">
        <v>5</v>
      </c>
      <c r="D36" s="3">
        <v>50</v>
      </c>
      <c r="E36" s="3" t="s">
        <v>371</v>
      </c>
      <c r="F36" s="10"/>
      <c r="G36" s="10"/>
      <c r="H36" s="10"/>
      <c r="I36" s="10"/>
    </row>
    <row r="37" spans="1:9">
      <c r="A37" s="10" t="s">
        <v>298</v>
      </c>
      <c r="B37" s="9" t="s">
        <v>26</v>
      </c>
      <c r="C37" s="2" t="s">
        <v>4</v>
      </c>
      <c r="D37" s="3">
        <v>50</v>
      </c>
      <c r="E37" s="3" t="s">
        <v>371</v>
      </c>
      <c r="F37" s="10"/>
      <c r="G37" s="10"/>
      <c r="H37" s="10"/>
      <c r="I37" s="10"/>
    </row>
    <row r="38" spans="1:9">
      <c r="A38" s="10" t="s">
        <v>309</v>
      </c>
      <c r="B38" s="9" t="s">
        <v>27</v>
      </c>
      <c r="C38" s="2" t="s">
        <v>12</v>
      </c>
      <c r="D38" s="3">
        <v>30</v>
      </c>
      <c r="E38" s="3" t="s">
        <v>371</v>
      </c>
      <c r="F38" s="10"/>
      <c r="G38" s="10"/>
      <c r="H38" s="10"/>
      <c r="I38" s="10"/>
    </row>
    <row r="39" spans="1:9">
      <c r="A39" s="10" t="s">
        <v>310</v>
      </c>
      <c r="B39" s="9" t="s">
        <v>28</v>
      </c>
      <c r="C39" s="2" t="s">
        <v>12</v>
      </c>
      <c r="D39" s="3" t="s">
        <v>29</v>
      </c>
      <c r="E39" s="3" t="s">
        <v>371</v>
      </c>
      <c r="F39" s="10"/>
      <c r="G39" s="10"/>
      <c r="H39" s="10"/>
      <c r="I39" s="10"/>
    </row>
    <row r="40" spans="1:9">
      <c r="A40" s="10" t="s">
        <v>311</v>
      </c>
      <c r="B40" s="9" t="s">
        <v>28</v>
      </c>
      <c r="C40" s="2" t="s">
        <v>12</v>
      </c>
      <c r="D40" s="3" t="s">
        <v>30</v>
      </c>
      <c r="E40" s="3" t="s">
        <v>371</v>
      </c>
      <c r="F40" s="10"/>
      <c r="G40" s="10"/>
      <c r="H40" s="10"/>
      <c r="I40" s="10"/>
    </row>
    <row r="41" spans="1:9">
      <c r="A41" s="10" t="s">
        <v>312</v>
      </c>
      <c r="B41" s="9" t="s">
        <v>31</v>
      </c>
      <c r="C41" s="2" t="s">
        <v>12</v>
      </c>
      <c r="D41" s="3" t="s">
        <v>30</v>
      </c>
      <c r="E41" s="3" t="s">
        <v>371</v>
      </c>
      <c r="F41" s="10"/>
      <c r="G41" s="10"/>
      <c r="H41" s="10"/>
      <c r="I41" s="10"/>
    </row>
    <row r="42" spans="1:9">
      <c r="A42" s="10" t="str">
        <f>_xlfn.TEXTJOIN("-",TRUE,Hoja2!A43:H43,"LTX",1)</f>
        <v>VIN-EST-BL-LTX-1</v>
      </c>
      <c r="B42" s="9" t="s">
        <v>32</v>
      </c>
      <c r="C42" s="2" t="s">
        <v>24</v>
      </c>
      <c r="D42" s="3">
        <v>50</v>
      </c>
      <c r="E42" s="3" t="s">
        <v>371</v>
      </c>
      <c r="F42" s="10"/>
      <c r="G42" s="10"/>
      <c r="H42" s="10"/>
      <c r="I42" s="10"/>
    </row>
    <row r="43" spans="1:9">
      <c r="A43" s="10" t="str">
        <f>_xlfn.TEXTJOIN("-",TRUE,Hoja2!A44:H44,"LTX",2)</f>
        <v>VIN-EST-BL-LTX-2</v>
      </c>
      <c r="B43" s="9" t="s">
        <v>32</v>
      </c>
      <c r="C43" s="2" t="s">
        <v>12</v>
      </c>
      <c r="D43" s="3">
        <v>50</v>
      </c>
      <c r="E43" s="3" t="s">
        <v>371</v>
      </c>
      <c r="F43" s="10"/>
      <c r="G43" s="10"/>
      <c r="H43" s="10"/>
      <c r="I43" s="10"/>
    </row>
    <row r="44" spans="1:9">
      <c r="A44" s="10" t="str">
        <f>_xlfn.TEXTJOIN("-",TRUE,Hoja2!A45:H45,1)</f>
        <v>VIN-EST-BL-1</v>
      </c>
      <c r="B44" s="9" t="s">
        <v>33</v>
      </c>
      <c r="C44" s="2" t="s">
        <v>34</v>
      </c>
      <c r="D44" s="3">
        <v>50</v>
      </c>
      <c r="E44" s="3" t="s">
        <v>371</v>
      </c>
      <c r="F44" s="10"/>
      <c r="G44" s="10"/>
      <c r="H44" s="10"/>
      <c r="I44" s="10"/>
    </row>
    <row r="45" spans="1:9">
      <c r="A45" s="10" t="str">
        <f>_xlfn.TEXTJOIN("-",TRUE,Hoja2!A46:H46,2)</f>
        <v>VIN-EST-BL-2</v>
      </c>
      <c r="B45" s="9" t="s">
        <v>33</v>
      </c>
      <c r="C45" s="2" t="s">
        <v>12</v>
      </c>
      <c r="D45" s="3">
        <v>50</v>
      </c>
      <c r="E45" s="3" t="s">
        <v>371</v>
      </c>
      <c r="F45" s="10"/>
      <c r="G45" s="10"/>
      <c r="H45" s="10"/>
      <c r="I45" s="10"/>
    </row>
    <row r="46" spans="1:9">
      <c r="A46" s="10" t="str">
        <f>_xlfn.TEXTJOIN("-",TRUE,Hoja2!A47:H47,3)</f>
        <v>VIN-EST-BL-3</v>
      </c>
      <c r="B46" s="9" t="s">
        <v>33</v>
      </c>
      <c r="C46" s="2" t="s">
        <v>24</v>
      </c>
      <c r="D46" s="3" t="s">
        <v>35</v>
      </c>
      <c r="E46" s="3" t="s">
        <v>371</v>
      </c>
      <c r="F46" s="10"/>
      <c r="G46" s="10"/>
      <c r="H46" s="10"/>
      <c r="I46" s="10"/>
    </row>
    <row r="47" spans="1:9">
      <c r="A47" s="10" t="str">
        <f>_xlfn.TEXTJOIN("-",TRUE,Hoja2!A48:H48,1)</f>
        <v>VIN-EST-TR-1</v>
      </c>
      <c r="B47" s="9" t="s">
        <v>36</v>
      </c>
      <c r="C47" s="2" t="s">
        <v>24</v>
      </c>
      <c r="D47" s="3">
        <v>50</v>
      </c>
      <c r="E47" s="3" t="s">
        <v>371</v>
      </c>
      <c r="F47" s="10"/>
      <c r="G47" s="10"/>
      <c r="H47" s="10"/>
      <c r="I47" s="10"/>
    </row>
    <row r="48" spans="1:9">
      <c r="A48" s="10" t="str">
        <f>_xlfn.TEXTJOIN("-",TRUE,Hoja2!A49:H49,2)</f>
        <v>VIN-EST-TR-2</v>
      </c>
      <c r="B48" s="9" t="s">
        <v>36</v>
      </c>
      <c r="C48" s="2" t="s">
        <v>12</v>
      </c>
      <c r="D48" s="3">
        <v>50</v>
      </c>
      <c r="E48" s="3" t="s">
        <v>371</v>
      </c>
      <c r="F48" s="10"/>
      <c r="G48" s="10"/>
      <c r="H48" s="10"/>
      <c r="I48" s="10"/>
    </row>
    <row r="49" spans="1:9">
      <c r="A49" s="10" t="s">
        <v>299</v>
      </c>
      <c r="B49" s="9" t="s">
        <v>37</v>
      </c>
      <c r="C49" s="2" t="s">
        <v>12</v>
      </c>
      <c r="D49" s="3">
        <v>50</v>
      </c>
      <c r="E49" s="3" t="s">
        <v>371</v>
      </c>
      <c r="F49" s="10"/>
      <c r="G49" s="10"/>
      <c r="H49" s="10"/>
      <c r="I49" s="10"/>
    </row>
    <row r="50" spans="1:9">
      <c r="A50" s="10" t="s">
        <v>300</v>
      </c>
      <c r="B50" s="9" t="s">
        <v>38</v>
      </c>
      <c r="C50" s="2" t="s">
        <v>12</v>
      </c>
      <c r="D50" s="3">
        <v>33</v>
      </c>
      <c r="E50" s="3" t="s">
        <v>371</v>
      </c>
      <c r="F50" s="10"/>
      <c r="G50" s="10"/>
      <c r="H50" s="10"/>
      <c r="I50" s="10"/>
    </row>
    <row r="51" spans="1:9">
      <c r="A51" s="10" t="s">
        <v>301</v>
      </c>
      <c r="B51" s="5" t="s">
        <v>39</v>
      </c>
      <c r="C51" s="2" t="s">
        <v>40</v>
      </c>
      <c r="D51" s="3" t="s">
        <v>29</v>
      </c>
      <c r="E51" s="3" t="s">
        <v>371</v>
      </c>
      <c r="F51" s="10"/>
      <c r="G51" s="10"/>
      <c r="H51" s="10"/>
      <c r="I51" s="10"/>
    </row>
    <row r="52" spans="1:9">
      <c r="A52" s="10" t="s">
        <v>302</v>
      </c>
      <c r="B52" s="9" t="s">
        <v>41</v>
      </c>
      <c r="C52" s="2" t="s">
        <v>42</v>
      </c>
      <c r="D52" s="3">
        <v>30</v>
      </c>
      <c r="E52" s="3" t="s">
        <v>371</v>
      </c>
      <c r="F52" s="10"/>
      <c r="G52" s="10"/>
      <c r="H52" s="10"/>
      <c r="I52" s="10"/>
    </row>
    <row r="53" spans="1:9">
      <c r="A53" s="10" t="s">
        <v>313</v>
      </c>
      <c r="B53" s="9" t="s">
        <v>43</v>
      </c>
      <c r="C53" s="2" t="s">
        <v>17</v>
      </c>
      <c r="D53" s="3">
        <v>50</v>
      </c>
      <c r="E53" s="3" t="s">
        <v>371</v>
      </c>
      <c r="F53" s="10"/>
      <c r="G53" s="10"/>
      <c r="H53" s="10"/>
      <c r="I53" s="10"/>
    </row>
    <row r="54" spans="1:9">
      <c r="A54" s="10" t="str">
        <f>_xlfn.TEXTJOIN("-",TRUE,Hoja2!A55:H55,"RI","BKT",1)</f>
        <v>VIN-MAT-BL-RI-BKT-1</v>
      </c>
      <c r="B54" s="9" t="s">
        <v>44</v>
      </c>
      <c r="C54" s="2" t="s">
        <v>17</v>
      </c>
      <c r="D54" s="3">
        <v>50</v>
      </c>
      <c r="E54" s="3" t="s">
        <v>371</v>
      </c>
      <c r="F54" s="10"/>
      <c r="G54" s="10"/>
      <c r="H54" s="10"/>
      <c r="I54" s="10"/>
    </row>
    <row r="55" spans="1:9">
      <c r="A55" s="10" t="str">
        <f>_xlfn.TEXTJOIN("-",TRUE,Hoja2!A56:H56,"RI","BKT",2)</f>
        <v>VIN-MAT-BL-RI-BKT-2</v>
      </c>
      <c r="B55" s="9" t="s">
        <v>44</v>
      </c>
      <c r="C55" s="2" t="s">
        <v>17</v>
      </c>
      <c r="D55" s="3">
        <v>40</v>
      </c>
      <c r="E55" s="3" t="s">
        <v>371</v>
      </c>
      <c r="F55" s="10"/>
      <c r="G55" s="10"/>
      <c r="H55" s="10"/>
      <c r="I55" s="10"/>
    </row>
    <row r="56" spans="1:9">
      <c r="A56" s="10" t="str">
        <f>_xlfn.TEXTJOIN("-",TRUE,Hoja2!A57:H57,"RI","BKT",3)</f>
        <v>VIN-MAT-BL-RI-BKT-3</v>
      </c>
      <c r="B56" s="9" t="s">
        <v>44</v>
      </c>
      <c r="C56" s="2" t="s">
        <v>17</v>
      </c>
      <c r="D56" s="3">
        <v>35</v>
      </c>
      <c r="E56" s="3" t="s">
        <v>371</v>
      </c>
      <c r="F56" s="10"/>
      <c r="G56" s="10"/>
      <c r="H56" s="10"/>
      <c r="I56" s="10"/>
    </row>
    <row r="57" spans="1:9">
      <c r="A57" s="10" t="str">
        <f>_xlfn.TEXTJOIN("-",TRUE,Hoja2!A58:H58,"GF","RGR",1)</f>
        <v>VIN-MAT-BL-GF-RGR-1</v>
      </c>
      <c r="B57" s="9" t="s">
        <v>45</v>
      </c>
      <c r="C57" s="2" t="s">
        <v>24</v>
      </c>
      <c r="D57" s="3">
        <v>50</v>
      </c>
      <c r="E57" s="3" t="s">
        <v>371</v>
      </c>
      <c r="F57" s="10"/>
      <c r="G57" s="10"/>
      <c r="H57" s="10"/>
      <c r="I57" s="10"/>
    </row>
    <row r="58" spans="1:9">
      <c r="A58" s="10" t="str">
        <f>_xlfn.TEXTJOIN("-",TRUE,Hoja2!A59:H59,"GF","RGR",2)</f>
        <v>VIN-MAT-BL-GF-RGR-2</v>
      </c>
      <c r="B58" s="9" t="s">
        <v>46</v>
      </c>
      <c r="C58" s="2" t="s">
        <v>12</v>
      </c>
      <c r="D58" s="3">
        <v>50</v>
      </c>
      <c r="E58" s="3" t="s">
        <v>371</v>
      </c>
      <c r="F58" s="10"/>
      <c r="G58" s="10"/>
      <c r="H58" s="10"/>
      <c r="I58" s="10"/>
    </row>
    <row r="59" spans="1:9">
      <c r="A59" s="10" t="str">
        <f>_xlfn.TEXTJOIN("-",TRUE,Hoja2!A60:H60,"RGR")</f>
        <v>VIN-BRI-RGR</v>
      </c>
      <c r="B59" s="9" t="s">
        <v>47</v>
      </c>
      <c r="C59" s="2" t="s">
        <v>17</v>
      </c>
      <c r="D59" s="3">
        <v>50</v>
      </c>
      <c r="E59" s="3" t="s">
        <v>371</v>
      </c>
      <c r="F59" s="10"/>
      <c r="G59" s="10"/>
      <c r="H59" s="10"/>
      <c r="I59" s="10"/>
    </row>
    <row r="60" spans="1:9">
      <c r="A60" s="10" t="str">
        <f>_xlfn.TEXTJOIN("-",TRUE,Hoja2!A61:H61)</f>
        <v>VIN-TR</v>
      </c>
      <c r="B60" s="9" t="s">
        <v>48</v>
      </c>
      <c r="C60" s="2" t="s">
        <v>17</v>
      </c>
      <c r="D60" s="3">
        <v>50</v>
      </c>
      <c r="E60" s="3" t="s">
        <v>371</v>
      </c>
      <c r="F60" s="10"/>
      <c r="G60" s="10"/>
      <c r="H60" s="10"/>
      <c r="I60" s="10"/>
    </row>
    <row r="61" spans="1:9">
      <c r="A61" s="10" t="s">
        <v>320</v>
      </c>
      <c r="B61" s="9" t="s">
        <v>49</v>
      </c>
      <c r="C61" s="2" t="s">
        <v>12</v>
      </c>
      <c r="D61" s="3">
        <v>100</v>
      </c>
      <c r="E61" s="3" t="s">
        <v>371</v>
      </c>
      <c r="F61" s="10"/>
      <c r="G61" s="10"/>
      <c r="H61" s="10"/>
      <c r="I61" s="10"/>
    </row>
    <row r="62" spans="1:9">
      <c r="A62" s="10" t="s">
        <v>321</v>
      </c>
      <c r="B62" s="9" t="s">
        <v>49</v>
      </c>
      <c r="C62" s="2" t="s">
        <v>12</v>
      </c>
      <c r="D62" s="3">
        <v>50</v>
      </c>
      <c r="E62" s="3" t="s">
        <v>371</v>
      </c>
      <c r="F62" s="10"/>
      <c r="G62" s="10"/>
      <c r="H62" s="10"/>
      <c r="I62" s="10"/>
    </row>
    <row r="63" spans="1:9">
      <c r="A63" s="10" t="str">
        <f>_xlfn.TEXTJOIN("-",TRUE,Hoja2!A64:H64,"RI","SUP","AV")</f>
        <v>VIN-BRI-RI-SUP-AV</v>
      </c>
      <c r="B63" s="9" t="s">
        <v>50</v>
      </c>
      <c r="C63" s="2" t="s">
        <v>17</v>
      </c>
      <c r="D63" s="3">
        <v>50</v>
      </c>
      <c r="E63" s="3" t="s">
        <v>371</v>
      </c>
      <c r="F63" s="10"/>
      <c r="G63" s="10"/>
      <c r="H63" s="10"/>
      <c r="I63" s="10"/>
    </row>
    <row r="64" spans="1:9">
      <c r="A64" s="10" t="str">
        <f>_xlfn.TEXTJOIN("-",TRUE,Hoja2!A65:H65,1)</f>
        <v>VIN-BRI-BL-1</v>
      </c>
      <c r="B64" s="9" t="s">
        <v>51</v>
      </c>
      <c r="C64" s="2" t="s">
        <v>52</v>
      </c>
      <c r="D64" s="3">
        <v>50</v>
      </c>
      <c r="E64" s="3" t="s">
        <v>371</v>
      </c>
      <c r="F64" s="10"/>
      <c r="G64" s="10"/>
      <c r="H64" s="10"/>
      <c r="I64" s="10"/>
    </row>
    <row r="65" spans="1:9">
      <c r="A65" s="10" t="str">
        <f>_xlfn.TEXTJOIN("-",TRUE,Hoja2!A66:H66,2)</f>
        <v>VIN-BRI-BL-2</v>
      </c>
      <c r="B65" s="9" t="s">
        <v>51</v>
      </c>
      <c r="C65" s="2" t="s">
        <v>53</v>
      </c>
      <c r="D65" s="3">
        <v>50</v>
      </c>
      <c r="E65" s="3" t="s">
        <v>371</v>
      </c>
      <c r="F65" s="10"/>
      <c r="G65" s="10"/>
      <c r="H65" s="10"/>
      <c r="I65" s="10"/>
    </row>
    <row r="66" spans="1:9">
      <c r="A66" s="10" t="str">
        <f>_xlfn.TEXTJOIN("-",TRUE,Hoja2!A67:H67,"RI",1)</f>
        <v>VIN-MAT-RI-1</v>
      </c>
      <c r="B66" s="9" t="s">
        <v>54</v>
      </c>
      <c r="C66" s="2" t="s">
        <v>17</v>
      </c>
      <c r="D66" s="3">
        <v>50</v>
      </c>
      <c r="E66" s="3" t="s">
        <v>371</v>
      </c>
      <c r="F66" s="10"/>
      <c r="G66" s="10"/>
      <c r="H66" s="10"/>
      <c r="I66" s="10"/>
    </row>
    <row r="67" spans="1:9">
      <c r="A67" s="10" t="str">
        <f>_xlfn.TEXTJOIN("-",TRUE,Hoja2!A68:H68,"RI",2)</f>
        <v>VIN-MAT-RI-2</v>
      </c>
      <c r="B67" s="9" t="s">
        <v>54</v>
      </c>
      <c r="C67" s="2" t="s">
        <v>52</v>
      </c>
      <c r="D67" s="3">
        <v>50</v>
      </c>
      <c r="E67" s="3" t="s">
        <v>371</v>
      </c>
      <c r="F67" s="10"/>
      <c r="G67" s="10"/>
      <c r="H67" s="10"/>
      <c r="I67" s="10"/>
    </row>
    <row r="68" spans="1:9">
      <c r="A68" s="10" t="str">
        <f>_xlfn.TEXTJOIN("-",TRUE,Hoja2!A69:H69,"RI",3)</f>
        <v>VIN-MAT-RI-3</v>
      </c>
      <c r="B68" s="9" t="s">
        <v>54</v>
      </c>
      <c r="C68" s="2" t="s">
        <v>52</v>
      </c>
      <c r="D68" s="3">
        <v>80</v>
      </c>
      <c r="E68" s="3" t="s">
        <v>371</v>
      </c>
      <c r="F68" s="10"/>
      <c r="G68" s="10"/>
      <c r="H68" s="10"/>
      <c r="I68" s="10"/>
    </row>
    <row r="69" spans="1:9">
      <c r="A69" s="10" t="str">
        <f>_xlfn.TEXTJOIN("-",TRUE,Hoja2!A70:H70,"RI",4)</f>
        <v>VIN-MAT-RI-4</v>
      </c>
      <c r="B69" s="9" t="s">
        <v>54</v>
      </c>
      <c r="C69" s="2" t="s">
        <v>53</v>
      </c>
      <c r="D69" s="3">
        <v>50</v>
      </c>
      <c r="E69" s="3" t="s">
        <v>371</v>
      </c>
      <c r="F69" s="10"/>
      <c r="G69" s="10"/>
      <c r="H69" s="10"/>
      <c r="I69" s="10"/>
    </row>
    <row r="70" spans="1:9">
      <c r="A70" s="10" t="str">
        <f>_xlfn.TEXTJOIN("-",TRUE,Hoja2!A71:H71,"SUP",1)</f>
        <v>VIN-MAT-SUP-1</v>
      </c>
      <c r="B70" s="9" t="s">
        <v>55</v>
      </c>
      <c r="C70" s="2" t="s">
        <v>12</v>
      </c>
      <c r="D70" s="3">
        <v>50</v>
      </c>
      <c r="E70" s="3" t="s">
        <v>371</v>
      </c>
      <c r="F70" s="10"/>
      <c r="G70" s="10"/>
      <c r="H70" s="10"/>
      <c r="I70" s="10"/>
    </row>
    <row r="71" spans="1:9">
      <c r="A71" s="10" t="str">
        <f>_xlfn.TEXTJOIN("-",TRUE,Hoja2!A72:H72,"SUP",2)</f>
        <v>VIN-MAT-SUP-2</v>
      </c>
      <c r="B71" s="9" t="s">
        <v>55</v>
      </c>
      <c r="C71" s="2" t="s">
        <v>34</v>
      </c>
      <c r="D71" s="3">
        <v>50</v>
      </c>
      <c r="E71" s="3" t="s">
        <v>371</v>
      </c>
      <c r="F71" s="10"/>
      <c r="G71" s="10"/>
      <c r="H71" s="10"/>
      <c r="I71" s="10"/>
    </row>
    <row r="72" spans="1:9">
      <c r="A72" s="10" t="str">
        <f>_xlfn.TEXTJOIN("-",TRUE,Hoja2!A73:H73,"WG","LZN")</f>
        <v>VIN-PAR-WG-LZN</v>
      </c>
      <c r="B72" s="9" t="s">
        <v>56</v>
      </c>
      <c r="C72" s="2" t="s">
        <v>24</v>
      </c>
      <c r="D72" s="3" t="s">
        <v>29</v>
      </c>
      <c r="E72" s="3" t="s">
        <v>371</v>
      </c>
      <c r="F72" s="10"/>
      <c r="G72" s="10"/>
      <c r="H72" s="10"/>
      <c r="I72" s="10"/>
    </row>
    <row r="73" spans="1:9">
      <c r="A73" s="10" t="str">
        <f>_xlfn.TEXTJOIN("-",TRUE,Hoja2!A74:H74,"RJT","MAT")</f>
        <v>VIN-PAR-RJT-MAT</v>
      </c>
      <c r="B73" s="9" t="s">
        <v>57</v>
      </c>
      <c r="C73" s="2" t="s">
        <v>12</v>
      </c>
      <c r="D73" s="3">
        <v>50</v>
      </c>
      <c r="E73" s="3" t="s">
        <v>371</v>
      </c>
      <c r="F73" s="10"/>
      <c r="G73" s="10"/>
      <c r="H73" s="10"/>
      <c r="I73" s="10"/>
    </row>
    <row r="74" spans="1:9">
      <c r="A74" s="10" t="str">
        <f>_xlfn.TEXTJOIN("-",TRUE,Hoja2!A75:H75,"PSX","TXTS")</f>
        <v>VIN-PSX-TXTS</v>
      </c>
      <c r="B74" s="9" t="s">
        <v>58</v>
      </c>
      <c r="C74" s="2" t="s">
        <v>12</v>
      </c>
      <c r="D74" s="3">
        <v>50</v>
      </c>
      <c r="E74" s="3" t="s">
        <v>371</v>
      </c>
      <c r="F74" s="10"/>
      <c r="G74" s="10"/>
      <c r="H74" s="10"/>
      <c r="I74" s="10"/>
    </row>
    <row r="75" spans="1:9">
      <c r="A75" s="10" t="str">
        <f>_xlfn.TEXTJOIN("-",TRUE,Hoja2!A76:H76,"WCN","GF")</f>
        <v>VIN-WCN-GF</v>
      </c>
      <c r="B75" s="9" t="s">
        <v>59</v>
      </c>
      <c r="C75" s="2" t="s">
        <v>24</v>
      </c>
      <c r="D75" s="3">
        <v>50</v>
      </c>
      <c r="E75" s="3" t="s">
        <v>371</v>
      </c>
      <c r="F75" s="10"/>
      <c r="G75" s="10"/>
      <c r="H75" s="10"/>
      <c r="I75" s="10"/>
    </row>
    <row r="76" spans="1:9">
      <c r="A76" s="10" t="str">
        <f>_xlfn.TEXTJOIN("-",TRUE,Hoja2!A77:H77,"IMP")</f>
        <v>VIN-BL-TL-IMP</v>
      </c>
      <c r="B76" s="9" t="s">
        <v>60</v>
      </c>
      <c r="C76" s="2" t="s">
        <v>12</v>
      </c>
      <c r="D76" s="3">
        <v>10</v>
      </c>
      <c r="E76" s="3" t="s">
        <v>371</v>
      </c>
      <c r="F76" s="10"/>
      <c r="G76" s="10"/>
      <c r="H76" s="10"/>
      <c r="I76" s="10"/>
    </row>
    <row r="77" spans="1:9">
      <c r="A77" s="10" t="s">
        <v>292</v>
      </c>
      <c r="B77" s="9" t="s">
        <v>61</v>
      </c>
      <c r="C77" s="2" t="s">
        <v>12</v>
      </c>
      <c r="D77" s="3">
        <v>40</v>
      </c>
      <c r="E77" s="3" t="s">
        <v>371</v>
      </c>
      <c r="F77" s="10"/>
      <c r="G77" s="10"/>
      <c r="H77" s="10"/>
      <c r="I77" s="10"/>
    </row>
    <row r="78" spans="1:9">
      <c r="A78" s="10" t="s">
        <v>293</v>
      </c>
      <c r="B78" s="9" t="s">
        <v>62</v>
      </c>
      <c r="C78" s="2" t="s">
        <v>63</v>
      </c>
      <c r="D78" s="3">
        <v>300</v>
      </c>
      <c r="E78" s="3" t="s">
        <v>371</v>
      </c>
      <c r="F78" s="10"/>
      <c r="G78" s="10"/>
      <c r="H78" s="10"/>
      <c r="I78" s="10"/>
    </row>
    <row r="79" spans="1:9">
      <c r="A79" s="10" t="str">
        <f>_xlfn.TEXTJOIN("-",TRUE,Hoja2!A80:H80,"TRO")</f>
        <v>PVC-BL-3MM-TRO</v>
      </c>
      <c r="B79" s="9" t="s">
        <v>64</v>
      </c>
      <c r="C79" s="2" t="s">
        <v>40</v>
      </c>
      <c r="D79" s="3" t="s">
        <v>65</v>
      </c>
      <c r="E79" s="3" t="s">
        <v>377</v>
      </c>
      <c r="F79" s="10"/>
      <c r="G79" s="10"/>
      <c r="H79" s="10"/>
      <c r="I79" s="10"/>
    </row>
    <row r="80" spans="1:9">
      <c r="A80" s="10" t="str">
        <f>_xlfn.TEXTJOIN("-",TRUE,Hoja2!A81:H81,"TRO","GB")</f>
        <v>PVC-BL-3MM-TRO-GB</v>
      </c>
      <c r="B80" s="9" t="s">
        <v>66</v>
      </c>
      <c r="C80" s="2" t="s">
        <v>40</v>
      </c>
      <c r="D80" s="3" t="s">
        <v>65</v>
      </c>
      <c r="E80" s="3" t="s">
        <v>377</v>
      </c>
      <c r="F80" s="10"/>
      <c r="G80" s="10"/>
      <c r="H80" s="10"/>
      <c r="I80" s="10"/>
    </row>
    <row r="81" spans="1:9">
      <c r="A81" s="10" t="str">
        <f>_xlfn.TEXTJOIN("-",TRUE,Hoja2!A82:H82)</f>
        <v>PVC-BL-2MM</v>
      </c>
      <c r="B81" s="9" t="s">
        <v>67</v>
      </c>
      <c r="C81" s="2" t="s">
        <v>40</v>
      </c>
      <c r="D81" s="3" t="s">
        <v>65</v>
      </c>
      <c r="E81" s="3" t="s">
        <v>377</v>
      </c>
      <c r="F81" s="10"/>
      <c r="G81" s="10"/>
      <c r="H81" s="10"/>
      <c r="I81" s="10"/>
    </row>
    <row r="82" spans="1:9">
      <c r="A82" s="10" t="str">
        <f>_xlfn.TEXTJOIN("-",TRUE,Hoja2!A83:H83,"TRO")</f>
        <v>PVC-BL-6MM-TRO</v>
      </c>
      <c r="B82" s="9" t="s">
        <v>68</v>
      </c>
      <c r="C82" s="2" t="s">
        <v>40</v>
      </c>
      <c r="D82" s="3" t="s">
        <v>65</v>
      </c>
      <c r="E82" s="3" t="s">
        <v>377</v>
      </c>
      <c r="F82" s="10"/>
      <c r="G82" s="10"/>
      <c r="H82" s="10"/>
      <c r="I82" s="10"/>
    </row>
    <row r="83" spans="1:9">
      <c r="A83" s="10" t="str">
        <f>_xlfn.TEXTJOIN("-",TRUE,Hoja2!A84:H84,"TRO","GB")</f>
        <v>PVC-BL-6MM-TRO-GB</v>
      </c>
      <c r="B83" s="9" t="s">
        <v>69</v>
      </c>
      <c r="C83" s="2" t="s">
        <v>40</v>
      </c>
      <c r="D83" s="3" t="s">
        <v>65</v>
      </c>
      <c r="E83" s="3" t="s">
        <v>377</v>
      </c>
      <c r="F83" s="10"/>
      <c r="G83" s="10"/>
      <c r="H83" s="10"/>
      <c r="I83" s="10"/>
    </row>
    <row r="84" spans="1:9">
      <c r="A84" s="10" t="str">
        <f>_xlfn.TEXTJOIN("-",TRUE,Hoja2!A85:H85,"TRO")</f>
        <v>PVC-BL-10MM-TRO</v>
      </c>
      <c r="B84" s="9" t="s">
        <v>70</v>
      </c>
      <c r="C84" s="2" t="s">
        <v>40</v>
      </c>
      <c r="D84" s="3" t="s">
        <v>65</v>
      </c>
      <c r="E84" s="3" t="s">
        <v>377</v>
      </c>
      <c r="F84" s="10"/>
      <c r="G84" s="10"/>
      <c r="H84" s="10"/>
      <c r="I84" s="10"/>
    </row>
    <row r="85" spans="1:9">
      <c r="A85" s="10" t="s">
        <v>294</v>
      </c>
      <c r="B85" s="9" t="s">
        <v>71</v>
      </c>
      <c r="C85" s="2" t="s">
        <v>40</v>
      </c>
      <c r="D85" s="3" t="s">
        <v>65</v>
      </c>
      <c r="E85" s="3" t="s">
        <v>377</v>
      </c>
      <c r="F85" s="10"/>
      <c r="G85" s="10"/>
      <c r="H85" s="10"/>
      <c r="I85" s="10"/>
    </row>
    <row r="86" spans="1:9">
      <c r="A86" s="10" t="s">
        <v>282</v>
      </c>
      <c r="B86" s="9" t="s">
        <v>72</v>
      </c>
      <c r="C86" s="2" t="s">
        <v>40</v>
      </c>
      <c r="D86" s="3" t="s">
        <v>65</v>
      </c>
      <c r="E86" s="3" t="s">
        <v>377</v>
      </c>
      <c r="F86" s="10"/>
      <c r="G86" s="10"/>
      <c r="H86" s="10"/>
      <c r="I86" s="10"/>
    </row>
    <row r="87" spans="1:9">
      <c r="A87" s="10" t="s">
        <v>283</v>
      </c>
      <c r="B87" s="9" t="s">
        <v>73</v>
      </c>
      <c r="C87" s="2" t="s">
        <v>40</v>
      </c>
      <c r="D87" s="3" t="s">
        <v>65</v>
      </c>
      <c r="E87" s="3" t="s">
        <v>377</v>
      </c>
      <c r="F87" s="10"/>
      <c r="G87" s="10"/>
      <c r="H87" s="10"/>
      <c r="I87" s="10"/>
    </row>
    <row r="88" spans="1:9">
      <c r="A88" s="10" t="s">
        <v>284</v>
      </c>
      <c r="B88" s="9" t="s">
        <v>74</v>
      </c>
      <c r="C88" s="2" t="s">
        <v>40</v>
      </c>
      <c r="D88" s="3" t="s">
        <v>65</v>
      </c>
      <c r="E88" s="3" t="s">
        <v>377</v>
      </c>
      <c r="F88" s="10"/>
      <c r="G88" s="10"/>
      <c r="H88" s="10"/>
      <c r="I88" s="10"/>
    </row>
    <row r="89" spans="1:9">
      <c r="A89" s="10" t="s">
        <v>285</v>
      </c>
      <c r="B89" s="9" t="s">
        <v>75</v>
      </c>
      <c r="C89" s="2" t="s">
        <v>12</v>
      </c>
      <c r="D89" s="3" t="s">
        <v>40</v>
      </c>
      <c r="E89" s="3" t="s">
        <v>377</v>
      </c>
      <c r="F89" s="10"/>
      <c r="G89" s="10"/>
      <c r="H89" s="10"/>
      <c r="I89" s="10"/>
    </row>
    <row r="90" spans="1:9">
      <c r="A90" s="10" t="s">
        <v>286</v>
      </c>
      <c r="B90" s="9" t="s">
        <v>76</v>
      </c>
      <c r="C90" s="2" t="s">
        <v>12</v>
      </c>
      <c r="D90" s="3" t="s">
        <v>40</v>
      </c>
      <c r="E90" s="3" t="s">
        <v>377</v>
      </c>
      <c r="F90" s="10"/>
      <c r="G90" s="10"/>
      <c r="H90" s="10"/>
      <c r="I90" s="10"/>
    </row>
    <row r="91" spans="1:9">
      <c r="A91" s="10" t="s">
        <v>287</v>
      </c>
      <c r="B91" s="9" t="s">
        <v>77</v>
      </c>
      <c r="C91" s="2" t="s">
        <v>12</v>
      </c>
      <c r="D91" s="3" t="s">
        <v>40</v>
      </c>
      <c r="E91" s="3" t="s">
        <v>377</v>
      </c>
      <c r="F91" s="10"/>
      <c r="G91" s="10"/>
      <c r="H91" s="10"/>
      <c r="I91" s="10"/>
    </row>
    <row r="92" spans="1:9">
      <c r="A92" s="10" t="s">
        <v>288</v>
      </c>
      <c r="B92" s="9" t="s">
        <v>78</v>
      </c>
      <c r="C92" s="2" t="s">
        <v>12</v>
      </c>
      <c r="D92" s="3" t="s">
        <v>40</v>
      </c>
      <c r="E92" s="3" t="s">
        <v>377</v>
      </c>
      <c r="F92" s="10"/>
      <c r="G92" s="10"/>
      <c r="H92" s="10"/>
      <c r="I92" s="10"/>
    </row>
    <row r="93" spans="1:9">
      <c r="A93" s="10" t="s">
        <v>289</v>
      </c>
      <c r="B93" s="9" t="s">
        <v>79</v>
      </c>
      <c r="C93" s="2" t="s">
        <v>12</v>
      </c>
      <c r="D93" s="3" t="s">
        <v>40</v>
      </c>
      <c r="E93" s="3" t="s">
        <v>377</v>
      </c>
      <c r="F93" s="10"/>
      <c r="G93" s="10"/>
      <c r="H93" s="10"/>
      <c r="I93" s="10"/>
    </row>
    <row r="94" spans="1:9">
      <c r="A94" s="10" t="s">
        <v>290</v>
      </c>
      <c r="B94" s="9" t="s">
        <v>80</v>
      </c>
      <c r="C94" s="2" t="s">
        <v>12</v>
      </c>
      <c r="D94" s="3" t="s">
        <v>40</v>
      </c>
      <c r="E94" s="3" t="s">
        <v>377</v>
      </c>
      <c r="F94" s="10"/>
      <c r="G94" s="10"/>
      <c r="H94" s="10"/>
      <c r="I94" s="10"/>
    </row>
    <row r="95" spans="1:9">
      <c r="A95" s="10" t="s">
        <v>314</v>
      </c>
      <c r="B95" s="9" t="s">
        <v>81</v>
      </c>
      <c r="C95" s="2" t="s">
        <v>82</v>
      </c>
      <c r="D95" s="3" t="s">
        <v>83</v>
      </c>
      <c r="E95" s="3" t="s">
        <v>377</v>
      </c>
      <c r="F95" s="10"/>
      <c r="G95" s="10"/>
      <c r="H95" s="10"/>
      <c r="I95" s="10"/>
    </row>
    <row r="96" spans="1:9">
      <c r="A96" s="10" t="s">
        <v>315</v>
      </c>
      <c r="B96" s="9" t="s">
        <v>81</v>
      </c>
      <c r="C96" s="2" t="s">
        <v>63</v>
      </c>
      <c r="D96" s="3" t="s">
        <v>1</v>
      </c>
      <c r="E96" s="3" t="s">
        <v>377</v>
      </c>
      <c r="F96" s="10"/>
      <c r="G96" s="10"/>
      <c r="H96" s="10"/>
      <c r="I96" s="10"/>
    </row>
    <row r="97" spans="1:9">
      <c r="A97" s="10" t="s">
        <v>316</v>
      </c>
      <c r="B97" s="9" t="s">
        <v>84</v>
      </c>
      <c r="C97" s="2" t="s">
        <v>85</v>
      </c>
      <c r="D97" s="3">
        <v>2</v>
      </c>
      <c r="E97" s="3" t="s">
        <v>377</v>
      </c>
      <c r="F97" s="10"/>
      <c r="G97" s="10"/>
      <c r="H97" s="10"/>
      <c r="I97" s="10"/>
    </row>
    <row r="98" spans="1:9">
      <c r="A98" s="10" t="s">
        <v>322</v>
      </c>
      <c r="B98" s="9" t="s">
        <v>86</v>
      </c>
      <c r="C98" s="2" t="s">
        <v>87</v>
      </c>
      <c r="D98" s="3" t="s">
        <v>88</v>
      </c>
      <c r="E98" s="3" t="s">
        <v>377</v>
      </c>
      <c r="F98" s="10"/>
      <c r="G98" s="10"/>
      <c r="H98" s="10"/>
      <c r="I98" s="10"/>
    </row>
    <row r="99" spans="1:9">
      <c r="A99" s="10" t="s">
        <v>307</v>
      </c>
      <c r="B99" s="5" t="s">
        <v>2</v>
      </c>
      <c r="C99" s="10"/>
      <c r="D99" s="10"/>
      <c r="E99" s="10" t="s">
        <v>372</v>
      </c>
      <c r="F99" s="10"/>
      <c r="G99" s="10"/>
      <c r="H99" s="10"/>
      <c r="I99" s="10"/>
    </row>
    <row r="100" spans="1:9">
      <c r="A100" s="10" t="s">
        <v>308</v>
      </c>
      <c r="B100" s="5" t="s">
        <v>3</v>
      </c>
      <c r="C100" s="10"/>
      <c r="D100" s="10"/>
      <c r="E100" s="10" t="s">
        <v>372</v>
      </c>
      <c r="F100" s="10"/>
      <c r="G100" s="10"/>
      <c r="H100" s="10"/>
      <c r="I100" s="10"/>
    </row>
    <row r="101" spans="1:9">
      <c r="A101" s="10" t="str">
        <f>_xlfn.TEXTJOIN("-",TRUE,Hoja2!A102:H102,"1LT","LTX","CYN")</f>
        <v>TIN-LX7-1LT-LTX-CYN</v>
      </c>
      <c r="B101" s="5" t="s">
        <v>89</v>
      </c>
      <c r="C101" s="10"/>
      <c r="D101" s="10"/>
      <c r="E101" s="10" t="s">
        <v>372</v>
      </c>
      <c r="F101" s="10"/>
      <c r="G101" s="10"/>
      <c r="H101" s="10"/>
      <c r="I101" s="10"/>
    </row>
    <row r="102" spans="1:9">
      <c r="A102" s="10" t="str">
        <f>_xlfn.TEXTJOIN("-",TRUE,Hoja2!A103:H103,"1LT","LTX","MGN")</f>
        <v>TIN-LX7-1LT-LTX-MGN</v>
      </c>
      <c r="B102" s="5" t="s">
        <v>90</v>
      </c>
      <c r="C102" s="10"/>
      <c r="D102" s="10"/>
      <c r="E102" s="10" t="s">
        <v>372</v>
      </c>
      <c r="F102" s="10"/>
      <c r="G102" s="10"/>
      <c r="H102" s="10"/>
      <c r="I102" s="10"/>
    </row>
    <row r="103" spans="1:9">
      <c r="A103" s="10" t="str">
        <f>_xlfn.TEXTJOIN("-",TRUE,Hoja2!A104:H104,"1LT","LTX","YLL")</f>
        <v>TIN-LX7-1LT-LTX-YLL</v>
      </c>
      <c r="B103" s="5" t="s">
        <v>91</v>
      </c>
      <c r="C103" s="10"/>
      <c r="D103" s="10"/>
      <c r="E103" s="10" t="s">
        <v>372</v>
      </c>
      <c r="F103" s="10"/>
      <c r="G103" s="10"/>
      <c r="H103" s="10"/>
      <c r="I103" s="10"/>
    </row>
    <row r="104" spans="1:9">
      <c r="A104" s="10" t="str">
        <f>_xlfn.TEXTJOIN("-",TRUE,Hoja2!A105:H105,"1LT","LTX","BLC")</f>
        <v>TIN-LX7-1LT-LTX-BLC</v>
      </c>
      <c r="B104" s="5" t="s">
        <v>92</v>
      </c>
      <c r="C104" s="10"/>
      <c r="D104" s="10"/>
      <c r="E104" s="10" t="s">
        <v>372</v>
      </c>
      <c r="F104" s="10"/>
      <c r="G104" s="10"/>
      <c r="H104" s="10"/>
      <c r="I104" s="10"/>
    </row>
    <row r="105" spans="1:9">
      <c r="A105" s="10" t="str">
        <f>_xlfn.TEXTJOIN("-",TRUE,Hoja2!A106:H106,"1LT","LTX","LCYN")</f>
        <v>TIN-LX7-1LT-LTX-LCYN</v>
      </c>
      <c r="B105" s="5" t="s">
        <v>93</v>
      </c>
      <c r="C105" s="10"/>
      <c r="D105" s="10"/>
      <c r="E105" s="10" t="s">
        <v>372</v>
      </c>
      <c r="F105" s="10"/>
      <c r="G105" s="10"/>
      <c r="H105" s="10"/>
      <c r="I105" s="10"/>
    </row>
    <row r="106" spans="1:9">
      <c r="A106" s="10" t="str">
        <f>_xlfn.TEXTJOIN("-",TRUE,Hoja2!A107:H107,"1LT","LTX","LMGN")</f>
        <v>TIN-LX7-1LT-LTX-LMGN</v>
      </c>
      <c r="B106" s="5" t="s">
        <v>94</v>
      </c>
      <c r="C106" s="10"/>
      <c r="D106" s="10"/>
      <c r="E106" s="10" t="s">
        <v>372</v>
      </c>
      <c r="F106" s="10"/>
      <c r="G106" s="10"/>
      <c r="H106" s="10"/>
      <c r="I106" s="10"/>
    </row>
    <row r="107" spans="1:9">
      <c r="A107" s="10" t="str">
        <f>_xlfn.TEXTJOIN("-",TRUE,Hoja2!A108:H108,"1LT","LTX","OPT")</f>
        <v>TIN-LX7-1LT-LTX-OPT</v>
      </c>
      <c r="B107" s="5" t="s">
        <v>95</v>
      </c>
      <c r="C107" s="10"/>
      <c r="D107" s="10"/>
      <c r="E107" s="10" t="s">
        <v>372</v>
      </c>
      <c r="F107" s="10"/>
      <c r="G107" s="10"/>
      <c r="H107" s="10"/>
      <c r="I107" s="10"/>
    </row>
    <row r="108" spans="1:9">
      <c r="A108" s="10" t="str">
        <f>_xlfn.TEXTJOIN("-",TRUE,Hoja2!A109:H109,"1LT","LTX","OVRC")</f>
        <v>TIN-LX7-1LT-LTX-OVRC</v>
      </c>
      <c r="B108" s="5" t="s">
        <v>96</v>
      </c>
      <c r="C108" s="10"/>
      <c r="D108" s="10"/>
      <c r="E108" s="10" t="s">
        <v>372</v>
      </c>
      <c r="F108" s="10"/>
      <c r="G108" s="10"/>
      <c r="H108" s="10"/>
      <c r="I108" s="10"/>
    </row>
    <row r="109" spans="1:9">
      <c r="A109" s="10" t="str">
        <f>_xlfn.TEXTJOIN("-",TRUE,Hoja2!A110:H110,"5LT","CYN")</f>
        <v>TIN-GRA-5LT-CYN</v>
      </c>
      <c r="B109" s="5" t="s">
        <v>97</v>
      </c>
      <c r="C109" s="10"/>
      <c r="D109" s="10"/>
      <c r="E109" s="10" t="s">
        <v>374</v>
      </c>
      <c r="F109" s="10"/>
      <c r="G109" s="10"/>
      <c r="H109" s="10"/>
      <c r="I109" s="10"/>
    </row>
    <row r="110" spans="1:9">
      <c r="A110" s="10" t="str">
        <f>_xlfn.TEXTJOIN("-",TRUE,Hoja2!A111:H111,"5LT","MGN")</f>
        <v>TIN-GRA-5LT-MGN</v>
      </c>
      <c r="B110" s="5" t="s">
        <v>98</v>
      </c>
      <c r="C110" s="10"/>
      <c r="D110" s="10"/>
      <c r="E110" s="10" t="s">
        <v>374</v>
      </c>
      <c r="F110" s="10"/>
      <c r="G110" s="10"/>
      <c r="H110" s="10"/>
      <c r="I110" s="10"/>
    </row>
    <row r="111" spans="1:9">
      <c r="A111" s="10" t="str">
        <f>_xlfn.TEXTJOIN("-",TRUE,Hoja2!A112:H112,"5LT","YLL")</f>
        <v>TIN-GRA-5LT-YLL</v>
      </c>
      <c r="B111" s="5" t="s">
        <v>99</v>
      </c>
      <c r="C111" s="10"/>
      <c r="D111" s="10"/>
      <c r="E111" s="10" t="s">
        <v>374</v>
      </c>
      <c r="F111" s="10"/>
      <c r="G111" s="10"/>
      <c r="H111" s="10"/>
      <c r="I111" s="10"/>
    </row>
    <row r="112" spans="1:9">
      <c r="A112" s="10" t="str">
        <f>_xlfn.TEXTJOIN("-",TRUE,Hoja2!A113:H113,"5LT","BLC")</f>
        <v>TIN-GRA-5LT-BLC</v>
      </c>
      <c r="B112" s="5" t="s">
        <v>100</v>
      </c>
      <c r="C112" s="10"/>
      <c r="D112" s="10"/>
      <c r="E112" s="10" t="s">
        <v>374</v>
      </c>
      <c r="F112" s="10"/>
      <c r="G112" s="10"/>
      <c r="H112" s="10"/>
      <c r="I112" s="10"/>
    </row>
    <row r="113" spans="1:9">
      <c r="A113" s="10" t="str">
        <f>_xlfn.TEXTJOIN("-",TRUE,Hoja2!A114:H114,"1LT","SNTH","CYN")</f>
        <v>TIN-CP-1LT-SNTH-CYN</v>
      </c>
      <c r="B113" s="5" t="s">
        <v>101</v>
      </c>
      <c r="C113" s="10"/>
      <c r="D113" s="10"/>
      <c r="E113" s="10" t="s">
        <v>372</v>
      </c>
      <c r="F113" s="10"/>
      <c r="G113" s="10"/>
      <c r="H113" s="10"/>
      <c r="I113" s="10"/>
    </row>
    <row r="114" spans="1:9">
      <c r="A114" s="10" t="str">
        <f>_xlfn.TEXTJOIN("-",TRUE,Hoja2!A115:H115,"1LT","SNTH","MGN")</f>
        <v>TIN-CP-1LT-SNTH-MGN</v>
      </c>
      <c r="B114" s="5" t="s">
        <v>102</v>
      </c>
      <c r="C114" s="10"/>
      <c r="D114" s="10"/>
      <c r="E114" s="10" t="s">
        <v>372</v>
      </c>
      <c r="F114" s="10"/>
      <c r="G114" s="10"/>
      <c r="H114" s="10"/>
      <c r="I114" s="10"/>
    </row>
    <row r="115" spans="1:9">
      <c r="A115" s="10" t="str">
        <f>_xlfn.TEXTJOIN("-",TRUE,Hoja2!A116:H116,"1LT","SNTH","YLL")</f>
        <v>TIN-CP-1LT-SNTH-YLL</v>
      </c>
      <c r="B115" s="5" t="s">
        <v>103</v>
      </c>
      <c r="C115" s="10"/>
      <c r="D115" s="10"/>
      <c r="E115" s="10" t="s">
        <v>372</v>
      </c>
      <c r="F115" s="10"/>
      <c r="G115" s="10"/>
      <c r="H115" s="10"/>
      <c r="I115" s="10"/>
    </row>
    <row r="116" spans="1:9">
      <c r="A116" s="10" t="str">
        <f>_xlfn.TEXTJOIN("-",TRUE,Hoja2!A117:H117,"1LT","SNTH","BLC")</f>
        <v>TIN-CP-1LT-SNTH-BLC</v>
      </c>
      <c r="B116" s="5" t="s">
        <v>104</v>
      </c>
      <c r="C116" s="10"/>
      <c r="D116" s="10"/>
      <c r="E116" s="10" t="s">
        <v>372</v>
      </c>
      <c r="F116" s="10"/>
      <c r="G116" s="10"/>
      <c r="H116" s="10"/>
      <c r="I116" s="10"/>
    </row>
    <row r="117" spans="1:9">
      <c r="A117" s="10" t="str">
        <f>_xlfn.TEXTJOIN("-",TRUE,Hoja2!A118:H118,"1LT","SNTH","WHT")</f>
        <v>TIN-CP-1LT-SNTH-WHT</v>
      </c>
      <c r="B117" s="5" t="s">
        <v>105</v>
      </c>
      <c r="C117" s="10"/>
      <c r="D117" s="10"/>
      <c r="E117" s="10" t="s">
        <v>372</v>
      </c>
      <c r="F117" s="10"/>
      <c r="G117" s="10"/>
      <c r="H117" s="10"/>
      <c r="I117" s="10"/>
    </row>
    <row r="118" spans="1:9">
      <c r="A118" s="10" t="str">
        <f>_xlfn.TEXTJOIN("-",TRUE,Hoja2!A119:H119,"3LT","FB7","CYN")</f>
        <v>TIN-CP-3LT-FB7-CYN</v>
      </c>
      <c r="B118" s="5" t="s">
        <v>106</v>
      </c>
      <c r="C118" s="10"/>
      <c r="D118" s="10"/>
      <c r="E118" s="10" t="s">
        <v>373</v>
      </c>
      <c r="F118" s="10"/>
      <c r="G118" s="10"/>
      <c r="H118" s="10"/>
      <c r="I118" s="10"/>
    </row>
    <row r="119" spans="1:9">
      <c r="A119" s="10" t="str">
        <f>_xlfn.TEXTJOIN("-",TRUE,Hoja2!A120:H120,"3LT","FB7","MGN")</f>
        <v>TIN-CP-3LT-FB7-MGN</v>
      </c>
      <c r="B119" s="5" t="s">
        <v>107</v>
      </c>
      <c r="C119" s="10"/>
      <c r="D119" s="10"/>
      <c r="E119" s="10" t="s">
        <v>373</v>
      </c>
      <c r="F119" s="10"/>
      <c r="G119" s="10"/>
      <c r="H119" s="10"/>
      <c r="I119" s="10"/>
    </row>
    <row r="120" spans="1:9">
      <c r="A120" s="10" t="str">
        <f>_xlfn.TEXTJOIN("-",TRUE,Hoja2!A121:H121,"3LT","FB7","YLL")</f>
        <v>TIN-CP-3LT-FB7-YLL</v>
      </c>
      <c r="B120" s="5" t="s">
        <v>108</v>
      </c>
      <c r="C120" s="10"/>
      <c r="D120" s="10"/>
      <c r="E120" s="10" t="s">
        <v>373</v>
      </c>
      <c r="F120" s="10"/>
      <c r="G120" s="10"/>
      <c r="H120" s="10"/>
      <c r="I120" s="10"/>
    </row>
    <row r="121" spans="1:9">
      <c r="A121" s="10" t="str">
        <f>_xlfn.TEXTJOIN("-",TRUE,Hoja2!A122:H122,"3LT","FB7","BLC")</f>
        <v>TIN-CP-3LT-FB7-BLC</v>
      </c>
      <c r="B121" s="5" t="s">
        <v>109</v>
      </c>
      <c r="C121" s="10"/>
      <c r="D121" s="10"/>
      <c r="E121" s="10" t="s">
        <v>373</v>
      </c>
      <c r="F121" s="10"/>
      <c r="G121" s="10"/>
      <c r="H121" s="10"/>
      <c r="I121" s="10"/>
    </row>
    <row r="122" spans="1:9">
      <c r="A122" s="10" t="str">
        <f>_xlfn.TEXTJOIN("-",TRUE,Hoja2!A123:H123,"3LT","FB7","LCYN")</f>
        <v>TIN-CP-3LT-FB7-LCYN</v>
      </c>
      <c r="B122" s="5" t="s">
        <v>110</v>
      </c>
      <c r="C122" s="10"/>
      <c r="D122" s="10"/>
      <c r="E122" s="10" t="s">
        <v>373</v>
      </c>
      <c r="F122" s="10"/>
      <c r="G122" s="10"/>
      <c r="H122" s="10"/>
      <c r="I122" s="10"/>
    </row>
    <row r="123" spans="1:9">
      <c r="A123" s="10" t="str">
        <f>_xlfn.TEXTJOIN("-",TRUE,Hoja2!A124:H124,"3LT","FB7","LMGN")</f>
        <v>TIN-CP-3LT-FB7-LMGN</v>
      </c>
      <c r="B123" s="5" t="s">
        <v>111</v>
      </c>
      <c r="C123" s="10"/>
      <c r="D123" s="10"/>
      <c r="E123" s="10" t="s">
        <v>373</v>
      </c>
      <c r="F123" s="10"/>
      <c r="G123" s="10"/>
      <c r="H123" s="10"/>
      <c r="I123" s="10"/>
    </row>
    <row r="124" spans="1:9">
      <c r="A124" s="10" t="str">
        <f>_xlfn.TEXTJOIN("-",TRUE,Hoja2!A125:H125,"775ML","CYN")</f>
        <v>TIN-LX3-775ML-CYN</v>
      </c>
      <c r="B124" s="5" t="s">
        <v>112</v>
      </c>
      <c r="C124" s="10"/>
      <c r="D124" s="10"/>
      <c r="E124" s="10" t="s">
        <v>375</v>
      </c>
      <c r="F124" s="10"/>
      <c r="G124" s="10"/>
      <c r="H124" s="10"/>
      <c r="I124" s="10"/>
    </row>
    <row r="125" spans="1:9">
      <c r="A125" s="10" t="str">
        <f>_xlfn.TEXTJOIN("-",TRUE,Hoja2!A126:H126,"775ML","MNG")</f>
        <v>TIN-LX3-775ML-MNG</v>
      </c>
      <c r="B125" s="5" t="s">
        <v>113</v>
      </c>
      <c r="C125" s="10"/>
      <c r="D125" s="10"/>
      <c r="E125" s="10" t="s">
        <v>375</v>
      </c>
      <c r="F125" s="10"/>
      <c r="G125" s="10"/>
      <c r="H125" s="10"/>
      <c r="I125" s="10"/>
    </row>
    <row r="126" spans="1:9">
      <c r="A126" s="10" t="str">
        <f>_xlfn.TEXTJOIN("-",TRUE,Hoja2!A127:H127,"775ML","TLL")</f>
        <v>TIN-LX3-775ML-TLL</v>
      </c>
      <c r="B126" s="5" t="s">
        <v>114</v>
      </c>
      <c r="C126" s="10"/>
      <c r="D126" s="10"/>
      <c r="E126" s="10" t="s">
        <v>375</v>
      </c>
      <c r="F126" s="10"/>
      <c r="G126" s="10"/>
      <c r="H126" s="10"/>
      <c r="I126" s="10"/>
    </row>
    <row r="127" spans="1:9">
      <c r="A127" s="10" t="str">
        <f>_xlfn.TEXTJOIN("-",TRUE,Hoja2!A128:H128,"775ML","BLC")</f>
        <v>TIN-LX3-775ML-BLC</v>
      </c>
      <c r="B127" s="5" t="s">
        <v>115</v>
      </c>
      <c r="C127" s="10"/>
      <c r="D127" s="10"/>
      <c r="E127" s="10" t="s">
        <v>375</v>
      </c>
      <c r="F127" s="10"/>
      <c r="G127" s="10"/>
      <c r="H127" s="10"/>
      <c r="I127" s="10"/>
    </row>
    <row r="128" spans="1:9">
      <c r="A128" s="10" t="str">
        <f>_xlfn.TEXTJOIN("-",TRUE,Hoja2!A129:H129,"775ML","LCYN")</f>
        <v>TIN-LX3-775ML-LCYN</v>
      </c>
      <c r="B128" s="5" t="s">
        <v>116</v>
      </c>
      <c r="C128" s="10"/>
      <c r="D128" s="10"/>
      <c r="E128" s="10" t="s">
        <v>375</v>
      </c>
      <c r="F128" s="10"/>
      <c r="G128" s="10"/>
      <c r="H128" s="10"/>
      <c r="I128" s="10"/>
    </row>
    <row r="129" spans="1:9">
      <c r="A129" s="10" t="str">
        <f>_xlfn.TEXTJOIN("-",TRUE,Hoja2!A130:H130,"775ML","LMGN")</f>
        <v>TIN-LX3-775ML-LMGN</v>
      </c>
      <c r="B129" s="5" t="s">
        <v>117</v>
      </c>
      <c r="C129" s="10"/>
      <c r="D129" s="10"/>
      <c r="E129" s="10" t="s">
        <v>375</v>
      </c>
      <c r="F129" s="10"/>
      <c r="G129" s="10"/>
      <c r="H129" s="10"/>
      <c r="I129" s="10"/>
    </row>
    <row r="130" spans="1:9">
      <c r="A130" s="10" t="str">
        <f>_xlfn.TEXTJOIN("-",TRUE,Hoja2!A131:H131,"775ML","OPT")</f>
        <v>TIN-LX3-775ML-OPT</v>
      </c>
      <c r="B130" s="5" t="s">
        <v>118</v>
      </c>
      <c r="C130" s="10"/>
      <c r="D130" s="10"/>
      <c r="E130" s="10" t="s">
        <v>375</v>
      </c>
      <c r="F130" s="10"/>
      <c r="G130" s="10"/>
      <c r="H130" s="10"/>
      <c r="I130" s="10"/>
    </row>
    <row r="131" spans="1:9">
      <c r="A131" s="10" t="str">
        <f>_xlfn.TEXTJOIN("-",TRUE,Hoja2!A132:H132,"CAR","CYN")</f>
        <v>TIN-XER-CAR-CYN</v>
      </c>
      <c r="B131" s="5" t="s">
        <v>236</v>
      </c>
      <c r="C131" s="10"/>
      <c r="D131" s="10"/>
      <c r="E131" s="10" t="s">
        <v>376</v>
      </c>
      <c r="F131" s="10"/>
      <c r="G131" s="10"/>
      <c r="H131" s="10"/>
      <c r="I131" s="10"/>
    </row>
    <row r="132" spans="1:9">
      <c r="A132" s="10" t="str">
        <f>_xlfn.TEXTJOIN("-",TRUE,Hoja2!A133:H133,"CAR","MGN")</f>
        <v>TIN-XER-CAR-MGN</v>
      </c>
      <c r="B132" s="5" t="s">
        <v>237</v>
      </c>
      <c r="C132" s="10"/>
      <c r="D132" s="10"/>
      <c r="E132" s="10" t="s">
        <v>376</v>
      </c>
      <c r="F132" s="10"/>
      <c r="G132" s="10"/>
      <c r="H132" s="10"/>
      <c r="I132" s="10"/>
    </row>
    <row r="133" spans="1:9">
      <c r="A133" s="10" t="str">
        <f>_xlfn.TEXTJOIN("-",TRUE,Hoja2!A134:H134,"CAR","YLL")</f>
        <v>TIN-XER-CAR-YLL</v>
      </c>
      <c r="B133" s="5" t="s">
        <v>238</v>
      </c>
      <c r="C133" s="10"/>
      <c r="D133" s="10"/>
      <c r="E133" s="10" t="s">
        <v>376</v>
      </c>
      <c r="F133" s="10"/>
      <c r="G133" s="10"/>
      <c r="H133" s="10"/>
      <c r="I133" s="10"/>
    </row>
    <row r="134" spans="1:9">
      <c r="A134" s="10" t="str">
        <f>_xlfn.TEXTJOIN("-",TRUE,Hoja2!A135:H135,"CAR","BLC")</f>
        <v>TIN-XER-CAR-BLC</v>
      </c>
      <c r="B134" s="5" t="s">
        <v>239</v>
      </c>
      <c r="C134" s="10"/>
      <c r="D134" s="10"/>
      <c r="E134" s="10" t="s">
        <v>376</v>
      </c>
      <c r="F134" s="10"/>
      <c r="G134" s="10"/>
      <c r="H134" s="10"/>
      <c r="I134" s="10"/>
    </row>
    <row r="135" spans="1:9">
      <c r="A135" s="10" t="s">
        <v>295</v>
      </c>
      <c r="B135" s="12" t="s">
        <v>119</v>
      </c>
      <c r="C135" s="10"/>
      <c r="D135" s="10"/>
      <c r="E135" s="10" t="s">
        <v>379</v>
      </c>
      <c r="F135" s="10"/>
      <c r="G135" s="10"/>
      <c r="H135" s="10"/>
      <c r="I135" s="10"/>
    </row>
    <row r="136" spans="1:9">
      <c r="A136" s="10" t="s">
        <v>296</v>
      </c>
      <c r="B136" s="12" t="s">
        <v>120</v>
      </c>
      <c r="C136" s="10"/>
      <c r="D136" s="10"/>
      <c r="E136" s="10" t="s">
        <v>379</v>
      </c>
      <c r="F136" s="10"/>
      <c r="G136" s="10"/>
      <c r="H136" s="10"/>
      <c r="I136" s="10"/>
    </row>
    <row r="137" spans="1:9">
      <c r="A137" s="10" t="s">
        <v>297</v>
      </c>
      <c r="B137" s="12" t="s">
        <v>121</v>
      </c>
      <c r="C137" s="10"/>
      <c r="D137" s="10"/>
      <c r="E137" s="10" t="s">
        <v>379</v>
      </c>
      <c r="F137" s="10"/>
      <c r="G137" s="10"/>
      <c r="H137" s="10"/>
      <c r="I137" s="10"/>
    </row>
    <row r="138" spans="1:9">
      <c r="A138" s="10" t="str">
        <f>_xlfn.TEXTJOIN("-",TRUE,Hoja2!A139:H139,"CARD")</f>
        <v>VIN-COR-CARD</v>
      </c>
      <c r="B138" s="5" t="s">
        <v>122</v>
      </c>
      <c r="C138" s="13" t="s">
        <v>40</v>
      </c>
      <c r="D138" s="13" t="s">
        <v>29</v>
      </c>
      <c r="E138" s="13" t="s">
        <v>371</v>
      </c>
      <c r="F138" s="10"/>
      <c r="G138" s="10"/>
      <c r="H138" s="10"/>
      <c r="I138" s="10"/>
    </row>
    <row r="139" spans="1:9">
      <c r="A139" s="10" t="str">
        <f>_xlfn.TEXTJOIN("-",TRUE,Hoja2!A140:H140,"GLD")</f>
        <v>VIN-COR-GLD</v>
      </c>
      <c r="B139" s="5" t="s">
        <v>123</v>
      </c>
      <c r="C139" s="13" t="s">
        <v>40</v>
      </c>
      <c r="D139" s="13" t="s">
        <v>29</v>
      </c>
      <c r="E139" s="13" t="s">
        <v>371</v>
      </c>
      <c r="F139" s="10"/>
      <c r="G139" s="10"/>
      <c r="H139" s="10"/>
      <c r="I139" s="10"/>
    </row>
    <row r="140" spans="1:9">
      <c r="A140" s="10" t="str">
        <f>_xlfn.TEXTJOIN("-",TRUE,Hoja2!A141:H141)</f>
        <v>VIN-COR-BRI-BL</v>
      </c>
      <c r="B140" s="5" t="s">
        <v>124</v>
      </c>
      <c r="C140" s="13" t="s">
        <v>40</v>
      </c>
      <c r="D140" s="13" t="s">
        <v>29</v>
      </c>
      <c r="E140" s="13" t="s">
        <v>371</v>
      </c>
      <c r="F140" s="10"/>
      <c r="G140" s="10"/>
      <c r="H140" s="10"/>
      <c r="I140" s="10"/>
    </row>
    <row r="141" spans="1:9">
      <c r="A141" s="10" t="str">
        <f>_xlfn.TEXTJOIN("-",TRUE,Hoja2!A142:H142)</f>
        <v>VIN-COR-MAT-BL</v>
      </c>
      <c r="B141" s="5" t="s">
        <v>125</v>
      </c>
      <c r="C141" s="13" t="s">
        <v>40</v>
      </c>
      <c r="D141" s="13" t="s">
        <v>29</v>
      </c>
      <c r="E141" s="13" t="s">
        <v>371</v>
      </c>
      <c r="F141" s="10"/>
      <c r="G141" s="10"/>
      <c r="H141" s="10"/>
      <c r="I141" s="10"/>
    </row>
    <row r="142" spans="1:9">
      <c r="A142" s="10" t="str">
        <f>_xlfn.TEXTJOIN("-",TRUE,Hoja2!A143:H143,"RYBL")</f>
        <v>VIN-COR-RYBL</v>
      </c>
      <c r="B142" s="5" t="s">
        <v>126</v>
      </c>
      <c r="C142" s="13" t="s">
        <v>40</v>
      </c>
      <c r="D142" s="13" t="s">
        <v>29</v>
      </c>
      <c r="E142" s="13" t="s">
        <v>371</v>
      </c>
      <c r="F142" s="10"/>
      <c r="G142" s="10"/>
      <c r="H142" s="10"/>
      <c r="I142" s="10"/>
    </row>
    <row r="143" spans="1:9">
      <c r="A143" s="10" t="str">
        <f>_xlfn.TEXTJOIN("-",TRUE,Hoja2!A144:H144,"BRG")</f>
        <v>VIN-COR-BRG</v>
      </c>
      <c r="B143" s="5" t="s">
        <v>127</v>
      </c>
      <c r="C143" s="13" t="s">
        <v>40</v>
      </c>
      <c r="D143" s="13" t="s">
        <v>29</v>
      </c>
      <c r="E143" s="13" t="s">
        <v>371</v>
      </c>
      <c r="F143" s="10"/>
      <c r="G143" s="10"/>
      <c r="H143" s="10"/>
      <c r="I143" s="10"/>
    </row>
    <row r="144" spans="1:9">
      <c r="A144" s="10" t="str">
        <f>_xlfn.TEXTJOIN("-",TRUE,Hoja2!A145:H145,"ESM")</f>
        <v>VIN-COR-ESM</v>
      </c>
      <c r="B144" s="5" t="s">
        <v>128</v>
      </c>
      <c r="C144" s="13" t="s">
        <v>40</v>
      </c>
      <c r="D144" s="13">
        <v>50</v>
      </c>
      <c r="E144" s="13" t="s">
        <v>371</v>
      </c>
      <c r="F144" s="10"/>
      <c r="G144" s="10"/>
      <c r="H144" s="10"/>
      <c r="I144" s="10"/>
    </row>
    <row r="145" spans="1:9">
      <c r="A145" s="10" t="str">
        <f>_xlfn.TEXTJOIN("-",TRUE,Hoja2!A146:H146,"DRK","GRY")</f>
        <v>VIN-COR-DRK-GRY</v>
      </c>
      <c r="B145" s="5" t="s">
        <v>129</v>
      </c>
      <c r="C145" s="13" t="s">
        <v>40</v>
      </c>
      <c r="D145" s="13" t="s">
        <v>29</v>
      </c>
      <c r="E145" s="13" t="s">
        <v>371</v>
      </c>
      <c r="F145" s="10"/>
      <c r="G145" s="10"/>
      <c r="H145" s="10"/>
      <c r="I145" s="10"/>
    </row>
    <row r="146" spans="1:9">
      <c r="A146" s="10" t="str">
        <f>_xlfn.TEXTJOIN("-",TRUE,Hoja2!A147:H147,"DRK","GRY")</f>
        <v>VIN-COR-MAT-DRK-GRY</v>
      </c>
      <c r="B146" s="5" t="s">
        <v>130</v>
      </c>
      <c r="C146" s="13" t="s">
        <v>40</v>
      </c>
      <c r="D146" s="13">
        <v>50</v>
      </c>
      <c r="E146" s="13" t="s">
        <v>371</v>
      </c>
      <c r="F146" s="10"/>
      <c r="G146" s="10"/>
      <c r="H146" s="10"/>
      <c r="I146" s="10"/>
    </row>
    <row r="147" spans="1:9">
      <c r="A147" s="10" t="str">
        <f>_xlfn.TEXTJOIN("-",TRUE,Hoja2!A148:H148,"FTL")</f>
        <v>VIN-COR-FTL</v>
      </c>
      <c r="B147" s="5" t="s">
        <v>131</v>
      </c>
      <c r="C147" s="13" t="s">
        <v>40</v>
      </c>
      <c r="D147" s="13">
        <v>50</v>
      </c>
      <c r="E147" s="13" t="s">
        <v>371</v>
      </c>
      <c r="F147" s="10"/>
      <c r="G147" s="10"/>
      <c r="H147" s="10"/>
      <c r="I147" s="10"/>
    </row>
    <row r="148" spans="1:9">
      <c r="A148" s="10" t="str">
        <f>_xlfn.TEXTJOIN("-",TRUE,Hoja2!A149:H149)</f>
        <v>VIN-COR-MAT-NG</v>
      </c>
      <c r="B148" s="5" t="s">
        <v>132</v>
      </c>
      <c r="C148" s="13" t="s">
        <v>40</v>
      </c>
      <c r="D148" s="13" t="s">
        <v>29</v>
      </c>
      <c r="E148" s="13" t="s">
        <v>371</v>
      </c>
      <c r="F148" s="10"/>
      <c r="G148" s="10"/>
      <c r="H148" s="10"/>
      <c r="I148" s="10"/>
    </row>
    <row r="149" spans="1:9">
      <c r="A149" s="10" t="str">
        <f>_xlfn.TEXTJOIN("-",TRUE,Hoja2!A150:H150)</f>
        <v>VIN-COR-BRI-NG</v>
      </c>
      <c r="B149" s="5" t="s">
        <v>133</v>
      </c>
      <c r="C149" s="13" t="s">
        <v>40</v>
      </c>
      <c r="D149" s="13" t="s">
        <v>29</v>
      </c>
      <c r="E149" s="13" t="s">
        <v>371</v>
      </c>
      <c r="F149" s="10"/>
      <c r="G149" s="10"/>
      <c r="H149" s="10"/>
      <c r="I149" s="10"/>
    </row>
    <row r="150" spans="1:9">
      <c r="A150" s="10" t="str">
        <f>_xlfn.TEXTJOIN("-",TRUE,Hoja2!A151:H151)</f>
        <v>VIN-COR-CEP-PL</v>
      </c>
      <c r="B150" s="5" t="s">
        <v>134</v>
      </c>
      <c r="C150" s="13" t="s">
        <v>40</v>
      </c>
      <c r="D150" s="13">
        <v>10</v>
      </c>
      <c r="E150" s="13" t="s">
        <v>371</v>
      </c>
      <c r="F150" s="10"/>
      <c r="G150" s="10"/>
      <c r="H150" s="10"/>
      <c r="I150" s="10"/>
    </row>
    <row r="151" spans="1:9">
      <c r="A151" s="10" t="str">
        <f>_xlfn.TEXTJOIN("-",TRUE,Hoja2!A152:H152)</f>
        <v>VIN-COR-ESP-OR</v>
      </c>
      <c r="B151" s="5" t="s">
        <v>135</v>
      </c>
      <c r="C151" s="13" t="s">
        <v>12</v>
      </c>
      <c r="D151" s="13">
        <v>5</v>
      </c>
      <c r="E151" s="13" t="s">
        <v>371</v>
      </c>
      <c r="F151" s="10"/>
      <c r="G151" s="10"/>
      <c r="H151" s="10"/>
      <c r="I151" s="10"/>
    </row>
    <row r="152" spans="1:9">
      <c r="A152" s="10" t="str">
        <f>_xlfn.TEXTJOIN("-",TRUE,Hoja2!A153:H153,"MDM","GRY")</f>
        <v>VIN-COR-MDM-GRY</v>
      </c>
      <c r="B152" s="5" t="s">
        <v>136</v>
      </c>
      <c r="C152" s="13" t="s">
        <v>40</v>
      </c>
      <c r="D152" s="13" t="s">
        <v>29</v>
      </c>
      <c r="E152" s="13" t="s">
        <v>371</v>
      </c>
      <c r="F152" s="10"/>
      <c r="G152" s="10"/>
      <c r="H152" s="10"/>
      <c r="I152" s="10"/>
    </row>
    <row r="153" spans="1:9">
      <c r="A153" s="10" t="str">
        <f>_xlfn.TEXTJOIN("-",TRUE,Hoja2!A154:H154)</f>
        <v>VIN-COR-RJ-TL</v>
      </c>
      <c r="B153" s="5" t="s">
        <v>137</v>
      </c>
      <c r="C153" s="13" t="s">
        <v>40</v>
      </c>
      <c r="D153" s="13">
        <v>50</v>
      </c>
      <c r="E153" s="13" t="s">
        <v>371</v>
      </c>
      <c r="F153" s="10"/>
      <c r="G153" s="10"/>
      <c r="H153" s="10"/>
      <c r="I153" s="10"/>
    </row>
    <row r="154" spans="1:9">
      <c r="A154" s="10" t="str">
        <f>_xlfn.TEXTJOIN("-",TRUE,Hoja2!A155:H155,"TMT","RD","LG")</f>
        <v>VIN-COR-TMT-RD-LG</v>
      </c>
      <c r="B154" s="5" t="s">
        <v>138</v>
      </c>
      <c r="C154" s="13" t="s">
        <v>40</v>
      </c>
      <c r="D154" s="13">
        <v>50</v>
      </c>
      <c r="E154" s="13" t="s">
        <v>371</v>
      </c>
      <c r="F154" s="10"/>
      <c r="G154" s="10"/>
      <c r="H154" s="10"/>
      <c r="I154" s="10"/>
    </row>
    <row r="155" spans="1:9">
      <c r="A155" s="10" t="str">
        <f>_xlfn.TEXTJOIN("-",TRUE,Hoja2!A156:H156,"LG","FER")</f>
        <v>VIN-COR-AZ-TL-LG-FER</v>
      </c>
      <c r="B155" s="5" t="s">
        <v>139</v>
      </c>
      <c r="C155" s="13" t="s">
        <v>40</v>
      </c>
      <c r="D155" s="13">
        <v>50</v>
      </c>
      <c r="E155" s="13" t="s">
        <v>371</v>
      </c>
      <c r="F155" s="10"/>
      <c r="G155" s="10"/>
      <c r="H155" s="10"/>
      <c r="I155" s="10"/>
    </row>
    <row r="156" spans="1:9">
      <c r="A156" s="10" t="str">
        <f>_xlfn.TEXTJOIN("-",TRUE,Hoja2!A157:H157,"PMX")</f>
        <v>VIN-COR-VR-PMX</v>
      </c>
      <c r="B156" s="5" t="s">
        <v>140</v>
      </c>
      <c r="C156" s="13" t="s">
        <v>40</v>
      </c>
      <c r="D156" s="13">
        <v>50</v>
      </c>
      <c r="E156" s="13" t="s">
        <v>371</v>
      </c>
      <c r="F156" s="10"/>
      <c r="G156" s="10"/>
      <c r="H156" s="10"/>
      <c r="I156" s="10"/>
    </row>
    <row r="157" spans="1:9">
      <c r="A157" s="10" t="str">
        <f>_xlfn.TEXTJOIN("-",TRUE,Hoja2!A158:H158,"OLBL")</f>
        <v>VIN-COR-OLBL</v>
      </c>
      <c r="B157" s="5" t="s">
        <v>141</v>
      </c>
      <c r="C157" s="13" t="s">
        <v>40</v>
      </c>
      <c r="D157" s="13" t="s">
        <v>29</v>
      </c>
      <c r="E157" s="13" t="s">
        <v>371</v>
      </c>
      <c r="F157" s="10"/>
      <c r="G157" s="10"/>
      <c r="H157" s="10"/>
      <c r="I157" s="10"/>
    </row>
    <row r="158" spans="1:9">
      <c r="A158" s="10" t="str">
        <f>_xlfn.TEXTJOIN("-",TRUE,Hoja2!A159:H159,"SL")</f>
        <v>VIN-COR-SL</v>
      </c>
      <c r="B158" s="5" t="s">
        <v>142</v>
      </c>
      <c r="C158" s="13" t="s">
        <v>40</v>
      </c>
      <c r="D158" s="13" t="s">
        <v>29</v>
      </c>
      <c r="E158" s="13" t="s">
        <v>371</v>
      </c>
      <c r="F158" s="10"/>
      <c r="G158" s="10"/>
      <c r="H158" s="10"/>
      <c r="I158" s="10"/>
    </row>
    <row r="159" spans="1:9">
      <c r="A159" s="10" t="str">
        <f>_xlfn.TEXTJOIN("-",TRUE,Hoja2!A160:H160,"MJBL")</f>
        <v>VIN-COR-MJBL</v>
      </c>
      <c r="B159" s="5" t="s">
        <v>143</v>
      </c>
      <c r="C159" s="13" t="s">
        <v>40</v>
      </c>
      <c r="D159" s="13" t="s">
        <v>29</v>
      </c>
      <c r="E159" s="13" t="s">
        <v>371</v>
      </c>
      <c r="F159" s="10"/>
      <c r="G159" s="10"/>
      <c r="H159" s="10"/>
      <c r="I159" s="10"/>
    </row>
    <row r="160" spans="1:9">
      <c r="A160" s="10" t="str">
        <f>_xlfn.TEXTJOIN("-",TRUE,Hoja2!A161:H161,"ORRS")</f>
        <v>VIN-COR-OR-ORRS</v>
      </c>
      <c r="B160" s="5" t="s">
        <v>144</v>
      </c>
      <c r="C160" s="13" t="s">
        <v>63</v>
      </c>
      <c r="D160" s="13">
        <v>50</v>
      </c>
      <c r="E160" s="13" t="s">
        <v>371</v>
      </c>
      <c r="F160" s="10"/>
      <c r="G160" s="10"/>
      <c r="H160" s="10"/>
      <c r="I160" s="10"/>
    </row>
    <row r="161" spans="1:9">
      <c r="A161" s="10" t="str">
        <f>_xlfn.TEXTJOIN("-",TRUE,Hoja2!A162:H162)</f>
        <v>VIN-COR-NR-TL</v>
      </c>
      <c r="B161" s="5" t="s">
        <v>145</v>
      </c>
      <c r="C161" s="13" t="s">
        <v>40</v>
      </c>
      <c r="D161" s="13">
        <v>50</v>
      </c>
      <c r="E161" s="13" t="s">
        <v>371</v>
      </c>
      <c r="F161" s="10"/>
      <c r="G161" s="10"/>
      <c r="H161" s="10"/>
      <c r="I161" s="10"/>
    </row>
    <row r="162" spans="1:9">
      <c r="A162" s="10" t="str">
        <f>_xlfn.TEXTJOIN("-",TRUE,Hoja2!A163:H163,"BLOR")</f>
        <v>VIN-COR-BLOR</v>
      </c>
      <c r="B162" s="5" t="s">
        <v>146</v>
      </c>
      <c r="C162" s="13" t="s">
        <v>40</v>
      </c>
      <c r="D162" s="13" t="s">
        <v>29</v>
      </c>
      <c r="E162" s="13" t="s">
        <v>371</v>
      </c>
      <c r="F162" s="10"/>
      <c r="G162" s="10"/>
      <c r="H162" s="10"/>
      <c r="I162" s="10"/>
    </row>
    <row r="163" spans="1:9">
      <c r="A163" s="10" t="str">
        <f>_xlfn.TEXTJOIN("-",TRUE,Hoja2!A164:H164,"BRO")</f>
        <v>VIN-COR-BRO</v>
      </c>
      <c r="B163" s="5" t="s">
        <v>147</v>
      </c>
      <c r="C163" s="13" t="s">
        <v>40</v>
      </c>
      <c r="D163" s="13" t="s">
        <v>29</v>
      </c>
      <c r="E163" s="13" t="s">
        <v>371</v>
      </c>
      <c r="F163" s="10"/>
      <c r="G163" s="10"/>
      <c r="H163" s="10"/>
      <c r="I163" s="10"/>
    </row>
    <row r="164" spans="1:9">
      <c r="A164" s="10" t="str">
        <f>_xlfn.TEXTJOIN("-",TRUE,Hoja2!A165:H165,"GR")</f>
        <v>VIN-COR-GR</v>
      </c>
      <c r="B164" s="5" t="s">
        <v>148</v>
      </c>
      <c r="C164" s="13" t="s">
        <v>40</v>
      </c>
      <c r="D164" s="13" t="s">
        <v>29</v>
      </c>
      <c r="E164" s="13" t="s">
        <v>371</v>
      </c>
      <c r="F164" s="10"/>
      <c r="G164" s="10"/>
      <c r="H164" s="10"/>
      <c r="I164" s="10"/>
    </row>
    <row r="165" spans="1:9">
      <c r="A165" s="10" t="str">
        <f>_xlfn.TEXTJOIN("-",TRUE,Hoja2!A166:H166,1)</f>
        <v>ACR-AZ-3MM-1</v>
      </c>
      <c r="B165" s="4" t="s">
        <v>149</v>
      </c>
      <c r="C165" s="14" t="s">
        <v>40</v>
      </c>
      <c r="D165" s="14" t="s">
        <v>83</v>
      </c>
      <c r="E165" s="14" t="s">
        <v>377</v>
      </c>
      <c r="F165" s="10"/>
      <c r="G165" s="10"/>
      <c r="H165" s="10"/>
      <c r="I165" s="10"/>
    </row>
    <row r="166" spans="1:9">
      <c r="A166" s="10" t="str">
        <f>_xlfn.TEXTJOIN("-",TRUE,Hoja2!A167:H167,2)</f>
        <v>ACR-AZ-3MM-2</v>
      </c>
      <c r="B166" s="4" t="s">
        <v>149</v>
      </c>
      <c r="C166" s="14" t="s">
        <v>40</v>
      </c>
      <c r="D166" s="14" t="s">
        <v>65</v>
      </c>
      <c r="E166" s="14" t="s">
        <v>377</v>
      </c>
      <c r="F166" s="10"/>
      <c r="G166" s="10"/>
      <c r="H166" s="10"/>
      <c r="I166" s="10"/>
    </row>
    <row r="167" spans="1:9">
      <c r="A167" s="10" t="str">
        <f>_xlfn.TEXTJOIN("-",TRUE,Hoja2!A168:H168)</f>
        <v>ACR-BL-3MM</v>
      </c>
      <c r="B167" s="4" t="s">
        <v>151</v>
      </c>
      <c r="C167" s="14" t="s">
        <v>40</v>
      </c>
      <c r="D167" s="14" t="s">
        <v>65</v>
      </c>
      <c r="E167" s="14" t="s">
        <v>377</v>
      </c>
      <c r="F167" s="10"/>
      <c r="G167" s="10"/>
      <c r="H167" s="10"/>
      <c r="I167" s="10"/>
    </row>
    <row r="168" spans="1:9">
      <c r="A168" s="10" t="str">
        <f>_xlfn.TEXTJOIN("-",TRUE,Hoja2!A169:H169)</f>
        <v>ACR-BL-5MM</v>
      </c>
      <c r="B168" s="4" t="s">
        <v>152</v>
      </c>
      <c r="C168" s="14" t="s">
        <v>40</v>
      </c>
      <c r="D168" s="14" t="s">
        <v>65</v>
      </c>
      <c r="E168" s="14" t="s">
        <v>377</v>
      </c>
      <c r="F168" s="10"/>
      <c r="G168" s="10"/>
      <c r="H168" s="10"/>
      <c r="I168" s="10"/>
    </row>
    <row r="169" spans="1:9">
      <c r="A169" s="10" t="str">
        <f>_xlfn.TEXTJOIN("-",TRUE,Hoja2!A170:H170)</f>
        <v>ACR-CR-6MM</v>
      </c>
      <c r="B169" s="4" t="s">
        <v>153</v>
      </c>
      <c r="C169" s="14" t="s">
        <v>40</v>
      </c>
      <c r="D169" s="14" t="s">
        <v>65</v>
      </c>
      <c r="E169" s="14" t="s">
        <v>377</v>
      </c>
      <c r="F169" s="10"/>
      <c r="G169" s="10"/>
      <c r="H169" s="10"/>
      <c r="I169" s="10"/>
    </row>
    <row r="170" spans="1:9">
      <c r="A170" s="10" t="str">
        <f>_xlfn.TEXTJOIN("-",TRUE,Hoja2!A171:H171)</f>
        <v>ACR-CR-3MM</v>
      </c>
      <c r="B170" s="4" t="s">
        <v>154</v>
      </c>
      <c r="C170" s="14" t="s">
        <v>40</v>
      </c>
      <c r="D170" s="14" t="s">
        <v>65</v>
      </c>
      <c r="E170" s="14" t="s">
        <v>377</v>
      </c>
      <c r="F170" s="10"/>
      <c r="G170" s="10"/>
      <c r="H170" s="10"/>
      <c r="I170" s="10"/>
    </row>
    <row r="171" spans="1:9">
      <c r="A171" s="10" t="str">
        <f>_xlfn.TEXTJOIN("-",TRUE,Hoja2!A172:H172)</f>
        <v>ACR-CR-4MM</v>
      </c>
      <c r="B171" s="4" t="s">
        <v>155</v>
      </c>
      <c r="C171" s="14" t="s">
        <v>40</v>
      </c>
      <c r="D171" s="14" t="s">
        <v>65</v>
      </c>
      <c r="E171" s="14" t="s">
        <v>377</v>
      </c>
      <c r="F171" s="10"/>
      <c r="G171" s="10"/>
      <c r="H171" s="10"/>
      <c r="I171" s="10"/>
    </row>
    <row r="172" spans="1:9">
      <c r="A172" s="10" t="str">
        <f>_xlfn.TEXTJOIN("-",TRUE,Hoja2!A173:H173)</f>
        <v>ACR-CR-5MM</v>
      </c>
      <c r="B172" s="4" t="s">
        <v>156</v>
      </c>
      <c r="C172" s="14" t="s">
        <v>40</v>
      </c>
      <c r="D172" s="14" t="s">
        <v>65</v>
      </c>
      <c r="E172" s="14" t="s">
        <v>377</v>
      </c>
      <c r="F172" s="10"/>
      <c r="G172" s="10"/>
      <c r="H172" s="10"/>
      <c r="I172" s="10"/>
    </row>
    <row r="173" spans="1:9">
      <c r="A173" s="10" t="str">
        <f>_xlfn.TEXTJOIN("-",TRUE,Hoja2!A174:H174)</f>
        <v>ACR-CR-2MM</v>
      </c>
      <c r="B173" s="4" t="s">
        <v>157</v>
      </c>
      <c r="C173" s="14" t="s">
        <v>40</v>
      </c>
      <c r="D173" s="14" t="s">
        <v>65</v>
      </c>
      <c r="E173" s="14" t="s">
        <v>377</v>
      </c>
      <c r="F173" s="10"/>
      <c r="G173" s="10"/>
      <c r="H173" s="10"/>
      <c r="I173" s="10"/>
    </row>
    <row r="174" spans="1:9">
      <c r="A174" s="10" t="str">
        <f>_xlfn.TEXTJOIN("-",TRUE,Hoja2!A175:H175)</f>
        <v>ACR-RJ-3MM</v>
      </c>
      <c r="B174" s="4" t="s">
        <v>158</v>
      </c>
      <c r="C174" s="14" t="s">
        <v>40</v>
      </c>
      <c r="D174" s="14" t="s">
        <v>65</v>
      </c>
      <c r="E174" s="14" t="s">
        <v>377</v>
      </c>
      <c r="F174" s="10"/>
      <c r="G174" s="10"/>
      <c r="H174" s="10"/>
      <c r="I174" s="10"/>
    </row>
    <row r="175" spans="1:9">
      <c r="A175" s="10" t="str">
        <f>_xlfn.TEXTJOIN("-",TRUE,Hoja2!A176:H176)</f>
        <v>ACR-NR-3MM</v>
      </c>
      <c r="B175" s="4" t="s">
        <v>150</v>
      </c>
      <c r="C175" s="14" t="s">
        <v>40</v>
      </c>
      <c r="D175" s="14" t="s">
        <v>65</v>
      </c>
      <c r="E175" s="14" t="s">
        <v>377</v>
      </c>
      <c r="F175" s="10"/>
      <c r="G175" s="10"/>
      <c r="H175" s="10"/>
      <c r="I175" s="10"/>
    </row>
    <row r="176" spans="1:9">
      <c r="A176" s="10" t="str">
        <f>_xlfn.TEXTJOIN("-",TRUE,Hoja2!A177:H177)</f>
        <v>ACR-RJ-5MM</v>
      </c>
      <c r="B176" s="4" t="s">
        <v>159</v>
      </c>
      <c r="C176" s="14" t="s">
        <v>83</v>
      </c>
      <c r="D176" s="14" t="s">
        <v>65</v>
      </c>
      <c r="E176" s="14" t="s">
        <v>377</v>
      </c>
      <c r="F176" s="10"/>
      <c r="G176" s="10"/>
      <c r="H176" s="10"/>
      <c r="I176" s="10"/>
    </row>
    <row r="177" spans="1:9">
      <c r="A177" s="10" t="str">
        <f>_xlfn.TEXTJOIN("-",TRUE,Hoja2!A178:H178,1)</f>
        <v>ACR-NG-3MM-1</v>
      </c>
      <c r="B177" s="4" t="s">
        <v>160</v>
      </c>
      <c r="C177" s="14" t="s">
        <v>40</v>
      </c>
      <c r="D177" s="14" t="s">
        <v>65</v>
      </c>
      <c r="E177" s="14" t="s">
        <v>377</v>
      </c>
      <c r="F177" s="10"/>
      <c r="G177" s="10"/>
      <c r="H177" s="10"/>
      <c r="I177" s="10"/>
    </row>
    <row r="178" spans="1:9">
      <c r="A178" s="10" t="str">
        <f>_xlfn.TEXTJOIN("-",TRUE,Hoja2!A179:H179,2)</f>
        <v>ACR-NG-3MM-2</v>
      </c>
      <c r="B178" s="4" t="s">
        <v>160</v>
      </c>
      <c r="C178" s="14" t="s">
        <v>83</v>
      </c>
      <c r="D178" s="14" t="s">
        <v>65</v>
      </c>
      <c r="E178" s="14" t="s">
        <v>377</v>
      </c>
      <c r="F178" s="10"/>
      <c r="G178" s="10"/>
      <c r="H178" s="10"/>
      <c r="I178" s="10"/>
    </row>
    <row r="179" spans="1:9">
      <c r="A179" s="10" t="str">
        <f>_xlfn.TEXTJOIN("-",TRUE,Hoja2!A180:H180,1)</f>
        <v>ACR-NG-6MM-1</v>
      </c>
      <c r="B179" s="4" t="s">
        <v>161</v>
      </c>
      <c r="C179" s="14" t="s">
        <v>40</v>
      </c>
      <c r="D179" s="14" t="s">
        <v>65</v>
      </c>
      <c r="E179" s="14" t="s">
        <v>377</v>
      </c>
      <c r="F179" s="10"/>
      <c r="G179" s="10"/>
      <c r="H179" s="10"/>
      <c r="I179" s="10"/>
    </row>
    <row r="180" spans="1:9">
      <c r="A180" s="10" t="str">
        <f>_xlfn.TEXTJOIN("-",TRUE,Hoja2!A181:H181,2)</f>
        <v>ACR-NG-6MM-2</v>
      </c>
      <c r="B180" s="4" t="s">
        <v>161</v>
      </c>
      <c r="C180" s="14" t="s">
        <v>83</v>
      </c>
      <c r="D180" s="14" t="s">
        <v>65</v>
      </c>
      <c r="E180" s="14" t="s">
        <v>377</v>
      </c>
      <c r="F180" s="10"/>
      <c r="G180" s="10"/>
      <c r="H180" s="10"/>
      <c r="I180" s="10"/>
    </row>
    <row r="181" spans="1:9">
      <c r="A181" s="10" t="str">
        <f>_xlfn.TEXTJOIN("-",TRUE,Hoja2!A182:H182)</f>
        <v>ACR-AM-3MM</v>
      </c>
      <c r="B181" s="4" t="s">
        <v>162</v>
      </c>
      <c r="C181" s="14" t="s">
        <v>65</v>
      </c>
      <c r="D181" s="14" t="s">
        <v>40</v>
      </c>
      <c r="E181" s="14" t="s">
        <v>377</v>
      </c>
      <c r="F181" s="10"/>
      <c r="G181" s="10"/>
      <c r="H181" s="10"/>
      <c r="I181" s="10"/>
    </row>
    <row r="182" spans="1:9">
      <c r="A182" s="10" t="str">
        <f>_xlfn.TEXTJOIN("-",TRUE,Hoja2!A183:H183,2)</f>
        <v>ACR-AM-3MM-TL-2</v>
      </c>
      <c r="B182" s="4" t="s">
        <v>163</v>
      </c>
      <c r="C182" s="14" t="s">
        <v>65</v>
      </c>
      <c r="D182" s="14" t="s">
        <v>40</v>
      </c>
      <c r="E182" s="14" t="s">
        <v>377</v>
      </c>
      <c r="F182" s="10"/>
      <c r="G182" s="10"/>
      <c r="H182" s="10"/>
      <c r="I182" s="10"/>
    </row>
    <row r="183" spans="1:9">
      <c r="A183" s="10" t="str">
        <f>_xlfn.TEXTJOIN("-",TRUE,Hoja2!A184:H184)</f>
        <v>ACR-VR-3MM</v>
      </c>
      <c r="B183" s="4" t="s">
        <v>164</v>
      </c>
      <c r="C183" s="14" t="s">
        <v>40</v>
      </c>
      <c r="D183" s="14" t="s">
        <v>65</v>
      </c>
      <c r="E183" s="14" t="s">
        <v>377</v>
      </c>
      <c r="F183" s="10"/>
      <c r="G183" s="10"/>
      <c r="H183" s="10"/>
      <c r="I183" s="10"/>
    </row>
    <row r="184" spans="1:9">
      <c r="A184" s="10" t="str">
        <f>_xlfn.TEXTJOIN("-",TRUE,Hoja2!A185:H185)</f>
        <v>PAN-ALU-COM-BRI-PL</v>
      </c>
      <c r="B184" s="19" t="s">
        <v>326</v>
      </c>
      <c r="C184" s="10">
        <v>5</v>
      </c>
      <c r="D184" s="10">
        <v>1.22</v>
      </c>
      <c r="E184" s="14" t="s">
        <v>377</v>
      </c>
      <c r="F184" s="10"/>
      <c r="G184" s="10"/>
      <c r="H184" s="10"/>
      <c r="I184" s="10"/>
    </row>
    <row r="185" spans="1:9">
      <c r="A185" s="10" t="str">
        <f>_xlfn.TEXTJOIN("-",TRUE,Hoja2!A186:H186,1)</f>
        <v>PAN-ALU-COM-BRI-RJ-1</v>
      </c>
      <c r="B185" s="19" t="s">
        <v>365</v>
      </c>
      <c r="C185" s="10">
        <v>1.22</v>
      </c>
      <c r="D185" s="10">
        <v>2.5</v>
      </c>
      <c r="E185" s="14" t="s">
        <v>377</v>
      </c>
      <c r="F185" s="10"/>
      <c r="G185" s="10"/>
      <c r="H185" s="10"/>
      <c r="I185" s="10"/>
    </row>
    <row r="186" spans="1:9">
      <c r="A186" s="10" t="str">
        <f>_xlfn.TEXTJOIN("-",TRUE,Hoja2!A187:H187,2)</f>
        <v>PAN-ALU-COM-BRI-RJ-2</v>
      </c>
      <c r="B186" s="19" t="s">
        <v>365</v>
      </c>
      <c r="C186" s="10">
        <v>1.22</v>
      </c>
      <c r="D186" s="10">
        <v>5</v>
      </c>
      <c r="E186" s="14" t="s">
        <v>377</v>
      </c>
      <c r="F186" s="10"/>
      <c r="G186" s="10"/>
      <c r="H186" s="10"/>
      <c r="I186" s="10"/>
    </row>
    <row r="187" spans="1:9">
      <c r="A187" s="10" t="str">
        <f>_xlfn.TEXTJOIN("-",TRUE,Hoja2!A188:H188)</f>
        <v>PAN-ALU-COM-CEP-OR</v>
      </c>
      <c r="B187" s="19" t="s">
        <v>327</v>
      </c>
      <c r="C187" s="10">
        <v>2.5</v>
      </c>
      <c r="D187" s="10">
        <v>1.22</v>
      </c>
      <c r="E187" s="14" t="s">
        <v>377</v>
      </c>
      <c r="F187" s="10"/>
      <c r="G187" s="10"/>
      <c r="H187" s="10"/>
      <c r="I187" s="10"/>
    </row>
    <row r="188" spans="1:9">
      <c r="A188" s="10" t="str">
        <f>_xlfn.TEXTJOIN("-",TRUE,Hoja2!A189:H189,1)</f>
        <v>PAN-ALU-COM-BRI-AZ-1</v>
      </c>
      <c r="B188" s="19" t="s">
        <v>328</v>
      </c>
      <c r="C188" s="10">
        <v>1.22</v>
      </c>
      <c r="D188" s="10">
        <v>2.2999999999999998</v>
      </c>
      <c r="E188" s="14" t="s">
        <v>377</v>
      </c>
      <c r="F188" s="10"/>
      <c r="G188" s="10"/>
      <c r="H188" s="10"/>
      <c r="I188" s="10"/>
    </row>
    <row r="189" spans="1:9">
      <c r="A189" s="10" t="str">
        <f>_xlfn.TEXTJOIN("-",TRUE,Hoja2!A190:H190,2)</f>
        <v>PAN-ALU-COM-BRI-AZ-2</v>
      </c>
      <c r="B189" s="19" t="s">
        <v>328</v>
      </c>
      <c r="C189" s="10">
        <v>1.26</v>
      </c>
      <c r="D189" s="10">
        <v>2.5</v>
      </c>
      <c r="E189" s="14" t="s">
        <v>377</v>
      </c>
      <c r="F189" s="10"/>
      <c r="G189" s="10"/>
      <c r="H189" s="10"/>
      <c r="I189" s="10"/>
    </row>
    <row r="190" spans="1:9">
      <c r="A190" s="10" t="str">
        <f>_xlfn.TEXTJOIN("-",TRUE,Hoja2!A191:H191,1)</f>
        <v>PAN-ALU-COM-NR-4MM-1</v>
      </c>
      <c r="B190" s="19" t="s">
        <v>329</v>
      </c>
      <c r="C190" s="10">
        <v>1.55</v>
      </c>
      <c r="D190" s="10">
        <v>5</v>
      </c>
      <c r="E190" s="14" t="s">
        <v>377</v>
      </c>
      <c r="F190" s="10"/>
      <c r="G190" s="10"/>
      <c r="H190" s="10"/>
      <c r="I190" s="10"/>
    </row>
    <row r="191" spans="1:9">
      <c r="A191" s="10" t="str">
        <f>_xlfn.TEXTJOIN("-",TRUE,Hoja2!A192:H192,2)</f>
        <v>PAN-ALU-COM-NR-4MM-2</v>
      </c>
      <c r="B191" s="19" t="s">
        <v>329</v>
      </c>
      <c r="C191" s="10">
        <v>1.22</v>
      </c>
      <c r="D191" s="10">
        <v>5</v>
      </c>
      <c r="E191" s="14" t="s">
        <v>377</v>
      </c>
      <c r="F191" s="10"/>
      <c r="G191" s="10"/>
      <c r="H191" s="10"/>
      <c r="I191" s="10"/>
    </row>
    <row r="192" spans="1:9">
      <c r="A192" s="10" t="str">
        <f>_xlfn.TEXTJOIN("-",TRUE,Hoja2!A193:H193)</f>
        <v>PAN-ALU-COM-AZ</v>
      </c>
      <c r="B192" s="19" t="s">
        <v>330</v>
      </c>
      <c r="C192" s="10">
        <v>1.6</v>
      </c>
      <c r="D192" s="10">
        <v>1.22</v>
      </c>
      <c r="E192" s="14" t="s">
        <v>377</v>
      </c>
      <c r="F192" s="10"/>
      <c r="G192" s="10"/>
      <c r="H192" s="10"/>
      <c r="I192" s="10"/>
    </row>
    <row r="193" spans="1:9">
      <c r="A193" s="10" t="str">
        <f>_xlfn.TEXTJOIN("-",TRUE,Hoja2!A194:H194,1)</f>
        <v>PAN-ALU-COM-RJ-4MM-1</v>
      </c>
      <c r="B193" s="19" t="s">
        <v>331</v>
      </c>
      <c r="C193" s="10">
        <v>1.22</v>
      </c>
      <c r="D193" s="10">
        <v>2</v>
      </c>
      <c r="E193" s="14" t="s">
        <v>377</v>
      </c>
      <c r="F193" s="10"/>
      <c r="G193" s="10"/>
      <c r="H193" s="10"/>
      <c r="I193" s="10"/>
    </row>
    <row r="194" spans="1:9">
      <c r="A194" s="10" t="str">
        <f>_xlfn.TEXTJOIN("-",TRUE,Hoja2!A195:H195,2)</f>
        <v>PAN-ALU-COM-RJ-4MM-2</v>
      </c>
      <c r="B194" s="19" t="s">
        <v>331</v>
      </c>
      <c r="C194" s="10">
        <v>1.22</v>
      </c>
      <c r="D194" s="10">
        <v>1.8</v>
      </c>
      <c r="E194" s="14" t="s">
        <v>377</v>
      </c>
      <c r="F194" s="10"/>
      <c r="G194" s="10"/>
      <c r="H194" s="10"/>
      <c r="I194" s="10"/>
    </row>
    <row r="195" spans="1:9">
      <c r="A195" s="10" t="str">
        <f>_xlfn.TEXTJOIN("-",TRUE,Hoja2!A196:H196)</f>
        <v>PAN-ALU-COM-BRI-PL-4MM</v>
      </c>
      <c r="B195" s="19" t="s">
        <v>332</v>
      </c>
      <c r="C195" s="10">
        <v>5</v>
      </c>
      <c r="D195" s="10">
        <v>1.22</v>
      </c>
      <c r="E195" s="14" t="s">
        <v>377</v>
      </c>
      <c r="F195" s="10"/>
      <c r="G195" s="10"/>
      <c r="H195" s="10"/>
      <c r="I195" s="10"/>
    </row>
    <row r="196" spans="1:9">
      <c r="A196" s="10" t="str">
        <f>_xlfn.TEXTJOIN("-",TRUE,Hoja2!A197:H197)</f>
        <v>PAN-ALU-COM-AZ-4MM</v>
      </c>
      <c r="B196" s="10" t="s">
        <v>333</v>
      </c>
      <c r="C196" s="10">
        <v>1.22</v>
      </c>
      <c r="D196" s="10">
        <v>5</v>
      </c>
      <c r="E196" s="14" t="s">
        <v>377</v>
      </c>
      <c r="F196" s="10"/>
      <c r="G196" s="10"/>
      <c r="H196" s="10"/>
      <c r="I196" s="10"/>
    </row>
    <row r="197" spans="1:9">
      <c r="A197" s="10" t="str">
        <f>_xlfn.TEXTJOIN("-",TRUE,Hoja2!A198:H198,1)</f>
        <v>PAN-ALU-COM-BRI-PL-3MM-1</v>
      </c>
      <c r="B197" s="10" t="s">
        <v>334</v>
      </c>
      <c r="C197" s="10">
        <v>2.44</v>
      </c>
      <c r="D197" s="10">
        <v>1.22</v>
      </c>
      <c r="E197" s="14" t="s">
        <v>377</v>
      </c>
      <c r="F197" s="10"/>
      <c r="G197" s="10"/>
      <c r="H197" s="10"/>
      <c r="I197" s="10"/>
    </row>
    <row r="198" spans="1:9">
      <c r="A198" s="10" t="str">
        <f>_xlfn.TEXTJOIN("-",TRUE,Hoja2!A199:H199,2)</f>
        <v>PAN-ALU-COM-BRI-PL-3MM-2</v>
      </c>
      <c r="B198" s="10" t="s">
        <v>334</v>
      </c>
      <c r="C198" s="10">
        <v>1</v>
      </c>
      <c r="D198" s="10">
        <v>2.44</v>
      </c>
      <c r="E198" s="14" t="s">
        <v>377</v>
      </c>
      <c r="F198" s="10"/>
      <c r="G198" s="10"/>
      <c r="H198" s="10"/>
      <c r="I198" s="10"/>
    </row>
    <row r="199" spans="1:9">
      <c r="A199" s="10" t="str">
        <f>_xlfn.TEXTJOIN("-",TRUE,Hoja2!A200:H200)</f>
        <v>PAN-ALU-COM-VR</v>
      </c>
      <c r="B199" s="10" t="s">
        <v>335</v>
      </c>
      <c r="C199" s="10">
        <v>1.7</v>
      </c>
      <c r="D199" s="10">
        <v>1.22</v>
      </c>
      <c r="E199" s="14" t="s">
        <v>377</v>
      </c>
      <c r="F199" s="10"/>
      <c r="G199" s="10"/>
      <c r="H199" s="10"/>
      <c r="I199" s="10"/>
    </row>
    <row r="200" spans="1:9">
      <c r="A200" s="10" t="str">
        <f>_xlfn.TEXTJOIN("-",TRUE,Hoja2!A201:H201,"NV-PMX-AP",1)</f>
        <v>PAN-ALU-COM-VR-NV-PMX-AP-1</v>
      </c>
      <c r="B200" s="10" t="s">
        <v>336</v>
      </c>
      <c r="C200" s="10">
        <v>5</v>
      </c>
      <c r="D200" s="10">
        <v>1.22</v>
      </c>
      <c r="E200" s="14" t="s">
        <v>377</v>
      </c>
      <c r="F200" s="10"/>
      <c r="G200" s="10"/>
      <c r="H200" s="10"/>
      <c r="I200" s="10"/>
    </row>
    <row r="201" spans="1:9">
      <c r="A201" s="10" t="str">
        <f>_xlfn.TEXTJOIN("-",TRUE,Hoja2!A202:H202,"NV-PMX-AP",2)</f>
        <v>PAN-ALU-COM-VR-NV-PMX-AP-2</v>
      </c>
      <c r="B201" s="10" t="s">
        <v>336</v>
      </c>
      <c r="C201" s="10">
        <v>3.4</v>
      </c>
      <c r="D201" s="10">
        <v>1.22</v>
      </c>
      <c r="E201" s="14" t="s">
        <v>377</v>
      </c>
      <c r="F201" s="10"/>
      <c r="G201" s="10"/>
      <c r="H201" s="10"/>
      <c r="I201" s="10"/>
    </row>
    <row r="202" spans="1:9">
      <c r="A202" s="10" t="str">
        <f>_xlfn.TEXTJOIN("-",TRUE,Hoja2!A203:H203,1)</f>
        <v>PAN-ALU-COM-NG-4MM-1</v>
      </c>
      <c r="B202" s="19" t="s">
        <v>337</v>
      </c>
      <c r="C202" s="10">
        <v>1.8</v>
      </c>
      <c r="D202" s="10">
        <v>1.22</v>
      </c>
      <c r="E202" s="14" t="s">
        <v>377</v>
      </c>
      <c r="F202" s="10"/>
      <c r="G202" s="10"/>
      <c r="H202" s="10"/>
      <c r="I202" s="10"/>
    </row>
    <row r="203" spans="1:9">
      <c r="A203" s="10" t="str">
        <f>_xlfn.TEXTJOIN("-",TRUE,Hoja2!A204:H204,2)</f>
        <v>PAN-ALU-COM-NG-4MM-2</v>
      </c>
      <c r="B203" s="19" t="s">
        <v>337</v>
      </c>
      <c r="C203" s="10">
        <v>2</v>
      </c>
      <c r="D203" s="10">
        <v>1.22</v>
      </c>
      <c r="E203" s="14" t="s">
        <v>377</v>
      </c>
      <c r="F203" s="10"/>
      <c r="G203" s="10"/>
      <c r="H203" s="10"/>
      <c r="I203" s="10"/>
    </row>
    <row r="204" spans="1:9">
      <c r="A204" s="10" t="str">
        <f>_xlfn.TEXTJOIN("-",TRUE,Hoja2!A205:H205,"AC")</f>
        <v>PAN-ALU-COM-VR-AC</v>
      </c>
      <c r="B204" s="19" t="s">
        <v>338</v>
      </c>
      <c r="C204" s="10">
        <v>5.5</v>
      </c>
      <c r="D204" s="10">
        <v>1.27</v>
      </c>
      <c r="E204" s="14" t="s">
        <v>377</v>
      </c>
      <c r="F204" s="10"/>
      <c r="G204" s="10"/>
      <c r="H204" s="10"/>
      <c r="I204" s="10"/>
    </row>
    <row r="205" spans="1:9">
      <c r="A205" s="10" t="str">
        <f>_xlfn.TEXTJOIN("-",TRUE,Hoja2!A206:H206)</f>
        <v>PAN-ALU-COM-BRI-NG-4MM</v>
      </c>
      <c r="B205" s="10" t="s">
        <v>339</v>
      </c>
      <c r="C205" s="10">
        <v>1.22</v>
      </c>
      <c r="D205" s="10">
        <v>0.9</v>
      </c>
      <c r="E205" s="14" t="s">
        <v>377</v>
      </c>
      <c r="F205" s="10"/>
      <c r="G205" s="10"/>
      <c r="H205" s="10"/>
      <c r="I205" s="10"/>
    </row>
    <row r="206" spans="1:9">
      <c r="A206" s="10" t="str">
        <f>_xlfn.TEXTJOIN("-",TRUE,Hoja2!A207:H207)</f>
        <v>PAN-ALU-COM-NG</v>
      </c>
      <c r="B206" s="10" t="s">
        <v>340</v>
      </c>
      <c r="C206" s="10">
        <v>2</v>
      </c>
      <c r="D206" s="10">
        <v>2.44</v>
      </c>
      <c r="E206" s="14" t="s">
        <v>377</v>
      </c>
      <c r="F206" s="10"/>
      <c r="G206" s="10"/>
      <c r="H206" s="10"/>
      <c r="I206" s="10"/>
    </row>
    <row r="207" spans="1:9">
      <c r="A207" s="10" t="str">
        <f>_xlfn.TEXTJOIN("-",TRUE,Hoja2!A208:H208)</f>
        <v>PAN-ALU-COM-MAT-NG-4MM</v>
      </c>
      <c r="B207" s="10" t="s">
        <v>341</v>
      </c>
      <c r="C207" s="10">
        <v>2.44</v>
      </c>
      <c r="D207" s="10">
        <v>1.22</v>
      </c>
      <c r="E207" s="14" t="s">
        <v>377</v>
      </c>
      <c r="F207" s="10"/>
      <c r="G207" s="10"/>
      <c r="H207" s="10"/>
      <c r="I207" s="10"/>
    </row>
    <row r="208" spans="1:9">
      <c r="A208" s="10" t="str">
        <f>_xlfn.TEXTJOIN("-",TRUE,Hoja2!A209:H209)</f>
        <v>PAN-ALU-COM-CEP-PL-3MM</v>
      </c>
      <c r="B208" s="19" t="s">
        <v>342</v>
      </c>
      <c r="C208" s="10">
        <v>2.44</v>
      </c>
      <c r="D208" s="10">
        <v>1.22</v>
      </c>
      <c r="E208" s="14" t="s">
        <v>377</v>
      </c>
      <c r="F208" s="10"/>
      <c r="G208" s="10"/>
      <c r="H208" s="10"/>
      <c r="I208" s="10"/>
    </row>
    <row r="209" spans="1:9">
      <c r="A209" s="10" t="str">
        <f>_xlfn.TEXTJOIN("-",TRUE,Hoja2!A210:H210)</f>
        <v>PAN-ALU-COM-CEP-PL-4MM</v>
      </c>
      <c r="B209" s="19" t="s">
        <v>343</v>
      </c>
      <c r="C209" s="10">
        <v>1.8</v>
      </c>
      <c r="D209" s="10">
        <v>1.22</v>
      </c>
      <c r="E209" s="14" t="s">
        <v>377</v>
      </c>
      <c r="F209" s="10"/>
      <c r="G209" s="10"/>
      <c r="H209" s="10"/>
      <c r="I209" s="10"/>
    </row>
    <row r="210" spans="1:9">
      <c r="A210" s="10" t="str">
        <f>_xlfn.TEXTJOIN("-",TRUE,Hoja2!A211:H211,1)</f>
        <v>PAN-ALU-COM-MAT-NG-3MM-1</v>
      </c>
      <c r="B210" s="19" t="s">
        <v>344</v>
      </c>
      <c r="C210" s="10">
        <v>2.4</v>
      </c>
      <c r="D210" s="10">
        <v>1.2</v>
      </c>
      <c r="E210" s="14" t="s">
        <v>377</v>
      </c>
      <c r="F210" s="10"/>
      <c r="G210" s="10"/>
      <c r="H210" s="10"/>
      <c r="I210" s="10"/>
    </row>
    <row r="211" spans="1:9">
      <c r="A211" s="10" t="str">
        <f>_xlfn.TEXTJOIN("-",TRUE,Hoja2!A212:H212,2)</f>
        <v>PAN-ALU-COM-MAT-NG-3MM-2</v>
      </c>
      <c r="B211" s="19" t="s">
        <v>344</v>
      </c>
      <c r="C211" s="10">
        <v>1.1000000000000001</v>
      </c>
      <c r="D211" s="10">
        <v>2.44</v>
      </c>
      <c r="E211" s="14" t="s">
        <v>377</v>
      </c>
      <c r="F211" s="10"/>
      <c r="G211" s="10"/>
      <c r="H211" s="10"/>
      <c r="I211" s="10"/>
    </row>
    <row r="212" spans="1:9">
      <c r="A212" s="10" t="str">
        <f>_xlfn.TEXTJOIN("-",TRUE,Hoja2!A213:H213)</f>
        <v>PAN-ALU-COM-MAT-BL-4MM</v>
      </c>
      <c r="B212" s="19" t="s">
        <v>345</v>
      </c>
      <c r="C212" s="10">
        <v>1.22</v>
      </c>
      <c r="D212" s="10">
        <v>2.5</v>
      </c>
      <c r="E212" s="14" t="s">
        <v>377</v>
      </c>
      <c r="F212" s="10"/>
      <c r="G212" s="10"/>
      <c r="H212" s="10"/>
      <c r="I212" s="10"/>
    </row>
    <row r="213" spans="1:9">
      <c r="A213" s="10" t="str">
        <f>_xlfn.TEXTJOIN("-",TRUE,Hoja2!A214:H214)</f>
        <v>PAN-ALU-COM-MAT-BL-3MM</v>
      </c>
      <c r="B213" s="19" t="s">
        <v>346</v>
      </c>
      <c r="C213" s="10">
        <v>2.4</v>
      </c>
      <c r="D213" s="10">
        <v>1.2</v>
      </c>
      <c r="E213" s="14" t="s">
        <v>377</v>
      </c>
      <c r="F213" s="10"/>
      <c r="G213" s="10"/>
      <c r="H213" s="10"/>
      <c r="I213" s="10"/>
    </row>
    <row r="214" spans="1:9">
      <c r="A214" s="10" t="str">
        <f>_xlfn.TEXTJOIN("-",TRUE,Hoja2!A215:H215)</f>
        <v>PVC-AM-3MM</v>
      </c>
      <c r="B214" s="19" t="s">
        <v>348</v>
      </c>
      <c r="C214" s="10">
        <v>1.22</v>
      </c>
      <c r="D214" s="18">
        <v>2.44</v>
      </c>
      <c r="E214" s="14" t="s">
        <v>377</v>
      </c>
      <c r="F214" s="10"/>
      <c r="G214" s="10"/>
      <c r="H214" s="10"/>
      <c r="I214" s="10"/>
    </row>
    <row r="215" spans="1:9">
      <c r="A215" s="10" t="str">
        <f>_xlfn.TEXTJOIN("-",TRUE,Hoja2!A216:H216)</f>
        <v>PVC-NR-3MM</v>
      </c>
      <c r="B215" s="19" t="s">
        <v>349</v>
      </c>
      <c r="C215" s="10">
        <v>1.22</v>
      </c>
      <c r="D215" s="18">
        <v>2.44</v>
      </c>
      <c r="E215" s="14" t="s">
        <v>377</v>
      </c>
      <c r="F215" s="10"/>
      <c r="G215" s="10"/>
      <c r="H215" s="10"/>
      <c r="I215" s="10"/>
    </row>
    <row r="216" spans="1:9">
      <c r="A216" s="10" t="str">
        <f>_xlfn.TEXTJOIN("-",TRUE,Hoja2!A217:H217)</f>
        <v>PVC-VR-3MM</v>
      </c>
      <c r="B216" s="19" t="s">
        <v>350</v>
      </c>
      <c r="C216" s="10">
        <v>1.22</v>
      </c>
      <c r="D216" s="18">
        <v>2.44</v>
      </c>
      <c r="E216" s="14" t="s">
        <v>377</v>
      </c>
      <c r="F216" s="10"/>
      <c r="G216" s="10"/>
      <c r="H216" s="10"/>
      <c r="I216" s="10"/>
    </row>
    <row r="217" spans="1:9">
      <c r="A217" s="10" t="str">
        <f>_xlfn.TEXTJOIN("-",TRUE,Hoja2!A218:H218)</f>
        <v>PVC-NG-3MM</v>
      </c>
      <c r="B217" s="19" t="s">
        <v>351</v>
      </c>
      <c r="C217" s="10">
        <v>1.22</v>
      </c>
      <c r="D217" s="18">
        <v>2.44</v>
      </c>
      <c r="E217" s="14" t="s">
        <v>377</v>
      </c>
      <c r="F217" s="10"/>
      <c r="G217" s="10"/>
      <c r="H217" s="10"/>
      <c r="I217" s="10"/>
    </row>
    <row r="218" spans="1:9">
      <c r="A218" s="10" t="s">
        <v>364</v>
      </c>
      <c r="B218" s="19" t="s">
        <v>352</v>
      </c>
      <c r="C218" s="10">
        <v>1.22</v>
      </c>
      <c r="D218" s="18">
        <v>2.44</v>
      </c>
      <c r="E218" s="14" t="s">
        <v>377</v>
      </c>
      <c r="F218" s="10"/>
      <c r="G218" s="10"/>
      <c r="H218" s="10"/>
      <c r="I218" s="10"/>
    </row>
    <row r="219" spans="1:9">
      <c r="A219" s="10" t="s">
        <v>363</v>
      </c>
      <c r="B219" s="19" t="s">
        <v>353</v>
      </c>
      <c r="C219" s="10">
        <v>1.22</v>
      </c>
      <c r="D219" s="18">
        <v>2.44</v>
      </c>
      <c r="E219" s="14" t="s">
        <v>377</v>
      </c>
      <c r="F219" s="10"/>
      <c r="G219" s="10"/>
      <c r="H219" s="10"/>
      <c r="I219" s="10"/>
    </row>
    <row r="220" spans="1:9">
      <c r="A220" s="10" t="str">
        <f>_xlfn.TEXTJOIN("-",TRUE,Hoja2!A221:H221)</f>
        <v>PVC-NG-6MM</v>
      </c>
      <c r="B220" s="10" t="s">
        <v>354</v>
      </c>
      <c r="C220" s="10">
        <v>1.22</v>
      </c>
      <c r="D220" s="18">
        <v>2.44</v>
      </c>
      <c r="E220" s="14" t="s">
        <v>377</v>
      </c>
      <c r="F220" s="10"/>
      <c r="G220" s="10"/>
      <c r="H220" s="10"/>
      <c r="I220" s="10"/>
    </row>
    <row r="221" spans="1:9">
      <c r="A221" s="10" t="s">
        <v>362</v>
      </c>
      <c r="B221" s="19" t="s">
        <v>355</v>
      </c>
      <c r="C221" s="10">
        <v>1.22</v>
      </c>
      <c r="D221" s="18">
        <v>2.44</v>
      </c>
      <c r="E221" s="14" t="s">
        <v>377</v>
      </c>
      <c r="F221" s="10"/>
      <c r="G221" s="10"/>
      <c r="H221" s="10"/>
      <c r="I221" s="10"/>
    </row>
    <row r="222" spans="1:9">
      <c r="A222" s="10" t="s">
        <v>361</v>
      </c>
      <c r="B222" s="19" t="s">
        <v>356</v>
      </c>
      <c r="C222" s="10">
        <v>1.22</v>
      </c>
      <c r="D222" s="18">
        <v>2.44</v>
      </c>
      <c r="E222" s="14" t="s">
        <v>377</v>
      </c>
      <c r="F222" s="10"/>
      <c r="G222" s="10"/>
      <c r="H222" s="10"/>
      <c r="I222" s="10"/>
    </row>
    <row r="223" spans="1:9">
      <c r="A223" s="10" t="s">
        <v>360</v>
      </c>
      <c r="B223" s="19" t="s">
        <v>347</v>
      </c>
      <c r="C223" s="10">
        <v>1.22</v>
      </c>
      <c r="D223" s="18">
        <v>2.44</v>
      </c>
      <c r="E223" s="14" t="s">
        <v>377</v>
      </c>
      <c r="F223" s="10"/>
      <c r="G223" s="10"/>
      <c r="H223" s="10"/>
      <c r="I223" s="10"/>
    </row>
    <row r="224" spans="1:9">
      <c r="A224" s="10" t="str">
        <f>_xlfn.TEXTJOIN("-",TRUE,Hoja2!A225:H225)</f>
        <v>PVC-MR-3MM</v>
      </c>
      <c r="B224" s="10" t="s">
        <v>357</v>
      </c>
      <c r="C224" s="10">
        <v>1.22</v>
      </c>
      <c r="D224" s="18">
        <v>2.44</v>
      </c>
      <c r="E224" s="14" t="s">
        <v>377</v>
      </c>
      <c r="F224" s="10"/>
      <c r="G224" s="10"/>
      <c r="H224" s="10"/>
      <c r="I224" s="10"/>
    </row>
    <row r="225" spans="1:9">
      <c r="A225" s="10" t="str">
        <f>_xlfn.TEXTJOIN("-",TRUE,Hoja2!A226:H226)</f>
        <v>PVC-AZ-3MM</v>
      </c>
      <c r="B225" s="10" t="s">
        <v>358</v>
      </c>
      <c r="C225" s="10">
        <v>1.22</v>
      </c>
      <c r="D225" s="18">
        <v>2.44</v>
      </c>
      <c r="E225" s="14" t="s">
        <v>377</v>
      </c>
      <c r="F225" s="10"/>
      <c r="G225" s="10"/>
      <c r="H225" s="10"/>
      <c r="I225" s="10"/>
    </row>
    <row r="226" spans="1:9">
      <c r="A226" s="10" t="str">
        <f>_xlfn.TEXTJOIN("-",TRUE,Hoja2!A227:H227)</f>
        <v>PVC-RJ-3MM</v>
      </c>
      <c r="B226" s="10" t="s">
        <v>359</v>
      </c>
      <c r="C226" s="10">
        <v>1.22</v>
      </c>
      <c r="D226" s="18">
        <v>2.44</v>
      </c>
      <c r="E226" s="14" t="s">
        <v>377</v>
      </c>
      <c r="F226" s="10"/>
      <c r="G226" s="10"/>
      <c r="H226" s="10"/>
      <c r="I226" s="10"/>
    </row>
    <row r="227" spans="1:9">
      <c r="A227" s="10" t="str">
        <f>_xlfn.TEXTJOIN("-",TRUE,Hoja2!A228:H228)</f>
        <v>LED-2D-BL-F-SY</v>
      </c>
      <c r="B227" s="5" t="s">
        <v>170</v>
      </c>
      <c r="C227" s="10"/>
      <c r="D227" s="10"/>
      <c r="E227" s="10" t="s">
        <v>378</v>
      </c>
      <c r="F227" s="10"/>
      <c r="G227" s="10"/>
      <c r="H227" s="10"/>
      <c r="I227" s="10"/>
    </row>
    <row r="228" spans="1:9">
      <c r="A228" s="10" t="str">
        <f>_xlfn.TEXTJOIN("-",TRUE,Hoja2!A229:H229,"3M")</f>
        <v>LED-OP-3D-RJ-SI-3M</v>
      </c>
      <c r="B228" s="5" t="s">
        <v>171</v>
      </c>
      <c r="C228" s="10"/>
      <c r="D228" s="10"/>
      <c r="E228" s="10" t="s">
        <v>378</v>
      </c>
      <c r="F228" s="10"/>
      <c r="G228" s="10"/>
      <c r="H228" s="10"/>
      <c r="I228" s="10"/>
    </row>
    <row r="229" spans="1:9">
      <c r="A229" s="10" t="str">
        <f>_xlfn.TEXTJOIN("-",TRUE,Hoja2!A230:H230)</f>
        <v>LED-1D-BL-F</v>
      </c>
      <c r="B229" s="5" t="s">
        <v>165</v>
      </c>
      <c r="C229" s="10"/>
      <c r="D229" s="10"/>
      <c r="E229" s="10" t="s">
        <v>378</v>
      </c>
      <c r="F229" s="10"/>
      <c r="G229" s="10"/>
      <c r="H229" s="10"/>
      <c r="I229" s="10"/>
    </row>
    <row r="230" spans="1:9">
      <c r="A230" s="10" t="str">
        <f>_xlfn.TEXTJOIN("-",TRUE,Hoja2!A231:H231)</f>
        <v>LED-MI-2D-BL-F-SI</v>
      </c>
      <c r="B230" s="5" t="s">
        <v>172</v>
      </c>
      <c r="C230" s="10"/>
      <c r="D230" s="10"/>
      <c r="E230" s="10" t="s">
        <v>378</v>
      </c>
      <c r="F230" s="10"/>
      <c r="G230" s="10"/>
      <c r="H230" s="10"/>
      <c r="I230" s="10"/>
    </row>
    <row r="231" spans="1:9">
      <c r="A231" s="10" t="str">
        <f>_xlfn.TEXTJOIN("-",TRUE,Hoja2!A232:H232)</f>
        <v>LED-3D-BL-C-SY</v>
      </c>
      <c r="B231" s="5" t="s">
        <v>173</v>
      </c>
      <c r="C231" s="10"/>
      <c r="D231" s="10"/>
      <c r="E231" s="10" t="s">
        <v>378</v>
      </c>
      <c r="F231" s="10"/>
      <c r="G231" s="10"/>
      <c r="H231" s="10"/>
      <c r="I231" s="10"/>
    </row>
    <row r="232" spans="1:9">
      <c r="A232" s="10" t="str">
        <f>_xlfn.TEXTJOIN("-",TRUE,Hoja2!A233:H233)</f>
        <v>LED-5050-2D</v>
      </c>
      <c r="B232" s="5" t="s">
        <v>166</v>
      </c>
      <c r="C232" s="10"/>
      <c r="D232" s="10"/>
      <c r="E232" s="10" t="s">
        <v>378</v>
      </c>
      <c r="F232" s="10"/>
      <c r="G232" s="10"/>
      <c r="H232" s="10"/>
      <c r="I232" s="10"/>
    </row>
    <row r="233" spans="1:9">
      <c r="A233" s="10" t="str">
        <f>_xlfn.TEXTJOIN("-",TRUE,Hoja2!A234:H234)</f>
        <v>LED-3D-BL-N-SY</v>
      </c>
      <c r="B233" s="5" t="s">
        <v>174</v>
      </c>
      <c r="C233" s="10"/>
      <c r="D233" s="10"/>
      <c r="E233" s="10" t="s">
        <v>378</v>
      </c>
      <c r="F233" s="10"/>
      <c r="G233" s="10"/>
      <c r="H233" s="10"/>
      <c r="I233" s="10"/>
    </row>
    <row r="234" spans="1:9">
      <c r="A234" s="10" t="str">
        <f>_xlfn.TEXTJOIN("-",TRUE,Hoja2!A235:H235,"CJL")</f>
        <v>LED-OP-1D-BL-CJL</v>
      </c>
      <c r="B234" s="5" t="s">
        <v>167</v>
      </c>
      <c r="C234" s="10"/>
      <c r="D234" s="10"/>
      <c r="E234" s="10" t="s">
        <v>378</v>
      </c>
      <c r="F234" s="10"/>
      <c r="G234" s="10"/>
      <c r="H234" s="10"/>
      <c r="I234" s="10"/>
    </row>
    <row r="235" spans="1:9">
      <c r="A235" s="10" t="str">
        <f>_xlfn.TEXTJOIN("-",TRUE,Hoja2!A236:H236)</f>
        <v>LED-3D-BL-F-SI</v>
      </c>
      <c r="B235" s="5" t="s">
        <v>175</v>
      </c>
      <c r="C235" s="10"/>
      <c r="D235" s="10"/>
      <c r="E235" s="10" t="s">
        <v>378</v>
      </c>
      <c r="F235" s="10"/>
      <c r="G235" s="10"/>
      <c r="H235" s="10"/>
      <c r="I235" s="10"/>
    </row>
    <row r="236" spans="1:9">
      <c r="A236" s="10" t="str">
        <f>_xlfn.TEXTJOIN("-",TRUE,Hoja2!A237:H237)</f>
        <v>LED-OP-3D-C-CO</v>
      </c>
      <c r="B236" s="5" t="s">
        <v>176</v>
      </c>
      <c r="C236" s="10"/>
      <c r="D236" s="10"/>
      <c r="E236" s="10" t="s">
        <v>378</v>
      </c>
      <c r="F236" s="10"/>
      <c r="G236" s="10"/>
      <c r="H236" s="10"/>
      <c r="I236" s="10"/>
    </row>
    <row r="237" spans="1:9">
      <c r="A237" s="10" t="str">
        <f>_xlfn.TEXTJOIN("-",TRUE,Hoja2!A238:H238)</f>
        <v>LED-OP-3D-F-CO</v>
      </c>
      <c r="B237" s="5" t="s">
        <v>177</v>
      </c>
      <c r="C237" s="10"/>
      <c r="D237" s="10"/>
      <c r="E237" s="10" t="s">
        <v>378</v>
      </c>
      <c r="F237" s="10"/>
      <c r="G237" s="10"/>
      <c r="H237" s="10"/>
      <c r="I237" s="10"/>
    </row>
    <row r="238" spans="1:9">
      <c r="A238" s="10" t="str">
        <f>_xlfn.TEXTJOIN("-",TRUE,Hoja2!A239:H239)</f>
        <v>LED-3D-BL-F-CO</v>
      </c>
      <c r="B238" s="5" t="s">
        <v>178</v>
      </c>
      <c r="C238" s="10"/>
      <c r="D238" s="10"/>
      <c r="E238" s="10" t="s">
        <v>378</v>
      </c>
      <c r="F238" s="10"/>
      <c r="G238" s="10"/>
      <c r="H238" s="10"/>
      <c r="I238" s="10"/>
    </row>
    <row r="239" spans="1:9">
      <c r="A239" s="10" t="str">
        <f>_xlfn.TEXTJOIN("-",TRUE,Hoja2!A240:H240)</f>
        <v>LED-3D-BL-C-CO</v>
      </c>
      <c r="B239" s="5" t="s">
        <v>179</v>
      </c>
      <c r="C239" s="10"/>
      <c r="D239" s="10"/>
      <c r="E239" s="10" t="s">
        <v>378</v>
      </c>
      <c r="F239" s="10"/>
      <c r="G239" s="10"/>
      <c r="H239" s="10"/>
      <c r="I239" s="10"/>
    </row>
    <row r="240" spans="1:9">
      <c r="A240" s="10" t="str">
        <f>_xlfn.TEXTJOIN("-",TRUE,Hoja2!A241:H241)</f>
        <v>LED-OP-3D-BL-F-RS</v>
      </c>
      <c r="B240" s="5" t="s">
        <v>180</v>
      </c>
      <c r="C240" s="10"/>
      <c r="D240" s="10"/>
      <c r="E240" s="10" t="s">
        <v>378</v>
      </c>
      <c r="F240" s="10"/>
      <c r="G240" s="10"/>
      <c r="H240" s="10"/>
      <c r="I240" s="10"/>
    </row>
    <row r="241" spans="1:9">
      <c r="A241" s="10" t="str">
        <f>_xlfn.TEXTJOIN("-",TRUE,Hoja2!A242:H242)</f>
        <v>LED-OP-3D-BL-F-VYG</v>
      </c>
      <c r="B241" s="5" t="s">
        <v>181</v>
      </c>
      <c r="C241" s="10"/>
      <c r="D241" s="10"/>
      <c r="E241" s="10" t="s">
        <v>378</v>
      </c>
      <c r="F241" s="10"/>
      <c r="G241" s="10"/>
      <c r="H241" s="10"/>
      <c r="I241" s="10"/>
    </row>
    <row r="242" spans="1:9">
      <c r="A242" s="20" t="str">
        <f>_xlfn.TEXTJOIN("-",TRUE,Hoja2!A243:H243)</f>
        <v>LED-MI-2D-BL-C-SI</v>
      </c>
      <c r="B242" s="5" t="s">
        <v>182</v>
      </c>
      <c r="C242" s="10"/>
      <c r="D242" s="10"/>
      <c r="E242" s="10" t="s">
        <v>378</v>
      </c>
      <c r="F242" s="10"/>
      <c r="G242" s="10"/>
      <c r="H242" s="10"/>
      <c r="I242" s="10"/>
    </row>
    <row r="243" spans="1:9">
      <c r="A243" s="10" t="str">
        <f>_xlfn.TEXTJOIN("-",TRUE,Hoja2!A244:H244)</f>
        <v>LED-3D-BL-C-SI</v>
      </c>
      <c r="B243" s="5" t="s">
        <v>183</v>
      </c>
      <c r="C243" s="10"/>
      <c r="D243" s="10"/>
      <c r="E243" s="10" t="s">
        <v>378</v>
      </c>
      <c r="F243" s="10"/>
      <c r="G243" s="10"/>
      <c r="H243" s="10"/>
      <c r="I243" s="10"/>
    </row>
    <row r="244" spans="1:9">
      <c r="A244" s="10" t="str">
        <f>_xlfn.TEXTJOIN("-",TRUE,Hoja2!A245:H245,"M602")</f>
        <v>LED-MI-2D-BL-F-M602</v>
      </c>
      <c r="B244" s="5" t="s">
        <v>184</v>
      </c>
      <c r="C244" s="10"/>
      <c r="D244" s="10"/>
      <c r="E244" s="10" t="s">
        <v>378</v>
      </c>
      <c r="F244" s="10"/>
      <c r="G244" s="10"/>
      <c r="H244" s="10"/>
      <c r="I244" s="10"/>
    </row>
    <row r="245" spans="1:9">
      <c r="A245" s="10" t="str">
        <f>_xlfn.TEXTJOIN("-",TRUE,Hoja2!A246:H246)</f>
        <v>LED-OP-3D-F-RO</v>
      </c>
      <c r="B245" s="5" t="s">
        <v>168</v>
      </c>
      <c r="C245" s="10"/>
      <c r="D245" s="10"/>
      <c r="E245" s="10" t="s">
        <v>378</v>
      </c>
      <c r="F245" s="10"/>
      <c r="G245" s="10"/>
      <c r="H245" s="10"/>
      <c r="I245" s="10"/>
    </row>
    <row r="246" spans="1:9">
      <c r="A246" s="10" t="str">
        <f>_xlfn.TEXTJOIN("-",TRUE,Hoja2!A247:H247)</f>
        <v>LED-NA-3D-F-RO</v>
      </c>
      <c r="B246" s="5" t="s">
        <v>185</v>
      </c>
      <c r="C246" s="10"/>
      <c r="D246" s="10"/>
      <c r="E246" s="10" t="s">
        <v>378</v>
      </c>
      <c r="F246" s="10"/>
      <c r="G246" s="10"/>
      <c r="H246" s="10"/>
      <c r="I246" s="10"/>
    </row>
    <row r="247" spans="1:9">
      <c r="A247" s="10" t="str">
        <f>_xlfn.TEXTJOIN("-",TRUE,Hoja2!A248:H248)</f>
        <v>LED-NA-3D-F-SY</v>
      </c>
      <c r="B247" s="5" t="s">
        <v>188</v>
      </c>
      <c r="C247" s="10"/>
      <c r="D247" s="10"/>
      <c r="E247" s="10" t="s">
        <v>378</v>
      </c>
      <c r="F247" s="10"/>
      <c r="G247" s="10"/>
      <c r="H247" s="10"/>
      <c r="I247" s="10"/>
    </row>
    <row r="248" spans="1:9">
      <c r="A248" s="10" t="str">
        <f>_xlfn.TEXTJOIN("-",TRUE,Hoja2!A249:H249)</f>
        <v>LED-5050-3D-F</v>
      </c>
      <c r="B248" s="5" t="s">
        <v>169</v>
      </c>
      <c r="C248" s="10"/>
      <c r="D248" s="10"/>
      <c r="E248" s="10" t="s">
        <v>378</v>
      </c>
      <c r="F248" s="10"/>
      <c r="G248" s="10"/>
      <c r="H248" s="10"/>
      <c r="I248" s="10"/>
    </row>
    <row r="249" spans="1:9">
      <c r="A249" s="10" t="str">
        <f>_xlfn.TEXTJOIN("-",TRUE,Hoja2!A250:H250)</f>
        <v>LED-OP-2D-RJ-SI</v>
      </c>
      <c r="B249" s="5" t="s">
        <v>186</v>
      </c>
      <c r="C249" s="10"/>
      <c r="D249" s="10"/>
      <c r="E249" s="10" t="s">
        <v>378</v>
      </c>
      <c r="F249" s="10"/>
      <c r="G249" s="10"/>
      <c r="H249" s="10"/>
      <c r="I249" s="10"/>
    </row>
    <row r="250" spans="1:9">
      <c r="A250" s="10" t="str">
        <f>_xlfn.TEXTJOIN("-",TRUE,Hoja2!A251:H251)</f>
        <v>LED-OP-2D-F-SI</v>
      </c>
      <c r="B250" s="5" t="s">
        <v>187</v>
      </c>
      <c r="C250" s="10"/>
      <c r="D250" s="10"/>
      <c r="E250" s="10" t="s">
        <v>378</v>
      </c>
      <c r="F250" s="10"/>
      <c r="G250" s="10"/>
      <c r="H250" s="10"/>
      <c r="I250" s="10"/>
    </row>
    <row r="251" spans="1:9">
      <c r="A251" s="10" t="s">
        <v>240</v>
      </c>
      <c r="B251" s="5" t="s">
        <v>189</v>
      </c>
      <c r="C251" s="10"/>
      <c r="D251" s="10"/>
      <c r="E251" s="10" t="s">
        <v>378</v>
      </c>
      <c r="F251" s="10"/>
      <c r="G251" s="10"/>
      <c r="H251" s="10"/>
      <c r="I251" s="10"/>
    </row>
    <row r="252" spans="1:9">
      <c r="A252" s="10" t="s">
        <v>241</v>
      </c>
      <c r="B252" s="5" t="s">
        <v>190</v>
      </c>
      <c r="C252" s="10"/>
      <c r="D252" s="10"/>
      <c r="E252" s="10" t="s">
        <v>378</v>
      </c>
      <c r="F252" s="10"/>
      <c r="G252" s="10"/>
      <c r="H252" s="10"/>
      <c r="I252" s="10"/>
    </row>
    <row r="253" spans="1:9">
      <c r="A253" s="10" t="s">
        <v>242</v>
      </c>
      <c r="B253" s="5" t="s">
        <v>191</v>
      </c>
      <c r="C253" s="10"/>
      <c r="D253" s="10"/>
      <c r="E253" s="10" t="s">
        <v>378</v>
      </c>
      <c r="F253" s="10"/>
      <c r="G253" s="10"/>
      <c r="H253" s="10"/>
      <c r="I253" s="10"/>
    </row>
    <row r="254" spans="1:9">
      <c r="A254" s="10" t="s">
        <v>243</v>
      </c>
      <c r="B254" s="5" t="s">
        <v>192</v>
      </c>
      <c r="C254" s="10"/>
      <c r="D254" s="10"/>
      <c r="E254" s="10" t="s">
        <v>378</v>
      </c>
      <c r="F254" s="10"/>
      <c r="G254" s="10"/>
      <c r="H254" s="10"/>
      <c r="I254" s="10"/>
    </row>
    <row r="255" spans="1:9">
      <c r="A255" s="10" t="s">
        <v>244</v>
      </c>
      <c r="B255" s="5" t="s">
        <v>193</v>
      </c>
      <c r="C255" s="10"/>
      <c r="D255" s="10"/>
      <c r="E255" s="10" t="s">
        <v>378</v>
      </c>
      <c r="F255" s="10"/>
      <c r="G255" s="10"/>
      <c r="H255" s="10"/>
      <c r="I255" s="10"/>
    </row>
    <row r="256" spans="1:9">
      <c r="A256" s="10" t="s">
        <v>245</v>
      </c>
      <c r="B256" s="5" t="s">
        <v>194</v>
      </c>
      <c r="C256" s="10"/>
      <c r="D256" s="10"/>
      <c r="E256" s="10" t="s">
        <v>378</v>
      </c>
      <c r="F256" s="10"/>
      <c r="G256" s="10"/>
      <c r="H256" s="10"/>
      <c r="I256" s="10"/>
    </row>
    <row r="257" spans="1:9">
      <c r="A257" s="10" t="s">
        <v>248</v>
      </c>
      <c r="B257" s="4" t="s">
        <v>195</v>
      </c>
      <c r="C257" s="10"/>
      <c r="D257" s="10"/>
      <c r="E257" s="10" t="s">
        <v>378</v>
      </c>
      <c r="F257" s="10"/>
      <c r="G257" s="10"/>
      <c r="H257" s="10"/>
      <c r="I257" s="10"/>
    </row>
    <row r="258" spans="1:9">
      <c r="A258" s="10" t="s">
        <v>247</v>
      </c>
      <c r="B258" s="4" t="s">
        <v>196</v>
      </c>
      <c r="C258" s="10"/>
      <c r="D258" s="10"/>
      <c r="E258" s="10" t="s">
        <v>378</v>
      </c>
      <c r="F258" s="10"/>
      <c r="G258" s="10"/>
      <c r="H258" s="10"/>
      <c r="I258" s="10"/>
    </row>
    <row r="259" spans="1:9">
      <c r="A259" s="10" t="s">
        <v>246</v>
      </c>
      <c r="B259" s="4" t="s">
        <v>197</v>
      </c>
      <c r="C259" s="10"/>
      <c r="D259" s="10"/>
      <c r="E259" s="10" t="s">
        <v>378</v>
      </c>
      <c r="F259" s="10"/>
      <c r="G259" s="10"/>
      <c r="H259" s="10"/>
      <c r="I259" s="10"/>
    </row>
    <row r="260" spans="1:9">
      <c r="A260" s="10" t="s">
        <v>267</v>
      </c>
      <c r="B260" s="4" t="s">
        <v>198</v>
      </c>
      <c r="C260" s="10"/>
      <c r="D260" s="10"/>
      <c r="E260" s="10" t="s">
        <v>378</v>
      </c>
      <c r="F260" s="10"/>
      <c r="G260" s="10"/>
      <c r="H260" s="10"/>
      <c r="I260" s="10"/>
    </row>
    <row r="261" spans="1:9">
      <c r="A261" s="10" t="s">
        <v>249</v>
      </c>
      <c r="B261" s="4" t="s">
        <v>204</v>
      </c>
      <c r="C261" s="10"/>
      <c r="D261" s="10"/>
      <c r="E261" s="10" t="s">
        <v>378</v>
      </c>
      <c r="F261" s="10"/>
      <c r="G261" s="10"/>
      <c r="H261" s="10"/>
      <c r="I261" s="10"/>
    </row>
    <row r="262" spans="1:9">
      <c r="A262" s="10" t="s">
        <v>250</v>
      </c>
      <c r="B262" s="4" t="s">
        <v>205</v>
      </c>
      <c r="C262" s="10"/>
      <c r="D262" s="10"/>
      <c r="E262" s="10" t="s">
        <v>378</v>
      </c>
      <c r="F262" s="10"/>
      <c r="G262" s="10"/>
      <c r="H262" s="10"/>
      <c r="I262" s="10"/>
    </row>
    <row r="263" spans="1:9">
      <c r="A263" s="10" t="s">
        <v>251</v>
      </c>
      <c r="B263" s="4" t="s">
        <v>206</v>
      </c>
      <c r="C263" s="10"/>
      <c r="D263" s="10"/>
      <c r="E263" s="10" t="s">
        <v>378</v>
      </c>
      <c r="F263" s="10"/>
      <c r="G263" s="10"/>
      <c r="H263" s="10"/>
      <c r="I263" s="10"/>
    </row>
    <row r="264" spans="1:9">
      <c r="A264" s="10" t="s">
        <v>269</v>
      </c>
      <c r="B264" s="4" t="s">
        <v>209</v>
      </c>
      <c r="C264" s="10"/>
      <c r="D264" s="10"/>
      <c r="E264" s="10" t="s">
        <v>378</v>
      </c>
      <c r="F264" s="10"/>
      <c r="G264" s="10"/>
      <c r="H264" s="10"/>
      <c r="I264" s="10"/>
    </row>
    <row r="265" spans="1:9">
      <c r="A265" s="10" t="s">
        <v>270</v>
      </c>
      <c r="B265" s="4" t="s">
        <v>208</v>
      </c>
      <c r="C265" s="10" t="s">
        <v>207</v>
      </c>
      <c r="D265" s="10">
        <v>50</v>
      </c>
      <c r="E265" s="10" t="s">
        <v>371</v>
      </c>
      <c r="F265" s="10"/>
      <c r="G265" s="10"/>
      <c r="H265" s="10"/>
      <c r="I265" s="10"/>
    </row>
    <row r="266" spans="1:9">
      <c r="A266" s="10" t="s">
        <v>271</v>
      </c>
      <c r="B266" s="4" t="s">
        <v>210</v>
      </c>
      <c r="C266" s="10" t="s">
        <v>207</v>
      </c>
      <c r="D266" s="10">
        <v>50</v>
      </c>
      <c r="E266" s="10" t="s">
        <v>371</v>
      </c>
      <c r="F266" s="10"/>
      <c r="G266" s="10"/>
      <c r="H266" s="10"/>
      <c r="I266" s="10"/>
    </row>
    <row r="267" spans="1:9">
      <c r="A267" s="10" t="s">
        <v>252</v>
      </c>
      <c r="B267" s="4" t="s">
        <v>211</v>
      </c>
      <c r="C267" s="10" t="s">
        <v>207</v>
      </c>
      <c r="D267" s="10">
        <v>50</v>
      </c>
      <c r="E267" s="10" t="s">
        <v>371</v>
      </c>
      <c r="F267" s="10"/>
      <c r="G267" s="10"/>
      <c r="H267" s="10"/>
      <c r="I267" s="10"/>
    </row>
    <row r="268" spans="1:9">
      <c r="A268" s="10" t="s">
        <v>253</v>
      </c>
      <c r="B268" s="4" t="s">
        <v>212</v>
      </c>
      <c r="C268" s="10"/>
      <c r="D268" s="10"/>
      <c r="E268" s="10" t="s">
        <v>378</v>
      </c>
      <c r="F268" s="10"/>
      <c r="G268" s="10"/>
      <c r="H268" s="10"/>
      <c r="I268" s="10"/>
    </row>
    <row r="269" spans="1:9">
      <c r="A269" s="10" t="s">
        <v>254</v>
      </c>
      <c r="B269" s="4" t="s">
        <v>213</v>
      </c>
      <c r="C269" s="10"/>
      <c r="D269" s="10"/>
      <c r="E269" s="10" t="s">
        <v>378</v>
      </c>
      <c r="F269" s="10"/>
      <c r="G269" s="10"/>
      <c r="H269" s="10"/>
      <c r="I269" s="10"/>
    </row>
    <row r="270" spans="1:9">
      <c r="A270" s="10" t="s">
        <v>255</v>
      </c>
      <c r="B270" s="4" t="s">
        <v>214</v>
      </c>
      <c r="C270" s="10"/>
      <c r="D270" s="10"/>
      <c r="E270" s="10" t="s">
        <v>378</v>
      </c>
      <c r="F270" s="10"/>
      <c r="G270" s="10"/>
      <c r="H270" s="10"/>
      <c r="I270" s="10"/>
    </row>
    <row r="271" spans="1:9">
      <c r="A271" s="10" t="s">
        <v>256</v>
      </c>
      <c r="B271" s="4" t="s">
        <v>215</v>
      </c>
      <c r="C271" s="10"/>
      <c r="D271" s="10"/>
      <c r="E271" s="10" t="s">
        <v>378</v>
      </c>
      <c r="F271" s="10"/>
      <c r="G271" s="10"/>
      <c r="H271" s="10"/>
      <c r="I271" s="10"/>
    </row>
    <row r="272" spans="1:9">
      <c r="A272" s="10" t="s">
        <v>303</v>
      </c>
      <c r="B272" s="4" t="s">
        <v>199</v>
      </c>
      <c r="C272" s="10" t="s">
        <v>40</v>
      </c>
      <c r="D272" s="10" t="s">
        <v>65</v>
      </c>
      <c r="E272" s="10" t="s">
        <v>377</v>
      </c>
      <c r="F272" s="10"/>
      <c r="G272" s="10"/>
      <c r="H272" s="10"/>
      <c r="I272" s="10"/>
    </row>
    <row r="273" spans="1:9">
      <c r="A273" s="10" t="s">
        <v>304</v>
      </c>
      <c r="B273" s="4" t="s">
        <v>200</v>
      </c>
      <c r="C273" s="10" t="s">
        <v>40</v>
      </c>
      <c r="D273" s="10" t="s">
        <v>65</v>
      </c>
      <c r="E273" s="10" t="s">
        <v>377</v>
      </c>
      <c r="F273" s="10"/>
      <c r="G273" s="10"/>
      <c r="H273" s="10"/>
      <c r="I273" s="10"/>
    </row>
    <row r="274" spans="1:9">
      <c r="A274" s="10" t="s">
        <v>305</v>
      </c>
      <c r="B274" s="4" t="s">
        <v>201</v>
      </c>
      <c r="C274" s="10" t="s">
        <v>40</v>
      </c>
      <c r="D274" s="10" t="s">
        <v>65</v>
      </c>
      <c r="E274" s="10" t="s">
        <v>377</v>
      </c>
      <c r="F274" s="10"/>
      <c r="G274" s="10"/>
      <c r="H274" s="10"/>
      <c r="I274" s="10"/>
    </row>
    <row r="275" spans="1:9">
      <c r="A275" s="10" t="s">
        <v>306</v>
      </c>
      <c r="B275" s="4" t="s">
        <v>202</v>
      </c>
      <c r="C275" s="10" t="s">
        <v>40</v>
      </c>
      <c r="D275" s="10" t="s">
        <v>65</v>
      </c>
      <c r="E275" s="10" t="s">
        <v>377</v>
      </c>
      <c r="F275" s="10"/>
      <c r="G275" s="10"/>
      <c r="H275" s="10"/>
      <c r="I275" s="10"/>
    </row>
    <row r="276" spans="1:9">
      <c r="A276" s="10" t="s">
        <v>257</v>
      </c>
      <c r="B276" s="4" t="s">
        <v>203</v>
      </c>
      <c r="C276" s="10" t="s">
        <v>40</v>
      </c>
      <c r="D276" s="10" t="s">
        <v>65</v>
      </c>
      <c r="E276" s="10" t="s">
        <v>377</v>
      </c>
      <c r="F276" s="10"/>
      <c r="G276" s="10"/>
      <c r="H276" s="10"/>
      <c r="I276" s="10"/>
    </row>
    <row r="277" spans="1:9">
      <c r="A277" s="10" t="s">
        <v>281</v>
      </c>
      <c r="B277" s="4" t="s">
        <v>216</v>
      </c>
      <c r="C277" s="10"/>
      <c r="D277" s="10"/>
      <c r="E277" s="10" t="s">
        <v>378</v>
      </c>
      <c r="F277" s="10"/>
      <c r="G277" s="10"/>
      <c r="H277" s="10"/>
      <c r="I277" s="10"/>
    </row>
    <row r="278" spans="1:9">
      <c r="A278" s="10" t="s">
        <v>258</v>
      </c>
      <c r="B278" s="4" t="s">
        <v>217</v>
      </c>
      <c r="C278" s="10"/>
      <c r="D278" s="10"/>
      <c r="E278" s="10" t="s">
        <v>378</v>
      </c>
      <c r="F278" s="10"/>
      <c r="G278" s="10"/>
      <c r="H278" s="10"/>
      <c r="I278" s="10"/>
    </row>
    <row r="279" spans="1:9">
      <c r="A279" s="10" t="s">
        <v>273</v>
      </c>
      <c r="B279" s="4" t="s">
        <v>227</v>
      </c>
      <c r="C279" s="10"/>
      <c r="D279" s="10"/>
      <c r="E279" s="10" t="s">
        <v>378</v>
      </c>
      <c r="F279" s="10"/>
      <c r="G279" s="10"/>
      <c r="H279" s="10"/>
      <c r="I279" s="10"/>
    </row>
    <row r="280" spans="1:9">
      <c r="A280" s="10" t="s">
        <v>274</v>
      </c>
      <c r="B280" s="4" t="s">
        <v>228</v>
      </c>
      <c r="C280" s="10"/>
      <c r="D280" s="10"/>
      <c r="E280" s="10" t="s">
        <v>378</v>
      </c>
      <c r="F280" s="10"/>
      <c r="G280" s="10"/>
      <c r="H280" s="10"/>
      <c r="I280" s="10"/>
    </row>
    <row r="281" spans="1:9">
      <c r="A281" s="10" t="s">
        <v>275</v>
      </c>
      <c r="B281" s="4" t="s">
        <v>229</v>
      </c>
      <c r="C281" s="10"/>
      <c r="D281" s="10"/>
      <c r="E281" s="10" t="s">
        <v>378</v>
      </c>
      <c r="F281" s="10"/>
      <c r="G281" s="10"/>
      <c r="H281" s="10"/>
      <c r="I281" s="10"/>
    </row>
    <row r="282" spans="1:9">
      <c r="A282" s="10" t="s">
        <v>276</v>
      </c>
      <c r="B282" s="4" t="s">
        <v>230</v>
      </c>
      <c r="C282" s="10"/>
      <c r="D282" s="10"/>
      <c r="E282" s="10" t="s">
        <v>378</v>
      </c>
      <c r="F282" s="10"/>
      <c r="G282" s="10"/>
      <c r="H282" s="10"/>
      <c r="I282" s="10"/>
    </row>
    <row r="283" spans="1:9">
      <c r="A283" s="10" t="s">
        <v>277</v>
      </c>
      <c r="B283" s="4" t="s">
        <v>231</v>
      </c>
      <c r="C283" s="10"/>
      <c r="D283" s="10"/>
      <c r="E283" s="10" t="s">
        <v>378</v>
      </c>
      <c r="F283" s="10"/>
      <c r="G283" s="10"/>
      <c r="H283" s="10"/>
      <c r="I283" s="10"/>
    </row>
    <row r="284" spans="1:9">
      <c r="A284" s="10" t="s">
        <v>278</v>
      </c>
      <c r="B284" s="4" t="s">
        <v>232</v>
      </c>
      <c r="C284" s="10"/>
      <c r="D284" s="10"/>
      <c r="E284" s="10" t="s">
        <v>378</v>
      </c>
      <c r="F284" s="10"/>
      <c r="G284" s="10"/>
      <c r="H284" s="10"/>
      <c r="I284" s="10"/>
    </row>
    <row r="285" spans="1:9">
      <c r="A285" s="10" t="s">
        <v>279</v>
      </c>
      <c r="B285" s="4" t="s">
        <v>233</v>
      </c>
      <c r="C285" s="10"/>
      <c r="D285" s="10"/>
      <c r="E285" s="10" t="s">
        <v>378</v>
      </c>
      <c r="F285" s="10"/>
      <c r="G285" s="10"/>
      <c r="H285" s="10"/>
      <c r="I285" s="10"/>
    </row>
    <row r="286" spans="1:9">
      <c r="A286" s="10" t="s">
        <v>266</v>
      </c>
      <c r="B286" s="4" t="s">
        <v>218</v>
      </c>
      <c r="C286" s="10"/>
      <c r="D286" s="10"/>
      <c r="E286" s="10" t="s">
        <v>378</v>
      </c>
      <c r="F286" s="10"/>
      <c r="G286" s="10"/>
      <c r="H286" s="10"/>
      <c r="I286" s="10"/>
    </row>
    <row r="287" spans="1:9">
      <c r="A287" s="10" t="s">
        <v>259</v>
      </c>
      <c r="B287" s="4" t="s">
        <v>219</v>
      </c>
      <c r="C287" s="10"/>
      <c r="D287" s="10"/>
      <c r="E287" s="10" t="s">
        <v>378</v>
      </c>
      <c r="F287" s="10"/>
      <c r="G287" s="10"/>
      <c r="H287" s="10"/>
      <c r="I287" s="10"/>
    </row>
    <row r="288" spans="1:9">
      <c r="A288" s="10" t="s">
        <v>280</v>
      </c>
      <c r="B288" s="4" t="s">
        <v>234</v>
      </c>
      <c r="C288" s="10"/>
      <c r="D288" s="10"/>
      <c r="E288" s="10" t="s">
        <v>378</v>
      </c>
      <c r="F288" s="10"/>
      <c r="G288" s="10"/>
      <c r="H288" s="10"/>
      <c r="I288" s="10"/>
    </row>
    <row r="289" spans="1:9">
      <c r="A289" s="10" t="s">
        <v>260</v>
      </c>
      <c r="B289" s="4" t="s">
        <v>220</v>
      </c>
      <c r="C289" s="10"/>
      <c r="D289" s="10"/>
      <c r="E289" s="10" t="s">
        <v>378</v>
      </c>
      <c r="F289" s="10"/>
      <c r="G289" s="10"/>
      <c r="H289" s="10"/>
      <c r="I289" s="10"/>
    </row>
    <row r="290" spans="1:9">
      <c r="A290" s="10" t="s">
        <v>261</v>
      </c>
      <c r="B290" s="4" t="s">
        <v>221</v>
      </c>
      <c r="C290" s="10"/>
      <c r="D290" s="10"/>
      <c r="E290" s="10" t="s">
        <v>378</v>
      </c>
      <c r="F290" s="10"/>
      <c r="G290" s="10"/>
      <c r="H290" s="10"/>
      <c r="I290" s="10"/>
    </row>
    <row r="291" spans="1:9">
      <c r="A291" s="10" t="s">
        <v>263</v>
      </c>
      <c r="B291" s="4" t="s">
        <v>222</v>
      </c>
      <c r="C291" s="10"/>
      <c r="D291" s="10"/>
      <c r="E291" s="10" t="s">
        <v>378</v>
      </c>
      <c r="F291" s="10"/>
      <c r="G291" s="10"/>
      <c r="H291" s="10"/>
      <c r="I291" s="10"/>
    </row>
    <row r="292" spans="1:9">
      <c r="A292" s="10" t="s">
        <v>264</v>
      </c>
      <c r="B292" s="15" t="s">
        <v>223</v>
      </c>
      <c r="C292" s="10"/>
      <c r="D292" s="10"/>
      <c r="E292" s="10" t="s">
        <v>378</v>
      </c>
      <c r="F292" s="10"/>
      <c r="G292" s="10"/>
      <c r="H292" s="10"/>
      <c r="I292" s="10"/>
    </row>
    <row r="293" spans="1:9">
      <c r="A293" s="10" t="s">
        <v>265</v>
      </c>
      <c r="B293" s="15" t="s">
        <v>224</v>
      </c>
      <c r="C293" s="10"/>
      <c r="D293" s="10"/>
      <c r="E293" s="10" t="s">
        <v>378</v>
      </c>
      <c r="F293" s="10"/>
      <c r="G293" s="10"/>
      <c r="H293" s="10"/>
      <c r="I293" s="10"/>
    </row>
    <row r="294" spans="1:9">
      <c r="A294" s="10" t="s">
        <v>268</v>
      </c>
      <c r="B294" s="4" t="s">
        <v>225</v>
      </c>
      <c r="C294" s="10"/>
      <c r="D294" s="10"/>
      <c r="E294" s="10" t="s">
        <v>378</v>
      </c>
      <c r="F294" s="10"/>
      <c r="G294" s="10"/>
      <c r="H294" s="10"/>
      <c r="I294" s="10"/>
    </row>
    <row r="295" spans="1:9">
      <c r="A295" s="10" t="s">
        <v>262</v>
      </c>
      <c r="B295" s="4" t="s">
        <v>226</v>
      </c>
      <c r="C295" s="10"/>
      <c r="D295" s="10"/>
      <c r="E295" s="10" t="s">
        <v>378</v>
      </c>
      <c r="F295" s="10"/>
      <c r="G295" s="10"/>
      <c r="H295" s="10"/>
      <c r="I295" s="10"/>
    </row>
    <row r="296" spans="1:9">
      <c r="A296" s="10" t="s">
        <v>272</v>
      </c>
      <c r="B296" s="4" t="s">
        <v>235</v>
      </c>
      <c r="C296" s="10"/>
      <c r="D296" s="10"/>
      <c r="E296" s="10" t="s">
        <v>378</v>
      </c>
      <c r="F296" s="10"/>
      <c r="G296" s="10"/>
      <c r="H296" s="10"/>
      <c r="I296" s="10"/>
    </row>
  </sheetData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E81B-9B9D-4715-BFAA-0271F78ED994}">
  <dimension ref="A3:H297"/>
  <sheetViews>
    <sheetView topLeftCell="A232" workbookViewId="0">
      <selection activeCell="H249" sqref="H3:H249"/>
    </sheetView>
  </sheetViews>
  <sheetFormatPr baseColWidth="10" defaultRowHeight="15"/>
  <cols>
    <col min="1" max="1" width="11.85546875" bestFit="1" customWidth="1"/>
    <col min="2" max="2" width="11.85546875" customWidth="1"/>
    <col min="6" max="7" width="11.85546875" bestFit="1" customWidth="1"/>
  </cols>
  <sheetData>
    <row r="3" spans="1:8">
      <c r="A3" t="str">
        <f>IF(ISNUMBER(SEARCH("LONA",Inventario!B2)),"LON",
IF(ISNUMBER(SEARCH("VINIL",Inventario!B2)),"VIN",
IF(ISNUMBER(SEARCH("PANEL DE ALUMINIO COMPUESTO",Inventario!B2)),"PAN-ALU-COM",
IF(ISNUMBER(SEARCH("PVC",Inventario!B2)),"PVC",
IF(ISNUMBER(SEARCH("PAPEL",Inventario!B2)),"PAP",
IF(ISNUMBER(SEARCH("TELA",Inventario!B2)),"TEL",
IF(ISNUMBER(SEARCH("CARTULINA",Inventario!B2)),"CAR",
IF(OR(ISNUMBER(SEARCH("LAMINA",Inventario!B2)),ISNUMBER(SEARCH("LÁMINA",Inventario!B2))),"LAM",
IF(ISNUMBER(SEARCH("ESTIRENO",Inventario!B2)),"EST",
IF(ISNUMBER(SEARCH("FOAMBOARD",Inventario!B2)),"FOA",
IF(ISNUMBER(SEARCH("SOLVENTE",Inventario!B2)),"SOL",
IF(ISNUMBER(SEARCH("TINTA",Inventario!B2)),"TIN",
IF(ISNUMBER(SEARCH("ACRILICO",Inventario!B2)),"ACR",
IF(ISNUMBER(SEARCH("LED",Inventario!B2)),"LED",
IF(ISNUMBER(SEARCH("FUENTE",Inventario!B2)),"FUE",
IF(ISNUMBER(SEARCH("PETG",Inventario!B2)),"PET",
IF(ISNUMBER(SEARCH("ALUMINIO",Inventario!B2)),"ALU",
IF(ISNUMBER(SEARCH("CANAL",Inventario!B2)),"CAN",
IF(ISNUMBER(SEARCH("ESCUADRA",Inventario!B2)),"ESC",
IF(ISNUMBER(SEARCH("SOPORTE",Inventario!B2)),"SOP","OTR")
)))))))))))))))))))</f>
        <v>LON</v>
      </c>
      <c r="B3" t="str">
        <f>IF(ISNUMBER(SEARCH("CORTE",Inventario!B2)),"COR",
IF(ISNUMBER(SEARCH("CRISTAL",Inventario!B2)),"CR",
IF(OR(ISNUMBER(SEARCH("OPTICO",Inventario!B2)),ISNUMBER(SEARCH("OPTICOS",Inventario!B2)),ISNUMBER(SEARCH("OPTICA",Inventario!B2))),"OP",
IF(ISNUMBER(SEARCH("NANO",Inventario!B2)),"NA",
IF(ISNUMBER(SEARCH("5050",Inventario!B2)),"5050",
IF(ISNUMBER(SEARCH("MICRO",Inventario!B2)),"MI",""))))))</f>
        <v/>
      </c>
      <c r="C3" t="str">
        <f>IF(ISNUMBER(SEARCH("PARED",Inventario!B2)),"PAR",IF(ISNUMBER(SEARCH("MATE",Inventario!B2)),"MAT",
IF(ISNUMBER(SEARCH("FRONT",Inventario!B2)),"FRO",
IF(ISNUMBER(SEARCH("BACK",Inventario!B2)),"BAC",
IF(ISNUMBER(SEARCH("MESH",Inventario!B2)),"MES",
IF(OR(ISNUMBER(SEARCH("BRILLANTE",Inventario!B2)),ISNUMBER(SEARCH("BTE",Inventario!B2))),"BRI",
IF(ISNUMBER(SEARCH("SINTETICA DELGADA",Inventario!B2)),"SD",
IF(ISNUMBER(SEARCH("SINTETICA GRUESA",Inventario!B2)),"SG",
IF(ISNUMBER(SEARCH("ESTATICO",Inventario!B2)),"EST",
IF(ISNUMBER(SEARCH("FLOOR",Inventario!B2)),"FLO",
IF(ISNUMBER(SEARCH("REFLECTIVO",Inventario!B2)),"REF",
IF(ISNUMBER(SEARCH("MICROPERFORADO",Inventario!B2)),"MI",
IF(ISNUMBER(SEARCH("CEPILLADO",Inventario!B2)),"CEP",
IF(ISNUMBER(SEARCH("ESPEJO",Inventario!B2)),"ESP",
IF(OR(ISNUMBER(SEARCH("UNIDIODO",Inventario!B2)),ISNUMBER(SEARCH("1 DIODO",Inventario!B2))),"1D",
IF(ISNUMBER(SEARCH("2 DIODOS",Inventario!B2)),"2D",
IF(ISNUMBER(SEARCH("3 DIODOS",Inventario!B2)),"3D","")))))))))))))))))</f>
        <v>BAC</v>
      </c>
      <c r="D3" t="str">
        <f>IF(ISNUMBER(SEARCH("LX700",Inventario!B2)),"LX7",
IF(ISNUMBER(SEARCH("GRANDO",Inventario!B2)),"GRA",
IF(OR(ISNUMBER(SEARCH("CAMA PLANA",Inventario!B2)),ISNUMBER(SEARCH("FB700",Inventario!B2))),"CP",
IF(ISNUMBER(SEARCH("LX360",Inventario!B2)),"LX3",
IF(ISNUMBER(SEARCH("XEROX",Inventario!B2)),"XER",
IF(ISNUMBER(SEARCH("18 OZ",Inventario!B2)),"18OZ",
IF(ISNUMBER(SEARCH("15 OZ",Inventario!B2)),"15OZ",
IF(OR(ISNUMBER(SEARCH("13 OZ",Inventario!B2)),ISNUMBER(SEARCH("13 ONZAS",Inventario!B2))),"13OZ",
IF(OR(ISNUMBER(SEARCH("9 OZ",Inventario!B2)),ISNUMBER(SEARCH("9 ONZAS",Inventario!B2))),"09OZ","")))))))))</f>
        <v>15OZ</v>
      </c>
      <c r="E3" t="str">
        <f>IF(OR(ISNUMBER(SEARCH("TRANSPARENTE",Inventario!B2)),ISNUMBER(SEARCH("TRANSPARENTES",Inventario!B2))),"TR",
IF(OR(ISNUMBER(SEARCH("BLANCO",Inventario!B2)),ISNUMBER(SEARCH("BCO",Inventario!B2))),"BL",
IF(ISNUMBER(SEARCH("VERDE",Inventario!B2)),"VR",
IF(ISNUMBER(SEARCH("MORADO",Inventario!B2)),"MR",
IF(ISNUMBER(SEARCH("PLATA",Inventario!B2)),"PL",
IF(ISNUMBER(SEARCH("ORO",Inventario!B2)),"OR",
IF(ISNUMBER(SEARCH("AMARILLO",Inventario!B2)),"AM",
IF(ISNUMBER(SEARCH("NARANJA",Inventario!B2)),"NR",
IF(ISNUMBER(SEARCH("NEGRO",Inventario!B2)),"NG",
IF(ISNUMBER(SEARCH("ROJO",Inventario!B2)),"RJ",
IF(ISNUMBER(SEARCH("AZUL",Inventario!B2)),"AZ","")))))))))))</f>
        <v/>
      </c>
      <c r="F3" t="str">
        <f>IF(ISNUMBER(SEARCH("1,2 MM",Inventario!B2)),"1MM2",
IF(OR(ISNUMBER(SEARCH("2 MM",Inventario!B2)),ISNUMBER(SEARCH("2MM",Inventario!B2))),"2MM",
IF(OR(ISNUMBER(SEARCH("3 MM",Inventario!B2)),ISNUMBER(SEARCH("3MM",Inventario!B2))),"3MM",
IF(OR(ISNUMBER(SEARCH("4 MM",Inventario!B2)),ISNUMBER(SEARCH("4MM",Inventario!B2)),ISNUMBER(SEARCH("4 mm",Inventario!B2))),"4MM",
IF(OR(ISNUMBER(SEARCH("5 MM",Inventario!B2)),ISNUMBER(SEARCH("5MM",Inventario!B2))),"5MM",
IF(OR(ISNUMBER(SEARCH("6 MM",Inventario!B2)),ISNUMBER(SEARCH("6MM",Inventario!B2))),"6MM",
IF(OR(ISNUMBER(SEARCH("10 MM",Inventario!B2)),ISNUMBER(SEARCH("10MM",Inventario!B2))),"10MM","")))))))</f>
        <v/>
      </c>
      <c r="G3" t="str">
        <f>IF(ISNUMBER(SEARCH("ALTA RESISTENCIA",Inventario!B2)),"AR",IF(ISNUMBER(SEARCH("CAMPAÑA",Inventario!B2)),"CA",
IF(OR(ISNUMBER(SEARCH("CALIDO",Inventario!B2)),ISNUMBER(SEARCH("CÁLIDO",Inventario!B2))),"C",
IF(OR(ISNUMBER(SEARCH("TRASLUCIDO",Inventario!B2)),ISNUMBER(SEARCH("TRANSLUCIDO",Inventario!B2))),"TL",
IF(ISNUMBER(SEARCH("NEUTRO",Inventario!B2)),"N",
IF(ISNUMBER(SEARCH("FRIO",Inventario!B2)),"F",""))))))</f>
        <v/>
      </c>
      <c r="H3" t="str">
        <f>IF(ISNUMBER(SEARCH("SILED",Inventario!B2)),"SI",
IF(ISNUMBER(SEARCH("SYDEMEX",Inventario!B2)),"SY",
IF(ISNUMBER(SEARCH("ROHS",Inventario!B2)),"RO",
IF(ISNUMBER(SEARCH("RISHANG",Inventario!B2)),"RS",
IF(ISNUMBER(SEARCH("VYG",Inventario!B2)),"VYG",
IF(ISNUMBER(SEARCH("COLED",Inventario!B2)),"CO",""))))))</f>
        <v/>
      </c>
    </row>
    <row r="4" spans="1:8">
      <c r="A4" t="str">
        <f>IF(ISNUMBER(SEARCH("LONA",Inventario!B3)),"LON",
IF(ISNUMBER(SEARCH("VINIL",Inventario!B3)),"VIN",
IF(ISNUMBER(SEARCH("PANEL DE ALUMINIO COMPUESTO",Inventario!B3)),"PAN-ALU-COM",
IF(ISNUMBER(SEARCH("PVC",Inventario!B3)),"PVC",
IF(ISNUMBER(SEARCH("PAPEL",Inventario!B3)),"PAP",
IF(ISNUMBER(SEARCH("TELA",Inventario!B3)),"TEL",
IF(ISNUMBER(SEARCH("CARTULINA",Inventario!B3)),"CAR",
IF(OR(ISNUMBER(SEARCH("LAMINA",Inventario!B3)),ISNUMBER(SEARCH("LÁMINA",Inventario!B3))),"LAM",
IF(ISNUMBER(SEARCH("ESTIRENO",Inventario!B3)),"EST",
IF(ISNUMBER(SEARCH("FOAMBOARD",Inventario!B3)),"FOA",
IF(ISNUMBER(SEARCH("SOLVENTE",Inventario!B3)),"SOL",
IF(ISNUMBER(SEARCH("TINTA",Inventario!B3)),"TIN",
IF(ISNUMBER(SEARCH("ACRILICO",Inventario!B3)),"ACR",
IF(ISNUMBER(SEARCH("LED",Inventario!B3)),"LED",
IF(ISNUMBER(SEARCH("FUENTE",Inventario!B3)),"FUE",
IF(ISNUMBER(SEARCH("PETG",Inventario!B3)),"PET",
IF(ISNUMBER(SEARCH("ALUMINIO",Inventario!B3)),"ALU",
IF(ISNUMBER(SEARCH("CANAL",Inventario!B3)),"CAN",
IF(ISNUMBER(SEARCH("ESCUADRA",Inventario!B3)),"ESC",
IF(ISNUMBER(SEARCH("SOPORTE",Inventario!B3)),"SOP","OTR")
)))))))))))))))))))</f>
        <v>LON</v>
      </c>
      <c r="B4" t="str">
        <f>IF(ISNUMBER(SEARCH("CORTE",Inventario!B3)),"COR",
IF(ISNUMBER(SEARCH("CRISTAL",Inventario!B3)),"CR",
IF(OR(ISNUMBER(SEARCH("OPTICO",Inventario!B3)),ISNUMBER(SEARCH("OPTICOS",Inventario!B3)),ISNUMBER(SEARCH("OPTICA",Inventario!B3))),"OP",
IF(ISNUMBER(SEARCH("NANO",Inventario!B3)),"NA",
IF(ISNUMBER(SEARCH("5050",Inventario!B3)),"5050",
IF(ISNUMBER(SEARCH("MICRO",Inventario!B3)),"MI",""))))))</f>
        <v/>
      </c>
      <c r="C4" t="str">
        <f>IF(ISNUMBER(SEARCH("PARED",Inventario!B3)),"PAR",IF(ISNUMBER(SEARCH("MATE",Inventario!B3)),"MAT",
IF(ISNUMBER(SEARCH("FRONT",Inventario!B3)),"FRO",
IF(ISNUMBER(SEARCH("BACK",Inventario!B3)),"BAC",
IF(ISNUMBER(SEARCH("MESH",Inventario!B3)),"MES",
IF(OR(ISNUMBER(SEARCH("BRILLANTE",Inventario!B3)),ISNUMBER(SEARCH("BTE",Inventario!B3))),"BRI",
IF(ISNUMBER(SEARCH("SINTETICA DELGADA",Inventario!B3)),"SD",
IF(ISNUMBER(SEARCH("SINTETICA GRUESA",Inventario!B3)),"SG",
IF(ISNUMBER(SEARCH("ESTATICO",Inventario!B3)),"EST",
IF(ISNUMBER(SEARCH("FLOOR",Inventario!B3)),"FLO",
IF(ISNUMBER(SEARCH("REFLECTIVO",Inventario!B3)),"REF",
IF(ISNUMBER(SEARCH("MICROPERFORADO",Inventario!B3)),"MI",
IF(ISNUMBER(SEARCH("CEPILLADO",Inventario!B3)),"CEP",
IF(ISNUMBER(SEARCH("ESPEJO",Inventario!B3)),"ESP",
IF(OR(ISNUMBER(SEARCH("UNIDIODO",Inventario!B3)),ISNUMBER(SEARCH("1 DIODO",Inventario!B3))),"1D",
IF(ISNUMBER(SEARCH("2 DIODOS",Inventario!B3)),"2D",
IF(ISNUMBER(SEARCH("3 DIODOS",Inventario!B3)),"3D","")))))))))))))))))</f>
        <v>BAC</v>
      </c>
      <c r="D4" t="str">
        <f>IF(ISNUMBER(SEARCH("LX700",Inventario!B3)),"LX7",
IF(ISNUMBER(SEARCH("GRANDO",Inventario!B3)),"GRA",
IF(OR(ISNUMBER(SEARCH("CAMA PLANA",Inventario!B3)),ISNUMBER(SEARCH("FB700",Inventario!B3))),"CP",
IF(ISNUMBER(SEARCH("LX360",Inventario!B3)),"LX3",
IF(ISNUMBER(SEARCH("XEROX",Inventario!B3)),"XER",
IF(ISNUMBER(SEARCH("18 OZ",Inventario!B3)),"18OZ",
IF(ISNUMBER(SEARCH("15 OZ",Inventario!B3)),"15OZ",
IF(OR(ISNUMBER(SEARCH("13 OZ",Inventario!B3)),ISNUMBER(SEARCH("13 ONZAS",Inventario!B3))),"13OZ",
IF(OR(ISNUMBER(SEARCH("9 OZ",Inventario!B3)),ISNUMBER(SEARCH("9 ONZAS",Inventario!B3))),"09OZ","")))))))))</f>
        <v>15OZ</v>
      </c>
      <c r="E4" t="str">
        <f>IF(OR(ISNUMBER(SEARCH("TRANSPARENTE",Inventario!B3)),ISNUMBER(SEARCH("TRANSPARENTES",Inventario!B3))),"TR",
IF(OR(ISNUMBER(SEARCH("BLANCO",Inventario!B3)),ISNUMBER(SEARCH("BCO",Inventario!B3))),"BL",
IF(ISNUMBER(SEARCH("VERDE",Inventario!B3)),"VR",
IF(ISNUMBER(SEARCH("MORADO",Inventario!B3)),"MR",
IF(ISNUMBER(SEARCH("PLATA",Inventario!B3)),"PL",
IF(ISNUMBER(SEARCH("ORO",Inventario!B3)),"OR",
IF(ISNUMBER(SEARCH("AMARILLO",Inventario!B3)),"AM",
IF(ISNUMBER(SEARCH("NARANJA",Inventario!B3)),"NR",
IF(ISNUMBER(SEARCH("NEGRO",Inventario!B3)),"NG",
IF(ISNUMBER(SEARCH("ROJO",Inventario!B3)),"RJ",
IF(ISNUMBER(SEARCH("AZUL",Inventario!B3)),"AZ","")))))))))))</f>
        <v/>
      </c>
      <c r="F4" t="str">
        <f>IF(ISNUMBER(SEARCH("1,2 MM",Inventario!B3)),"1MM2",
IF(OR(ISNUMBER(SEARCH("2 MM",Inventario!B3)),ISNUMBER(SEARCH("2MM",Inventario!B3))),"2MM",
IF(OR(ISNUMBER(SEARCH("3 MM",Inventario!B3)),ISNUMBER(SEARCH("3MM",Inventario!B3))),"3MM",
IF(OR(ISNUMBER(SEARCH("4 MM",Inventario!B3)),ISNUMBER(SEARCH("4MM",Inventario!B3)),ISNUMBER(SEARCH("4 mm",Inventario!B3))),"4MM",
IF(OR(ISNUMBER(SEARCH("5 MM",Inventario!B3)),ISNUMBER(SEARCH("5MM",Inventario!B3))),"5MM",
IF(OR(ISNUMBER(SEARCH("6 MM",Inventario!B3)),ISNUMBER(SEARCH("6MM",Inventario!B3))),"6MM",
IF(OR(ISNUMBER(SEARCH("10 MM",Inventario!B3)),ISNUMBER(SEARCH("10MM",Inventario!B3))),"10MM","")))))))</f>
        <v/>
      </c>
      <c r="G4" t="str">
        <f>IF(ISNUMBER(SEARCH("ALTA RESISTENCIA",Inventario!B3)),"AR",IF(ISNUMBER(SEARCH("CAMPAÑA",Inventario!B3)),"CA",
IF(OR(ISNUMBER(SEARCH("CALIDO",Inventario!B3)),ISNUMBER(SEARCH("CÁLIDO",Inventario!B3))),"C",
IF(OR(ISNUMBER(SEARCH("TRASLUCIDO",Inventario!B3)),ISNUMBER(SEARCH("TRANSLUCIDO",Inventario!B3))),"TL",
IF(ISNUMBER(SEARCH("NEUTRO",Inventario!B3)),"N",
IF(ISNUMBER(SEARCH("FRIO",Inventario!B3)),"F",""))))))</f>
        <v/>
      </c>
      <c r="H4" t="str">
        <f>IF(ISNUMBER(SEARCH("SILED",Inventario!B3)),"SI",
IF(ISNUMBER(SEARCH("SYDEMEX",Inventario!B3)),"SY",
IF(ISNUMBER(SEARCH("ROHS",Inventario!B3)),"RO",
IF(ISNUMBER(SEARCH("RISHANG",Inventario!B3)),"RS",
IF(ISNUMBER(SEARCH("VYG",Inventario!B3)),"VYG",
IF(ISNUMBER(SEARCH("COLED",Inventario!B3)),"CO",""))))))</f>
        <v/>
      </c>
    </row>
    <row r="5" spans="1:8">
      <c r="A5" t="str">
        <f>IF(ISNUMBER(SEARCH("LONA",Inventario!B4)),"LON",
IF(ISNUMBER(SEARCH("VINIL",Inventario!B4)),"VIN",
IF(ISNUMBER(SEARCH("PANEL DE ALUMINIO COMPUESTO",Inventario!B4)),"PAN-ALU-COM",
IF(ISNUMBER(SEARCH("PVC",Inventario!B4)),"PVC",
IF(ISNUMBER(SEARCH("PAPEL",Inventario!B4)),"PAP",
IF(ISNUMBER(SEARCH("TELA",Inventario!B4)),"TEL",
IF(ISNUMBER(SEARCH("CARTULINA",Inventario!B4)),"CAR",
IF(OR(ISNUMBER(SEARCH("LAMINA",Inventario!B4)),ISNUMBER(SEARCH("LÁMINA",Inventario!B4))),"LAM",
IF(ISNUMBER(SEARCH("ESTIRENO",Inventario!B4)),"EST",
IF(ISNUMBER(SEARCH("FOAMBOARD",Inventario!B4)),"FOA",
IF(ISNUMBER(SEARCH("SOLVENTE",Inventario!B4)),"SOL",
IF(ISNUMBER(SEARCH("TINTA",Inventario!B4)),"TIN",
IF(ISNUMBER(SEARCH("ACRILICO",Inventario!B4)),"ACR",
IF(ISNUMBER(SEARCH("LED",Inventario!B4)),"LED",
IF(ISNUMBER(SEARCH("FUENTE",Inventario!B4)),"FUE",
IF(ISNUMBER(SEARCH("PETG",Inventario!B4)),"PET",
IF(ISNUMBER(SEARCH("ALUMINIO",Inventario!B4)),"ALU",
IF(ISNUMBER(SEARCH("CANAL",Inventario!B4)),"CAN",
IF(ISNUMBER(SEARCH("ESCUADRA",Inventario!B4)),"ESC",
IF(ISNUMBER(SEARCH("SOPORTE",Inventario!B4)),"SOP","OTR")
)))))))))))))))))))</f>
        <v>LON</v>
      </c>
      <c r="B5" t="str">
        <f>IF(ISNUMBER(SEARCH("CORTE",Inventario!B4)),"COR",
IF(ISNUMBER(SEARCH("CRISTAL",Inventario!B4)),"CR",
IF(OR(ISNUMBER(SEARCH("OPTICO",Inventario!B4)),ISNUMBER(SEARCH("OPTICOS",Inventario!B4)),ISNUMBER(SEARCH("OPTICA",Inventario!B4))),"OP",
IF(ISNUMBER(SEARCH("NANO",Inventario!B4)),"NA",
IF(ISNUMBER(SEARCH("5050",Inventario!B4)),"5050",
IF(ISNUMBER(SEARCH("MICRO",Inventario!B4)),"MI",""))))))</f>
        <v/>
      </c>
      <c r="C5" t="str">
        <f>IF(ISNUMBER(SEARCH("PARED",Inventario!B4)),"PAR",IF(ISNUMBER(SEARCH("MATE",Inventario!B4)),"MAT",
IF(ISNUMBER(SEARCH("FRONT",Inventario!B4)),"FRO",
IF(ISNUMBER(SEARCH("BACK",Inventario!B4)),"BAC",
IF(ISNUMBER(SEARCH("MESH",Inventario!B4)),"MES",
IF(OR(ISNUMBER(SEARCH("BRILLANTE",Inventario!B4)),ISNUMBER(SEARCH("BTE",Inventario!B4))),"BRI",
IF(ISNUMBER(SEARCH("SINTETICA DELGADA",Inventario!B4)),"SD",
IF(ISNUMBER(SEARCH("SINTETICA GRUESA",Inventario!B4)),"SG",
IF(ISNUMBER(SEARCH("ESTATICO",Inventario!B4)),"EST",
IF(ISNUMBER(SEARCH("FLOOR",Inventario!B4)),"FLO",
IF(ISNUMBER(SEARCH("REFLECTIVO",Inventario!B4)),"REF",
IF(ISNUMBER(SEARCH("MICROPERFORADO",Inventario!B4)),"MI",
IF(ISNUMBER(SEARCH("CEPILLADO",Inventario!B4)),"CEP",
IF(ISNUMBER(SEARCH("ESPEJO",Inventario!B4)),"ESP",
IF(OR(ISNUMBER(SEARCH("UNIDIODO",Inventario!B4)),ISNUMBER(SEARCH("1 DIODO",Inventario!B4))),"1D",
IF(ISNUMBER(SEARCH("2 DIODOS",Inventario!B4)),"2D",
IF(ISNUMBER(SEARCH("3 DIODOS",Inventario!B4)),"3D","")))))))))))))))))</f>
        <v>BAC</v>
      </c>
      <c r="D5" t="str">
        <f>IF(ISNUMBER(SEARCH("LX700",Inventario!B4)),"LX7",
IF(ISNUMBER(SEARCH("GRANDO",Inventario!B4)),"GRA",
IF(OR(ISNUMBER(SEARCH("CAMA PLANA",Inventario!B4)),ISNUMBER(SEARCH("FB700",Inventario!B4))),"CP",
IF(ISNUMBER(SEARCH("LX360",Inventario!B4)),"LX3",
IF(ISNUMBER(SEARCH("XEROX",Inventario!B4)),"XER",
IF(ISNUMBER(SEARCH("18 OZ",Inventario!B4)),"18OZ",
IF(ISNUMBER(SEARCH("15 OZ",Inventario!B4)),"15OZ",
IF(OR(ISNUMBER(SEARCH("13 OZ",Inventario!B4)),ISNUMBER(SEARCH("13 ONZAS",Inventario!B4))),"13OZ",
IF(OR(ISNUMBER(SEARCH("9 OZ",Inventario!B4)),ISNUMBER(SEARCH("9 ONZAS",Inventario!B4))),"09OZ","")))))))))</f>
        <v>15OZ</v>
      </c>
      <c r="E5" t="str">
        <f>IF(OR(ISNUMBER(SEARCH("TRANSPARENTE",Inventario!B4)),ISNUMBER(SEARCH("TRANSPARENTES",Inventario!B4))),"TR",
IF(OR(ISNUMBER(SEARCH("BLANCO",Inventario!B4)),ISNUMBER(SEARCH("BCO",Inventario!B4))),"BL",
IF(ISNUMBER(SEARCH("VERDE",Inventario!B4)),"VR",
IF(ISNUMBER(SEARCH("MORADO",Inventario!B4)),"MR",
IF(ISNUMBER(SEARCH("PLATA",Inventario!B4)),"PL",
IF(ISNUMBER(SEARCH("ORO",Inventario!B4)),"OR",
IF(ISNUMBER(SEARCH("AMARILLO",Inventario!B4)),"AM",
IF(ISNUMBER(SEARCH("NARANJA",Inventario!B4)),"NR",
IF(ISNUMBER(SEARCH("NEGRO",Inventario!B4)),"NG",
IF(ISNUMBER(SEARCH("ROJO",Inventario!B4)),"RJ",
IF(ISNUMBER(SEARCH("AZUL",Inventario!B4)),"AZ","")))))))))))</f>
        <v/>
      </c>
      <c r="F5" t="str">
        <f>IF(ISNUMBER(SEARCH("1,2 MM",Inventario!B4)),"1MM2",
IF(OR(ISNUMBER(SEARCH("2 MM",Inventario!B4)),ISNUMBER(SEARCH("2MM",Inventario!B4))),"2MM",
IF(OR(ISNUMBER(SEARCH("3 MM",Inventario!B4)),ISNUMBER(SEARCH("3MM",Inventario!B4))),"3MM",
IF(OR(ISNUMBER(SEARCH("4 MM",Inventario!B4)),ISNUMBER(SEARCH("4MM",Inventario!B4)),ISNUMBER(SEARCH("4 mm",Inventario!B4))),"4MM",
IF(OR(ISNUMBER(SEARCH("5 MM",Inventario!B4)),ISNUMBER(SEARCH("5MM",Inventario!B4))),"5MM",
IF(OR(ISNUMBER(SEARCH("6 MM",Inventario!B4)),ISNUMBER(SEARCH("6MM",Inventario!B4))),"6MM",
IF(OR(ISNUMBER(SEARCH("10 MM",Inventario!B4)),ISNUMBER(SEARCH("10MM",Inventario!B4))),"10MM","")))))))</f>
        <v/>
      </c>
      <c r="G5" t="str">
        <f>IF(ISNUMBER(SEARCH("ALTA RESISTENCIA",Inventario!B4)),"AR",IF(ISNUMBER(SEARCH("CAMPAÑA",Inventario!B4)),"CA",
IF(OR(ISNUMBER(SEARCH("CALIDO",Inventario!B4)),ISNUMBER(SEARCH("CÁLIDO",Inventario!B4))),"C",
IF(OR(ISNUMBER(SEARCH("TRASLUCIDO",Inventario!B4)),ISNUMBER(SEARCH("TRANSLUCIDO",Inventario!B4))),"TL",
IF(ISNUMBER(SEARCH("NEUTRO",Inventario!B4)),"N",
IF(ISNUMBER(SEARCH("FRIO",Inventario!B4)),"F",""))))))</f>
        <v/>
      </c>
      <c r="H5" t="str">
        <f>IF(ISNUMBER(SEARCH("SILED",Inventario!B4)),"SI",
IF(ISNUMBER(SEARCH("SYDEMEX",Inventario!B4)),"SY",
IF(ISNUMBER(SEARCH("ROHS",Inventario!B4)),"RO",
IF(ISNUMBER(SEARCH("RISHANG",Inventario!B4)),"RS",
IF(ISNUMBER(SEARCH("VYG",Inventario!B4)),"VYG",
IF(ISNUMBER(SEARCH("COLED",Inventario!B4)),"CO",""))))))</f>
        <v/>
      </c>
    </row>
    <row r="6" spans="1:8">
      <c r="A6" t="str">
        <f>IF(ISNUMBER(SEARCH("LONA",Inventario!B5)),"LON",
IF(ISNUMBER(SEARCH("VINIL",Inventario!B5)),"VIN",
IF(ISNUMBER(SEARCH("PANEL DE ALUMINIO COMPUESTO",Inventario!B5)),"PAN-ALU-COM",
IF(ISNUMBER(SEARCH("PVC",Inventario!B5)),"PVC",
IF(ISNUMBER(SEARCH("PAPEL",Inventario!B5)),"PAP",
IF(ISNUMBER(SEARCH("TELA",Inventario!B5)),"TEL",
IF(ISNUMBER(SEARCH("CARTULINA",Inventario!B5)),"CAR",
IF(OR(ISNUMBER(SEARCH("LAMINA",Inventario!B5)),ISNUMBER(SEARCH("LÁMINA",Inventario!B5))),"LAM",
IF(ISNUMBER(SEARCH("ESTIRENO",Inventario!B5)),"EST",
IF(ISNUMBER(SEARCH("FOAMBOARD",Inventario!B5)),"FOA",
IF(ISNUMBER(SEARCH("SOLVENTE",Inventario!B5)),"SOL",
IF(ISNUMBER(SEARCH("TINTA",Inventario!B5)),"TIN",
IF(ISNUMBER(SEARCH("ACRILICO",Inventario!B5)),"ACR",
IF(ISNUMBER(SEARCH("LED",Inventario!B5)),"LED",
IF(ISNUMBER(SEARCH("FUENTE",Inventario!B5)),"FUE",
IF(ISNUMBER(SEARCH("PETG",Inventario!B5)),"PET",
IF(ISNUMBER(SEARCH("ALUMINIO",Inventario!B5)),"ALU",
IF(ISNUMBER(SEARCH("CANAL",Inventario!B5)),"CAN",
IF(ISNUMBER(SEARCH("ESCUADRA",Inventario!B5)),"ESC",
IF(ISNUMBER(SEARCH("SOPORTE",Inventario!B5)),"SOP","OTR")
)))))))))))))))))))</f>
        <v>LON</v>
      </c>
      <c r="B6" t="str">
        <f>IF(ISNUMBER(SEARCH("CORTE",Inventario!B5)),"COR",
IF(ISNUMBER(SEARCH("CRISTAL",Inventario!B5)),"CR",
IF(OR(ISNUMBER(SEARCH("OPTICO",Inventario!B5)),ISNUMBER(SEARCH("OPTICOS",Inventario!B5)),ISNUMBER(SEARCH("OPTICA",Inventario!B5))),"OP",
IF(ISNUMBER(SEARCH("NANO",Inventario!B5)),"NA",
IF(ISNUMBER(SEARCH("5050",Inventario!B5)),"5050",
IF(ISNUMBER(SEARCH("MICRO",Inventario!B5)),"MI",""))))))</f>
        <v/>
      </c>
      <c r="C6" t="str">
        <f>IF(ISNUMBER(SEARCH("PARED",Inventario!B5)),"PAR",IF(ISNUMBER(SEARCH("MATE",Inventario!B5)),"MAT",
IF(ISNUMBER(SEARCH("FRONT",Inventario!B5)),"FRO",
IF(ISNUMBER(SEARCH("BACK",Inventario!B5)),"BAC",
IF(ISNUMBER(SEARCH("MESH",Inventario!B5)),"MES",
IF(OR(ISNUMBER(SEARCH("BRILLANTE",Inventario!B5)),ISNUMBER(SEARCH("BTE",Inventario!B5))),"BRI",
IF(ISNUMBER(SEARCH("SINTETICA DELGADA",Inventario!B5)),"SD",
IF(ISNUMBER(SEARCH("SINTETICA GRUESA",Inventario!B5)),"SG",
IF(ISNUMBER(SEARCH("ESTATICO",Inventario!B5)),"EST",
IF(ISNUMBER(SEARCH("FLOOR",Inventario!B5)),"FLO",
IF(ISNUMBER(SEARCH("REFLECTIVO",Inventario!B5)),"REF",
IF(ISNUMBER(SEARCH("MICROPERFORADO",Inventario!B5)),"MI",
IF(ISNUMBER(SEARCH("CEPILLADO",Inventario!B5)),"CEP",
IF(ISNUMBER(SEARCH("ESPEJO",Inventario!B5)),"ESP",
IF(OR(ISNUMBER(SEARCH("UNIDIODO",Inventario!B5)),ISNUMBER(SEARCH("1 DIODO",Inventario!B5))),"1D",
IF(ISNUMBER(SEARCH("2 DIODOS",Inventario!B5)),"2D",
IF(ISNUMBER(SEARCH("3 DIODOS",Inventario!B5)),"3D","")))))))))))))))))</f>
        <v>FRO</v>
      </c>
      <c r="D6" t="str">
        <f>IF(ISNUMBER(SEARCH("LX700",Inventario!B5)),"LX7",
IF(ISNUMBER(SEARCH("GRANDO",Inventario!B5)),"GRA",
IF(OR(ISNUMBER(SEARCH("CAMA PLANA",Inventario!B5)),ISNUMBER(SEARCH("FB700",Inventario!B5))),"CP",
IF(ISNUMBER(SEARCH("LX360",Inventario!B5)),"LX3",
IF(ISNUMBER(SEARCH("XEROX",Inventario!B5)),"XER",
IF(ISNUMBER(SEARCH("18 OZ",Inventario!B5)),"18OZ",
IF(ISNUMBER(SEARCH("15 OZ",Inventario!B5)),"15OZ",
IF(OR(ISNUMBER(SEARCH("13 OZ",Inventario!B5)),ISNUMBER(SEARCH("13 ONZAS",Inventario!B5))),"13OZ",
IF(OR(ISNUMBER(SEARCH("9 OZ",Inventario!B5)),ISNUMBER(SEARCH("9 ONZAS",Inventario!B5))),"09OZ","")))))))))</f>
        <v>13OZ</v>
      </c>
      <c r="E6" t="str">
        <f>IF(OR(ISNUMBER(SEARCH("TRANSPARENTE",Inventario!B5)),ISNUMBER(SEARCH("TRANSPARENTES",Inventario!B5))),"TR",
IF(OR(ISNUMBER(SEARCH("BLANCO",Inventario!B5)),ISNUMBER(SEARCH("BCO",Inventario!B5))),"BL",
IF(ISNUMBER(SEARCH("VERDE",Inventario!B5)),"VR",
IF(ISNUMBER(SEARCH("MORADO",Inventario!B5)),"MR",
IF(ISNUMBER(SEARCH("PLATA",Inventario!B5)),"PL",
IF(ISNUMBER(SEARCH("ORO",Inventario!B5)),"OR",
IF(ISNUMBER(SEARCH("AMARILLO",Inventario!B5)),"AM",
IF(ISNUMBER(SEARCH("NARANJA",Inventario!B5)),"NR",
IF(ISNUMBER(SEARCH("NEGRO",Inventario!B5)),"NG",
IF(ISNUMBER(SEARCH("ROJO",Inventario!B5)),"RJ",
IF(ISNUMBER(SEARCH("AZUL",Inventario!B5)),"AZ","")))))))))))</f>
        <v/>
      </c>
      <c r="F6" t="str">
        <f>IF(ISNUMBER(SEARCH("1,2 MM",Inventario!B5)),"1MM2",
IF(OR(ISNUMBER(SEARCH("2 MM",Inventario!B5)),ISNUMBER(SEARCH("2MM",Inventario!B5))),"2MM",
IF(OR(ISNUMBER(SEARCH("3 MM",Inventario!B5)),ISNUMBER(SEARCH("3MM",Inventario!B5))),"3MM",
IF(OR(ISNUMBER(SEARCH("4 MM",Inventario!B5)),ISNUMBER(SEARCH("4MM",Inventario!B5)),ISNUMBER(SEARCH("4 mm",Inventario!B5))),"4MM",
IF(OR(ISNUMBER(SEARCH("5 MM",Inventario!B5)),ISNUMBER(SEARCH("5MM",Inventario!B5))),"5MM",
IF(OR(ISNUMBER(SEARCH("6 MM",Inventario!B5)),ISNUMBER(SEARCH("6MM",Inventario!B5))),"6MM",
IF(OR(ISNUMBER(SEARCH("10 MM",Inventario!B5)),ISNUMBER(SEARCH("10MM",Inventario!B5))),"10MM","")))))))</f>
        <v/>
      </c>
      <c r="G6" t="str">
        <f>IF(ISNUMBER(SEARCH("ALTA RESISTENCIA",Inventario!B5)),"AR",IF(ISNUMBER(SEARCH("CAMPAÑA",Inventario!B5)),"CA",
IF(OR(ISNUMBER(SEARCH("CALIDO",Inventario!B5)),ISNUMBER(SEARCH("CÁLIDO",Inventario!B5))),"C",
IF(OR(ISNUMBER(SEARCH("TRASLUCIDO",Inventario!B5)),ISNUMBER(SEARCH("TRANSLUCIDO",Inventario!B5))),"TL",
IF(ISNUMBER(SEARCH("NEUTRO",Inventario!B5)),"N",
IF(ISNUMBER(SEARCH("FRIO",Inventario!B5)),"F",""))))))</f>
        <v/>
      </c>
      <c r="H6" t="str">
        <f>IF(ISNUMBER(SEARCH("SILED",Inventario!B5)),"SI",
IF(ISNUMBER(SEARCH("SYDEMEX",Inventario!B5)),"SY",
IF(ISNUMBER(SEARCH("ROHS",Inventario!B5)),"RO",
IF(ISNUMBER(SEARCH("RISHANG",Inventario!B5)),"RS",
IF(ISNUMBER(SEARCH("VYG",Inventario!B5)),"VYG",
IF(ISNUMBER(SEARCH("COLED",Inventario!B5)),"CO",""))))))</f>
        <v/>
      </c>
    </row>
    <row r="7" spans="1:8">
      <c r="A7" t="str">
        <f>IF(ISNUMBER(SEARCH("LONA",Inventario!B6)),"LON",
IF(ISNUMBER(SEARCH("VINIL",Inventario!B6)),"VIN",
IF(ISNUMBER(SEARCH("PANEL DE ALUMINIO COMPUESTO",Inventario!B6)),"PAN-ALU-COM",
IF(ISNUMBER(SEARCH("PVC",Inventario!B6)),"PVC",
IF(ISNUMBER(SEARCH("PAPEL",Inventario!B6)),"PAP",
IF(ISNUMBER(SEARCH("TELA",Inventario!B6)),"TEL",
IF(ISNUMBER(SEARCH("CARTULINA",Inventario!B6)),"CAR",
IF(OR(ISNUMBER(SEARCH("LAMINA",Inventario!B6)),ISNUMBER(SEARCH("LÁMINA",Inventario!B6))),"LAM",
IF(ISNUMBER(SEARCH("ESTIRENO",Inventario!B6)),"EST",
IF(ISNUMBER(SEARCH("FOAMBOARD",Inventario!B6)),"FOA",
IF(ISNUMBER(SEARCH("SOLVENTE",Inventario!B6)),"SOL",
IF(ISNUMBER(SEARCH("TINTA",Inventario!B6)),"TIN",
IF(ISNUMBER(SEARCH("ACRILICO",Inventario!B6)),"ACR",
IF(ISNUMBER(SEARCH("LED",Inventario!B6)),"LED",
IF(ISNUMBER(SEARCH("FUENTE",Inventario!B6)),"FUE",
IF(ISNUMBER(SEARCH("PETG",Inventario!B6)),"PET",
IF(ISNUMBER(SEARCH("ALUMINIO",Inventario!B6)),"ALU",
IF(ISNUMBER(SEARCH("CANAL",Inventario!B6)),"CAN",
IF(ISNUMBER(SEARCH("ESCUADRA",Inventario!B6)),"ESC",
IF(ISNUMBER(SEARCH("SOPORTE",Inventario!B6)),"SOP","OTR")
)))))))))))))))))))</f>
        <v>LON</v>
      </c>
      <c r="B7" t="str">
        <f>IF(ISNUMBER(SEARCH("CORTE",Inventario!B6)),"COR",
IF(ISNUMBER(SEARCH("CRISTAL",Inventario!B6)),"CR",
IF(OR(ISNUMBER(SEARCH("OPTICO",Inventario!B6)),ISNUMBER(SEARCH("OPTICOS",Inventario!B6)),ISNUMBER(SEARCH("OPTICA",Inventario!B6))),"OP",
IF(ISNUMBER(SEARCH("NANO",Inventario!B6)),"NA",
IF(ISNUMBER(SEARCH("5050",Inventario!B6)),"5050",
IF(ISNUMBER(SEARCH("MICRO",Inventario!B6)),"MI",""))))))</f>
        <v/>
      </c>
      <c r="C7" t="str">
        <f>IF(ISNUMBER(SEARCH("PARED",Inventario!B6)),"PAR",IF(ISNUMBER(SEARCH("MATE",Inventario!B6)),"MAT",
IF(ISNUMBER(SEARCH("FRONT",Inventario!B6)),"FRO",
IF(ISNUMBER(SEARCH("BACK",Inventario!B6)),"BAC",
IF(ISNUMBER(SEARCH("MESH",Inventario!B6)),"MES",
IF(OR(ISNUMBER(SEARCH("BRILLANTE",Inventario!B6)),ISNUMBER(SEARCH("BTE",Inventario!B6))),"BRI",
IF(ISNUMBER(SEARCH("SINTETICA DELGADA",Inventario!B6)),"SD",
IF(ISNUMBER(SEARCH("SINTETICA GRUESA",Inventario!B6)),"SG",
IF(ISNUMBER(SEARCH("ESTATICO",Inventario!B6)),"EST",
IF(ISNUMBER(SEARCH("FLOOR",Inventario!B6)),"FLO",
IF(ISNUMBER(SEARCH("REFLECTIVO",Inventario!B6)),"REF",
IF(ISNUMBER(SEARCH("MICROPERFORADO",Inventario!B6)),"MI",
IF(ISNUMBER(SEARCH("CEPILLADO",Inventario!B6)),"CEP",
IF(ISNUMBER(SEARCH("ESPEJO",Inventario!B6)),"ESP",
IF(OR(ISNUMBER(SEARCH("UNIDIODO",Inventario!B6)),ISNUMBER(SEARCH("1 DIODO",Inventario!B6))),"1D",
IF(ISNUMBER(SEARCH("2 DIODOS",Inventario!B6)),"2D",
IF(ISNUMBER(SEARCH("3 DIODOS",Inventario!B6)),"3D","")))))))))))))))))</f>
        <v>FRO</v>
      </c>
      <c r="D7" t="str">
        <f>IF(ISNUMBER(SEARCH("LX700",Inventario!B6)),"LX7",
IF(ISNUMBER(SEARCH("GRANDO",Inventario!B6)),"GRA",
IF(OR(ISNUMBER(SEARCH("CAMA PLANA",Inventario!B6)),ISNUMBER(SEARCH("FB700",Inventario!B6))),"CP",
IF(ISNUMBER(SEARCH("LX360",Inventario!B6)),"LX3",
IF(ISNUMBER(SEARCH("XEROX",Inventario!B6)),"XER",
IF(ISNUMBER(SEARCH("18 OZ",Inventario!B6)),"18OZ",
IF(ISNUMBER(SEARCH("15 OZ",Inventario!B6)),"15OZ",
IF(OR(ISNUMBER(SEARCH("13 OZ",Inventario!B6)),ISNUMBER(SEARCH("13 ONZAS",Inventario!B6))),"13OZ",
IF(OR(ISNUMBER(SEARCH("9 OZ",Inventario!B6)),ISNUMBER(SEARCH("9 ONZAS",Inventario!B6))),"09OZ","")))))))))</f>
        <v>13OZ</v>
      </c>
      <c r="E7" t="str">
        <f>IF(OR(ISNUMBER(SEARCH("TRANSPARENTE",Inventario!B6)),ISNUMBER(SEARCH("TRANSPARENTES",Inventario!B6))),"TR",
IF(OR(ISNUMBER(SEARCH("BLANCO",Inventario!B6)),ISNUMBER(SEARCH("BCO",Inventario!B6))),"BL",
IF(ISNUMBER(SEARCH("VERDE",Inventario!B6)),"VR",
IF(ISNUMBER(SEARCH("MORADO",Inventario!B6)),"MR",
IF(ISNUMBER(SEARCH("PLATA",Inventario!B6)),"PL",
IF(ISNUMBER(SEARCH("ORO",Inventario!B6)),"OR",
IF(ISNUMBER(SEARCH("AMARILLO",Inventario!B6)),"AM",
IF(ISNUMBER(SEARCH("NARANJA",Inventario!B6)),"NR",
IF(ISNUMBER(SEARCH("NEGRO",Inventario!B6)),"NG",
IF(ISNUMBER(SEARCH("ROJO",Inventario!B6)),"RJ",
IF(ISNUMBER(SEARCH("AZUL",Inventario!B6)),"AZ","")))))))))))</f>
        <v/>
      </c>
      <c r="F7" t="str">
        <f>IF(ISNUMBER(SEARCH("1,2 MM",Inventario!B6)),"1MM2",
IF(OR(ISNUMBER(SEARCH("2 MM",Inventario!B6)),ISNUMBER(SEARCH("2MM",Inventario!B6))),"2MM",
IF(OR(ISNUMBER(SEARCH("3 MM",Inventario!B6)),ISNUMBER(SEARCH("3MM",Inventario!B6))),"3MM",
IF(OR(ISNUMBER(SEARCH("4 MM",Inventario!B6)),ISNUMBER(SEARCH("4MM",Inventario!B6)),ISNUMBER(SEARCH("4 mm",Inventario!B6))),"4MM",
IF(OR(ISNUMBER(SEARCH("5 MM",Inventario!B6)),ISNUMBER(SEARCH("5MM",Inventario!B6))),"5MM",
IF(OR(ISNUMBER(SEARCH("6 MM",Inventario!B6)),ISNUMBER(SEARCH("6MM",Inventario!B6))),"6MM",
IF(OR(ISNUMBER(SEARCH("10 MM",Inventario!B6)),ISNUMBER(SEARCH("10MM",Inventario!B6))),"10MM","")))))))</f>
        <v/>
      </c>
      <c r="G7" t="str">
        <f>IF(ISNUMBER(SEARCH("ALTA RESISTENCIA",Inventario!B6)),"AR",IF(ISNUMBER(SEARCH("CAMPAÑA",Inventario!B6)),"CA",
IF(OR(ISNUMBER(SEARCH("CALIDO",Inventario!B6)),ISNUMBER(SEARCH("CÁLIDO",Inventario!B6))),"C",
IF(OR(ISNUMBER(SEARCH("TRASLUCIDO",Inventario!B6)),ISNUMBER(SEARCH("TRANSLUCIDO",Inventario!B6))),"TL",
IF(ISNUMBER(SEARCH("NEUTRO",Inventario!B6)),"N",
IF(ISNUMBER(SEARCH("FRIO",Inventario!B6)),"F",""))))))</f>
        <v>AR</v>
      </c>
      <c r="H7" t="str">
        <f>IF(ISNUMBER(SEARCH("SILED",Inventario!B6)),"SI",
IF(ISNUMBER(SEARCH("SYDEMEX",Inventario!B6)),"SY",
IF(ISNUMBER(SEARCH("ROHS",Inventario!B6)),"RO",
IF(ISNUMBER(SEARCH("RISHANG",Inventario!B6)),"RS",
IF(ISNUMBER(SEARCH("VYG",Inventario!B6)),"VYG",
IF(ISNUMBER(SEARCH("COLED",Inventario!B6)),"CO",""))))))</f>
        <v/>
      </c>
    </row>
    <row r="8" spans="1:8">
      <c r="A8" t="str">
        <f>IF(ISNUMBER(SEARCH("LONA",Inventario!B7)),"LON",
IF(ISNUMBER(SEARCH("VINIL",Inventario!B7)),"VIN",
IF(ISNUMBER(SEARCH("PANEL DE ALUMINIO COMPUESTO",Inventario!B7)),"PAN-ALU-COM",
IF(ISNUMBER(SEARCH("PVC",Inventario!B7)),"PVC",
IF(ISNUMBER(SEARCH("PAPEL",Inventario!B7)),"PAP",
IF(ISNUMBER(SEARCH("TELA",Inventario!B7)),"TEL",
IF(ISNUMBER(SEARCH("CARTULINA",Inventario!B7)),"CAR",
IF(OR(ISNUMBER(SEARCH("LAMINA",Inventario!B7)),ISNUMBER(SEARCH("LÁMINA",Inventario!B7))),"LAM",
IF(ISNUMBER(SEARCH("ESTIRENO",Inventario!B7)),"EST",
IF(ISNUMBER(SEARCH("FOAMBOARD",Inventario!B7)),"FOA",
IF(ISNUMBER(SEARCH("SOLVENTE",Inventario!B7)),"SOL",
IF(ISNUMBER(SEARCH("TINTA",Inventario!B7)),"TIN",
IF(ISNUMBER(SEARCH("ACRILICO",Inventario!B7)),"ACR",
IF(ISNUMBER(SEARCH("LED",Inventario!B7)),"LED",
IF(ISNUMBER(SEARCH("FUENTE",Inventario!B7)),"FUE",
IF(ISNUMBER(SEARCH("PETG",Inventario!B7)),"PET",
IF(ISNUMBER(SEARCH("ALUMINIO",Inventario!B7)),"ALU",
IF(ISNUMBER(SEARCH("CANAL",Inventario!B7)),"CAN",
IF(ISNUMBER(SEARCH("ESCUADRA",Inventario!B7)),"ESC",
IF(ISNUMBER(SEARCH("SOPORTE",Inventario!B7)),"SOP","OTR")
)))))))))))))))))))</f>
        <v>LON</v>
      </c>
      <c r="B8" t="str">
        <f>IF(ISNUMBER(SEARCH("CORTE",Inventario!B7)),"COR",
IF(ISNUMBER(SEARCH("CRISTAL",Inventario!B7)),"CR",
IF(OR(ISNUMBER(SEARCH("OPTICO",Inventario!B7)),ISNUMBER(SEARCH("OPTICOS",Inventario!B7)),ISNUMBER(SEARCH("OPTICA",Inventario!B7))),"OP",
IF(ISNUMBER(SEARCH("NANO",Inventario!B7)),"NA",
IF(ISNUMBER(SEARCH("5050",Inventario!B7)),"5050",
IF(ISNUMBER(SEARCH("MICRO",Inventario!B7)),"MI",""))))))</f>
        <v/>
      </c>
      <c r="C8" t="str">
        <f>IF(ISNUMBER(SEARCH("PARED",Inventario!B7)),"PAR",IF(ISNUMBER(SEARCH("MATE",Inventario!B7)),"MAT",
IF(ISNUMBER(SEARCH("FRONT",Inventario!B7)),"FRO",
IF(ISNUMBER(SEARCH("BACK",Inventario!B7)),"BAC",
IF(ISNUMBER(SEARCH("MESH",Inventario!B7)),"MES",
IF(OR(ISNUMBER(SEARCH("BRILLANTE",Inventario!B7)),ISNUMBER(SEARCH("BTE",Inventario!B7))),"BRI",
IF(ISNUMBER(SEARCH("SINTETICA DELGADA",Inventario!B7)),"SD",
IF(ISNUMBER(SEARCH("SINTETICA GRUESA",Inventario!B7)),"SG",
IF(ISNUMBER(SEARCH("ESTATICO",Inventario!B7)),"EST",
IF(ISNUMBER(SEARCH("FLOOR",Inventario!B7)),"FLO",
IF(ISNUMBER(SEARCH("REFLECTIVO",Inventario!B7)),"REF",
IF(ISNUMBER(SEARCH("MICROPERFORADO",Inventario!B7)),"MI",
IF(ISNUMBER(SEARCH("CEPILLADO",Inventario!B7)),"CEP",
IF(ISNUMBER(SEARCH("ESPEJO",Inventario!B7)),"ESP",
IF(OR(ISNUMBER(SEARCH("UNIDIODO",Inventario!B7)),ISNUMBER(SEARCH("1 DIODO",Inventario!B7))),"1D",
IF(ISNUMBER(SEARCH("2 DIODOS",Inventario!B7)),"2D",
IF(ISNUMBER(SEARCH("3 DIODOS",Inventario!B7)),"3D","")))))))))))))))))</f>
        <v>FRO</v>
      </c>
      <c r="D8" t="str">
        <f>IF(ISNUMBER(SEARCH("LX700",Inventario!B7)),"LX7",
IF(ISNUMBER(SEARCH("GRANDO",Inventario!B7)),"GRA",
IF(OR(ISNUMBER(SEARCH("CAMA PLANA",Inventario!B7)),ISNUMBER(SEARCH("FB700",Inventario!B7))),"CP",
IF(ISNUMBER(SEARCH("LX360",Inventario!B7)),"LX3",
IF(ISNUMBER(SEARCH("XEROX",Inventario!B7)),"XER",
IF(ISNUMBER(SEARCH("18 OZ",Inventario!B7)),"18OZ",
IF(ISNUMBER(SEARCH("15 OZ",Inventario!B7)),"15OZ",
IF(OR(ISNUMBER(SEARCH("13 OZ",Inventario!B7)),ISNUMBER(SEARCH("13 ONZAS",Inventario!B7))),"13OZ",
IF(OR(ISNUMBER(SEARCH("9 OZ",Inventario!B7)),ISNUMBER(SEARCH("9 ONZAS",Inventario!B7))),"09OZ","")))))))))</f>
        <v>09OZ</v>
      </c>
      <c r="E8" t="str">
        <f>IF(OR(ISNUMBER(SEARCH("TRANSPARENTE",Inventario!B7)),ISNUMBER(SEARCH("TRANSPARENTES",Inventario!B7))),"TR",
IF(OR(ISNUMBER(SEARCH("BLANCO",Inventario!B7)),ISNUMBER(SEARCH("BCO",Inventario!B7))),"BL",
IF(ISNUMBER(SEARCH("VERDE",Inventario!B7)),"VR",
IF(ISNUMBER(SEARCH("MORADO",Inventario!B7)),"MR",
IF(ISNUMBER(SEARCH("PLATA",Inventario!B7)),"PL",
IF(ISNUMBER(SEARCH("ORO",Inventario!B7)),"OR",
IF(ISNUMBER(SEARCH("AMARILLO",Inventario!B7)),"AM",
IF(ISNUMBER(SEARCH("NARANJA",Inventario!B7)),"NR",
IF(ISNUMBER(SEARCH("NEGRO",Inventario!B7)),"NG",
IF(ISNUMBER(SEARCH("ROJO",Inventario!B7)),"RJ",
IF(ISNUMBER(SEARCH("AZUL",Inventario!B7)),"AZ","")))))))))))</f>
        <v/>
      </c>
      <c r="F8" t="str">
        <f>IF(ISNUMBER(SEARCH("1,2 MM",Inventario!B7)),"1MM2",
IF(OR(ISNUMBER(SEARCH("2 MM",Inventario!B7)),ISNUMBER(SEARCH("2MM",Inventario!B7))),"2MM",
IF(OR(ISNUMBER(SEARCH("3 MM",Inventario!B7)),ISNUMBER(SEARCH("3MM",Inventario!B7))),"3MM",
IF(OR(ISNUMBER(SEARCH("4 MM",Inventario!B7)),ISNUMBER(SEARCH("4MM",Inventario!B7)),ISNUMBER(SEARCH("4 mm",Inventario!B7))),"4MM",
IF(OR(ISNUMBER(SEARCH("5 MM",Inventario!B7)),ISNUMBER(SEARCH("5MM",Inventario!B7))),"5MM",
IF(OR(ISNUMBER(SEARCH("6 MM",Inventario!B7)),ISNUMBER(SEARCH("6MM",Inventario!B7))),"6MM",
IF(OR(ISNUMBER(SEARCH("10 MM",Inventario!B7)),ISNUMBER(SEARCH("10MM",Inventario!B7))),"10MM","")))))))</f>
        <v/>
      </c>
      <c r="G8" t="str">
        <f>IF(ISNUMBER(SEARCH("ALTA RESISTENCIA",Inventario!B7)),"AR",IF(ISNUMBER(SEARCH("CAMPAÑA",Inventario!B7)),"CA",
IF(OR(ISNUMBER(SEARCH("CALIDO",Inventario!B7)),ISNUMBER(SEARCH("CÁLIDO",Inventario!B7))),"C",
IF(OR(ISNUMBER(SEARCH("TRASLUCIDO",Inventario!B7)),ISNUMBER(SEARCH("TRANSLUCIDO",Inventario!B7))),"TL",
IF(ISNUMBER(SEARCH("NEUTRO",Inventario!B7)),"N",
IF(ISNUMBER(SEARCH("FRIO",Inventario!B7)),"F",""))))))</f>
        <v>CA</v>
      </c>
      <c r="H8" t="str">
        <f>IF(ISNUMBER(SEARCH("SILED",Inventario!B7)),"SI",
IF(ISNUMBER(SEARCH("SYDEMEX",Inventario!B7)),"SY",
IF(ISNUMBER(SEARCH("ROHS",Inventario!B7)),"RO",
IF(ISNUMBER(SEARCH("RISHANG",Inventario!B7)),"RS",
IF(ISNUMBER(SEARCH("VYG",Inventario!B7)),"VYG",
IF(ISNUMBER(SEARCH("COLED",Inventario!B7)),"CO",""))))))</f>
        <v/>
      </c>
    </row>
    <row r="9" spans="1:8">
      <c r="A9" t="str">
        <f>IF(ISNUMBER(SEARCH("LONA",Inventario!B8)),"LON",
IF(ISNUMBER(SEARCH("VINIL",Inventario!B8)),"VIN",
IF(ISNUMBER(SEARCH("PANEL DE ALUMINIO COMPUESTO",Inventario!B8)),"PAN-ALU-COM",
IF(ISNUMBER(SEARCH("PVC",Inventario!B8)),"PVC",
IF(ISNUMBER(SEARCH("PAPEL",Inventario!B8)),"PAP",
IF(ISNUMBER(SEARCH("TELA",Inventario!B8)),"TEL",
IF(ISNUMBER(SEARCH("CARTULINA",Inventario!B8)),"CAR",
IF(OR(ISNUMBER(SEARCH("LAMINA",Inventario!B8)),ISNUMBER(SEARCH("LÁMINA",Inventario!B8))),"LAM",
IF(ISNUMBER(SEARCH("ESTIRENO",Inventario!B8)),"EST",
IF(ISNUMBER(SEARCH("FOAMBOARD",Inventario!B8)),"FOA",
IF(ISNUMBER(SEARCH("SOLVENTE",Inventario!B8)),"SOL",
IF(ISNUMBER(SEARCH("TINTA",Inventario!B8)),"TIN",
IF(ISNUMBER(SEARCH("ACRILICO",Inventario!B8)),"ACR",
IF(ISNUMBER(SEARCH("LED",Inventario!B8)),"LED",
IF(ISNUMBER(SEARCH("FUENTE",Inventario!B8)),"FUE",
IF(ISNUMBER(SEARCH("PETG",Inventario!B8)),"PET",
IF(ISNUMBER(SEARCH("ALUMINIO",Inventario!B8)),"ALU",
IF(ISNUMBER(SEARCH("CANAL",Inventario!B8)),"CAN",
IF(ISNUMBER(SEARCH("ESCUADRA",Inventario!B8)),"ESC",
IF(ISNUMBER(SEARCH("SOPORTE",Inventario!B8)),"SOP","OTR")
)))))))))))))))))))</f>
        <v>LON</v>
      </c>
      <c r="B9" t="str">
        <f>IF(ISNUMBER(SEARCH("CORTE",Inventario!B8)),"COR",
IF(ISNUMBER(SEARCH("CRISTAL",Inventario!B8)),"CR",
IF(OR(ISNUMBER(SEARCH("OPTICO",Inventario!B8)),ISNUMBER(SEARCH("OPTICOS",Inventario!B8)),ISNUMBER(SEARCH("OPTICA",Inventario!B8))),"OP",
IF(ISNUMBER(SEARCH("NANO",Inventario!B8)),"NA",
IF(ISNUMBER(SEARCH("5050",Inventario!B8)),"5050",
IF(ISNUMBER(SEARCH("MICRO",Inventario!B8)),"MI",""))))))</f>
        <v/>
      </c>
      <c r="C9" t="str">
        <f>IF(ISNUMBER(SEARCH("PARED",Inventario!B8)),"PAR",IF(ISNUMBER(SEARCH("MATE",Inventario!B8)),"MAT",
IF(ISNUMBER(SEARCH("FRONT",Inventario!B8)),"FRO",
IF(ISNUMBER(SEARCH("BACK",Inventario!B8)),"BAC",
IF(ISNUMBER(SEARCH("MESH",Inventario!B8)),"MES",
IF(OR(ISNUMBER(SEARCH("BRILLANTE",Inventario!B8)),ISNUMBER(SEARCH("BTE",Inventario!B8))),"BRI",
IF(ISNUMBER(SEARCH("SINTETICA DELGADA",Inventario!B8)),"SD",
IF(ISNUMBER(SEARCH("SINTETICA GRUESA",Inventario!B8)),"SG",
IF(ISNUMBER(SEARCH("ESTATICO",Inventario!B8)),"EST",
IF(ISNUMBER(SEARCH("FLOOR",Inventario!B8)),"FLO",
IF(ISNUMBER(SEARCH("REFLECTIVO",Inventario!B8)),"REF",
IF(ISNUMBER(SEARCH("MICROPERFORADO",Inventario!B8)),"MI",
IF(ISNUMBER(SEARCH("CEPILLADO",Inventario!B8)),"CEP",
IF(ISNUMBER(SEARCH("ESPEJO",Inventario!B8)),"ESP",
IF(OR(ISNUMBER(SEARCH("UNIDIODO",Inventario!B8)),ISNUMBER(SEARCH("1 DIODO",Inventario!B8))),"1D",
IF(ISNUMBER(SEARCH("2 DIODOS",Inventario!B8)),"2D",
IF(ISNUMBER(SEARCH("3 DIODOS",Inventario!B8)),"3D","")))))))))))))))))</f>
        <v>FRO</v>
      </c>
      <c r="D9" t="str">
        <f>IF(ISNUMBER(SEARCH("LX700",Inventario!B8)),"LX7",
IF(ISNUMBER(SEARCH("GRANDO",Inventario!B8)),"GRA",
IF(OR(ISNUMBER(SEARCH("CAMA PLANA",Inventario!B8)),ISNUMBER(SEARCH("FB700",Inventario!B8))),"CP",
IF(ISNUMBER(SEARCH("LX360",Inventario!B8)),"LX3",
IF(ISNUMBER(SEARCH("XEROX",Inventario!B8)),"XER",
IF(ISNUMBER(SEARCH("18 OZ",Inventario!B8)),"18OZ",
IF(ISNUMBER(SEARCH("15 OZ",Inventario!B8)),"15OZ",
IF(OR(ISNUMBER(SEARCH("13 OZ",Inventario!B8)),ISNUMBER(SEARCH("13 ONZAS",Inventario!B8))),"13OZ",
IF(OR(ISNUMBER(SEARCH("9 OZ",Inventario!B8)),ISNUMBER(SEARCH("9 ONZAS",Inventario!B8))),"09OZ","")))))))))</f>
        <v>09OZ</v>
      </c>
      <c r="E9" t="str">
        <f>IF(OR(ISNUMBER(SEARCH("TRANSPARENTE",Inventario!B8)),ISNUMBER(SEARCH("TRANSPARENTES",Inventario!B8))),"TR",
IF(OR(ISNUMBER(SEARCH("BLANCO",Inventario!B8)),ISNUMBER(SEARCH("BCO",Inventario!B8))),"BL",
IF(ISNUMBER(SEARCH("VERDE",Inventario!B8)),"VR",
IF(ISNUMBER(SEARCH("MORADO",Inventario!B8)),"MR",
IF(ISNUMBER(SEARCH("PLATA",Inventario!B8)),"PL",
IF(ISNUMBER(SEARCH("ORO",Inventario!B8)),"OR",
IF(ISNUMBER(SEARCH("AMARILLO",Inventario!B8)),"AM",
IF(ISNUMBER(SEARCH("NARANJA",Inventario!B8)),"NR",
IF(ISNUMBER(SEARCH("NEGRO",Inventario!B8)),"NG",
IF(ISNUMBER(SEARCH("ROJO",Inventario!B8)),"RJ",
IF(ISNUMBER(SEARCH("AZUL",Inventario!B8)),"AZ","")))))))))))</f>
        <v/>
      </c>
      <c r="F9" t="str">
        <f>IF(ISNUMBER(SEARCH("1,2 MM",Inventario!B8)),"1MM2",
IF(OR(ISNUMBER(SEARCH("2 MM",Inventario!B8)),ISNUMBER(SEARCH("2MM",Inventario!B8))),"2MM",
IF(OR(ISNUMBER(SEARCH("3 MM",Inventario!B8)),ISNUMBER(SEARCH("3MM",Inventario!B8))),"3MM",
IF(OR(ISNUMBER(SEARCH("4 MM",Inventario!B8)),ISNUMBER(SEARCH("4MM",Inventario!B8)),ISNUMBER(SEARCH("4 mm",Inventario!B8))),"4MM",
IF(OR(ISNUMBER(SEARCH("5 MM",Inventario!B8)),ISNUMBER(SEARCH("5MM",Inventario!B8))),"5MM",
IF(OR(ISNUMBER(SEARCH("6 MM",Inventario!B8)),ISNUMBER(SEARCH("6MM",Inventario!B8))),"6MM",
IF(OR(ISNUMBER(SEARCH("10 MM",Inventario!B8)),ISNUMBER(SEARCH("10MM",Inventario!B8))),"10MM","")))))))</f>
        <v/>
      </c>
      <c r="G9" t="str">
        <f>IF(ISNUMBER(SEARCH("ALTA RESISTENCIA",Inventario!B8)),"AR",IF(ISNUMBER(SEARCH("CAMPAÑA",Inventario!B8)),"CA",
IF(OR(ISNUMBER(SEARCH("CALIDO",Inventario!B8)),ISNUMBER(SEARCH("CÁLIDO",Inventario!B8))),"C",
IF(OR(ISNUMBER(SEARCH("TRASLUCIDO",Inventario!B8)),ISNUMBER(SEARCH("TRANSLUCIDO",Inventario!B8))),"TL",
IF(ISNUMBER(SEARCH("NEUTRO",Inventario!B8)),"N",
IF(ISNUMBER(SEARCH("FRIO",Inventario!B8)),"F",""))))))</f>
        <v>CA</v>
      </c>
      <c r="H9" t="str">
        <f>IF(ISNUMBER(SEARCH("SILED",Inventario!B8)),"SI",
IF(ISNUMBER(SEARCH("SYDEMEX",Inventario!B8)),"SY",
IF(ISNUMBER(SEARCH("ROHS",Inventario!B8)),"RO",
IF(ISNUMBER(SEARCH("RISHANG",Inventario!B8)),"RS",
IF(ISNUMBER(SEARCH("VYG",Inventario!B8)),"VYG",
IF(ISNUMBER(SEARCH("COLED",Inventario!B8)),"CO",""))))))</f>
        <v/>
      </c>
    </row>
    <row r="10" spans="1:8">
      <c r="A10" t="str">
        <f>IF(ISNUMBER(SEARCH("LONA",Inventario!B9)),"LON",
IF(ISNUMBER(SEARCH("VINIL",Inventario!B9)),"VIN",
IF(ISNUMBER(SEARCH("PANEL DE ALUMINIO COMPUESTO",Inventario!B9)),"PAN-ALU-COM",
IF(ISNUMBER(SEARCH("PVC",Inventario!B9)),"PVC",
IF(ISNUMBER(SEARCH("PAPEL",Inventario!B9)),"PAP",
IF(ISNUMBER(SEARCH("TELA",Inventario!B9)),"TEL",
IF(ISNUMBER(SEARCH("CARTULINA",Inventario!B9)),"CAR",
IF(OR(ISNUMBER(SEARCH("LAMINA",Inventario!B9)),ISNUMBER(SEARCH("LÁMINA",Inventario!B9))),"LAM",
IF(ISNUMBER(SEARCH("ESTIRENO",Inventario!B9)),"EST",
IF(ISNUMBER(SEARCH("FOAMBOARD",Inventario!B9)),"FOA",
IF(ISNUMBER(SEARCH("SOLVENTE",Inventario!B9)),"SOL",
IF(ISNUMBER(SEARCH("TINTA",Inventario!B9)),"TIN",
IF(ISNUMBER(SEARCH("ACRILICO",Inventario!B9)),"ACR",
IF(ISNUMBER(SEARCH("LED",Inventario!B9)),"LED",
IF(ISNUMBER(SEARCH("FUENTE",Inventario!B9)),"FUE",
IF(ISNUMBER(SEARCH("PETG",Inventario!B9)),"PET",
IF(ISNUMBER(SEARCH("ALUMINIO",Inventario!B9)),"ALU",
IF(ISNUMBER(SEARCH("CANAL",Inventario!B9)),"CAN",
IF(ISNUMBER(SEARCH("ESCUADRA",Inventario!B9)),"ESC",
IF(ISNUMBER(SEARCH("SOPORTE",Inventario!B9)),"SOP","OTR")
)))))))))))))))))))</f>
        <v>LON</v>
      </c>
      <c r="B10" t="str">
        <f>IF(ISNUMBER(SEARCH("CORTE",Inventario!B9)),"COR",
IF(ISNUMBER(SEARCH("CRISTAL",Inventario!B9)),"CR",
IF(OR(ISNUMBER(SEARCH("OPTICO",Inventario!B9)),ISNUMBER(SEARCH("OPTICOS",Inventario!B9)),ISNUMBER(SEARCH("OPTICA",Inventario!B9))),"OP",
IF(ISNUMBER(SEARCH("NANO",Inventario!B9)),"NA",
IF(ISNUMBER(SEARCH("5050",Inventario!B9)),"5050",
IF(ISNUMBER(SEARCH("MICRO",Inventario!B9)),"MI",""))))))</f>
        <v/>
      </c>
      <c r="C10" t="str">
        <f>IF(ISNUMBER(SEARCH("PARED",Inventario!B9)),"PAR",IF(ISNUMBER(SEARCH("MATE",Inventario!B9)),"MAT",
IF(ISNUMBER(SEARCH("FRONT",Inventario!B9)),"FRO",
IF(ISNUMBER(SEARCH("BACK",Inventario!B9)),"BAC",
IF(ISNUMBER(SEARCH("MESH",Inventario!B9)),"MES",
IF(OR(ISNUMBER(SEARCH("BRILLANTE",Inventario!B9)),ISNUMBER(SEARCH("BTE",Inventario!B9))),"BRI",
IF(ISNUMBER(SEARCH("SINTETICA DELGADA",Inventario!B9)),"SD",
IF(ISNUMBER(SEARCH("SINTETICA GRUESA",Inventario!B9)),"SG",
IF(ISNUMBER(SEARCH("ESTATICO",Inventario!B9)),"EST",
IF(ISNUMBER(SEARCH("FLOOR",Inventario!B9)),"FLO",
IF(ISNUMBER(SEARCH("REFLECTIVO",Inventario!B9)),"REF",
IF(ISNUMBER(SEARCH("MICROPERFORADO",Inventario!B9)),"MI",
IF(ISNUMBER(SEARCH("CEPILLADO",Inventario!B9)),"CEP",
IF(ISNUMBER(SEARCH("ESPEJO",Inventario!B9)),"ESP",
IF(OR(ISNUMBER(SEARCH("UNIDIODO",Inventario!B9)),ISNUMBER(SEARCH("1 DIODO",Inventario!B9))),"1D",
IF(ISNUMBER(SEARCH("2 DIODOS",Inventario!B9)),"2D",
IF(ISNUMBER(SEARCH("3 DIODOS",Inventario!B9)),"3D","")))))))))))))))))</f>
        <v>FRO</v>
      </c>
      <c r="D10" t="str">
        <f>IF(ISNUMBER(SEARCH("LX700",Inventario!B9)),"LX7",
IF(ISNUMBER(SEARCH("GRANDO",Inventario!B9)),"GRA",
IF(OR(ISNUMBER(SEARCH("CAMA PLANA",Inventario!B9)),ISNUMBER(SEARCH("FB700",Inventario!B9))),"CP",
IF(ISNUMBER(SEARCH("LX360",Inventario!B9)),"LX3",
IF(ISNUMBER(SEARCH("XEROX",Inventario!B9)),"XER",
IF(ISNUMBER(SEARCH("18 OZ",Inventario!B9)),"18OZ",
IF(ISNUMBER(SEARCH("15 OZ",Inventario!B9)),"15OZ",
IF(OR(ISNUMBER(SEARCH("13 OZ",Inventario!B9)),ISNUMBER(SEARCH("13 ONZAS",Inventario!B9))),"13OZ",
IF(OR(ISNUMBER(SEARCH("9 OZ",Inventario!B9)),ISNUMBER(SEARCH("9 ONZAS",Inventario!B9))),"09OZ","")))))))))</f>
        <v>13OZ</v>
      </c>
      <c r="E10" t="str">
        <f>IF(OR(ISNUMBER(SEARCH("TRANSPARENTE",Inventario!B9)),ISNUMBER(SEARCH("TRANSPARENTES",Inventario!B9))),"TR",
IF(OR(ISNUMBER(SEARCH("BLANCO",Inventario!B9)),ISNUMBER(SEARCH("BCO",Inventario!B9))),"BL",
IF(ISNUMBER(SEARCH("VERDE",Inventario!B9)),"VR",
IF(ISNUMBER(SEARCH("MORADO",Inventario!B9)),"MR",
IF(ISNUMBER(SEARCH("PLATA",Inventario!B9)),"PL",
IF(ISNUMBER(SEARCH("ORO",Inventario!B9)),"OR",
IF(ISNUMBER(SEARCH("AMARILLO",Inventario!B9)),"AM",
IF(ISNUMBER(SEARCH("NARANJA",Inventario!B9)),"NR",
IF(ISNUMBER(SEARCH("NEGRO",Inventario!B9)),"NG",
IF(ISNUMBER(SEARCH("ROJO",Inventario!B9)),"RJ",
IF(ISNUMBER(SEARCH("AZUL",Inventario!B9)),"AZ","")))))))))))</f>
        <v/>
      </c>
      <c r="F10" t="str">
        <f>IF(ISNUMBER(SEARCH("1,2 MM",Inventario!B9)),"1MM2",
IF(OR(ISNUMBER(SEARCH("2 MM",Inventario!B9)),ISNUMBER(SEARCH("2MM",Inventario!B9))),"2MM",
IF(OR(ISNUMBER(SEARCH("3 MM",Inventario!B9)),ISNUMBER(SEARCH("3MM",Inventario!B9))),"3MM",
IF(OR(ISNUMBER(SEARCH("4 MM",Inventario!B9)),ISNUMBER(SEARCH("4MM",Inventario!B9)),ISNUMBER(SEARCH("4 mm",Inventario!B9))),"4MM",
IF(OR(ISNUMBER(SEARCH("5 MM",Inventario!B9)),ISNUMBER(SEARCH("5MM",Inventario!B9))),"5MM",
IF(OR(ISNUMBER(SEARCH("6 MM",Inventario!B9)),ISNUMBER(SEARCH("6MM",Inventario!B9))),"6MM",
IF(OR(ISNUMBER(SEARCH("10 MM",Inventario!B9)),ISNUMBER(SEARCH("10MM",Inventario!B9))),"10MM","")))))))</f>
        <v/>
      </c>
      <c r="G10" t="str">
        <f>IF(ISNUMBER(SEARCH("ALTA RESISTENCIA",Inventario!B9)),"AR",IF(ISNUMBER(SEARCH("CAMPAÑA",Inventario!B9)),"CA",
IF(OR(ISNUMBER(SEARCH("CALIDO",Inventario!B9)),ISNUMBER(SEARCH("CÁLIDO",Inventario!B9))),"C",
IF(OR(ISNUMBER(SEARCH("TRASLUCIDO",Inventario!B9)),ISNUMBER(SEARCH("TRANSLUCIDO",Inventario!B9))),"TL",
IF(ISNUMBER(SEARCH("NEUTRO",Inventario!B9)),"N",
IF(ISNUMBER(SEARCH("FRIO",Inventario!B9)),"F",""))))))</f>
        <v>AR</v>
      </c>
      <c r="H10" t="str">
        <f>IF(ISNUMBER(SEARCH("SILED",Inventario!B9)),"SI",
IF(ISNUMBER(SEARCH("SYDEMEX",Inventario!B9)),"SY",
IF(ISNUMBER(SEARCH("ROHS",Inventario!B9)),"RO",
IF(ISNUMBER(SEARCH("RISHANG",Inventario!B9)),"RS",
IF(ISNUMBER(SEARCH("VYG",Inventario!B9)),"VYG",
IF(ISNUMBER(SEARCH("COLED",Inventario!B9)),"CO",""))))))</f>
        <v/>
      </c>
    </row>
    <row r="11" spans="1:8">
      <c r="A11" t="str">
        <f>IF(ISNUMBER(SEARCH("LONA",Inventario!B10)),"LON",
IF(ISNUMBER(SEARCH("VINIL",Inventario!B10)),"VIN",
IF(ISNUMBER(SEARCH("PANEL DE ALUMINIO COMPUESTO",Inventario!B10)),"PAN-ALU-COM",
IF(ISNUMBER(SEARCH("PVC",Inventario!B10)),"PVC",
IF(ISNUMBER(SEARCH("PAPEL",Inventario!B10)),"PAP",
IF(ISNUMBER(SEARCH("TELA",Inventario!B10)),"TEL",
IF(ISNUMBER(SEARCH("CARTULINA",Inventario!B10)),"CAR",
IF(OR(ISNUMBER(SEARCH("LAMINA",Inventario!B10)),ISNUMBER(SEARCH("LÁMINA",Inventario!B10))),"LAM",
IF(ISNUMBER(SEARCH("ESTIRENO",Inventario!B10)),"EST",
IF(ISNUMBER(SEARCH("FOAMBOARD",Inventario!B10)),"FOA",
IF(ISNUMBER(SEARCH("SOLVENTE",Inventario!B10)),"SOL",
IF(ISNUMBER(SEARCH("TINTA",Inventario!B10)),"TIN",
IF(ISNUMBER(SEARCH("ACRILICO",Inventario!B10)),"ACR",
IF(ISNUMBER(SEARCH("LED",Inventario!B10)),"LED",
IF(ISNUMBER(SEARCH("FUENTE",Inventario!B10)),"FUE",
IF(ISNUMBER(SEARCH("PETG",Inventario!B10)),"PET",
IF(ISNUMBER(SEARCH("ALUMINIO",Inventario!B10)),"ALU",
IF(ISNUMBER(SEARCH("CANAL",Inventario!B10)),"CAN",
IF(ISNUMBER(SEARCH("ESCUADRA",Inventario!B10)),"ESC",
IF(ISNUMBER(SEARCH("SOPORTE",Inventario!B10)),"SOP","OTR")
)))))))))))))))))))</f>
        <v>LON</v>
      </c>
      <c r="B11" t="str">
        <f>IF(ISNUMBER(SEARCH("CORTE",Inventario!B10)),"COR",
IF(ISNUMBER(SEARCH("CRISTAL",Inventario!B10)),"CR",
IF(OR(ISNUMBER(SEARCH("OPTICO",Inventario!B10)),ISNUMBER(SEARCH("OPTICOS",Inventario!B10)),ISNUMBER(SEARCH("OPTICA",Inventario!B10))),"OP",
IF(ISNUMBER(SEARCH("NANO",Inventario!B10)),"NA",
IF(ISNUMBER(SEARCH("5050",Inventario!B10)),"5050",
IF(ISNUMBER(SEARCH("MICRO",Inventario!B10)),"MI",""))))))</f>
        <v/>
      </c>
      <c r="C11" t="str">
        <f>IF(ISNUMBER(SEARCH("PARED",Inventario!B10)),"PAR",IF(ISNUMBER(SEARCH("MATE",Inventario!B10)),"MAT",
IF(ISNUMBER(SEARCH("FRONT",Inventario!B10)),"FRO",
IF(ISNUMBER(SEARCH("BACK",Inventario!B10)),"BAC",
IF(ISNUMBER(SEARCH("MESH",Inventario!B10)),"MES",
IF(OR(ISNUMBER(SEARCH("BRILLANTE",Inventario!B10)),ISNUMBER(SEARCH("BTE",Inventario!B10))),"BRI",
IF(ISNUMBER(SEARCH("SINTETICA DELGADA",Inventario!B10)),"SD",
IF(ISNUMBER(SEARCH("SINTETICA GRUESA",Inventario!B10)),"SG",
IF(ISNUMBER(SEARCH("ESTATICO",Inventario!B10)),"EST",
IF(ISNUMBER(SEARCH("FLOOR",Inventario!B10)),"FLO",
IF(ISNUMBER(SEARCH("REFLECTIVO",Inventario!B10)),"REF",
IF(ISNUMBER(SEARCH("MICROPERFORADO",Inventario!B10)),"MI",
IF(ISNUMBER(SEARCH("CEPILLADO",Inventario!B10)),"CEP",
IF(ISNUMBER(SEARCH("ESPEJO",Inventario!B10)),"ESP",
IF(OR(ISNUMBER(SEARCH("UNIDIODO",Inventario!B10)),ISNUMBER(SEARCH("1 DIODO",Inventario!B10))),"1D",
IF(ISNUMBER(SEARCH("2 DIODOS",Inventario!B10)),"2D",
IF(ISNUMBER(SEARCH("3 DIODOS",Inventario!B10)),"3D","")))))))))))))))))</f>
        <v>FRO</v>
      </c>
      <c r="D11" t="str">
        <f>IF(ISNUMBER(SEARCH("LX700",Inventario!B10)),"LX7",
IF(ISNUMBER(SEARCH("GRANDO",Inventario!B10)),"GRA",
IF(OR(ISNUMBER(SEARCH("CAMA PLANA",Inventario!B10)),ISNUMBER(SEARCH("FB700",Inventario!B10))),"CP",
IF(ISNUMBER(SEARCH("LX360",Inventario!B10)),"LX3",
IF(ISNUMBER(SEARCH("XEROX",Inventario!B10)),"XER",
IF(ISNUMBER(SEARCH("18 OZ",Inventario!B10)),"18OZ",
IF(ISNUMBER(SEARCH("15 OZ",Inventario!B10)),"15OZ",
IF(OR(ISNUMBER(SEARCH("13 OZ",Inventario!B10)),ISNUMBER(SEARCH("13 ONZAS",Inventario!B10))),"13OZ",
IF(OR(ISNUMBER(SEARCH("9 OZ",Inventario!B10)),ISNUMBER(SEARCH("9 ONZAS",Inventario!B10))),"09OZ","")))))))))</f>
        <v>13OZ</v>
      </c>
      <c r="E11" t="str">
        <f>IF(OR(ISNUMBER(SEARCH("TRANSPARENTE",Inventario!B10)),ISNUMBER(SEARCH("TRANSPARENTES",Inventario!B10))),"TR",
IF(OR(ISNUMBER(SEARCH("BLANCO",Inventario!B10)),ISNUMBER(SEARCH("BCO",Inventario!B10))),"BL",
IF(ISNUMBER(SEARCH("VERDE",Inventario!B10)),"VR",
IF(ISNUMBER(SEARCH("MORADO",Inventario!B10)),"MR",
IF(ISNUMBER(SEARCH("PLATA",Inventario!B10)),"PL",
IF(ISNUMBER(SEARCH("ORO",Inventario!B10)),"OR",
IF(ISNUMBER(SEARCH("AMARILLO",Inventario!B10)),"AM",
IF(ISNUMBER(SEARCH("NARANJA",Inventario!B10)),"NR",
IF(ISNUMBER(SEARCH("NEGRO",Inventario!B10)),"NG",
IF(ISNUMBER(SEARCH("ROJO",Inventario!B10)),"RJ",
IF(ISNUMBER(SEARCH("AZUL",Inventario!B10)),"AZ","")))))))))))</f>
        <v/>
      </c>
      <c r="F11" t="str">
        <f>IF(ISNUMBER(SEARCH("1,2 MM",Inventario!B10)),"1MM2",
IF(OR(ISNUMBER(SEARCH("2 MM",Inventario!B10)),ISNUMBER(SEARCH("2MM",Inventario!B10))),"2MM",
IF(OR(ISNUMBER(SEARCH("3 MM",Inventario!B10)),ISNUMBER(SEARCH("3MM",Inventario!B10))),"3MM",
IF(OR(ISNUMBER(SEARCH("4 MM",Inventario!B10)),ISNUMBER(SEARCH("4MM",Inventario!B10)),ISNUMBER(SEARCH("4 mm",Inventario!B10))),"4MM",
IF(OR(ISNUMBER(SEARCH("5 MM",Inventario!B10)),ISNUMBER(SEARCH("5MM",Inventario!B10))),"5MM",
IF(OR(ISNUMBER(SEARCH("6 MM",Inventario!B10)),ISNUMBER(SEARCH("6MM",Inventario!B10))),"6MM",
IF(OR(ISNUMBER(SEARCH("10 MM",Inventario!B10)),ISNUMBER(SEARCH("10MM",Inventario!B10))),"10MM","")))))))</f>
        <v/>
      </c>
      <c r="G11" t="str">
        <f>IF(ISNUMBER(SEARCH("ALTA RESISTENCIA",Inventario!B10)),"AR",IF(ISNUMBER(SEARCH("CAMPAÑA",Inventario!B10)),"CA",
IF(OR(ISNUMBER(SEARCH("CALIDO",Inventario!B10)),ISNUMBER(SEARCH("CÁLIDO",Inventario!B10))),"C",
IF(OR(ISNUMBER(SEARCH("TRASLUCIDO",Inventario!B10)),ISNUMBER(SEARCH("TRANSLUCIDO",Inventario!B10))),"TL",
IF(ISNUMBER(SEARCH("NEUTRO",Inventario!B10)),"N",
IF(ISNUMBER(SEARCH("FRIO",Inventario!B10)),"F",""))))))</f>
        <v>AR</v>
      </c>
      <c r="H11" t="str">
        <f>IF(ISNUMBER(SEARCH("SILED",Inventario!B10)),"SI",
IF(ISNUMBER(SEARCH("SYDEMEX",Inventario!B10)),"SY",
IF(ISNUMBER(SEARCH("ROHS",Inventario!B10)),"RO",
IF(ISNUMBER(SEARCH("RISHANG",Inventario!B10)),"RS",
IF(ISNUMBER(SEARCH("VYG",Inventario!B10)),"VYG",
IF(ISNUMBER(SEARCH("COLED",Inventario!B10)),"CO",""))))))</f>
        <v/>
      </c>
    </row>
    <row r="12" spans="1:8">
      <c r="A12" t="str">
        <f>IF(ISNUMBER(SEARCH("LONA",Inventario!B11)),"LON",
IF(ISNUMBER(SEARCH("VINIL",Inventario!B11)),"VIN",
IF(ISNUMBER(SEARCH("PANEL DE ALUMINIO COMPUESTO",Inventario!B11)),"PAN-ALU-COM",
IF(ISNUMBER(SEARCH("PVC",Inventario!B11)),"PVC",
IF(ISNUMBER(SEARCH("PAPEL",Inventario!B11)),"PAP",
IF(ISNUMBER(SEARCH("TELA",Inventario!B11)),"TEL",
IF(ISNUMBER(SEARCH("CARTULINA",Inventario!B11)),"CAR",
IF(OR(ISNUMBER(SEARCH("LAMINA",Inventario!B11)),ISNUMBER(SEARCH("LÁMINA",Inventario!B11))),"LAM",
IF(ISNUMBER(SEARCH("ESTIRENO",Inventario!B11)),"EST",
IF(ISNUMBER(SEARCH("FOAMBOARD",Inventario!B11)),"FOA",
IF(ISNUMBER(SEARCH("SOLVENTE",Inventario!B11)),"SOL",
IF(ISNUMBER(SEARCH("TINTA",Inventario!B11)),"TIN",
IF(ISNUMBER(SEARCH("ACRILICO",Inventario!B11)),"ACR",
IF(ISNUMBER(SEARCH("LED",Inventario!B11)),"LED",
IF(ISNUMBER(SEARCH("FUENTE",Inventario!B11)),"FUE",
IF(ISNUMBER(SEARCH("PETG",Inventario!B11)),"PET",
IF(ISNUMBER(SEARCH("ALUMINIO",Inventario!B11)),"ALU",
IF(ISNUMBER(SEARCH("CANAL",Inventario!B11)),"CAN",
IF(ISNUMBER(SEARCH("ESCUADRA",Inventario!B11)),"ESC",
IF(ISNUMBER(SEARCH("SOPORTE",Inventario!B11)),"SOP","OTR")
)))))))))))))))))))</f>
        <v>LON</v>
      </c>
      <c r="B12" t="str">
        <f>IF(ISNUMBER(SEARCH("CORTE",Inventario!B11)),"COR",
IF(ISNUMBER(SEARCH("CRISTAL",Inventario!B11)),"CR",
IF(OR(ISNUMBER(SEARCH("OPTICO",Inventario!B11)),ISNUMBER(SEARCH("OPTICOS",Inventario!B11)),ISNUMBER(SEARCH("OPTICA",Inventario!B11))),"OP",
IF(ISNUMBER(SEARCH("NANO",Inventario!B11)),"NA",
IF(ISNUMBER(SEARCH("5050",Inventario!B11)),"5050",
IF(ISNUMBER(SEARCH("MICRO",Inventario!B11)),"MI",""))))))</f>
        <v/>
      </c>
      <c r="C12" t="str">
        <f>IF(ISNUMBER(SEARCH("PARED",Inventario!B11)),"PAR",IF(ISNUMBER(SEARCH("MATE",Inventario!B11)),"MAT",
IF(ISNUMBER(SEARCH("FRONT",Inventario!B11)),"FRO",
IF(ISNUMBER(SEARCH("BACK",Inventario!B11)),"BAC",
IF(ISNUMBER(SEARCH("MESH",Inventario!B11)),"MES",
IF(OR(ISNUMBER(SEARCH("BRILLANTE",Inventario!B11)),ISNUMBER(SEARCH("BTE",Inventario!B11))),"BRI",
IF(ISNUMBER(SEARCH("SINTETICA DELGADA",Inventario!B11)),"SD",
IF(ISNUMBER(SEARCH("SINTETICA GRUESA",Inventario!B11)),"SG",
IF(ISNUMBER(SEARCH("ESTATICO",Inventario!B11)),"EST",
IF(ISNUMBER(SEARCH("FLOOR",Inventario!B11)),"FLO",
IF(ISNUMBER(SEARCH("REFLECTIVO",Inventario!B11)),"REF",
IF(ISNUMBER(SEARCH("MICROPERFORADO",Inventario!B11)),"MI",
IF(ISNUMBER(SEARCH("CEPILLADO",Inventario!B11)),"CEP",
IF(ISNUMBER(SEARCH("ESPEJO",Inventario!B11)),"ESP",
IF(OR(ISNUMBER(SEARCH("UNIDIODO",Inventario!B11)),ISNUMBER(SEARCH("1 DIODO",Inventario!B11))),"1D",
IF(ISNUMBER(SEARCH("2 DIODOS",Inventario!B11)),"2D",
IF(ISNUMBER(SEARCH("3 DIODOS",Inventario!B11)),"3D","")))))))))))))))))</f>
        <v>FRO</v>
      </c>
      <c r="D12" t="str">
        <f>IF(ISNUMBER(SEARCH("LX700",Inventario!B11)),"LX7",
IF(ISNUMBER(SEARCH("GRANDO",Inventario!B11)),"GRA",
IF(OR(ISNUMBER(SEARCH("CAMA PLANA",Inventario!B11)),ISNUMBER(SEARCH("FB700",Inventario!B11))),"CP",
IF(ISNUMBER(SEARCH("LX360",Inventario!B11)),"LX3",
IF(ISNUMBER(SEARCH("XEROX",Inventario!B11)),"XER",
IF(ISNUMBER(SEARCH("18 OZ",Inventario!B11)),"18OZ",
IF(ISNUMBER(SEARCH("15 OZ",Inventario!B11)),"15OZ",
IF(OR(ISNUMBER(SEARCH("13 OZ",Inventario!B11)),ISNUMBER(SEARCH("13 ONZAS",Inventario!B11))),"13OZ",
IF(OR(ISNUMBER(SEARCH("9 OZ",Inventario!B11)),ISNUMBER(SEARCH("9 ONZAS",Inventario!B11))),"09OZ","")))))))))</f>
        <v>13OZ</v>
      </c>
      <c r="E12" t="str">
        <f>IF(OR(ISNUMBER(SEARCH("TRANSPARENTE",Inventario!B11)),ISNUMBER(SEARCH("TRANSPARENTES",Inventario!B11))),"TR",
IF(OR(ISNUMBER(SEARCH("BLANCO",Inventario!B11)),ISNUMBER(SEARCH("BCO",Inventario!B11))),"BL",
IF(ISNUMBER(SEARCH("VERDE",Inventario!B11)),"VR",
IF(ISNUMBER(SEARCH("MORADO",Inventario!B11)),"MR",
IF(ISNUMBER(SEARCH("PLATA",Inventario!B11)),"PL",
IF(ISNUMBER(SEARCH("ORO",Inventario!B11)),"OR",
IF(ISNUMBER(SEARCH("AMARILLO",Inventario!B11)),"AM",
IF(ISNUMBER(SEARCH("NARANJA",Inventario!B11)),"NR",
IF(ISNUMBER(SEARCH("NEGRO",Inventario!B11)),"NG",
IF(ISNUMBER(SEARCH("ROJO",Inventario!B11)),"RJ",
IF(ISNUMBER(SEARCH("AZUL",Inventario!B11)),"AZ","")))))))))))</f>
        <v/>
      </c>
      <c r="F12" t="str">
        <f>IF(ISNUMBER(SEARCH("1,2 MM",Inventario!B11)),"1MM2",
IF(OR(ISNUMBER(SEARCH("2 MM",Inventario!B11)),ISNUMBER(SEARCH("2MM",Inventario!B11))),"2MM",
IF(OR(ISNUMBER(SEARCH("3 MM",Inventario!B11)),ISNUMBER(SEARCH("3MM",Inventario!B11))),"3MM",
IF(OR(ISNUMBER(SEARCH("4 MM",Inventario!B11)),ISNUMBER(SEARCH("4MM",Inventario!B11)),ISNUMBER(SEARCH("4 mm",Inventario!B11))),"4MM",
IF(OR(ISNUMBER(SEARCH("5 MM",Inventario!B11)),ISNUMBER(SEARCH("5MM",Inventario!B11))),"5MM",
IF(OR(ISNUMBER(SEARCH("6 MM",Inventario!B11)),ISNUMBER(SEARCH("6MM",Inventario!B11))),"6MM",
IF(OR(ISNUMBER(SEARCH("10 MM",Inventario!B11)),ISNUMBER(SEARCH("10MM",Inventario!B11))),"10MM","")))))))</f>
        <v/>
      </c>
      <c r="G12" t="str">
        <f>IF(ISNUMBER(SEARCH("ALTA RESISTENCIA",Inventario!B11)),"AR",IF(ISNUMBER(SEARCH("CAMPAÑA",Inventario!B11)),"CA",
IF(OR(ISNUMBER(SEARCH("CALIDO",Inventario!B11)),ISNUMBER(SEARCH("CÁLIDO",Inventario!B11))),"C",
IF(OR(ISNUMBER(SEARCH("TRASLUCIDO",Inventario!B11)),ISNUMBER(SEARCH("TRANSLUCIDO",Inventario!B11))),"TL",
IF(ISNUMBER(SEARCH("NEUTRO",Inventario!B11)),"N",
IF(ISNUMBER(SEARCH("FRIO",Inventario!B11)),"F",""))))))</f>
        <v>AR</v>
      </c>
      <c r="H12" t="str">
        <f>IF(ISNUMBER(SEARCH("SILED",Inventario!B11)),"SI",
IF(ISNUMBER(SEARCH("SYDEMEX",Inventario!B11)),"SY",
IF(ISNUMBER(SEARCH("ROHS",Inventario!B11)),"RO",
IF(ISNUMBER(SEARCH("RISHANG",Inventario!B11)),"RS",
IF(ISNUMBER(SEARCH("VYG",Inventario!B11)),"VYG",
IF(ISNUMBER(SEARCH("COLED",Inventario!B11)),"CO",""))))))</f>
        <v/>
      </c>
    </row>
    <row r="13" spans="1:8">
      <c r="A13" t="str">
        <f>IF(ISNUMBER(SEARCH("LONA",Inventario!B12)),"LON",
IF(ISNUMBER(SEARCH("VINIL",Inventario!B12)),"VIN",
IF(ISNUMBER(SEARCH("PANEL DE ALUMINIO COMPUESTO",Inventario!B12)),"PAN-ALU-COM",
IF(ISNUMBER(SEARCH("PVC",Inventario!B12)),"PVC",
IF(ISNUMBER(SEARCH("PAPEL",Inventario!B12)),"PAP",
IF(ISNUMBER(SEARCH("TELA",Inventario!B12)),"TEL",
IF(ISNUMBER(SEARCH("CARTULINA",Inventario!B12)),"CAR",
IF(OR(ISNUMBER(SEARCH("LAMINA",Inventario!B12)),ISNUMBER(SEARCH("LÁMINA",Inventario!B12))),"LAM",
IF(ISNUMBER(SEARCH("ESTIRENO",Inventario!B12)),"EST",
IF(ISNUMBER(SEARCH("FOAMBOARD",Inventario!B12)),"FOA",
IF(ISNUMBER(SEARCH("SOLVENTE",Inventario!B12)),"SOL",
IF(ISNUMBER(SEARCH("TINTA",Inventario!B12)),"TIN",
IF(ISNUMBER(SEARCH("ACRILICO",Inventario!B12)),"ACR",
IF(ISNUMBER(SEARCH("LED",Inventario!B12)),"LED",
IF(ISNUMBER(SEARCH("FUENTE",Inventario!B12)),"FUE",
IF(ISNUMBER(SEARCH("PETG",Inventario!B12)),"PET",
IF(ISNUMBER(SEARCH("ALUMINIO",Inventario!B12)),"ALU",
IF(ISNUMBER(SEARCH("CANAL",Inventario!B12)),"CAN",
IF(ISNUMBER(SEARCH("ESCUADRA",Inventario!B12)),"ESC",
IF(ISNUMBER(SEARCH("SOPORTE",Inventario!B12)),"SOP","OTR")
)))))))))))))))))))</f>
        <v>LON</v>
      </c>
      <c r="B13" t="str">
        <f>IF(ISNUMBER(SEARCH("CORTE",Inventario!B12)),"COR",
IF(ISNUMBER(SEARCH("CRISTAL",Inventario!B12)),"CR",
IF(OR(ISNUMBER(SEARCH("OPTICO",Inventario!B12)),ISNUMBER(SEARCH("OPTICOS",Inventario!B12)),ISNUMBER(SEARCH("OPTICA",Inventario!B12))),"OP",
IF(ISNUMBER(SEARCH("NANO",Inventario!B12)),"NA",
IF(ISNUMBER(SEARCH("5050",Inventario!B12)),"5050",
IF(ISNUMBER(SEARCH("MICRO",Inventario!B12)),"MI",""))))))</f>
        <v/>
      </c>
      <c r="C13" t="str">
        <f>IF(ISNUMBER(SEARCH("PARED",Inventario!B12)),"PAR",IF(ISNUMBER(SEARCH("MATE",Inventario!B12)),"MAT",
IF(ISNUMBER(SEARCH("FRONT",Inventario!B12)),"FRO",
IF(ISNUMBER(SEARCH("BACK",Inventario!B12)),"BAC",
IF(ISNUMBER(SEARCH("MESH",Inventario!B12)),"MES",
IF(OR(ISNUMBER(SEARCH("BRILLANTE",Inventario!B12)),ISNUMBER(SEARCH("BTE",Inventario!B12))),"BRI",
IF(ISNUMBER(SEARCH("SINTETICA DELGADA",Inventario!B12)),"SD",
IF(ISNUMBER(SEARCH("SINTETICA GRUESA",Inventario!B12)),"SG",
IF(ISNUMBER(SEARCH("ESTATICO",Inventario!B12)),"EST",
IF(ISNUMBER(SEARCH("FLOOR",Inventario!B12)),"FLO",
IF(ISNUMBER(SEARCH("REFLECTIVO",Inventario!B12)),"REF",
IF(ISNUMBER(SEARCH("MICROPERFORADO",Inventario!B12)),"MI",
IF(ISNUMBER(SEARCH("CEPILLADO",Inventario!B12)),"CEP",
IF(ISNUMBER(SEARCH("ESPEJO",Inventario!B12)),"ESP",
IF(OR(ISNUMBER(SEARCH("UNIDIODO",Inventario!B12)),ISNUMBER(SEARCH("1 DIODO",Inventario!B12))),"1D",
IF(ISNUMBER(SEARCH("2 DIODOS",Inventario!B12)),"2D",
IF(ISNUMBER(SEARCH("3 DIODOS",Inventario!B12)),"3D","")))))))))))))))))</f>
        <v>FRO</v>
      </c>
      <c r="D13" t="str">
        <f>IF(ISNUMBER(SEARCH("LX700",Inventario!B12)),"LX7",
IF(ISNUMBER(SEARCH("GRANDO",Inventario!B12)),"GRA",
IF(OR(ISNUMBER(SEARCH("CAMA PLANA",Inventario!B12)),ISNUMBER(SEARCH("FB700",Inventario!B12))),"CP",
IF(ISNUMBER(SEARCH("LX360",Inventario!B12)),"LX3",
IF(ISNUMBER(SEARCH("XEROX",Inventario!B12)),"XER",
IF(ISNUMBER(SEARCH("18 OZ",Inventario!B12)),"18OZ",
IF(ISNUMBER(SEARCH("15 OZ",Inventario!B12)),"15OZ",
IF(OR(ISNUMBER(SEARCH("13 OZ",Inventario!B12)),ISNUMBER(SEARCH("13 ONZAS",Inventario!B12))),"13OZ",
IF(OR(ISNUMBER(SEARCH("9 OZ",Inventario!B12)),ISNUMBER(SEARCH("9 ONZAS",Inventario!B12))),"09OZ","")))))))))</f>
        <v>13OZ</v>
      </c>
      <c r="E13" t="str">
        <f>IF(OR(ISNUMBER(SEARCH("TRANSPARENTE",Inventario!B12)),ISNUMBER(SEARCH("TRANSPARENTES",Inventario!B12))),"TR",
IF(OR(ISNUMBER(SEARCH("BLANCO",Inventario!B12)),ISNUMBER(SEARCH("BCO",Inventario!B12))),"BL",
IF(ISNUMBER(SEARCH("VERDE",Inventario!B12)),"VR",
IF(ISNUMBER(SEARCH("MORADO",Inventario!B12)),"MR",
IF(ISNUMBER(SEARCH("PLATA",Inventario!B12)),"PL",
IF(ISNUMBER(SEARCH("ORO",Inventario!B12)),"OR",
IF(ISNUMBER(SEARCH("AMARILLO",Inventario!B12)),"AM",
IF(ISNUMBER(SEARCH("NARANJA",Inventario!B12)),"NR",
IF(ISNUMBER(SEARCH("NEGRO",Inventario!B12)),"NG",
IF(ISNUMBER(SEARCH("ROJO",Inventario!B12)),"RJ",
IF(ISNUMBER(SEARCH("AZUL",Inventario!B12)),"AZ","")))))))))))</f>
        <v/>
      </c>
      <c r="F13" t="str">
        <f>IF(ISNUMBER(SEARCH("1,2 MM",Inventario!B12)),"1MM2",
IF(OR(ISNUMBER(SEARCH("2 MM",Inventario!B12)),ISNUMBER(SEARCH("2MM",Inventario!B12))),"2MM",
IF(OR(ISNUMBER(SEARCH("3 MM",Inventario!B12)),ISNUMBER(SEARCH("3MM",Inventario!B12))),"3MM",
IF(OR(ISNUMBER(SEARCH("4 MM",Inventario!B12)),ISNUMBER(SEARCH("4MM",Inventario!B12)),ISNUMBER(SEARCH("4 mm",Inventario!B12))),"4MM",
IF(OR(ISNUMBER(SEARCH("5 MM",Inventario!B12)),ISNUMBER(SEARCH("5MM",Inventario!B12))),"5MM",
IF(OR(ISNUMBER(SEARCH("6 MM",Inventario!B12)),ISNUMBER(SEARCH("6MM",Inventario!B12))),"6MM",
IF(OR(ISNUMBER(SEARCH("10 MM",Inventario!B12)),ISNUMBER(SEARCH("10MM",Inventario!B12))),"10MM","")))))))</f>
        <v/>
      </c>
      <c r="G13" t="str">
        <f>IF(ISNUMBER(SEARCH("ALTA RESISTENCIA",Inventario!B12)),"AR",IF(ISNUMBER(SEARCH("CAMPAÑA",Inventario!B12)),"CA",
IF(OR(ISNUMBER(SEARCH("CALIDO",Inventario!B12)),ISNUMBER(SEARCH("CÁLIDO",Inventario!B12))),"C",
IF(OR(ISNUMBER(SEARCH("TRASLUCIDO",Inventario!B12)),ISNUMBER(SEARCH("TRANSLUCIDO",Inventario!B12))),"TL",
IF(ISNUMBER(SEARCH("NEUTRO",Inventario!B12)),"N",
IF(ISNUMBER(SEARCH("FRIO",Inventario!B12)),"F",""))))))</f>
        <v>AR</v>
      </c>
      <c r="H13" t="str">
        <f>IF(ISNUMBER(SEARCH("SILED",Inventario!B12)),"SI",
IF(ISNUMBER(SEARCH("SYDEMEX",Inventario!B12)),"SY",
IF(ISNUMBER(SEARCH("ROHS",Inventario!B12)),"RO",
IF(ISNUMBER(SEARCH("RISHANG",Inventario!B12)),"RS",
IF(ISNUMBER(SEARCH("VYG",Inventario!B12)),"VYG",
IF(ISNUMBER(SEARCH("COLED",Inventario!B12)),"CO",""))))))</f>
        <v/>
      </c>
    </row>
    <row r="14" spans="1:8">
      <c r="A14" t="str">
        <f>IF(ISNUMBER(SEARCH("LONA",Inventario!B13)),"LON",
IF(ISNUMBER(SEARCH("VINIL",Inventario!B13)),"VIN",
IF(ISNUMBER(SEARCH("PANEL DE ALUMINIO COMPUESTO",Inventario!B13)),"PAN-ALU-COM",
IF(ISNUMBER(SEARCH("PVC",Inventario!B13)),"PVC",
IF(ISNUMBER(SEARCH("PAPEL",Inventario!B13)),"PAP",
IF(ISNUMBER(SEARCH("TELA",Inventario!B13)),"TEL",
IF(ISNUMBER(SEARCH("CARTULINA",Inventario!B13)),"CAR",
IF(OR(ISNUMBER(SEARCH("LAMINA",Inventario!B13)),ISNUMBER(SEARCH("LÁMINA",Inventario!B13))),"LAM",
IF(ISNUMBER(SEARCH("ESTIRENO",Inventario!B13)),"EST",
IF(ISNUMBER(SEARCH("FOAMBOARD",Inventario!B13)),"FOA",
IF(ISNUMBER(SEARCH("SOLVENTE",Inventario!B13)),"SOL",
IF(ISNUMBER(SEARCH("TINTA",Inventario!B13)),"TIN",
IF(ISNUMBER(SEARCH("ACRILICO",Inventario!B13)),"ACR",
IF(ISNUMBER(SEARCH("LED",Inventario!B13)),"LED",
IF(ISNUMBER(SEARCH("FUENTE",Inventario!B13)),"FUE",
IF(ISNUMBER(SEARCH("PETG",Inventario!B13)),"PET",
IF(ISNUMBER(SEARCH("ALUMINIO",Inventario!B13)),"ALU",
IF(ISNUMBER(SEARCH("CANAL",Inventario!B13)),"CAN",
IF(ISNUMBER(SEARCH("ESCUADRA",Inventario!B13)),"ESC",
IF(ISNUMBER(SEARCH("SOPORTE",Inventario!B13)),"SOP","OTR")
)))))))))))))))))))</f>
        <v>LON</v>
      </c>
      <c r="B14" t="str">
        <f>IF(ISNUMBER(SEARCH("CORTE",Inventario!B13)),"COR",
IF(ISNUMBER(SEARCH("CRISTAL",Inventario!B13)),"CR",
IF(OR(ISNUMBER(SEARCH("OPTICO",Inventario!B13)),ISNUMBER(SEARCH("OPTICOS",Inventario!B13)),ISNUMBER(SEARCH("OPTICA",Inventario!B13))),"OP",
IF(ISNUMBER(SEARCH("NANO",Inventario!B13)),"NA",
IF(ISNUMBER(SEARCH("5050",Inventario!B13)),"5050",
IF(ISNUMBER(SEARCH("MICRO",Inventario!B13)),"MI",""))))))</f>
        <v/>
      </c>
      <c r="C14" t="str">
        <f>IF(ISNUMBER(SEARCH("PARED",Inventario!B13)),"PAR",IF(ISNUMBER(SEARCH("MATE",Inventario!B13)),"MAT",
IF(ISNUMBER(SEARCH("FRONT",Inventario!B13)),"FRO",
IF(ISNUMBER(SEARCH("BACK",Inventario!B13)),"BAC",
IF(ISNUMBER(SEARCH("MESH",Inventario!B13)),"MES",
IF(OR(ISNUMBER(SEARCH("BRILLANTE",Inventario!B13)),ISNUMBER(SEARCH("BTE",Inventario!B13))),"BRI",
IF(ISNUMBER(SEARCH("SINTETICA DELGADA",Inventario!B13)),"SD",
IF(ISNUMBER(SEARCH("SINTETICA GRUESA",Inventario!B13)),"SG",
IF(ISNUMBER(SEARCH("ESTATICO",Inventario!B13)),"EST",
IF(ISNUMBER(SEARCH("FLOOR",Inventario!B13)),"FLO",
IF(ISNUMBER(SEARCH("REFLECTIVO",Inventario!B13)),"REF",
IF(ISNUMBER(SEARCH("MICROPERFORADO",Inventario!B13)),"MI",
IF(ISNUMBER(SEARCH("CEPILLADO",Inventario!B13)),"CEP",
IF(ISNUMBER(SEARCH("ESPEJO",Inventario!B13)),"ESP",
IF(OR(ISNUMBER(SEARCH("UNIDIODO",Inventario!B13)),ISNUMBER(SEARCH("1 DIODO",Inventario!B13))),"1D",
IF(ISNUMBER(SEARCH("2 DIODOS",Inventario!B13)),"2D",
IF(ISNUMBER(SEARCH("3 DIODOS",Inventario!B13)),"3D","")))))))))))))))))</f>
        <v>FRO</v>
      </c>
      <c r="D14" t="str">
        <f>IF(ISNUMBER(SEARCH("LX700",Inventario!B13)),"LX7",
IF(ISNUMBER(SEARCH("GRANDO",Inventario!B13)),"GRA",
IF(OR(ISNUMBER(SEARCH("CAMA PLANA",Inventario!B13)),ISNUMBER(SEARCH("FB700",Inventario!B13))),"CP",
IF(ISNUMBER(SEARCH("LX360",Inventario!B13)),"LX3",
IF(ISNUMBER(SEARCH("XEROX",Inventario!B13)),"XER",
IF(ISNUMBER(SEARCH("18 OZ",Inventario!B13)),"18OZ",
IF(ISNUMBER(SEARCH("15 OZ",Inventario!B13)),"15OZ",
IF(OR(ISNUMBER(SEARCH("13 OZ",Inventario!B13)),ISNUMBER(SEARCH("13 ONZAS",Inventario!B13))),"13OZ",
IF(OR(ISNUMBER(SEARCH("9 OZ",Inventario!B13)),ISNUMBER(SEARCH("9 ONZAS",Inventario!B13))),"09OZ","")))))))))</f>
        <v>13OZ</v>
      </c>
      <c r="E14" t="str">
        <f>IF(OR(ISNUMBER(SEARCH("TRANSPARENTE",Inventario!B13)),ISNUMBER(SEARCH("TRANSPARENTES",Inventario!B13))),"TR",
IF(OR(ISNUMBER(SEARCH("BLANCO",Inventario!B13)),ISNUMBER(SEARCH("BCO",Inventario!B13))),"BL",
IF(ISNUMBER(SEARCH("VERDE",Inventario!B13)),"VR",
IF(ISNUMBER(SEARCH("MORADO",Inventario!B13)),"MR",
IF(ISNUMBER(SEARCH("PLATA",Inventario!B13)),"PL",
IF(ISNUMBER(SEARCH("ORO",Inventario!B13)),"OR",
IF(ISNUMBER(SEARCH("AMARILLO",Inventario!B13)),"AM",
IF(ISNUMBER(SEARCH("NARANJA",Inventario!B13)),"NR",
IF(ISNUMBER(SEARCH("NEGRO",Inventario!B13)),"NG",
IF(ISNUMBER(SEARCH("ROJO",Inventario!B13)),"RJ",
IF(ISNUMBER(SEARCH("AZUL",Inventario!B13)),"AZ","")))))))))))</f>
        <v/>
      </c>
      <c r="F14" t="str">
        <f>IF(ISNUMBER(SEARCH("1,2 MM",Inventario!B13)),"1MM2",
IF(OR(ISNUMBER(SEARCH("2 MM",Inventario!B13)),ISNUMBER(SEARCH("2MM",Inventario!B13))),"2MM",
IF(OR(ISNUMBER(SEARCH("3 MM",Inventario!B13)),ISNUMBER(SEARCH("3MM",Inventario!B13))),"3MM",
IF(OR(ISNUMBER(SEARCH("4 MM",Inventario!B13)),ISNUMBER(SEARCH("4MM",Inventario!B13)),ISNUMBER(SEARCH("4 mm",Inventario!B13))),"4MM",
IF(OR(ISNUMBER(SEARCH("5 MM",Inventario!B13)),ISNUMBER(SEARCH("5MM",Inventario!B13))),"5MM",
IF(OR(ISNUMBER(SEARCH("6 MM",Inventario!B13)),ISNUMBER(SEARCH("6MM",Inventario!B13))),"6MM",
IF(OR(ISNUMBER(SEARCH("10 MM",Inventario!B13)),ISNUMBER(SEARCH("10MM",Inventario!B13))),"10MM","")))))))</f>
        <v/>
      </c>
      <c r="G14" t="str">
        <f>IF(ISNUMBER(SEARCH("ALTA RESISTENCIA",Inventario!B13)),"AR",IF(ISNUMBER(SEARCH("CAMPAÑA",Inventario!B13)),"CA",
IF(OR(ISNUMBER(SEARCH("CALIDO",Inventario!B13)),ISNUMBER(SEARCH("CÁLIDO",Inventario!B13))),"C",
IF(OR(ISNUMBER(SEARCH("TRASLUCIDO",Inventario!B13)),ISNUMBER(SEARCH("TRANSLUCIDO",Inventario!B13))),"TL",
IF(ISNUMBER(SEARCH("NEUTRO",Inventario!B13)),"N",
IF(ISNUMBER(SEARCH("FRIO",Inventario!B13)),"F",""))))))</f>
        <v>AR</v>
      </c>
      <c r="H14" t="str">
        <f>IF(ISNUMBER(SEARCH("SILED",Inventario!B13)),"SI",
IF(ISNUMBER(SEARCH("SYDEMEX",Inventario!B13)),"SY",
IF(ISNUMBER(SEARCH("ROHS",Inventario!B13)),"RO",
IF(ISNUMBER(SEARCH("RISHANG",Inventario!B13)),"RS",
IF(ISNUMBER(SEARCH("VYG",Inventario!B13)),"VYG",
IF(ISNUMBER(SEARCH("COLED",Inventario!B13)),"CO",""))))))</f>
        <v/>
      </c>
    </row>
    <row r="15" spans="1:8">
      <c r="A15" t="str">
        <f>IF(ISNUMBER(SEARCH("LONA",Inventario!B14)),"LON",
IF(ISNUMBER(SEARCH("VINIL",Inventario!B14)),"VIN",
IF(ISNUMBER(SEARCH("PANEL DE ALUMINIO COMPUESTO",Inventario!B14)),"PAN-ALU-COM",
IF(ISNUMBER(SEARCH("PVC",Inventario!B14)),"PVC",
IF(ISNUMBER(SEARCH("PAPEL",Inventario!B14)),"PAP",
IF(ISNUMBER(SEARCH("TELA",Inventario!B14)),"TEL",
IF(ISNUMBER(SEARCH("CARTULINA",Inventario!B14)),"CAR",
IF(OR(ISNUMBER(SEARCH("LAMINA",Inventario!B14)),ISNUMBER(SEARCH("LÁMINA",Inventario!B14))),"LAM",
IF(ISNUMBER(SEARCH("ESTIRENO",Inventario!B14)),"EST",
IF(ISNUMBER(SEARCH("FOAMBOARD",Inventario!B14)),"FOA",
IF(ISNUMBER(SEARCH("SOLVENTE",Inventario!B14)),"SOL",
IF(ISNUMBER(SEARCH("TINTA",Inventario!B14)),"TIN",
IF(ISNUMBER(SEARCH("ACRILICO",Inventario!B14)),"ACR",
IF(ISNUMBER(SEARCH("LED",Inventario!B14)),"LED",
IF(ISNUMBER(SEARCH("FUENTE",Inventario!B14)),"FUE",
IF(ISNUMBER(SEARCH("PETG",Inventario!B14)),"PET",
IF(ISNUMBER(SEARCH("ALUMINIO",Inventario!B14)),"ALU",
IF(ISNUMBER(SEARCH("CANAL",Inventario!B14)),"CAN",
IF(ISNUMBER(SEARCH("ESCUADRA",Inventario!B14)),"ESC",
IF(ISNUMBER(SEARCH("SOPORTE",Inventario!B14)),"SOP","OTR")
)))))))))))))))))))</f>
        <v>LON</v>
      </c>
      <c r="B15" t="str">
        <f>IF(ISNUMBER(SEARCH("CORTE",Inventario!B14)),"COR",
IF(ISNUMBER(SEARCH("CRISTAL",Inventario!B14)),"CR",
IF(OR(ISNUMBER(SEARCH("OPTICO",Inventario!B14)),ISNUMBER(SEARCH("OPTICOS",Inventario!B14)),ISNUMBER(SEARCH("OPTICA",Inventario!B14))),"OP",
IF(ISNUMBER(SEARCH("NANO",Inventario!B14)),"NA",
IF(ISNUMBER(SEARCH("5050",Inventario!B14)),"5050",
IF(ISNUMBER(SEARCH("MICRO",Inventario!B14)),"MI",""))))))</f>
        <v/>
      </c>
      <c r="C15" t="str">
        <f>IF(ISNUMBER(SEARCH("PARED",Inventario!B14)),"PAR",IF(ISNUMBER(SEARCH("MATE",Inventario!B14)),"MAT",
IF(ISNUMBER(SEARCH("FRONT",Inventario!B14)),"FRO",
IF(ISNUMBER(SEARCH("BACK",Inventario!B14)),"BAC",
IF(ISNUMBER(SEARCH("MESH",Inventario!B14)),"MES",
IF(OR(ISNUMBER(SEARCH("BRILLANTE",Inventario!B14)),ISNUMBER(SEARCH("BTE",Inventario!B14))),"BRI",
IF(ISNUMBER(SEARCH("SINTETICA DELGADA",Inventario!B14)),"SD",
IF(ISNUMBER(SEARCH("SINTETICA GRUESA",Inventario!B14)),"SG",
IF(ISNUMBER(SEARCH("ESTATICO",Inventario!B14)),"EST",
IF(ISNUMBER(SEARCH("FLOOR",Inventario!B14)),"FLO",
IF(ISNUMBER(SEARCH("REFLECTIVO",Inventario!B14)),"REF",
IF(ISNUMBER(SEARCH("MICROPERFORADO",Inventario!B14)),"MI",
IF(ISNUMBER(SEARCH("CEPILLADO",Inventario!B14)),"CEP",
IF(ISNUMBER(SEARCH("ESPEJO",Inventario!B14)),"ESP",
IF(OR(ISNUMBER(SEARCH("UNIDIODO",Inventario!B14)),ISNUMBER(SEARCH("1 DIODO",Inventario!B14))),"1D",
IF(ISNUMBER(SEARCH("2 DIODOS",Inventario!B14)),"2D",
IF(ISNUMBER(SEARCH("3 DIODOS",Inventario!B14)),"3D","")))))))))))))))))</f>
        <v>FRO</v>
      </c>
      <c r="D15" t="str">
        <f>IF(ISNUMBER(SEARCH("LX700",Inventario!B14)),"LX7",
IF(ISNUMBER(SEARCH("GRANDO",Inventario!B14)),"GRA",
IF(OR(ISNUMBER(SEARCH("CAMA PLANA",Inventario!B14)),ISNUMBER(SEARCH("FB700",Inventario!B14))),"CP",
IF(ISNUMBER(SEARCH("LX360",Inventario!B14)),"LX3",
IF(ISNUMBER(SEARCH("XEROX",Inventario!B14)),"XER",
IF(ISNUMBER(SEARCH("18 OZ",Inventario!B14)),"18OZ",
IF(ISNUMBER(SEARCH("15 OZ",Inventario!B14)),"15OZ",
IF(OR(ISNUMBER(SEARCH("13 OZ",Inventario!B14)),ISNUMBER(SEARCH("13 ONZAS",Inventario!B14))),"13OZ",
IF(OR(ISNUMBER(SEARCH("9 OZ",Inventario!B14)),ISNUMBER(SEARCH("9 ONZAS",Inventario!B14))),"09OZ","")))))))))</f>
        <v>13OZ</v>
      </c>
      <c r="E15" t="str">
        <f>IF(OR(ISNUMBER(SEARCH("TRANSPARENTE",Inventario!B14)),ISNUMBER(SEARCH("TRANSPARENTES",Inventario!B14))),"TR",
IF(OR(ISNUMBER(SEARCH("BLANCO",Inventario!B14)),ISNUMBER(SEARCH("BCO",Inventario!B14))),"BL",
IF(ISNUMBER(SEARCH("VERDE",Inventario!B14)),"VR",
IF(ISNUMBER(SEARCH("MORADO",Inventario!B14)),"MR",
IF(ISNUMBER(SEARCH("PLATA",Inventario!B14)),"PL",
IF(ISNUMBER(SEARCH("ORO",Inventario!B14)),"OR",
IF(ISNUMBER(SEARCH("AMARILLO",Inventario!B14)),"AM",
IF(ISNUMBER(SEARCH("NARANJA",Inventario!B14)),"NR",
IF(ISNUMBER(SEARCH("NEGRO",Inventario!B14)),"NG",
IF(ISNUMBER(SEARCH("ROJO",Inventario!B14)),"RJ",
IF(ISNUMBER(SEARCH("AZUL",Inventario!B14)),"AZ","")))))))))))</f>
        <v/>
      </c>
      <c r="F15" t="str">
        <f>IF(ISNUMBER(SEARCH("1,2 MM",Inventario!B14)),"1MM2",
IF(OR(ISNUMBER(SEARCH("2 MM",Inventario!B14)),ISNUMBER(SEARCH("2MM",Inventario!B14))),"2MM",
IF(OR(ISNUMBER(SEARCH("3 MM",Inventario!B14)),ISNUMBER(SEARCH("3MM",Inventario!B14))),"3MM",
IF(OR(ISNUMBER(SEARCH("4 MM",Inventario!B14)),ISNUMBER(SEARCH("4MM",Inventario!B14)),ISNUMBER(SEARCH("4 mm",Inventario!B14))),"4MM",
IF(OR(ISNUMBER(SEARCH("5 MM",Inventario!B14)),ISNUMBER(SEARCH("5MM",Inventario!B14))),"5MM",
IF(OR(ISNUMBER(SEARCH("6 MM",Inventario!B14)),ISNUMBER(SEARCH("6MM",Inventario!B14))),"6MM",
IF(OR(ISNUMBER(SEARCH("10 MM",Inventario!B14)),ISNUMBER(SEARCH("10MM",Inventario!B14))),"10MM","")))))))</f>
        <v/>
      </c>
      <c r="G15" t="str">
        <f>IF(ISNUMBER(SEARCH("ALTA RESISTENCIA",Inventario!B14)),"AR",IF(ISNUMBER(SEARCH("CAMPAÑA",Inventario!B14)),"CA",
IF(OR(ISNUMBER(SEARCH("CALIDO",Inventario!B14)),ISNUMBER(SEARCH("CÁLIDO",Inventario!B14))),"C",
IF(OR(ISNUMBER(SEARCH("TRASLUCIDO",Inventario!B14)),ISNUMBER(SEARCH("TRANSLUCIDO",Inventario!B14))),"TL",
IF(ISNUMBER(SEARCH("NEUTRO",Inventario!B14)),"N",
IF(ISNUMBER(SEARCH("FRIO",Inventario!B14)),"F",""))))))</f>
        <v>AR</v>
      </c>
      <c r="H15" t="str">
        <f>IF(ISNUMBER(SEARCH("SILED",Inventario!B14)),"SI",
IF(ISNUMBER(SEARCH("SYDEMEX",Inventario!B14)),"SY",
IF(ISNUMBER(SEARCH("ROHS",Inventario!B14)),"RO",
IF(ISNUMBER(SEARCH("RISHANG",Inventario!B14)),"RS",
IF(ISNUMBER(SEARCH("VYG",Inventario!B14)),"VYG",
IF(ISNUMBER(SEARCH("COLED",Inventario!B14)),"CO",""))))))</f>
        <v/>
      </c>
    </row>
    <row r="16" spans="1:8">
      <c r="A16" t="str">
        <f>IF(ISNUMBER(SEARCH("LONA",Inventario!B15)),"LON",
IF(ISNUMBER(SEARCH("VINIL",Inventario!B15)),"VIN",
IF(ISNUMBER(SEARCH("PANEL DE ALUMINIO COMPUESTO",Inventario!B15)),"PAN-ALU-COM",
IF(ISNUMBER(SEARCH("PVC",Inventario!B15)),"PVC",
IF(ISNUMBER(SEARCH("PAPEL",Inventario!B15)),"PAP",
IF(ISNUMBER(SEARCH("TELA",Inventario!B15)),"TEL",
IF(ISNUMBER(SEARCH("CARTULINA",Inventario!B15)),"CAR",
IF(OR(ISNUMBER(SEARCH("LAMINA",Inventario!B15)),ISNUMBER(SEARCH("LÁMINA",Inventario!B15))),"LAM",
IF(ISNUMBER(SEARCH("ESTIRENO",Inventario!B15)),"EST",
IF(ISNUMBER(SEARCH("FOAMBOARD",Inventario!B15)),"FOA",
IF(ISNUMBER(SEARCH("SOLVENTE",Inventario!B15)),"SOL",
IF(ISNUMBER(SEARCH("TINTA",Inventario!B15)),"TIN",
IF(ISNUMBER(SEARCH("ACRILICO",Inventario!B15)),"ACR",
IF(ISNUMBER(SEARCH("LED",Inventario!B15)),"LED",
IF(ISNUMBER(SEARCH("FUENTE",Inventario!B15)),"FUE",
IF(ISNUMBER(SEARCH("PETG",Inventario!B15)),"PET",
IF(ISNUMBER(SEARCH("ALUMINIO",Inventario!B15)),"ALU",
IF(ISNUMBER(SEARCH("CANAL",Inventario!B15)),"CAN",
IF(ISNUMBER(SEARCH("ESCUADRA",Inventario!B15)),"ESC",
IF(ISNUMBER(SEARCH("SOPORTE",Inventario!B15)),"SOP","OTR")
)))))))))))))))))))</f>
        <v>LON</v>
      </c>
      <c r="B16" t="str">
        <f>IF(ISNUMBER(SEARCH("CORTE",Inventario!B15)),"COR",
IF(ISNUMBER(SEARCH("CRISTAL",Inventario!B15)),"CR",
IF(OR(ISNUMBER(SEARCH("OPTICO",Inventario!B15)),ISNUMBER(SEARCH("OPTICOS",Inventario!B15)),ISNUMBER(SEARCH("OPTICA",Inventario!B15))),"OP",
IF(ISNUMBER(SEARCH("NANO",Inventario!B15)),"NA",
IF(ISNUMBER(SEARCH("5050",Inventario!B15)),"5050",
IF(ISNUMBER(SEARCH("MICRO",Inventario!B15)),"MI",""))))))</f>
        <v/>
      </c>
      <c r="C16" t="str">
        <f>IF(ISNUMBER(SEARCH("PARED",Inventario!B15)),"PAR",IF(ISNUMBER(SEARCH("MATE",Inventario!B15)),"MAT",
IF(ISNUMBER(SEARCH("FRONT",Inventario!B15)),"FRO",
IF(ISNUMBER(SEARCH("BACK",Inventario!B15)),"BAC",
IF(ISNUMBER(SEARCH("MESH",Inventario!B15)),"MES",
IF(OR(ISNUMBER(SEARCH("BRILLANTE",Inventario!B15)),ISNUMBER(SEARCH("BTE",Inventario!B15))),"BRI",
IF(ISNUMBER(SEARCH("SINTETICA DELGADA",Inventario!B15)),"SD",
IF(ISNUMBER(SEARCH("SINTETICA GRUESA",Inventario!B15)),"SG",
IF(ISNUMBER(SEARCH("ESTATICO",Inventario!B15)),"EST",
IF(ISNUMBER(SEARCH("FLOOR",Inventario!B15)),"FLO",
IF(ISNUMBER(SEARCH("REFLECTIVO",Inventario!B15)),"REF",
IF(ISNUMBER(SEARCH("MICROPERFORADO",Inventario!B15)),"MI",
IF(ISNUMBER(SEARCH("CEPILLADO",Inventario!B15)),"CEP",
IF(ISNUMBER(SEARCH("ESPEJO",Inventario!B15)),"ESP",
IF(OR(ISNUMBER(SEARCH("UNIDIODO",Inventario!B15)),ISNUMBER(SEARCH("1 DIODO",Inventario!B15))),"1D",
IF(ISNUMBER(SEARCH("2 DIODOS",Inventario!B15)),"2D",
IF(ISNUMBER(SEARCH("3 DIODOS",Inventario!B15)),"3D","")))))))))))))))))</f>
        <v>MAT</v>
      </c>
      <c r="D16" t="str">
        <f>IF(ISNUMBER(SEARCH("LX700",Inventario!B15)),"LX7",
IF(ISNUMBER(SEARCH("GRANDO",Inventario!B15)),"GRA",
IF(OR(ISNUMBER(SEARCH("CAMA PLANA",Inventario!B15)),ISNUMBER(SEARCH("FB700",Inventario!B15))),"CP",
IF(ISNUMBER(SEARCH("LX360",Inventario!B15)),"LX3",
IF(ISNUMBER(SEARCH("XEROX",Inventario!B15)),"XER",
IF(ISNUMBER(SEARCH("18 OZ",Inventario!B15)),"18OZ",
IF(ISNUMBER(SEARCH("15 OZ",Inventario!B15)),"15OZ",
IF(OR(ISNUMBER(SEARCH("13 OZ",Inventario!B15)),ISNUMBER(SEARCH("13 ONZAS",Inventario!B15))),"13OZ",
IF(OR(ISNUMBER(SEARCH("9 OZ",Inventario!B15)),ISNUMBER(SEARCH("9 ONZAS",Inventario!B15))),"09OZ","")))))))))</f>
        <v>13OZ</v>
      </c>
      <c r="E16" t="str">
        <f>IF(OR(ISNUMBER(SEARCH("TRANSPARENTE",Inventario!B15)),ISNUMBER(SEARCH("TRANSPARENTES",Inventario!B15))),"TR",
IF(OR(ISNUMBER(SEARCH("BLANCO",Inventario!B15)),ISNUMBER(SEARCH("BCO",Inventario!B15))),"BL",
IF(ISNUMBER(SEARCH("VERDE",Inventario!B15)),"VR",
IF(ISNUMBER(SEARCH("MORADO",Inventario!B15)),"MR",
IF(ISNUMBER(SEARCH("PLATA",Inventario!B15)),"PL",
IF(ISNUMBER(SEARCH("ORO",Inventario!B15)),"OR",
IF(ISNUMBER(SEARCH("AMARILLO",Inventario!B15)),"AM",
IF(ISNUMBER(SEARCH("NARANJA",Inventario!B15)),"NR",
IF(ISNUMBER(SEARCH("NEGRO",Inventario!B15)),"NG",
IF(ISNUMBER(SEARCH("ROJO",Inventario!B15)),"RJ",
IF(ISNUMBER(SEARCH("AZUL",Inventario!B15)),"AZ","")))))))))))</f>
        <v/>
      </c>
      <c r="F16" t="str">
        <f>IF(ISNUMBER(SEARCH("1,2 MM",Inventario!B15)),"1MM2",
IF(OR(ISNUMBER(SEARCH("2 MM",Inventario!B15)),ISNUMBER(SEARCH("2MM",Inventario!B15))),"2MM",
IF(OR(ISNUMBER(SEARCH("3 MM",Inventario!B15)),ISNUMBER(SEARCH("3MM",Inventario!B15))),"3MM",
IF(OR(ISNUMBER(SEARCH("4 MM",Inventario!B15)),ISNUMBER(SEARCH("4MM",Inventario!B15)),ISNUMBER(SEARCH("4 mm",Inventario!B15))),"4MM",
IF(OR(ISNUMBER(SEARCH("5 MM",Inventario!B15)),ISNUMBER(SEARCH("5MM",Inventario!B15))),"5MM",
IF(OR(ISNUMBER(SEARCH("6 MM",Inventario!B15)),ISNUMBER(SEARCH("6MM",Inventario!B15))),"6MM",
IF(OR(ISNUMBER(SEARCH("10 MM",Inventario!B15)),ISNUMBER(SEARCH("10MM",Inventario!B15))),"10MM","")))))))</f>
        <v/>
      </c>
      <c r="G16" t="str">
        <f>IF(ISNUMBER(SEARCH("ALTA RESISTENCIA",Inventario!B15)),"AR",IF(ISNUMBER(SEARCH("CAMPAÑA",Inventario!B15)),"CA",
IF(OR(ISNUMBER(SEARCH("CALIDO",Inventario!B15)),ISNUMBER(SEARCH("CÁLIDO",Inventario!B15))),"C",
IF(OR(ISNUMBER(SEARCH("TRASLUCIDO",Inventario!B15)),ISNUMBER(SEARCH("TRANSLUCIDO",Inventario!B15))),"TL",
IF(ISNUMBER(SEARCH("NEUTRO",Inventario!B15)),"N",
IF(ISNUMBER(SEARCH("FRIO",Inventario!B15)),"F",""))))))</f>
        <v/>
      </c>
      <c r="H16" t="str">
        <f>IF(ISNUMBER(SEARCH("SILED",Inventario!B15)),"SI",
IF(ISNUMBER(SEARCH("SYDEMEX",Inventario!B15)),"SY",
IF(ISNUMBER(SEARCH("ROHS",Inventario!B15)),"RO",
IF(ISNUMBER(SEARCH("RISHANG",Inventario!B15)),"RS",
IF(ISNUMBER(SEARCH("VYG",Inventario!B15)),"VYG",
IF(ISNUMBER(SEARCH("COLED",Inventario!B15)),"CO",""))))))</f>
        <v/>
      </c>
    </row>
    <row r="17" spans="1:8">
      <c r="A17" t="str">
        <f>IF(ISNUMBER(SEARCH("LONA",Inventario!B16)),"LON",
IF(ISNUMBER(SEARCH("VINIL",Inventario!B16)),"VIN",
IF(ISNUMBER(SEARCH("PANEL DE ALUMINIO COMPUESTO",Inventario!B16)),"PAN-ALU-COM",
IF(ISNUMBER(SEARCH("PVC",Inventario!B16)),"PVC",
IF(ISNUMBER(SEARCH("PAPEL",Inventario!B16)),"PAP",
IF(ISNUMBER(SEARCH("TELA",Inventario!B16)),"TEL",
IF(ISNUMBER(SEARCH("CARTULINA",Inventario!B16)),"CAR",
IF(OR(ISNUMBER(SEARCH("LAMINA",Inventario!B16)),ISNUMBER(SEARCH("LÁMINA",Inventario!B16))),"LAM",
IF(ISNUMBER(SEARCH("ESTIRENO",Inventario!B16)),"EST",
IF(ISNUMBER(SEARCH("FOAMBOARD",Inventario!B16)),"FOA",
IF(ISNUMBER(SEARCH("SOLVENTE",Inventario!B16)),"SOL",
IF(ISNUMBER(SEARCH("TINTA",Inventario!B16)),"TIN",
IF(ISNUMBER(SEARCH("ACRILICO",Inventario!B16)),"ACR",
IF(ISNUMBER(SEARCH("LED",Inventario!B16)),"LED",
IF(ISNUMBER(SEARCH("FUENTE",Inventario!B16)),"FUE",
IF(ISNUMBER(SEARCH("PETG",Inventario!B16)),"PET",
IF(ISNUMBER(SEARCH("ALUMINIO",Inventario!B16)),"ALU",
IF(ISNUMBER(SEARCH("CANAL",Inventario!B16)),"CAN",
IF(ISNUMBER(SEARCH("ESCUADRA",Inventario!B16)),"ESC",
IF(ISNUMBER(SEARCH("SOPORTE",Inventario!B16)),"SOP","OTR")
)))))))))))))))))))</f>
        <v>LON</v>
      </c>
      <c r="B17" t="str">
        <f>IF(ISNUMBER(SEARCH("CORTE",Inventario!B16)),"COR",
IF(ISNUMBER(SEARCH("CRISTAL",Inventario!B16)),"CR",
IF(OR(ISNUMBER(SEARCH("OPTICO",Inventario!B16)),ISNUMBER(SEARCH("OPTICOS",Inventario!B16)),ISNUMBER(SEARCH("OPTICA",Inventario!B16))),"OP",
IF(ISNUMBER(SEARCH("NANO",Inventario!B16)),"NA",
IF(ISNUMBER(SEARCH("5050",Inventario!B16)),"5050",
IF(ISNUMBER(SEARCH("MICRO",Inventario!B16)),"MI",""))))))</f>
        <v/>
      </c>
      <c r="C17" t="str">
        <f>IF(ISNUMBER(SEARCH("PARED",Inventario!B16)),"PAR",IF(ISNUMBER(SEARCH("MATE",Inventario!B16)),"MAT",
IF(ISNUMBER(SEARCH("FRONT",Inventario!B16)),"FRO",
IF(ISNUMBER(SEARCH("BACK",Inventario!B16)),"BAC",
IF(ISNUMBER(SEARCH("MESH",Inventario!B16)),"MES",
IF(OR(ISNUMBER(SEARCH("BRILLANTE",Inventario!B16)),ISNUMBER(SEARCH("BTE",Inventario!B16))),"BRI",
IF(ISNUMBER(SEARCH("SINTETICA DELGADA",Inventario!B16)),"SD",
IF(ISNUMBER(SEARCH("SINTETICA GRUESA",Inventario!B16)),"SG",
IF(ISNUMBER(SEARCH("ESTATICO",Inventario!B16)),"EST",
IF(ISNUMBER(SEARCH("FLOOR",Inventario!B16)),"FLO",
IF(ISNUMBER(SEARCH("REFLECTIVO",Inventario!B16)),"REF",
IF(ISNUMBER(SEARCH("MICROPERFORADO",Inventario!B16)),"MI",
IF(ISNUMBER(SEARCH("CEPILLADO",Inventario!B16)),"CEP",
IF(ISNUMBER(SEARCH("ESPEJO",Inventario!B16)),"ESP",
IF(OR(ISNUMBER(SEARCH("UNIDIODO",Inventario!B16)),ISNUMBER(SEARCH("1 DIODO",Inventario!B16))),"1D",
IF(ISNUMBER(SEARCH("2 DIODOS",Inventario!B16)),"2D",
IF(ISNUMBER(SEARCH("3 DIODOS",Inventario!B16)),"3D","")))))))))))))))))</f>
        <v>MAT</v>
      </c>
      <c r="D17" t="str">
        <f>IF(ISNUMBER(SEARCH("LX700",Inventario!B16)),"LX7",
IF(ISNUMBER(SEARCH("GRANDO",Inventario!B16)),"GRA",
IF(OR(ISNUMBER(SEARCH("CAMA PLANA",Inventario!B16)),ISNUMBER(SEARCH("FB700",Inventario!B16))),"CP",
IF(ISNUMBER(SEARCH("LX360",Inventario!B16)),"LX3",
IF(ISNUMBER(SEARCH("XEROX",Inventario!B16)),"XER",
IF(ISNUMBER(SEARCH("18 OZ",Inventario!B16)),"18OZ",
IF(ISNUMBER(SEARCH("15 OZ",Inventario!B16)),"15OZ",
IF(OR(ISNUMBER(SEARCH("13 OZ",Inventario!B16)),ISNUMBER(SEARCH("13 ONZAS",Inventario!B16))),"13OZ",
IF(OR(ISNUMBER(SEARCH("9 OZ",Inventario!B16)),ISNUMBER(SEARCH("9 ONZAS",Inventario!B16))),"09OZ","")))))))))</f>
        <v>13OZ</v>
      </c>
      <c r="E17" t="str">
        <f>IF(OR(ISNUMBER(SEARCH("TRANSPARENTE",Inventario!B16)),ISNUMBER(SEARCH("TRANSPARENTES",Inventario!B16))),"TR",
IF(OR(ISNUMBER(SEARCH("BLANCO",Inventario!B16)),ISNUMBER(SEARCH("BCO",Inventario!B16))),"BL",
IF(ISNUMBER(SEARCH("VERDE",Inventario!B16)),"VR",
IF(ISNUMBER(SEARCH("MORADO",Inventario!B16)),"MR",
IF(ISNUMBER(SEARCH("PLATA",Inventario!B16)),"PL",
IF(ISNUMBER(SEARCH("ORO",Inventario!B16)),"OR",
IF(ISNUMBER(SEARCH("AMARILLO",Inventario!B16)),"AM",
IF(ISNUMBER(SEARCH("NARANJA",Inventario!B16)),"NR",
IF(ISNUMBER(SEARCH("NEGRO",Inventario!B16)),"NG",
IF(ISNUMBER(SEARCH("ROJO",Inventario!B16)),"RJ",
IF(ISNUMBER(SEARCH("AZUL",Inventario!B16)),"AZ","")))))))))))</f>
        <v/>
      </c>
      <c r="F17" t="str">
        <f>IF(ISNUMBER(SEARCH("1,2 MM",Inventario!B16)),"1MM2",
IF(OR(ISNUMBER(SEARCH("2 MM",Inventario!B16)),ISNUMBER(SEARCH("2MM",Inventario!B16))),"2MM",
IF(OR(ISNUMBER(SEARCH("3 MM",Inventario!B16)),ISNUMBER(SEARCH("3MM",Inventario!B16))),"3MM",
IF(OR(ISNUMBER(SEARCH("4 MM",Inventario!B16)),ISNUMBER(SEARCH("4MM",Inventario!B16)),ISNUMBER(SEARCH("4 mm",Inventario!B16))),"4MM",
IF(OR(ISNUMBER(SEARCH("5 MM",Inventario!B16)),ISNUMBER(SEARCH("5MM",Inventario!B16))),"5MM",
IF(OR(ISNUMBER(SEARCH("6 MM",Inventario!B16)),ISNUMBER(SEARCH("6MM",Inventario!B16))),"6MM",
IF(OR(ISNUMBER(SEARCH("10 MM",Inventario!B16)),ISNUMBER(SEARCH("10MM",Inventario!B16))),"10MM","")))))))</f>
        <v/>
      </c>
      <c r="G17" t="str">
        <f>IF(ISNUMBER(SEARCH("ALTA RESISTENCIA",Inventario!B16)),"AR",IF(ISNUMBER(SEARCH("CAMPAÑA",Inventario!B16)),"CA",
IF(OR(ISNUMBER(SEARCH("CALIDO",Inventario!B16)),ISNUMBER(SEARCH("CÁLIDO",Inventario!B16))),"C",
IF(OR(ISNUMBER(SEARCH("TRASLUCIDO",Inventario!B16)),ISNUMBER(SEARCH("TRANSLUCIDO",Inventario!B16))),"TL",
IF(ISNUMBER(SEARCH("NEUTRO",Inventario!B16)),"N",
IF(ISNUMBER(SEARCH("FRIO",Inventario!B16)),"F",""))))))</f>
        <v/>
      </c>
      <c r="H17" t="str">
        <f>IF(ISNUMBER(SEARCH("SILED",Inventario!B16)),"SI",
IF(ISNUMBER(SEARCH("SYDEMEX",Inventario!B16)),"SY",
IF(ISNUMBER(SEARCH("ROHS",Inventario!B16)),"RO",
IF(ISNUMBER(SEARCH("RISHANG",Inventario!B16)),"RS",
IF(ISNUMBER(SEARCH("VYG",Inventario!B16)),"VYG",
IF(ISNUMBER(SEARCH("COLED",Inventario!B16)),"CO",""))))))</f>
        <v/>
      </c>
    </row>
    <row r="18" spans="1:8">
      <c r="A18" t="str">
        <f>IF(ISNUMBER(SEARCH("LONA",Inventario!B17)),"LON",
IF(ISNUMBER(SEARCH("VINIL",Inventario!B17)),"VIN",
IF(ISNUMBER(SEARCH("PANEL DE ALUMINIO COMPUESTO",Inventario!B17)),"PAN-ALU-COM",
IF(ISNUMBER(SEARCH("PVC",Inventario!B17)),"PVC",
IF(ISNUMBER(SEARCH("PAPEL",Inventario!B17)),"PAP",
IF(ISNUMBER(SEARCH("TELA",Inventario!B17)),"TEL",
IF(ISNUMBER(SEARCH("CARTULINA",Inventario!B17)),"CAR",
IF(OR(ISNUMBER(SEARCH("LAMINA",Inventario!B17)),ISNUMBER(SEARCH("LÁMINA",Inventario!B17))),"LAM",
IF(ISNUMBER(SEARCH("ESTIRENO",Inventario!B17)),"EST",
IF(ISNUMBER(SEARCH("FOAMBOARD",Inventario!B17)),"FOA",
IF(ISNUMBER(SEARCH("SOLVENTE",Inventario!B17)),"SOL",
IF(ISNUMBER(SEARCH("TINTA",Inventario!B17)),"TIN",
IF(ISNUMBER(SEARCH("ACRILICO",Inventario!B17)),"ACR",
IF(ISNUMBER(SEARCH("LED",Inventario!B17)),"LED",
IF(ISNUMBER(SEARCH("FUENTE",Inventario!B17)),"FUE",
IF(ISNUMBER(SEARCH("PETG",Inventario!B17)),"PET",
IF(ISNUMBER(SEARCH("ALUMINIO",Inventario!B17)),"ALU",
IF(ISNUMBER(SEARCH("CANAL",Inventario!B17)),"CAN",
IF(ISNUMBER(SEARCH("ESCUADRA",Inventario!B17)),"ESC",
IF(ISNUMBER(SEARCH("SOPORTE",Inventario!B17)),"SOP","OTR")
)))))))))))))))))))</f>
        <v>LON</v>
      </c>
      <c r="B18" t="str">
        <f>IF(ISNUMBER(SEARCH("CORTE",Inventario!B17)),"COR",
IF(ISNUMBER(SEARCH("CRISTAL",Inventario!B17)),"CR",
IF(OR(ISNUMBER(SEARCH("OPTICO",Inventario!B17)),ISNUMBER(SEARCH("OPTICOS",Inventario!B17)),ISNUMBER(SEARCH("OPTICA",Inventario!B17))),"OP",
IF(ISNUMBER(SEARCH("NANO",Inventario!B17)),"NA",
IF(ISNUMBER(SEARCH("5050",Inventario!B17)),"5050",
IF(ISNUMBER(SEARCH("MICRO",Inventario!B17)),"MI",""))))))</f>
        <v/>
      </c>
      <c r="C18" t="str">
        <f>IF(ISNUMBER(SEARCH("PARED",Inventario!B17)),"PAR",IF(ISNUMBER(SEARCH("MATE",Inventario!B17)),"MAT",
IF(ISNUMBER(SEARCH("FRONT",Inventario!B17)),"FRO",
IF(ISNUMBER(SEARCH("BACK",Inventario!B17)),"BAC",
IF(ISNUMBER(SEARCH("MESH",Inventario!B17)),"MES",
IF(OR(ISNUMBER(SEARCH("BRILLANTE",Inventario!B17)),ISNUMBER(SEARCH("BTE",Inventario!B17))),"BRI",
IF(ISNUMBER(SEARCH("SINTETICA DELGADA",Inventario!B17)),"SD",
IF(ISNUMBER(SEARCH("SINTETICA GRUESA",Inventario!B17)),"SG",
IF(ISNUMBER(SEARCH("ESTATICO",Inventario!B17)),"EST",
IF(ISNUMBER(SEARCH("FLOOR",Inventario!B17)),"FLO",
IF(ISNUMBER(SEARCH("REFLECTIVO",Inventario!B17)),"REF",
IF(ISNUMBER(SEARCH("MICROPERFORADO",Inventario!B17)),"MI",
IF(ISNUMBER(SEARCH("CEPILLADO",Inventario!B17)),"CEP",
IF(ISNUMBER(SEARCH("ESPEJO",Inventario!B17)),"ESP",
IF(OR(ISNUMBER(SEARCH("UNIDIODO",Inventario!B17)),ISNUMBER(SEARCH("1 DIODO",Inventario!B17))),"1D",
IF(ISNUMBER(SEARCH("2 DIODOS",Inventario!B17)),"2D",
IF(ISNUMBER(SEARCH("3 DIODOS",Inventario!B17)),"3D","")))))))))))))))))</f>
        <v>MAT</v>
      </c>
      <c r="D18" t="str">
        <f>IF(ISNUMBER(SEARCH("LX700",Inventario!B17)),"LX7",
IF(ISNUMBER(SEARCH("GRANDO",Inventario!B17)),"GRA",
IF(OR(ISNUMBER(SEARCH("CAMA PLANA",Inventario!B17)),ISNUMBER(SEARCH("FB700",Inventario!B17))),"CP",
IF(ISNUMBER(SEARCH("LX360",Inventario!B17)),"LX3",
IF(ISNUMBER(SEARCH("XEROX",Inventario!B17)),"XER",
IF(ISNUMBER(SEARCH("18 OZ",Inventario!B17)),"18OZ",
IF(ISNUMBER(SEARCH("15 OZ",Inventario!B17)),"15OZ",
IF(OR(ISNUMBER(SEARCH("13 OZ",Inventario!B17)),ISNUMBER(SEARCH("13 ONZAS",Inventario!B17))),"13OZ",
IF(OR(ISNUMBER(SEARCH("9 OZ",Inventario!B17)),ISNUMBER(SEARCH("9 ONZAS",Inventario!B17))),"09OZ","")))))))))</f>
        <v>13OZ</v>
      </c>
      <c r="E18" t="str">
        <f>IF(OR(ISNUMBER(SEARCH("TRANSPARENTE",Inventario!B17)),ISNUMBER(SEARCH("TRANSPARENTES",Inventario!B17))),"TR",
IF(OR(ISNUMBER(SEARCH("BLANCO",Inventario!B17)),ISNUMBER(SEARCH("BCO",Inventario!B17))),"BL",
IF(ISNUMBER(SEARCH("VERDE",Inventario!B17)),"VR",
IF(ISNUMBER(SEARCH("MORADO",Inventario!B17)),"MR",
IF(ISNUMBER(SEARCH("PLATA",Inventario!B17)),"PL",
IF(ISNUMBER(SEARCH("ORO",Inventario!B17)),"OR",
IF(ISNUMBER(SEARCH("AMARILLO",Inventario!B17)),"AM",
IF(ISNUMBER(SEARCH("NARANJA",Inventario!B17)),"NR",
IF(ISNUMBER(SEARCH("NEGRO",Inventario!B17)),"NG",
IF(ISNUMBER(SEARCH("ROJO",Inventario!B17)),"RJ",
IF(ISNUMBER(SEARCH("AZUL",Inventario!B17)),"AZ","")))))))))))</f>
        <v/>
      </c>
      <c r="F18" t="str">
        <f>IF(ISNUMBER(SEARCH("1,2 MM",Inventario!B17)),"1MM2",
IF(OR(ISNUMBER(SEARCH("2 MM",Inventario!B17)),ISNUMBER(SEARCH("2MM",Inventario!B17))),"2MM",
IF(OR(ISNUMBER(SEARCH("3 MM",Inventario!B17)),ISNUMBER(SEARCH("3MM",Inventario!B17))),"3MM",
IF(OR(ISNUMBER(SEARCH("4 MM",Inventario!B17)),ISNUMBER(SEARCH("4MM",Inventario!B17)),ISNUMBER(SEARCH("4 mm",Inventario!B17))),"4MM",
IF(OR(ISNUMBER(SEARCH("5 MM",Inventario!B17)),ISNUMBER(SEARCH("5MM",Inventario!B17))),"5MM",
IF(OR(ISNUMBER(SEARCH("6 MM",Inventario!B17)),ISNUMBER(SEARCH("6MM",Inventario!B17))),"6MM",
IF(OR(ISNUMBER(SEARCH("10 MM",Inventario!B17)),ISNUMBER(SEARCH("10MM",Inventario!B17))),"10MM","")))))))</f>
        <v/>
      </c>
      <c r="G18" t="str">
        <f>IF(ISNUMBER(SEARCH("ALTA RESISTENCIA",Inventario!B17)),"AR",IF(ISNUMBER(SEARCH("CAMPAÑA",Inventario!B17)),"CA",
IF(OR(ISNUMBER(SEARCH("CALIDO",Inventario!B17)),ISNUMBER(SEARCH("CÁLIDO",Inventario!B17))),"C",
IF(OR(ISNUMBER(SEARCH("TRASLUCIDO",Inventario!B17)),ISNUMBER(SEARCH("TRANSLUCIDO",Inventario!B17))),"TL",
IF(ISNUMBER(SEARCH("NEUTRO",Inventario!B17)),"N",
IF(ISNUMBER(SEARCH("FRIO",Inventario!B17)),"F",""))))))</f>
        <v/>
      </c>
      <c r="H18" t="str">
        <f>IF(ISNUMBER(SEARCH("SILED",Inventario!B17)),"SI",
IF(ISNUMBER(SEARCH("SYDEMEX",Inventario!B17)),"SY",
IF(ISNUMBER(SEARCH("ROHS",Inventario!B17)),"RO",
IF(ISNUMBER(SEARCH("RISHANG",Inventario!B17)),"RS",
IF(ISNUMBER(SEARCH("VYG",Inventario!B17)),"VYG",
IF(ISNUMBER(SEARCH("COLED",Inventario!B17)),"CO",""))))))</f>
        <v/>
      </c>
    </row>
    <row r="19" spans="1:8">
      <c r="A19" t="str">
        <f>IF(ISNUMBER(SEARCH("LONA",Inventario!B18)),"LON",
IF(ISNUMBER(SEARCH("VINIL",Inventario!B18)),"VIN",
IF(ISNUMBER(SEARCH("PANEL DE ALUMINIO COMPUESTO",Inventario!B18)),"PAN-ALU-COM",
IF(ISNUMBER(SEARCH("PVC",Inventario!B18)),"PVC",
IF(ISNUMBER(SEARCH("PAPEL",Inventario!B18)),"PAP",
IF(ISNUMBER(SEARCH("TELA",Inventario!B18)),"TEL",
IF(ISNUMBER(SEARCH("CARTULINA",Inventario!B18)),"CAR",
IF(OR(ISNUMBER(SEARCH("LAMINA",Inventario!B18)),ISNUMBER(SEARCH("LÁMINA",Inventario!B18))),"LAM",
IF(ISNUMBER(SEARCH("ESTIRENO",Inventario!B18)),"EST",
IF(ISNUMBER(SEARCH("FOAMBOARD",Inventario!B18)),"FOA",
IF(ISNUMBER(SEARCH("SOLVENTE",Inventario!B18)),"SOL",
IF(ISNUMBER(SEARCH("TINTA",Inventario!B18)),"TIN",
IF(ISNUMBER(SEARCH("ACRILICO",Inventario!B18)),"ACR",
IF(ISNUMBER(SEARCH("LED",Inventario!B18)),"LED",
IF(ISNUMBER(SEARCH("FUENTE",Inventario!B18)),"FUE",
IF(ISNUMBER(SEARCH("PETG",Inventario!B18)),"PET",
IF(ISNUMBER(SEARCH("ALUMINIO",Inventario!B18)),"ALU",
IF(ISNUMBER(SEARCH("CANAL",Inventario!B18)),"CAN",
IF(ISNUMBER(SEARCH("ESCUADRA",Inventario!B18)),"ESC",
IF(ISNUMBER(SEARCH("SOPORTE",Inventario!B18)),"SOP","OTR")
)))))))))))))))))))</f>
        <v>LON</v>
      </c>
      <c r="B19" t="str">
        <f>IF(ISNUMBER(SEARCH("CORTE",Inventario!B18)),"COR",
IF(ISNUMBER(SEARCH("CRISTAL",Inventario!B18)),"CR",
IF(OR(ISNUMBER(SEARCH("OPTICO",Inventario!B18)),ISNUMBER(SEARCH("OPTICOS",Inventario!B18)),ISNUMBER(SEARCH("OPTICA",Inventario!B18))),"OP",
IF(ISNUMBER(SEARCH("NANO",Inventario!B18)),"NA",
IF(ISNUMBER(SEARCH("5050",Inventario!B18)),"5050",
IF(ISNUMBER(SEARCH("MICRO",Inventario!B18)),"MI",""))))))</f>
        <v/>
      </c>
      <c r="C19" t="str">
        <f>IF(ISNUMBER(SEARCH("PARED",Inventario!B18)),"PAR",IF(ISNUMBER(SEARCH("MATE",Inventario!B18)),"MAT",
IF(ISNUMBER(SEARCH("FRONT",Inventario!B18)),"FRO",
IF(ISNUMBER(SEARCH("BACK",Inventario!B18)),"BAC",
IF(ISNUMBER(SEARCH("MESH",Inventario!B18)),"MES",
IF(OR(ISNUMBER(SEARCH("BRILLANTE",Inventario!B18)),ISNUMBER(SEARCH("BTE",Inventario!B18))),"BRI",
IF(ISNUMBER(SEARCH("SINTETICA DELGADA",Inventario!B18)),"SD",
IF(ISNUMBER(SEARCH("SINTETICA GRUESA",Inventario!B18)),"SG",
IF(ISNUMBER(SEARCH("ESTATICO",Inventario!B18)),"EST",
IF(ISNUMBER(SEARCH("FLOOR",Inventario!B18)),"FLO",
IF(ISNUMBER(SEARCH("REFLECTIVO",Inventario!B18)),"REF",
IF(ISNUMBER(SEARCH("MICROPERFORADO",Inventario!B18)),"MI",
IF(ISNUMBER(SEARCH("CEPILLADO",Inventario!B18)),"CEP",
IF(ISNUMBER(SEARCH("ESPEJO",Inventario!B18)),"ESP",
IF(OR(ISNUMBER(SEARCH("UNIDIODO",Inventario!B18)),ISNUMBER(SEARCH("1 DIODO",Inventario!B18))),"1D",
IF(ISNUMBER(SEARCH("2 DIODOS",Inventario!B18)),"2D",
IF(ISNUMBER(SEARCH("3 DIODOS",Inventario!B18)),"3D","")))))))))))))))))</f>
        <v>MAT</v>
      </c>
      <c r="D19" t="str">
        <f>IF(ISNUMBER(SEARCH("LX700",Inventario!B18)),"LX7",
IF(ISNUMBER(SEARCH("GRANDO",Inventario!B18)),"GRA",
IF(OR(ISNUMBER(SEARCH("CAMA PLANA",Inventario!B18)),ISNUMBER(SEARCH("FB700",Inventario!B18))),"CP",
IF(ISNUMBER(SEARCH("LX360",Inventario!B18)),"LX3",
IF(ISNUMBER(SEARCH("XEROX",Inventario!B18)),"XER",
IF(ISNUMBER(SEARCH("18 OZ",Inventario!B18)),"18OZ",
IF(ISNUMBER(SEARCH("15 OZ",Inventario!B18)),"15OZ",
IF(OR(ISNUMBER(SEARCH("13 OZ",Inventario!B18)),ISNUMBER(SEARCH("13 ONZAS",Inventario!B18))),"13OZ",
IF(OR(ISNUMBER(SEARCH("9 OZ",Inventario!B18)),ISNUMBER(SEARCH("9 ONZAS",Inventario!B18))),"09OZ","")))))))))</f>
        <v>13OZ</v>
      </c>
      <c r="E19" t="str">
        <f>IF(OR(ISNUMBER(SEARCH("TRANSPARENTE",Inventario!B18)),ISNUMBER(SEARCH("TRANSPARENTES",Inventario!B18))),"TR",
IF(OR(ISNUMBER(SEARCH("BLANCO",Inventario!B18)),ISNUMBER(SEARCH("BCO",Inventario!B18))),"BL",
IF(ISNUMBER(SEARCH("VERDE",Inventario!B18)),"VR",
IF(ISNUMBER(SEARCH("MORADO",Inventario!B18)),"MR",
IF(ISNUMBER(SEARCH("PLATA",Inventario!B18)),"PL",
IF(ISNUMBER(SEARCH("ORO",Inventario!B18)),"OR",
IF(ISNUMBER(SEARCH("AMARILLO",Inventario!B18)),"AM",
IF(ISNUMBER(SEARCH("NARANJA",Inventario!B18)),"NR",
IF(ISNUMBER(SEARCH("NEGRO",Inventario!B18)),"NG",
IF(ISNUMBER(SEARCH("ROJO",Inventario!B18)),"RJ",
IF(ISNUMBER(SEARCH("AZUL",Inventario!B18)),"AZ","")))))))))))</f>
        <v>NG</v>
      </c>
      <c r="F19" t="str">
        <f>IF(ISNUMBER(SEARCH("1,2 MM",Inventario!B18)),"1MM2",
IF(OR(ISNUMBER(SEARCH("2 MM",Inventario!B18)),ISNUMBER(SEARCH("2MM",Inventario!B18))),"2MM",
IF(OR(ISNUMBER(SEARCH("3 MM",Inventario!B18)),ISNUMBER(SEARCH("3MM",Inventario!B18))),"3MM",
IF(OR(ISNUMBER(SEARCH("4 MM",Inventario!B18)),ISNUMBER(SEARCH("4MM",Inventario!B18)),ISNUMBER(SEARCH("4 mm",Inventario!B18))),"4MM",
IF(OR(ISNUMBER(SEARCH("5 MM",Inventario!B18)),ISNUMBER(SEARCH("5MM",Inventario!B18))),"5MM",
IF(OR(ISNUMBER(SEARCH("6 MM",Inventario!B18)),ISNUMBER(SEARCH("6MM",Inventario!B18))),"6MM",
IF(OR(ISNUMBER(SEARCH("10 MM",Inventario!B18)),ISNUMBER(SEARCH("10MM",Inventario!B18))),"10MM","")))))))</f>
        <v/>
      </c>
      <c r="G19" t="str">
        <f>IF(ISNUMBER(SEARCH("ALTA RESISTENCIA",Inventario!B18)),"AR",IF(ISNUMBER(SEARCH("CAMPAÑA",Inventario!B18)),"CA",
IF(OR(ISNUMBER(SEARCH("CALIDO",Inventario!B18)),ISNUMBER(SEARCH("CÁLIDO",Inventario!B18))),"C",
IF(OR(ISNUMBER(SEARCH("TRASLUCIDO",Inventario!B18)),ISNUMBER(SEARCH("TRANSLUCIDO",Inventario!B18))),"TL",
IF(ISNUMBER(SEARCH("NEUTRO",Inventario!B18)),"N",
IF(ISNUMBER(SEARCH("FRIO",Inventario!B18)),"F",""))))))</f>
        <v/>
      </c>
      <c r="H19" t="str">
        <f>IF(ISNUMBER(SEARCH("SILED",Inventario!B18)),"SI",
IF(ISNUMBER(SEARCH("SYDEMEX",Inventario!B18)),"SY",
IF(ISNUMBER(SEARCH("ROHS",Inventario!B18)),"RO",
IF(ISNUMBER(SEARCH("RISHANG",Inventario!B18)),"RS",
IF(ISNUMBER(SEARCH("VYG",Inventario!B18)),"VYG",
IF(ISNUMBER(SEARCH("COLED",Inventario!B18)),"CO",""))))))</f>
        <v/>
      </c>
    </row>
    <row r="20" spans="1:8">
      <c r="A20" t="str">
        <f>IF(ISNUMBER(SEARCH("LONA",Inventario!B19)),"LON",
IF(ISNUMBER(SEARCH("VINIL",Inventario!B19)),"VIN",
IF(ISNUMBER(SEARCH("PANEL DE ALUMINIO COMPUESTO",Inventario!B19)),"PAN-ALU-COM",
IF(ISNUMBER(SEARCH("PVC",Inventario!B19)),"PVC",
IF(ISNUMBER(SEARCH("PAPEL",Inventario!B19)),"PAP",
IF(ISNUMBER(SEARCH("TELA",Inventario!B19)),"TEL",
IF(ISNUMBER(SEARCH("CARTULINA",Inventario!B19)),"CAR",
IF(OR(ISNUMBER(SEARCH("LAMINA",Inventario!B19)),ISNUMBER(SEARCH("LÁMINA",Inventario!B19))),"LAM",
IF(ISNUMBER(SEARCH("ESTIRENO",Inventario!B19)),"EST",
IF(ISNUMBER(SEARCH("FOAMBOARD",Inventario!B19)),"FOA",
IF(ISNUMBER(SEARCH("SOLVENTE",Inventario!B19)),"SOL",
IF(ISNUMBER(SEARCH("TINTA",Inventario!B19)),"TIN",
IF(ISNUMBER(SEARCH("ACRILICO",Inventario!B19)),"ACR",
IF(ISNUMBER(SEARCH("LED",Inventario!B19)),"LED",
IF(ISNUMBER(SEARCH("FUENTE",Inventario!B19)),"FUE",
IF(ISNUMBER(SEARCH("PETG",Inventario!B19)),"PET",
IF(ISNUMBER(SEARCH("ALUMINIO",Inventario!B19)),"ALU",
IF(ISNUMBER(SEARCH("CANAL",Inventario!B19)),"CAN",
IF(ISNUMBER(SEARCH("ESCUADRA",Inventario!B19)),"ESC",
IF(ISNUMBER(SEARCH("SOPORTE",Inventario!B19)),"SOP","OTR")
)))))))))))))))))))</f>
        <v>LON</v>
      </c>
      <c r="B20" t="str">
        <f>IF(ISNUMBER(SEARCH("CORTE",Inventario!B19)),"COR",
IF(ISNUMBER(SEARCH("CRISTAL",Inventario!B19)),"CR",
IF(OR(ISNUMBER(SEARCH("OPTICO",Inventario!B19)),ISNUMBER(SEARCH("OPTICOS",Inventario!B19)),ISNUMBER(SEARCH("OPTICA",Inventario!B19))),"OP",
IF(ISNUMBER(SEARCH("NANO",Inventario!B19)),"NA",
IF(ISNUMBER(SEARCH("5050",Inventario!B19)),"5050",
IF(ISNUMBER(SEARCH("MICRO",Inventario!B19)),"MI",""))))))</f>
        <v/>
      </c>
      <c r="C20" t="str">
        <f>IF(ISNUMBER(SEARCH("PARED",Inventario!B19)),"PAR",IF(ISNUMBER(SEARCH("MATE",Inventario!B19)),"MAT",
IF(ISNUMBER(SEARCH("FRONT",Inventario!B19)),"FRO",
IF(ISNUMBER(SEARCH("BACK",Inventario!B19)),"BAC",
IF(ISNUMBER(SEARCH("MESH",Inventario!B19)),"MES",
IF(OR(ISNUMBER(SEARCH("BRILLANTE",Inventario!B19)),ISNUMBER(SEARCH("BTE",Inventario!B19))),"BRI",
IF(ISNUMBER(SEARCH("SINTETICA DELGADA",Inventario!B19)),"SD",
IF(ISNUMBER(SEARCH("SINTETICA GRUESA",Inventario!B19)),"SG",
IF(ISNUMBER(SEARCH("ESTATICO",Inventario!B19)),"EST",
IF(ISNUMBER(SEARCH("FLOOR",Inventario!B19)),"FLO",
IF(ISNUMBER(SEARCH("REFLECTIVO",Inventario!B19)),"REF",
IF(ISNUMBER(SEARCH("MICROPERFORADO",Inventario!B19)),"MI",
IF(ISNUMBER(SEARCH("CEPILLADO",Inventario!B19)),"CEP",
IF(ISNUMBER(SEARCH("ESPEJO",Inventario!B19)),"ESP",
IF(OR(ISNUMBER(SEARCH("UNIDIODO",Inventario!B19)),ISNUMBER(SEARCH("1 DIODO",Inventario!B19))),"1D",
IF(ISNUMBER(SEARCH("2 DIODOS",Inventario!B19)),"2D",
IF(ISNUMBER(SEARCH("3 DIODOS",Inventario!B19)),"3D","")))))))))))))))))</f>
        <v>MAT</v>
      </c>
      <c r="D20" t="str">
        <f>IF(ISNUMBER(SEARCH("LX700",Inventario!B19)),"LX7",
IF(ISNUMBER(SEARCH("GRANDO",Inventario!B19)),"GRA",
IF(OR(ISNUMBER(SEARCH("CAMA PLANA",Inventario!B19)),ISNUMBER(SEARCH("FB700",Inventario!B19))),"CP",
IF(ISNUMBER(SEARCH("LX360",Inventario!B19)),"LX3",
IF(ISNUMBER(SEARCH("XEROX",Inventario!B19)),"XER",
IF(ISNUMBER(SEARCH("18 OZ",Inventario!B19)),"18OZ",
IF(ISNUMBER(SEARCH("15 OZ",Inventario!B19)),"15OZ",
IF(OR(ISNUMBER(SEARCH("13 OZ",Inventario!B19)),ISNUMBER(SEARCH("13 ONZAS",Inventario!B19))),"13OZ",
IF(OR(ISNUMBER(SEARCH("9 OZ",Inventario!B19)),ISNUMBER(SEARCH("9 ONZAS",Inventario!B19))),"09OZ","")))))))))</f>
        <v>13OZ</v>
      </c>
      <c r="E20" t="str">
        <f>IF(OR(ISNUMBER(SEARCH("TRANSPARENTE",Inventario!B19)),ISNUMBER(SEARCH("TRANSPARENTES",Inventario!B19))),"TR",
IF(OR(ISNUMBER(SEARCH("BLANCO",Inventario!B19)),ISNUMBER(SEARCH("BCO",Inventario!B19))),"BL",
IF(ISNUMBER(SEARCH("VERDE",Inventario!B19)),"VR",
IF(ISNUMBER(SEARCH("MORADO",Inventario!B19)),"MR",
IF(ISNUMBER(SEARCH("PLATA",Inventario!B19)),"PL",
IF(ISNUMBER(SEARCH("ORO",Inventario!B19)),"OR",
IF(ISNUMBER(SEARCH("AMARILLO",Inventario!B19)),"AM",
IF(ISNUMBER(SEARCH("NARANJA",Inventario!B19)),"NR",
IF(ISNUMBER(SEARCH("NEGRO",Inventario!B19)),"NG",
IF(ISNUMBER(SEARCH("ROJO",Inventario!B19)),"RJ",
IF(ISNUMBER(SEARCH("AZUL",Inventario!B19)),"AZ","")))))))))))</f>
        <v/>
      </c>
      <c r="F20" t="str">
        <f>IF(ISNUMBER(SEARCH("1,2 MM",Inventario!B19)),"1MM2",
IF(OR(ISNUMBER(SEARCH("2 MM",Inventario!B19)),ISNUMBER(SEARCH("2MM",Inventario!B19))),"2MM",
IF(OR(ISNUMBER(SEARCH("3 MM",Inventario!B19)),ISNUMBER(SEARCH("3MM",Inventario!B19))),"3MM",
IF(OR(ISNUMBER(SEARCH("4 MM",Inventario!B19)),ISNUMBER(SEARCH("4MM",Inventario!B19)),ISNUMBER(SEARCH("4 mm",Inventario!B19))),"4MM",
IF(OR(ISNUMBER(SEARCH("5 MM",Inventario!B19)),ISNUMBER(SEARCH("5MM",Inventario!B19))),"5MM",
IF(OR(ISNUMBER(SEARCH("6 MM",Inventario!B19)),ISNUMBER(SEARCH("6MM",Inventario!B19))),"6MM",
IF(OR(ISNUMBER(SEARCH("10 MM",Inventario!B19)),ISNUMBER(SEARCH("10MM",Inventario!B19))),"10MM","")))))))</f>
        <v/>
      </c>
      <c r="G20" t="str">
        <f>IF(ISNUMBER(SEARCH("ALTA RESISTENCIA",Inventario!B19)),"AR",IF(ISNUMBER(SEARCH("CAMPAÑA",Inventario!B19)),"CA",
IF(OR(ISNUMBER(SEARCH("CALIDO",Inventario!B19)),ISNUMBER(SEARCH("CÁLIDO",Inventario!B19))),"C",
IF(OR(ISNUMBER(SEARCH("TRASLUCIDO",Inventario!B19)),ISNUMBER(SEARCH("TRANSLUCIDO",Inventario!B19))),"TL",
IF(ISNUMBER(SEARCH("NEUTRO",Inventario!B19)),"N",
IF(ISNUMBER(SEARCH("FRIO",Inventario!B19)),"F",""))))))</f>
        <v/>
      </c>
      <c r="H20" t="str">
        <f>IF(ISNUMBER(SEARCH("SILED",Inventario!B19)),"SI",
IF(ISNUMBER(SEARCH("SYDEMEX",Inventario!B19)),"SY",
IF(ISNUMBER(SEARCH("ROHS",Inventario!B19)),"RO",
IF(ISNUMBER(SEARCH("RISHANG",Inventario!B19)),"RS",
IF(ISNUMBER(SEARCH("VYG",Inventario!B19)),"VYG",
IF(ISNUMBER(SEARCH("COLED",Inventario!B19)),"CO",""))))))</f>
        <v/>
      </c>
    </row>
    <row r="21" spans="1:8">
      <c r="A21" t="str">
        <f>IF(ISNUMBER(SEARCH("LONA",Inventario!B20)),"LON",
IF(ISNUMBER(SEARCH("VINIL",Inventario!B20)),"VIN",
IF(ISNUMBER(SEARCH("PANEL DE ALUMINIO COMPUESTO",Inventario!B20)),"PAN-ALU-COM",
IF(ISNUMBER(SEARCH("PVC",Inventario!B20)),"PVC",
IF(ISNUMBER(SEARCH("PAPEL",Inventario!B20)),"PAP",
IF(ISNUMBER(SEARCH("TELA",Inventario!B20)),"TEL",
IF(ISNUMBER(SEARCH("CARTULINA",Inventario!B20)),"CAR",
IF(OR(ISNUMBER(SEARCH("LAMINA",Inventario!B20)),ISNUMBER(SEARCH("LÁMINA",Inventario!B20))),"LAM",
IF(ISNUMBER(SEARCH("ESTIRENO",Inventario!B20)),"EST",
IF(ISNUMBER(SEARCH("FOAMBOARD",Inventario!B20)),"FOA",
IF(ISNUMBER(SEARCH("SOLVENTE",Inventario!B20)),"SOL",
IF(ISNUMBER(SEARCH("TINTA",Inventario!B20)),"TIN",
IF(ISNUMBER(SEARCH("ACRILICO",Inventario!B20)),"ACR",
IF(ISNUMBER(SEARCH("LED",Inventario!B20)),"LED",
IF(ISNUMBER(SEARCH("FUENTE",Inventario!B20)),"FUE",
IF(ISNUMBER(SEARCH("PETG",Inventario!B20)),"PET",
IF(ISNUMBER(SEARCH("ALUMINIO",Inventario!B20)),"ALU",
IF(ISNUMBER(SEARCH("CANAL",Inventario!B20)),"CAN",
IF(ISNUMBER(SEARCH("ESCUADRA",Inventario!B20)),"ESC",
IF(ISNUMBER(SEARCH("SOPORTE",Inventario!B20)),"SOP","OTR")
)))))))))))))))))))</f>
        <v>LON</v>
      </c>
      <c r="B21" t="str">
        <f>IF(ISNUMBER(SEARCH("CORTE",Inventario!B20)),"COR",
IF(ISNUMBER(SEARCH("CRISTAL",Inventario!B20)),"CR",
IF(OR(ISNUMBER(SEARCH("OPTICO",Inventario!B20)),ISNUMBER(SEARCH("OPTICOS",Inventario!B20)),ISNUMBER(SEARCH("OPTICA",Inventario!B20))),"OP",
IF(ISNUMBER(SEARCH("NANO",Inventario!B20)),"NA",
IF(ISNUMBER(SEARCH("5050",Inventario!B20)),"5050",
IF(ISNUMBER(SEARCH("MICRO",Inventario!B20)),"MI",""))))))</f>
        <v/>
      </c>
      <c r="C21" t="str">
        <f>IF(ISNUMBER(SEARCH("PARED",Inventario!B20)),"PAR",IF(ISNUMBER(SEARCH("MATE",Inventario!B20)),"MAT",
IF(ISNUMBER(SEARCH("FRONT",Inventario!B20)),"FRO",
IF(ISNUMBER(SEARCH("BACK",Inventario!B20)),"BAC",
IF(ISNUMBER(SEARCH("MESH",Inventario!B20)),"MES",
IF(OR(ISNUMBER(SEARCH("BRILLANTE",Inventario!B20)),ISNUMBER(SEARCH("BTE",Inventario!B20))),"BRI",
IF(ISNUMBER(SEARCH("SINTETICA DELGADA",Inventario!B20)),"SD",
IF(ISNUMBER(SEARCH("SINTETICA GRUESA",Inventario!B20)),"SG",
IF(ISNUMBER(SEARCH("ESTATICO",Inventario!B20)),"EST",
IF(ISNUMBER(SEARCH("FLOOR",Inventario!B20)),"FLO",
IF(ISNUMBER(SEARCH("REFLECTIVO",Inventario!B20)),"REF",
IF(ISNUMBER(SEARCH("MICROPERFORADO",Inventario!B20)),"MI",
IF(ISNUMBER(SEARCH("CEPILLADO",Inventario!B20)),"CEP",
IF(ISNUMBER(SEARCH("ESPEJO",Inventario!B20)),"ESP",
IF(OR(ISNUMBER(SEARCH("UNIDIODO",Inventario!B20)),ISNUMBER(SEARCH("1 DIODO",Inventario!B20))),"1D",
IF(ISNUMBER(SEARCH("2 DIODOS",Inventario!B20)),"2D",
IF(ISNUMBER(SEARCH("3 DIODOS",Inventario!B20)),"3D","")))))))))))))))))</f>
        <v>MAT</v>
      </c>
      <c r="D21" t="str">
        <f>IF(ISNUMBER(SEARCH("LX700",Inventario!B20)),"LX7",
IF(ISNUMBER(SEARCH("GRANDO",Inventario!B20)),"GRA",
IF(OR(ISNUMBER(SEARCH("CAMA PLANA",Inventario!B20)),ISNUMBER(SEARCH("FB700",Inventario!B20))),"CP",
IF(ISNUMBER(SEARCH("LX360",Inventario!B20)),"LX3",
IF(ISNUMBER(SEARCH("XEROX",Inventario!B20)),"XER",
IF(ISNUMBER(SEARCH("18 OZ",Inventario!B20)),"18OZ",
IF(ISNUMBER(SEARCH("15 OZ",Inventario!B20)),"15OZ",
IF(OR(ISNUMBER(SEARCH("13 OZ",Inventario!B20)),ISNUMBER(SEARCH("13 ONZAS",Inventario!B20))),"13OZ",
IF(OR(ISNUMBER(SEARCH("9 OZ",Inventario!B20)),ISNUMBER(SEARCH("9 ONZAS",Inventario!B20))),"09OZ","")))))))))</f>
        <v>13OZ</v>
      </c>
      <c r="E21" t="str">
        <f>IF(OR(ISNUMBER(SEARCH("TRANSPARENTE",Inventario!B20)),ISNUMBER(SEARCH("TRANSPARENTES",Inventario!B20))),"TR",
IF(OR(ISNUMBER(SEARCH("BLANCO",Inventario!B20)),ISNUMBER(SEARCH("BCO",Inventario!B20))),"BL",
IF(ISNUMBER(SEARCH("VERDE",Inventario!B20)),"VR",
IF(ISNUMBER(SEARCH("MORADO",Inventario!B20)),"MR",
IF(ISNUMBER(SEARCH("PLATA",Inventario!B20)),"PL",
IF(ISNUMBER(SEARCH("ORO",Inventario!B20)),"OR",
IF(ISNUMBER(SEARCH("AMARILLO",Inventario!B20)),"AM",
IF(ISNUMBER(SEARCH("NARANJA",Inventario!B20)),"NR",
IF(ISNUMBER(SEARCH("NEGRO",Inventario!B20)),"NG",
IF(ISNUMBER(SEARCH("ROJO",Inventario!B20)),"RJ",
IF(ISNUMBER(SEARCH("AZUL",Inventario!B20)),"AZ","")))))))))))</f>
        <v>NG</v>
      </c>
      <c r="F21" t="str">
        <f>IF(ISNUMBER(SEARCH("1,2 MM",Inventario!B20)),"1MM2",
IF(OR(ISNUMBER(SEARCH("2 MM",Inventario!B20)),ISNUMBER(SEARCH("2MM",Inventario!B20))),"2MM",
IF(OR(ISNUMBER(SEARCH("3 MM",Inventario!B20)),ISNUMBER(SEARCH("3MM",Inventario!B20))),"3MM",
IF(OR(ISNUMBER(SEARCH("4 MM",Inventario!B20)),ISNUMBER(SEARCH("4MM",Inventario!B20)),ISNUMBER(SEARCH("4 mm",Inventario!B20))),"4MM",
IF(OR(ISNUMBER(SEARCH("5 MM",Inventario!B20)),ISNUMBER(SEARCH("5MM",Inventario!B20))),"5MM",
IF(OR(ISNUMBER(SEARCH("6 MM",Inventario!B20)),ISNUMBER(SEARCH("6MM",Inventario!B20))),"6MM",
IF(OR(ISNUMBER(SEARCH("10 MM",Inventario!B20)),ISNUMBER(SEARCH("10MM",Inventario!B20))),"10MM","")))))))</f>
        <v/>
      </c>
      <c r="G21" t="str">
        <f>IF(ISNUMBER(SEARCH("ALTA RESISTENCIA",Inventario!B20)),"AR",IF(ISNUMBER(SEARCH("CAMPAÑA",Inventario!B20)),"CA",
IF(OR(ISNUMBER(SEARCH("CALIDO",Inventario!B20)),ISNUMBER(SEARCH("CÁLIDO",Inventario!B20))),"C",
IF(OR(ISNUMBER(SEARCH("TRASLUCIDO",Inventario!B20)),ISNUMBER(SEARCH("TRANSLUCIDO",Inventario!B20))),"TL",
IF(ISNUMBER(SEARCH("NEUTRO",Inventario!B20)),"N",
IF(ISNUMBER(SEARCH("FRIO",Inventario!B20)),"F",""))))))</f>
        <v/>
      </c>
      <c r="H21" t="str">
        <f>IF(ISNUMBER(SEARCH("SILED",Inventario!B20)),"SI",
IF(ISNUMBER(SEARCH("SYDEMEX",Inventario!B20)),"SY",
IF(ISNUMBER(SEARCH("ROHS",Inventario!B20)),"RO",
IF(ISNUMBER(SEARCH("RISHANG",Inventario!B20)),"RS",
IF(ISNUMBER(SEARCH("VYG",Inventario!B20)),"VYG",
IF(ISNUMBER(SEARCH("COLED",Inventario!B20)),"CO",""))))))</f>
        <v/>
      </c>
    </row>
    <row r="22" spans="1:8">
      <c r="A22" t="str">
        <f>IF(ISNUMBER(SEARCH("LONA",Inventario!B21)),"LON",
IF(ISNUMBER(SEARCH("VINIL",Inventario!B21)),"VIN",
IF(ISNUMBER(SEARCH("PANEL DE ALUMINIO COMPUESTO",Inventario!B21)),"PAN-ALU-COM",
IF(ISNUMBER(SEARCH("PVC",Inventario!B21)),"PVC",
IF(ISNUMBER(SEARCH("PAPEL",Inventario!B21)),"PAP",
IF(ISNUMBER(SEARCH("TELA",Inventario!B21)),"TEL",
IF(ISNUMBER(SEARCH("CARTULINA",Inventario!B21)),"CAR",
IF(OR(ISNUMBER(SEARCH("LAMINA",Inventario!B21)),ISNUMBER(SEARCH("LÁMINA",Inventario!B21))),"LAM",
IF(ISNUMBER(SEARCH("ESTIRENO",Inventario!B21)),"EST",
IF(ISNUMBER(SEARCH("FOAMBOARD",Inventario!B21)),"FOA",
IF(ISNUMBER(SEARCH("SOLVENTE",Inventario!B21)),"SOL",
IF(ISNUMBER(SEARCH("TINTA",Inventario!B21)),"TIN",
IF(ISNUMBER(SEARCH("ACRILICO",Inventario!B21)),"ACR",
IF(ISNUMBER(SEARCH("LED",Inventario!B21)),"LED",
IF(ISNUMBER(SEARCH("FUENTE",Inventario!B21)),"FUE",
IF(ISNUMBER(SEARCH("PETG",Inventario!B21)),"PET",
IF(ISNUMBER(SEARCH("ALUMINIO",Inventario!B21)),"ALU",
IF(ISNUMBER(SEARCH("CANAL",Inventario!B21)),"CAN",
IF(ISNUMBER(SEARCH("ESCUADRA",Inventario!B21)),"ESC",
IF(ISNUMBER(SEARCH("SOPORTE",Inventario!B21)),"SOP","OTR")
)))))))))))))))))))</f>
        <v>LON</v>
      </c>
      <c r="B22" t="str">
        <f>IF(ISNUMBER(SEARCH("CORTE",Inventario!B21)),"COR",
IF(ISNUMBER(SEARCH("CRISTAL",Inventario!B21)),"CR",
IF(OR(ISNUMBER(SEARCH("OPTICO",Inventario!B21)),ISNUMBER(SEARCH("OPTICOS",Inventario!B21)),ISNUMBER(SEARCH("OPTICA",Inventario!B21))),"OP",
IF(ISNUMBER(SEARCH("NANO",Inventario!B21)),"NA",
IF(ISNUMBER(SEARCH("5050",Inventario!B21)),"5050",
IF(ISNUMBER(SEARCH("MICRO",Inventario!B21)),"MI",""))))))</f>
        <v/>
      </c>
      <c r="C22" t="str">
        <f>IF(ISNUMBER(SEARCH("PARED",Inventario!B21)),"PAR",IF(ISNUMBER(SEARCH("MATE",Inventario!B21)),"MAT",
IF(ISNUMBER(SEARCH("FRONT",Inventario!B21)),"FRO",
IF(ISNUMBER(SEARCH("BACK",Inventario!B21)),"BAC",
IF(ISNUMBER(SEARCH("MESH",Inventario!B21)),"MES",
IF(OR(ISNUMBER(SEARCH("BRILLANTE",Inventario!B21)),ISNUMBER(SEARCH("BTE",Inventario!B21))),"BRI",
IF(ISNUMBER(SEARCH("SINTETICA DELGADA",Inventario!B21)),"SD",
IF(ISNUMBER(SEARCH("SINTETICA GRUESA",Inventario!B21)),"SG",
IF(ISNUMBER(SEARCH("ESTATICO",Inventario!B21)),"EST",
IF(ISNUMBER(SEARCH("FLOOR",Inventario!B21)),"FLO",
IF(ISNUMBER(SEARCH("REFLECTIVO",Inventario!B21)),"REF",
IF(ISNUMBER(SEARCH("MICROPERFORADO",Inventario!B21)),"MI",
IF(ISNUMBER(SEARCH("CEPILLADO",Inventario!B21)),"CEP",
IF(ISNUMBER(SEARCH("ESPEJO",Inventario!B21)),"ESP",
IF(OR(ISNUMBER(SEARCH("UNIDIODO",Inventario!B21)),ISNUMBER(SEARCH("1 DIODO",Inventario!B21))),"1D",
IF(ISNUMBER(SEARCH("2 DIODOS",Inventario!B21)),"2D",
IF(ISNUMBER(SEARCH("3 DIODOS",Inventario!B21)),"3D","")))))))))))))))))</f>
        <v>MAT</v>
      </c>
      <c r="D22" t="str">
        <f>IF(ISNUMBER(SEARCH("LX700",Inventario!B21)),"LX7",
IF(ISNUMBER(SEARCH("GRANDO",Inventario!B21)),"GRA",
IF(OR(ISNUMBER(SEARCH("CAMA PLANA",Inventario!B21)),ISNUMBER(SEARCH("FB700",Inventario!B21))),"CP",
IF(ISNUMBER(SEARCH("LX360",Inventario!B21)),"LX3",
IF(ISNUMBER(SEARCH("XEROX",Inventario!B21)),"XER",
IF(ISNUMBER(SEARCH("18 OZ",Inventario!B21)),"18OZ",
IF(ISNUMBER(SEARCH("15 OZ",Inventario!B21)),"15OZ",
IF(OR(ISNUMBER(SEARCH("13 OZ",Inventario!B21)),ISNUMBER(SEARCH("13 ONZAS",Inventario!B21))),"13OZ",
IF(OR(ISNUMBER(SEARCH("9 OZ",Inventario!B21)),ISNUMBER(SEARCH("9 ONZAS",Inventario!B21))),"09OZ","")))))))))</f>
        <v>13OZ</v>
      </c>
      <c r="E22" t="str">
        <f>IF(OR(ISNUMBER(SEARCH("TRANSPARENTE",Inventario!B21)),ISNUMBER(SEARCH("TRANSPARENTES",Inventario!B21))),"TR",
IF(OR(ISNUMBER(SEARCH("BLANCO",Inventario!B21)),ISNUMBER(SEARCH("BCO",Inventario!B21))),"BL",
IF(ISNUMBER(SEARCH("VERDE",Inventario!B21)),"VR",
IF(ISNUMBER(SEARCH("MORADO",Inventario!B21)),"MR",
IF(ISNUMBER(SEARCH("PLATA",Inventario!B21)),"PL",
IF(ISNUMBER(SEARCH("ORO",Inventario!B21)),"OR",
IF(ISNUMBER(SEARCH("AMARILLO",Inventario!B21)),"AM",
IF(ISNUMBER(SEARCH("NARANJA",Inventario!B21)),"NR",
IF(ISNUMBER(SEARCH("NEGRO",Inventario!B21)),"NG",
IF(ISNUMBER(SEARCH("ROJO",Inventario!B21)),"RJ",
IF(ISNUMBER(SEARCH("AZUL",Inventario!B21)),"AZ","")))))))))))</f>
        <v>NG</v>
      </c>
      <c r="F22" t="str">
        <f>IF(ISNUMBER(SEARCH("1,2 MM",Inventario!B21)),"1MM2",
IF(OR(ISNUMBER(SEARCH("2 MM",Inventario!B21)),ISNUMBER(SEARCH("2MM",Inventario!B21))),"2MM",
IF(OR(ISNUMBER(SEARCH("3 MM",Inventario!B21)),ISNUMBER(SEARCH("3MM",Inventario!B21))),"3MM",
IF(OR(ISNUMBER(SEARCH("4 MM",Inventario!B21)),ISNUMBER(SEARCH("4MM",Inventario!B21)),ISNUMBER(SEARCH("4 mm",Inventario!B21))),"4MM",
IF(OR(ISNUMBER(SEARCH("5 MM",Inventario!B21)),ISNUMBER(SEARCH("5MM",Inventario!B21))),"5MM",
IF(OR(ISNUMBER(SEARCH("6 MM",Inventario!B21)),ISNUMBER(SEARCH("6MM",Inventario!B21))),"6MM",
IF(OR(ISNUMBER(SEARCH("10 MM",Inventario!B21)),ISNUMBER(SEARCH("10MM",Inventario!B21))),"10MM","")))))))</f>
        <v/>
      </c>
      <c r="G22" t="str">
        <f>IF(ISNUMBER(SEARCH("ALTA RESISTENCIA",Inventario!B21)),"AR",IF(ISNUMBER(SEARCH("CAMPAÑA",Inventario!B21)),"CA",
IF(OR(ISNUMBER(SEARCH("CALIDO",Inventario!B21)),ISNUMBER(SEARCH("CÁLIDO",Inventario!B21))),"C",
IF(OR(ISNUMBER(SEARCH("TRASLUCIDO",Inventario!B21)),ISNUMBER(SEARCH("TRANSLUCIDO",Inventario!B21))),"TL",
IF(ISNUMBER(SEARCH("NEUTRO",Inventario!B21)),"N",
IF(ISNUMBER(SEARCH("FRIO",Inventario!B21)),"F",""))))))</f>
        <v/>
      </c>
      <c r="H22" t="str">
        <f>IF(ISNUMBER(SEARCH("SILED",Inventario!B21)),"SI",
IF(ISNUMBER(SEARCH("SYDEMEX",Inventario!B21)),"SY",
IF(ISNUMBER(SEARCH("ROHS",Inventario!B21)),"RO",
IF(ISNUMBER(SEARCH("RISHANG",Inventario!B21)),"RS",
IF(ISNUMBER(SEARCH("VYG",Inventario!B21)),"VYG",
IF(ISNUMBER(SEARCH("COLED",Inventario!B21)),"CO",""))))))</f>
        <v/>
      </c>
    </row>
    <row r="23" spans="1:8">
      <c r="A23" t="str">
        <f>IF(ISNUMBER(SEARCH("LONA",Inventario!B22)),"LON",
IF(ISNUMBER(SEARCH("VINIL",Inventario!B22)),"VIN",
IF(ISNUMBER(SEARCH("PANEL DE ALUMINIO COMPUESTO",Inventario!B22)),"PAN-ALU-COM",
IF(ISNUMBER(SEARCH("PVC",Inventario!B22)),"PVC",
IF(ISNUMBER(SEARCH("PAPEL",Inventario!B22)),"PAP",
IF(ISNUMBER(SEARCH("TELA",Inventario!B22)),"TEL",
IF(ISNUMBER(SEARCH("CARTULINA",Inventario!B22)),"CAR",
IF(OR(ISNUMBER(SEARCH("LAMINA",Inventario!B22)),ISNUMBER(SEARCH("LÁMINA",Inventario!B22))),"LAM",
IF(ISNUMBER(SEARCH("ESTIRENO",Inventario!B22)),"EST",
IF(ISNUMBER(SEARCH("FOAMBOARD",Inventario!B22)),"FOA",
IF(ISNUMBER(SEARCH("SOLVENTE",Inventario!B22)),"SOL",
IF(ISNUMBER(SEARCH("TINTA",Inventario!B22)),"TIN",
IF(ISNUMBER(SEARCH("ACRILICO",Inventario!B22)),"ACR",
IF(ISNUMBER(SEARCH("LED",Inventario!B22)),"LED",
IF(ISNUMBER(SEARCH("FUENTE",Inventario!B22)),"FUE",
IF(ISNUMBER(SEARCH("PETG",Inventario!B22)),"PET",
IF(ISNUMBER(SEARCH("ALUMINIO",Inventario!B22)),"ALU",
IF(ISNUMBER(SEARCH("CANAL",Inventario!B22)),"CAN",
IF(ISNUMBER(SEARCH("ESCUADRA",Inventario!B22)),"ESC",
IF(ISNUMBER(SEARCH("SOPORTE",Inventario!B22)),"SOP","OTR")
)))))))))))))))))))</f>
        <v>LON</v>
      </c>
      <c r="B23" t="str">
        <f>IF(ISNUMBER(SEARCH("CORTE",Inventario!B22)),"COR",
IF(ISNUMBER(SEARCH("CRISTAL",Inventario!B22)),"CR",
IF(OR(ISNUMBER(SEARCH("OPTICO",Inventario!B22)),ISNUMBER(SEARCH("OPTICOS",Inventario!B22)),ISNUMBER(SEARCH("OPTICA",Inventario!B22))),"OP",
IF(ISNUMBER(SEARCH("NANO",Inventario!B22)),"NA",
IF(ISNUMBER(SEARCH("5050",Inventario!B22)),"5050",
IF(ISNUMBER(SEARCH("MICRO",Inventario!B22)),"MI",""))))))</f>
        <v/>
      </c>
      <c r="C23" t="str">
        <f>IF(ISNUMBER(SEARCH("PARED",Inventario!B22)),"PAR",IF(ISNUMBER(SEARCH("MATE",Inventario!B22)),"MAT",
IF(ISNUMBER(SEARCH("FRONT",Inventario!B22)),"FRO",
IF(ISNUMBER(SEARCH("BACK",Inventario!B22)),"BAC",
IF(ISNUMBER(SEARCH("MESH",Inventario!B22)),"MES",
IF(OR(ISNUMBER(SEARCH("BRILLANTE",Inventario!B22)),ISNUMBER(SEARCH("BTE",Inventario!B22))),"BRI",
IF(ISNUMBER(SEARCH("SINTETICA DELGADA",Inventario!B22)),"SD",
IF(ISNUMBER(SEARCH("SINTETICA GRUESA",Inventario!B22)),"SG",
IF(ISNUMBER(SEARCH("ESTATICO",Inventario!B22)),"EST",
IF(ISNUMBER(SEARCH("FLOOR",Inventario!B22)),"FLO",
IF(ISNUMBER(SEARCH("REFLECTIVO",Inventario!B22)),"REF",
IF(ISNUMBER(SEARCH("MICROPERFORADO",Inventario!B22)),"MI",
IF(ISNUMBER(SEARCH("CEPILLADO",Inventario!B22)),"CEP",
IF(ISNUMBER(SEARCH("ESPEJO",Inventario!B22)),"ESP",
IF(OR(ISNUMBER(SEARCH("UNIDIODO",Inventario!B22)),ISNUMBER(SEARCH("1 DIODO",Inventario!B22))),"1D",
IF(ISNUMBER(SEARCH("2 DIODOS",Inventario!B22)),"2D",
IF(ISNUMBER(SEARCH("3 DIODOS",Inventario!B22)),"3D","")))))))))))))))))</f>
        <v>MES</v>
      </c>
      <c r="D23" t="str">
        <f>IF(ISNUMBER(SEARCH("LX700",Inventario!B22)),"LX7",
IF(ISNUMBER(SEARCH("GRANDO",Inventario!B22)),"GRA",
IF(OR(ISNUMBER(SEARCH("CAMA PLANA",Inventario!B22)),ISNUMBER(SEARCH("FB700",Inventario!B22))),"CP",
IF(ISNUMBER(SEARCH("LX360",Inventario!B22)),"LX3",
IF(ISNUMBER(SEARCH("XEROX",Inventario!B22)),"XER",
IF(ISNUMBER(SEARCH("18 OZ",Inventario!B22)),"18OZ",
IF(ISNUMBER(SEARCH("15 OZ",Inventario!B22)),"15OZ",
IF(OR(ISNUMBER(SEARCH("13 OZ",Inventario!B22)),ISNUMBER(SEARCH("13 ONZAS",Inventario!B22))),"13OZ",
IF(OR(ISNUMBER(SEARCH("9 OZ",Inventario!B22)),ISNUMBER(SEARCH("9 ONZAS",Inventario!B22))),"09OZ","")))))))))</f>
        <v/>
      </c>
      <c r="E23" t="str">
        <f>IF(OR(ISNUMBER(SEARCH("TRANSPARENTE",Inventario!B22)),ISNUMBER(SEARCH("TRANSPARENTES",Inventario!B22))),"TR",
IF(OR(ISNUMBER(SEARCH("BLANCO",Inventario!B22)),ISNUMBER(SEARCH("BCO",Inventario!B22))),"BL",
IF(ISNUMBER(SEARCH("VERDE",Inventario!B22)),"VR",
IF(ISNUMBER(SEARCH("MORADO",Inventario!B22)),"MR",
IF(ISNUMBER(SEARCH("PLATA",Inventario!B22)),"PL",
IF(ISNUMBER(SEARCH("ORO",Inventario!B22)),"OR",
IF(ISNUMBER(SEARCH("AMARILLO",Inventario!B22)),"AM",
IF(ISNUMBER(SEARCH("NARANJA",Inventario!B22)),"NR",
IF(ISNUMBER(SEARCH("NEGRO",Inventario!B22)),"NG",
IF(ISNUMBER(SEARCH("ROJO",Inventario!B22)),"RJ",
IF(ISNUMBER(SEARCH("AZUL",Inventario!B22)),"AZ","")))))))))))</f>
        <v/>
      </c>
      <c r="F23" t="str">
        <f>IF(ISNUMBER(SEARCH("1,2 MM",Inventario!B22)),"1MM2",
IF(OR(ISNUMBER(SEARCH("2 MM",Inventario!B22)),ISNUMBER(SEARCH("2MM",Inventario!B22))),"2MM",
IF(OR(ISNUMBER(SEARCH("3 MM",Inventario!B22)),ISNUMBER(SEARCH("3MM",Inventario!B22))),"3MM",
IF(OR(ISNUMBER(SEARCH("4 MM",Inventario!B22)),ISNUMBER(SEARCH("4MM",Inventario!B22)),ISNUMBER(SEARCH("4 mm",Inventario!B22))),"4MM",
IF(OR(ISNUMBER(SEARCH("5 MM",Inventario!B22)),ISNUMBER(SEARCH("5MM",Inventario!B22))),"5MM",
IF(OR(ISNUMBER(SEARCH("6 MM",Inventario!B22)),ISNUMBER(SEARCH("6MM",Inventario!B22))),"6MM",
IF(OR(ISNUMBER(SEARCH("10 MM",Inventario!B22)),ISNUMBER(SEARCH("10MM",Inventario!B22))),"10MM","")))))))</f>
        <v/>
      </c>
      <c r="G23" t="str">
        <f>IF(ISNUMBER(SEARCH("ALTA RESISTENCIA",Inventario!B22)),"AR",IF(ISNUMBER(SEARCH("CAMPAÑA",Inventario!B22)),"CA",
IF(OR(ISNUMBER(SEARCH("CALIDO",Inventario!B22)),ISNUMBER(SEARCH("CÁLIDO",Inventario!B22))),"C",
IF(OR(ISNUMBER(SEARCH("TRASLUCIDO",Inventario!B22)),ISNUMBER(SEARCH("TRANSLUCIDO",Inventario!B22))),"TL",
IF(ISNUMBER(SEARCH("NEUTRO",Inventario!B22)),"N",
IF(ISNUMBER(SEARCH("FRIO",Inventario!B22)),"F",""))))))</f>
        <v/>
      </c>
      <c r="H23" t="str">
        <f>IF(ISNUMBER(SEARCH("SILED",Inventario!B22)),"SI",
IF(ISNUMBER(SEARCH("SYDEMEX",Inventario!B22)),"SY",
IF(ISNUMBER(SEARCH("ROHS",Inventario!B22)),"RO",
IF(ISNUMBER(SEARCH("RISHANG",Inventario!B22)),"RS",
IF(ISNUMBER(SEARCH("VYG",Inventario!B22)),"VYG",
IF(ISNUMBER(SEARCH("COLED",Inventario!B22)),"CO",""))))))</f>
        <v/>
      </c>
    </row>
    <row r="24" spans="1:8">
      <c r="A24" t="str">
        <f>IF(ISNUMBER(SEARCH("LONA",Inventario!B23)),"LON",
IF(ISNUMBER(SEARCH("VINIL",Inventario!B23)),"VIN",
IF(ISNUMBER(SEARCH("PANEL DE ALUMINIO COMPUESTO",Inventario!B23)),"PAN-ALU-COM",
IF(ISNUMBER(SEARCH("PVC",Inventario!B23)),"PVC",
IF(ISNUMBER(SEARCH("PAPEL",Inventario!B23)),"PAP",
IF(ISNUMBER(SEARCH("TELA",Inventario!B23)),"TEL",
IF(ISNUMBER(SEARCH("CARTULINA",Inventario!B23)),"CAR",
IF(OR(ISNUMBER(SEARCH("LAMINA",Inventario!B23)),ISNUMBER(SEARCH("LÁMINA",Inventario!B23))),"LAM",
IF(ISNUMBER(SEARCH("ESTIRENO",Inventario!B23)),"EST",
IF(ISNUMBER(SEARCH("FOAMBOARD",Inventario!B23)),"FOA",
IF(ISNUMBER(SEARCH("SOLVENTE",Inventario!B23)),"SOL",
IF(ISNUMBER(SEARCH("TINTA",Inventario!B23)),"TIN",
IF(ISNUMBER(SEARCH("ACRILICO",Inventario!B23)),"ACR",
IF(ISNUMBER(SEARCH("LED",Inventario!B23)),"LED",
IF(ISNUMBER(SEARCH("FUENTE",Inventario!B23)),"FUE",
IF(ISNUMBER(SEARCH("PETG",Inventario!B23)),"PET",
IF(ISNUMBER(SEARCH("ALUMINIO",Inventario!B23)),"ALU",
IF(ISNUMBER(SEARCH("CANAL",Inventario!B23)),"CAN",
IF(ISNUMBER(SEARCH("ESCUADRA",Inventario!B23)),"ESC",
IF(ISNUMBER(SEARCH("SOPORTE",Inventario!B23)),"SOP","OTR")
)))))))))))))))))))</f>
        <v>LON</v>
      </c>
      <c r="B24" t="str">
        <f>IF(ISNUMBER(SEARCH("CORTE",Inventario!B23)),"COR",
IF(ISNUMBER(SEARCH("CRISTAL",Inventario!B23)),"CR",
IF(OR(ISNUMBER(SEARCH("OPTICO",Inventario!B23)),ISNUMBER(SEARCH("OPTICOS",Inventario!B23)),ISNUMBER(SEARCH("OPTICA",Inventario!B23))),"OP",
IF(ISNUMBER(SEARCH("NANO",Inventario!B23)),"NA",
IF(ISNUMBER(SEARCH("5050",Inventario!B23)),"5050",
IF(ISNUMBER(SEARCH("MICRO",Inventario!B23)),"MI",""))))))</f>
        <v/>
      </c>
      <c r="C24" t="str">
        <f>IF(ISNUMBER(SEARCH("PARED",Inventario!B23)),"PAR",IF(ISNUMBER(SEARCH("MATE",Inventario!B23)),"MAT",
IF(ISNUMBER(SEARCH("FRONT",Inventario!B23)),"FRO",
IF(ISNUMBER(SEARCH("BACK",Inventario!B23)),"BAC",
IF(ISNUMBER(SEARCH("MESH",Inventario!B23)),"MES",
IF(OR(ISNUMBER(SEARCH("BRILLANTE",Inventario!B23)),ISNUMBER(SEARCH("BTE",Inventario!B23))),"BRI",
IF(ISNUMBER(SEARCH("SINTETICA DELGADA",Inventario!B23)),"SD",
IF(ISNUMBER(SEARCH("SINTETICA GRUESA",Inventario!B23)),"SG",
IF(ISNUMBER(SEARCH("ESTATICO",Inventario!B23)),"EST",
IF(ISNUMBER(SEARCH("FLOOR",Inventario!B23)),"FLO",
IF(ISNUMBER(SEARCH("REFLECTIVO",Inventario!B23)),"REF",
IF(ISNUMBER(SEARCH("MICROPERFORADO",Inventario!B23)),"MI",
IF(ISNUMBER(SEARCH("CEPILLADO",Inventario!B23)),"CEP",
IF(ISNUMBER(SEARCH("ESPEJO",Inventario!B23)),"ESP",
IF(OR(ISNUMBER(SEARCH("UNIDIODO",Inventario!B23)),ISNUMBER(SEARCH("1 DIODO",Inventario!B23))),"1D",
IF(ISNUMBER(SEARCH("2 DIODOS",Inventario!B23)),"2D",
IF(ISNUMBER(SEARCH("3 DIODOS",Inventario!B23)),"3D","")))))))))))))))))</f>
        <v>MES</v>
      </c>
      <c r="D24" t="str">
        <f>IF(ISNUMBER(SEARCH("LX700",Inventario!B23)),"LX7",
IF(ISNUMBER(SEARCH("GRANDO",Inventario!B23)),"GRA",
IF(OR(ISNUMBER(SEARCH("CAMA PLANA",Inventario!B23)),ISNUMBER(SEARCH("FB700",Inventario!B23))),"CP",
IF(ISNUMBER(SEARCH("LX360",Inventario!B23)),"LX3",
IF(ISNUMBER(SEARCH("XEROX",Inventario!B23)),"XER",
IF(ISNUMBER(SEARCH("18 OZ",Inventario!B23)),"18OZ",
IF(ISNUMBER(SEARCH("15 OZ",Inventario!B23)),"15OZ",
IF(OR(ISNUMBER(SEARCH("13 OZ",Inventario!B23)),ISNUMBER(SEARCH("13 ONZAS",Inventario!B23))),"13OZ",
IF(OR(ISNUMBER(SEARCH("9 OZ",Inventario!B23)),ISNUMBER(SEARCH("9 ONZAS",Inventario!B23))),"09OZ","")))))))))</f>
        <v/>
      </c>
      <c r="E24" t="str">
        <f>IF(OR(ISNUMBER(SEARCH("TRANSPARENTE",Inventario!B23)),ISNUMBER(SEARCH("TRANSPARENTES",Inventario!B23))),"TR",
IF(OR(ISNUMBER(SEARCH("BLANCO",Inventario!B23)),ISNUMBER(SEARCH("BCO",Inventario!B23))),"BL",
IF(ISNUMBER(SEARCH("VERDE",Inventario!B23)),"VR",
IF(ISNUMBER(SEARCH("MORADO",Inventario!B23)),"MR",
IF(ISNUMBER(SEARCH("PLATA",Inventario!B23)),"PL",
IF(ISNUMBER(SEARCH("ORO",Inventario!B23)),"OR",
IF(ISNUMBER(SEARCH("AMARILLO",Inventario!B23)),"AM",
IF(ISNUMBER(SEARCH("NARANJA",Inventario!B23)),"NR",
IF(ISNUMBER(SEARCH("NEGRO",Inventario!B23)),"NG",
IF(ISNUMBER(SEARCH("ROJO",Inventario!B23)),"RJ",
IF(ISNUMBER(SEARCH("AZUL",Inventario!B23)),"AZ","")))))))))))</f>
        <v/>
      </c>
      <c r="F24" t="str">
        <f>IF(ISNUMBER(SEARCH("1,2 MM",Inventario!B23)),"1MM2",
IF(OR(ISNUMBER(SEARCH("2 MM",Inventario!B23)),ISNUMBER(SEARCH("2MM",Inventario!B23))),"2MM",
IF(OR(ISNUMBER(SEARCH("3 MM",Inventario!B23)),ISNUMBER(SEARCH("3MM",Inventario!B23))),"3MM",
IF(OR(ISNUMBER(SEARCH("4 MM",Inventario!B23)),ISNUMBER(SEARCH("4MM",Inventario!B23)),ISNUMBER(SEARCH("4 mm",Inventario!B23))),"4MM",
IF(OR(ISNUMBER(SEARCH("5 MM",Inventario!B23)),ISNUMBER(SEARCH("5MM",Inventario!B23))),"5MM",
IF(OR(ISNUMBER(SEARCH("6 MM",Inventario!B23)),ISNUMBER(SEARCH("6MM",Inventario!B23))),"6MM",
IF(OR(ISNUMBER(SEARCH("10 MM",Inventario!B23)),ISNUMBER(SEARCH("10MM",Inventario!B23))),"10MM","")))))))</f>
        <v/>
      </c>
      <c r="G24" t="str">
        <f>IF(ISNUMBER(SEARCH("ALTA RESISTENCIA",Inventario!B23)),"AR",IF(ISNUMBER(SEARCH("CAMPAÑA",Inventario!B23)),"CA",
IF(OR(ISNUMBER(SEARCH("CALIDO",Inventario!B23)),ISNUMBER(SEARCH("CÁLIDO",Inventario!B23))),"C",
IF(OR(ISNUMBER(SEARCH("TRASLUCIDO",Inventario!B23)),ISNUMBER(SEARCH("TRANSLUCIDO",Inventario!B23))),"TL",
IF(ISNUMBER(SEARCH("NEUTRO",Inventario!B23)),"N",
IF(ISNUMBER(SEARCH("FRIO",Inventario!B23)),"F",""))))))</f>
        <v/>
      </c>
      <c r="H24" t="str">
        <f>IF(ISNUMBER(SEARCH("SILED",Inventario!B23)),"SI",
IF(ISNUMBER(SEARCH("SYDEMEX",Inventario!B23)),"SY",
IF(ISNUMBER(SEARCH("ROHS",Inventario!B23)),"RO",
IF(ISNUMBER(SEARCH("RISHANG",Inventario!B23)),"RS",
IF(ISNUMBER(SEARCH("VYG",Inventario!B23)),"VYG",
IF(ISNUMBER(SEARCH("COLED",Inventario!B23)),"CO",""))))))</f>
        <v/>
      </c>
    </row>
    <row r="25" spans="1:8">
      <c r="A25" t="str">
        <f>IF(ISNUMBER(SEARCH("LONA",Inventario!B24)),"LON",
IF(ISNUMBER(SEARCH("VINIL",Inventario!B24)),"VIN",
IF(ISNUMBER(SEARCH("PANEL DE ALUMINIO COMPUESTO",Inventario!B24)),"PAN-ALU-COM",
IF(ISNUMBER(SEARCH("PVC",Inventario!B24)),"PVC",
IF(ISNUMBER(SEARCH("PAPEL",Inventario!B24)),"PAP",
IF(ISNUMBER(SEARCH("TELA",Inventario!B24)),"TEL",
IF(ISNUMBER(SEARCH("CARTULINA",Inventario!B24)),"CAR",
IF(OR(ISNUMBER(SEARCH("LAMINA",Inventario!B24)),ISNUMBER(SEARCH("LÁMINA",Inventario!B24))),"LAM",
IF(ISNUMBER(SEARCH("ESTIRENO",Inventario!B24)),"EST",
IF(ISNUMBER(SEARCH("FOAMBOARD",Inventario!B24)),"FOA",
IF(ISNUMBER(SEARCH("SOLVENTE",Inventario!B24)),"SOL",
IF(ISNUMBER(SEARCH("TINTA",Inventario!B24)),"TIN",
IF(ISNUMBER(SEARCH("ACRILICO",Inventario!B24)),"ACR",
IF(ISNUMBER(SEARCH("LED",Inventario!B24)),"LED",
IF(ISNUMBER(SEARCH("FUENTE",Inventario!B24)),"FUE",
IF(ISNUMBER(SEARCH("PETG",Inventario!B24)),"PET",
IF(ISNUMBER(SEARCH("ALUMINIO",Inventario!B24)),"ALU",
IF(ISNUMBER(SEARCH("CANAL",Inventario!B24)),"CAN",
IF(ISNUMBER(SEARCH("ESCUADRA",Inventario!B24)),"ESC",
IF(ISNUMBER(SEARCH("SOPORTE",Inventario!B24)),"SOP","OTR")
)))))))))))))))))))</f>
        <v>LON</v>
      </c>
      <c r="B25" t="str">
        <f>IF(ISNUMBER(SEARCH("CORTE",Inventario!B24)),"COR",
IF(ISNUMBER(SEARCH("CRISTAL",Inventario!B24)),"CR",
IF(OR(ISNUMBER(SEARCH("OPTICO",Inventario!B24)),ISNUMBER(SEARCH("OPTICOS",Inventario!B24)),ISNUMBER(SEARCH("OPTICA",Inventario!B24))),"OP",
IF(ISNUMBER(SEARCH("NANO",Inventario!B24)),"NA",
IF(ISNUMBER(SEARCH("5050",Inventario!B24)),"5050",
IF(ISNUMBER(SEARCH("MICRO",Inventario!B24)),"MI",""))))))</f>
        <v/>
      </c>
      <c r="C25" t="str">
        <f>IF(ISNUMBER(SEARCH("PARED",Inventario!B24)),"PAR",IF(ISNUMBER(SEARCH("MATE",Inventario!B24)),"MAT",
IF(ISNUMBER(SEARCH("FRONT",Inventario!B24)),"FRO",
IF(ISNUMBER(SEARCH("BACK",Inventario!B24)),"BAC",
IF(ISNUMBER(SEARCH("MESH",Inventario!B24)),"MES",
IF(OR(ISNUMBER(SEARCH("BRILLANTE",Inventario!B24)),ISNUMBER(SEARCH("BTE",Inventario!B24))),"BRI",
IF(ISNUMBER(SEARCH("SINTETICA DELGADA",Inventario!B24)),"SD",
IF(ISNUMBER(SEARCH("SINTETICA GRUESA",Inventario!B24)),"SG",
IF(ISNUMBER(SEARCH("ESTATICO",Inventario!B24)),"EST",
IF(ISNUMBER(SEARCH("FLOOR",Inventario!B24)),"FLO",
IF(ISNUMBER(SEARCH("REFLECTIVO",Inventario!B24)),"REF",
IF(ISNUMBER(SEARCH("MICROPERFORADO",Inventario!B24)),"MI",
IF(ISNUMBER(SEARCH("CEPILLADO",Inventario!B24)),"CEP",
IF(ISNUMBER(SEARCH("ESPEJO",Inventario!B24)),"ESP",
IF(OR(ISNUMBER(SEARCH("UNIDIODO",Inventario!B24)),ISNUMBER(SEARCH("1 DIODO",Inventario!B24))),"1D",
IF(ISNUMBER(SEARCH("2 DIODOS",Inventario!B24)),"2D",
IF(ISNUMBER(SEARCH("3 DIODOS",Inventario!B24)),"3D","")))))))))))))))))</f>
        <v>MES</v>
      </c>
      <c r="D25" t="str">
        <f>IF(ISNUMBER(SEARCH("LX700",Inventario!B24)),"LX7",
IF(ISNUMBER(SEARCH("GRANDO",Inventario!B24)),"GRA",
IF(OR(ISNUMBER(SEARCH("CAMA PLANA",Inventario!B24)),ISNUMBER(SEARCH("FB700",Inventario!B24))),"CP",
IF(ISNUMBER(SEARCH("LX360",Inventario!B24)),"LX3",
IF(ISNUMBER(SEARCH("XEROX",Inventario!B24)),"XER",
IF(ISNUMBER(SEARCH("18 OZ",Inventario!B24)),"18OZ",
IF(ISNUMBER(SEARCH("15 OZ",Inventario!B24)),"15OZ",
IF(OR(ISNUMBER(SEARCH("13 OZ",Inventario!B24)),ISNUMBER(SEARCH("13 ONZAS",Inventario!B24))),"13OZ",
IF(OR(ISNUMBER(SEARCH("9 OZ",Inventario!B24)),ISNUMBER(SEARCH("9 ONZAS",Inventario!B24))),"09OZ","")))))))))</f>
        <v/>
      </c>
      <c r="E25" t="str">
        <f>IF(OR(ISNUMBER(SEARCH("TRANSPARENTE",Inventario!B24)),ISNUMBER(SEARCH("TRANSPARENTES",Inventario!B24))),"TR",
IF(OR(ISNUMBER(SEARCH("BLANCO",Inventario!B24)),ISNUMBER(SEARCH("BCO",Inventario!B24))),"BL",
IF(ISNUMBER(SEARCH("VERDE",Inventario!B24)),"VR",
IF(ISNUMBER(SEARCH("MORADO",Inventario!B24)),"MR",
IF(ISNUMBER(SEARCH("PLATA",Inventario!B24)),"PL",
IF(ISNUMBER(SEARCH("ORO",Inventario!B24)),"OR",
IF(ISNUMBER(SEARCH("AMARILLO",Inventario!B24)),"AM",
IF(ISNUMBER(SEARCH("NARANJA",Inventario!B24)),"NR",
IF(ISNUMBER(SEARCH("NEGRO",Inventario!B24)),"NG",
IF(ISNUMBER(SEARCH("ROJO",Inventario!B24)),"RJ",
IF(ISNUMBER(SEARCH("AZUL",Inventario!B24)),"AZ","")))))))))))</f>
        <v/>
      </c>
      <c r="F25" t="str">
        <f>IF(ISNUMBER(SEARCH("1,2 MM",Inventario!B24)),"1MM2",
IF(OR(ISNUMBER(SEARCH("2 MM",Inventario!B24)),ISNUMBER(SEARCH("2MM",Inventario!B24))),"2MM",
IF(OR(ISNUMBER(SEARCH("3 MM",Inventario!B24)),ISNUMBER(SEARCH("3MM",Inventario!B24))),"3MM",
IF(OR(ISNUMBER(SEARCH("4 MM",Inventario!B24)),ISNUMBER(SEARCH("4MM",Inventario!B24)),ISNUMBER(SEARCH("4 mm",Inventario!B24))),"4MM",
IF(OR(ISNUMBER(SEARCH("5 MM",Inventario!B24)),ISNUMBER(SEARCH("5MM",Inventario!B24))),"5MM",
IF(OR(ISNUMBER(SEARCH("6 MM",Inventario!B24)),ISNUMBER(SEARCH("6MM",Inventario!B24))),"6MM",
IF(OR(ISNUMBER(SEARCH("10 MM",Inventario!B24)),ISNUMBER(SEARCH("10MM",Inventario!B24))),"10MM","")))))))</f>
        <v/>
      </c>
      <c r="G25" t="str">
        <f>IF(ISNUMBER(SEARCH("ALTA RESISTENCIA",Inventario!B24)),"AR",IF(ISNUMBER(SEARCH("CAMPAÑA",Inventario!B24)),"CA",
IF(OR(ISNUMBER(SEARCH("CALIDO",Inventario!B24)),ISNUMBER(SEARCH("CÁLIDO",Inventario!B24))),"C",
IF(OR(ISNUMBER(SEARCH("TRASLUCIDO",Inventario!B24)),ISNUMBER(SEARCH("TRANSLUCIDO",Inventario!B24))),"TL",
IF(ISNUMBER(SEARCH("NEUTRO",Inventario!B24)),"N",
IF(ISNUMBER(SEARCH("FRIO",Inventario!B24)),"F",""))))))</f>
        <v/>
      </c>
      <c r="H25" t="str">
        <f>IF(ISNUMBER(SEARCH("SILED",Inventario!B24)),"SI",
IF(ISNUMBER(SEARCH("SYDEMEX",Inventario!B24)),"SY",
IF(ISNUMBER(SEARCH("ROHS",Inventario!B24)),"RO",
IF(ISNUMBER(SEARCH("RISHANG",Inventario!B24)),"RS",
IF(ISNUMBER(SEARCH("VYG",Inventario!B24)),"VYG",
IF(ISNUMBER(SEARCH("COLED",Inventario!B24)),"CO",""))))))</f>
        <v/>
      </c>
    </row>
    <row r="26" spans="1:8">
      <c r="A26" t="str">
        <f>IF(ISNUMBER(SEARCH("LONA",Inventario!B25)),"LON",
IF(ISNUMBER(SEARCH("VINIL",Inventario!B25)),"VIN",
IF(ISNUMBER(SEARCH("PANEL DE ALUMINIO COMPUESTO",Inventario!B25)),"PAN-ALU-COM",
IF(ISNUMBER(SEARCH("PVC",Inventario!B25)),"PVC",
IF(ISNUMBER(SEARCH("PAPEL",Inventario!B25)),"PAP",
IF(ISNUMBER(SEARCH("TELA",Inventario!B25)),"TEL",
IF(ISNUMBER(SEARCH("CARTULINA",Inventario!B25)),"CAR",
IF(OR(ISNUMBER(SEARCH("LAMINA",Inventario!B25)),ISNUMBER(SEARCH("LÁMINA",Inventario!B25))),"LAM",
IF(ISNUMBER(SEARCH("ESTIRENO",Inventario!B25)),"EST",
IF(ISNUMBER(SEARCH("FOAMBOARD",Inventario!B25)),"FOA",
IF(ISNUMBER(SEARCH("SOLVENTE",Inventario!B25)),"SOL",
IF(ISNUMBER(SEARCH("TINTA",Inventario!B25)),"TIN",
IF(ISNUMBER(SEARCH("ACRILICO",Inventario!B25)),"ACR",
IF(ISNUMBER(SEARCH("LED",Inventario!B25)),"LED",
IF(ISNUMBER(SEARCH("FUENTE",Inventario!B25)),"FUE",
IF(ISNUMBER(SEARCH("PETG",Inventario!B25)),"PET",
IF(ISNUMBER(SEARCH("ALUMINIO",Inventario!B25)),"ALU",
IF(ISNUMBER(SEARCH("CANAL",Inventario!B25)),"CAN",
IF(ISNUMBER(SEARCH("ESCUADRA",Inventario!B25)),"ESC",
IF(ISNUMBER(SEARCH("SOPORTE",Inventario!B25)),"SOP","OTR")
)))))))))))))))))))</f>
        <v>LON</v>
      </c>
      <c r="B26" t="str">
        <f>IF(ISNUMBER(SEARCH("CORTE",Inventario!B25)),"COR",
IF(ISNUMBER(SEARCH("CRISTAL",Inventario!B25)),"CR",
IF(OR(ISNUMBER(SEARCH("OPTICO",Inventario!B25)),ISNUMBER(SEARCH("OPTICOS",Inventario!B25)),ISNUMBER(SEARCH("OPTICA",Inventario!B25))),"OP",
IF(ISNUMBER(SEARCH("NANO",Inventario!B25)),"NA",
IF(ISNUMBER(SEARCH("5050",Inventario!B25)),"5050",
IF(ISNUMBER(SEARCH("MICRO",Inventario!B25)),"MI",""))))))</f>
        <v/>
      </c>
      <c r="C26" t="str">
        <f>IF(ISNUMBER(SEARCH("PARED",Inventario!B25)),"PAR",IF(ISNUMBER(SEARCH("MATE",Inventario!B25)),"MAT",
IF(ISNUMBER(SEARCH("FRONT",Inventario!B25)),"FRO",
IF(ISNUMBER(SEARCH("BACK",Inventario!B25)),"BAC",
IF(ISNUMBER(SEARCH("MESH",Inventario!B25)),"MES",
IF(OR(ISNUMBER(SEARCH("BRILLANTE",Inventario!B25)),ISNUMBER(SEARCH("BTE",Inventario!B25))),"BRI",
IF(ISNUMBER(SEARCH("SINTETICA DELGADA",Inventario!B25)),"SD",
IF(ISNUMBER(SEARCH("SINTETICA GRUESA",Inventario!B25)),"SG",
IF(ISNUMBER(SEARCH("ESTATICO",Inventario!B25)),"EST",
IF(ISNUMBER(SEARCH("FLOOR",Inventario!B25)),"FLO",
IF(ISNUMBER(SEARCH("REFLECTIVO",Inventario!B25)),"REF",
IF(ISNUMBER(SEARCH("MICROPERFORADO",Inventario!B25)),"MI",
IF(ISNUMBER(SEARCH("CEPILLADO",Inventario!B25)),"CEP",
IF(ISNUMBER(SEARCH("ESPEJO",Inventario!B25)),"ESP",
IF(OR(ISNUMBER(SEARCH("UNIDIODO",Inventario!B25)),ISNUMBER(SEARCH("1 DIODO",Inventario!B25))),"1D",
IF(ISNUMBER(SEARCH("2 DIODOS",Inventario!B25)),"2D",
IF(ISNUMBER(SEARCH("3 DIODOS",Inventario!B25)),"3D","")))))))))))))))))</f>
        <v>MES</v>
      </c>
      <c r="D26" t="str">
        <f>IF(ISNUMBER(SEARCH("LX700",Inventario!B25)),"LX7",
IF(ISNUMBER(SEARCH("GRANDO",Inventario!B25)),"GRA",
IF(OR(ISNUMBER(SEARCH("CAMA PLANA",Inventario!B25)),ISNUMBER(SEARCH("FB700",Inventario!B25))),"CP",
IF(ISNUMBER(SEARCH("LX360",Inventario!B25)),"LX3",
IF(ISNUMBER(SEARCH("XEROX",Inventario!B25)),"XER",
IF(ISNUMBER(SEARCH("18 OZ",Inventario!B25)),"18OZ",
IF(ISNUMBER(SEARCH("15 OZ",Inventario!B25)),"15OZ",
IF(OR(ISNUMBER(SEARCH("13 OZ",Inventario!B25)),ISNUMBER(SEARCH("13 ONZAS",Inventario!B25))),"13OZ",
IF(OR(ISNUMBER(SEARCH("9 OZ",Inventario!B25)),ISNUMBER(SEARCH("9 ONZAS",Inventario!B25))),"09OZ","")))))))))</f>
        <v/>
      </c>
      <c r="E26" t="str">
        <f>IF(OR(ISNUMBER(SEARCH("TRANSPARENTE",Inventario!B25)),ISNUMBER(SEARCH("TRANSPARENTES",Inventario!B25))),"TR",
IF(OR(ISNUMBER(SEARCH("BLANCO",Inventario!B25)),ISNUMBER(SEARCH("BCO",Inventario!B25))),"BL",
IF(ISNUMBER(SEARCH("VERDE",Inventario!B25)),"VR",
IF(ISNUMBER(SEARCH("MORADO",Inventario!B25)),"MR",
IF(ISNUMBER(SEARCH("PLATA",Inventario!B25)),"PL",
IF(ISNUMBER(SEARCH("ORO",Inventario!B25)),"OR",
IF(ISNUMBER(SEARCH("AMARILLO",Inventario!B25)),"AM",
IF(ISNUMBER(SEARCH("NARANJA",Inventario!B25)),"NR",
IF(ISNUMBER(SEARCH("NEGRO",Inventario!B25)),"NG",
IF(ISNUMBER(SEARCH("ROJO",Inventario!B25)),"RJ",
IF(ISNUMBER(SEARCH("AZUL",Inventario!B25)),"AZ","")))))))))))</f>
        <v/>
      </c>
      <c r="F26" t="str">
        <f>IF(ISNUMBER(SEARCH("1,2 MM",Inventario!B25)),"1MM2",
IF(OR(ISNUMBER(SEARCH("2 MM",Inventario!B25)),ISNUMBER(SEARCH("2MM",Inventario!B25))),"2MM",
IF(OR(ISNUMBER(SEARCH("3 MM",Inventario!B25)),ISNUMBER(SEARCH("3MM",Inventario!B25))),"3MM",
IF(OR(ISNUMBER(SEARCH("4 MM",Inventario!B25)),ISNUMBER(SEARCH("4MM",Inventario!B25)),ISNUMBER(SEARCH("4 mm",Inventario!B25))),"4MM",
IF(OR(ISNUMBER(SEARCH("5 MM",Inventario!B25)),ISNUMBER(SEARCH("5MM",Inventario!B25))),"5MM",
IF(OR(ISNUMBER(SEARCH("6 MM",Inventario!B25)),ISNUMBER(SEARCH("6MM",Inventario!B25))),"6MM",
IF(OR(ISNUMBER(SEARCH("10 MM",Inventario!B25)),ISNUMBER(SEARCH("10MM",Inventario!B25))),"10MM","")))))))</f>
        <v/>
      </c>
      <c r="G26" t="str">
        <f>IF(ISNUMBER(SEARCH("ALTA RESISTENCIA",Inventario!B25)),"AR",IF(ISNUMBER(SEARCH("CAMPAÑA",Inventario!B25)),"CA",
IF(OR(ISNUMBER(SEARCH("CALIDO",Inventario!B25)),ISNUMBER(SEARCH("CÁLIDO",Inventario!B25))),"C",
IF(OR(ISNUMBER(SEARCH("TRASLUCIDO",Inventario!B25)),ISNUMBER(SEARCH("TRANSLUCIDO",Inventario!B25))),"TL",
IF(ISNUMBER(SEARCH("NEUTRO",Inventario!B25)),"N",
IF(ISNUMBER(SEARCH("FRIO",Inventario!B25)),"F",""))))))</f>
        <v/>
      </c>
      <c r="H26" t="str">
        <f>IF(ISNUMBER(SEARCH("SILED",Inventario!B25)),"SI",
IF(ISNUMBER(SEARCH("SYDEMEX",Inventario!B25)),"SY",
IF(ISNUMBER(SEARCH("ROHS",Inventario!B25)),"RO",
IF(ISNUMBER(SEARCH("RISHANG",Inventario!B25)),"RS",
IF(ISNUMBER(SEARCH("VYG",Inventario!B25)),"VYG",
IF(ISNUMBER(SEARCH("COLED",Inventario!B25)),"CO",""))))))</f>
        <v/>
      </c>
    </row>
    <row r="27" spans="1:8">
      <c r="A27" t="str">
        <f>IF(ISNUMBER(SEARCH("LONA",Inventario!B26)),"LON",
IF(ISNUMBER(SEARCH("VINIL",Inventario!B26)),"VIN",
IF(ISNUMBER(SEARCH("PANEL DE ALUMINIO COMPUESTO",Inventario!B26)),"PAN-ALU-COM",
IF(ISNUMBER(SEARCH("PVC",Inventario!B26)),"PVC",
IF(ISNUMBER(SEARCH("PAPEL",Inventario!B26)),"PAP",
IF(ISNUMBER(SEARCH("TELA",Inventario!B26)),"TEL",
IF(ISNUMBER(SEARCH("CARTULINA",Inventario!B26)),"CAR",
IF(OR(ISNUMBER(SEARCH("LAMINA",Inventario!B26)),ISNUMBER(SEARCH("LÁMINA",Inventario!B26))),"LAM",
IF(ISNUMBER(SEARCH("ESTIRENO",Inventario!B26)),"EST",
IF(ISNUMBER(SEARCH("FOAMBOARD",Inventario!B26)),"FOA",
IF(ISNUMBER(SEARCH("SOLVENTE",Inventario!B26)),"SOL",
IF(ISNUMBER(SEARCH("TINTA",Inventario!B26)),"TIN",
IF(ISNUMBER(SEARCH("ACRILICO",Inventario!B26)),"ACR",
IF(ISNUMBER(SEARCH("LED",Inventario!B26)),"LED",
IF(ISNUMBER(SEARCH("FUENTE",Inventario!B26)),"FUE",
IF(ISNUMBER(SEARCH("PETG",Inventario!B26)),"PET",
IF(ISNUMBER(SEARCH("ALUMINIO",Inventario!B26)),"ALU",
IF(ISNUMBER(SEARCH("CANAL",Inventario!B26)),"CAN",
IF(ISNUMBER(SEARCH("ESCUADRA",Inventario!B26)),"ESC",
IF(ISNUMBER(SEARCH("SOPORTE",Inventario!B26)),"SOP","OTR")
)))))))))))))))))))</f>
        <v>PAP</v>
      </c>
      <c r="B27" t="str">
        <f>IF(ISNUMBER(SEARCH("CORTE",Inventario!B26)),"COR",
IF(ISNUMBER(SEARCH("CRISTAL",Inventario!B26)),"CR",
IF(OR(ISNUMBER(SEARCH("OPTICO",Inventario!B26)),ISNUMBER(SEARCH("OPTICOS",Inventario!B26)),ISNUMBER(SEARCH("OPTICA",Inventario!B26))),"OP",
IF(ISNUMBER(SEARCH("NANO",Inventario!B26)),"NA",
IF(ISNUMBER(SEARCH("5050",Inventario!B26)),"5050",
IF(ISNUMBER(SEARCH("MICRO",Inventario!B26)),"MI",""))))))</f>
        <v/>
      </c>
      <c r="C27" t="str">
        <f>IF(ISNUMBER(SEARCH("PARED",Inventario!B26)),"PAR",IF(ISNUMBER(SEARCH("MATE",Inventario!B26)),"MAT",
IF(ISNUMBER(SEARCH("FRONT",Inventario!B26)),"FRO",
IF(ISNUMBER(SEARCH("BACK",Inventario!B26)),"BAC",
IF(ISNUMBER(SEARCH("MESH",Inventario!B26)),"MES",
IF(OR(ISNUMBER(SEARCH("BRILLANTE",Inventario!B26)),ISNUMBER(SEARCH("BTE",Inventario!B26))),"BRI",
IF(ISNUMBER(SEARCH("SINTETICA DELGADA",Inventario!B26)),"SD",
IF(ISNUMBER(SEARCH("SINTETICA GRUESA",Inventario!B26)),"SG",
IF(ISNUMBER(SEARCH("ESTATICO",Inventario!B26)),"EST",
IF(ISNUMBER(SEARCH("FLOOR",Inventario!B26)),"FLO",
IF(ISNUMBER(SEARCH("REFLECTIVO",Inventario!B26)),"REF",
IF(ISNUMBER(SEARCH("MICROPERFORADO",Inventario!B26)),"MI",
IF(ISNUMBER(SEARCH("CEPILLADO",Inventario!B26)),"CEP",
IF(ISNUMBER(SEARCH("ESPEJO",Inventario!B26)),"ESP",
IF(OR(ISNUMBER(SEARCH("UNIDIODO",Inventario!B26)),ISNUMBER(SEARCH("1 DIODO",Inventario!B26))),"1D",
IF(ISNUMBER(SEARCH("2 DIODOS",Inventario!B26)),"2D",
IF(ISNUMBER(SEARCH("3 DIODOS",Inventario!B26)),"3D","")))))))))))))))))</f>
        <v>BAC</v>
      </c>
      <c r="D27" t="str">
        <f>IF(ISNUMBER(SEARCH("LX700",Inventario!B26)),"LX7",
IF(ISNUMBER(SEARCH("GRANDO",Inventario!B26)),"GRA",
IF(OR(ISNUMBER(SEARCH("CAMA PLANA",Inventario!B26)),ISNUMBER(SEARCH("FB700",Inventario!B26))),"CP",
IF(ISNUMBER(SEARCH("LX360",Inventario!B26)),"LX3",
IF(ISNUMBER(SEARCH("XEROX",Inventario!B26)),"XER",
IF(ISNUMBER(SEARCH("18 OZ",Inventario!B26)),"18OZ",
IF(ISNUMBER(SEARCH("15 OZ",Inventario!B26)),"15OZ",
IF(OR(ISNUMBER(SEARCH("13 OZ",Inventario!B26)),ISNUMBER(SEARCH("13 ONZAS",Inventario!B26))),"13OZ",
IF(OR(ISNUMBER(SEARCH("9 OZ",Inventario!B26)),ISNUMBER(SEARCH("9 ONZAS",Inventario!B26))),"09OZ","")))))))))</f>
        <v/>
      </c>
      <c r="E27" t="str">
        <f>IF(OR(ISNUMBER(SEARCH("TRANSPARENTE",Inventario!B26)),ISNUMBER(SEARCH("TRANSPARENTES",Inventario!B26))),"TR",
IF(OR(ISNUMBER(SEARCH("BLANCO",Inventario!B26)),ISNUMBER(SEARCH("BCO",Inventario!B26))),"BL",
IF(ISNUMBER(SEARCH("VERDE",Inventario!B26)),"VR",
IF(ISNUMBER(SEARCH("MORADO",Inventario!B26)),"MR",
IF(ISNUMBER(SEARCH("PLATA",Inventario!B26)),"PL",
IF(ISNUMBER(SEARCH("ORO",Inventario!B26)),"OR",
IF(ISNUMBER(SEARCH("AMARILLO",Inventario!B26)),"AM",
IF(ISNUMBER(SEARCH("NARANJA",Inventario!B26)),"NR",
IF(ISNUMBER(SEARCH("NEGRO",Inventario!B26)),"NG",
IF(ISNUMBER(SEARCH("ROJO",Inventario!B26)),"RJ",
IF(ISNUMBER(SEARCH("AZUL",Inventario!B26)),"AZ","")))))))))))</f>
        <v/>
      </c>
      <c r="F27" t="str">
        <f>IF(ISNUMBER(SEARCH("1,2 MM",Inventario!B26)),"1MM2",
IF(OR(ISNUMBER(SEARCH("2 MM",Inventario!B26)),ISNUMBER(SEARCH("2MM",Inventario!B26))),"2MM",
IF(OR(ISNUMBER(SEARCH("3 MM",Inventario!B26)),ISNUMBER(SEARCH("3MM",Inventario!B26))),"3MM",
IF(OR(ISNUMBER(SEARCH("4 MM",Inventario!B26)),ISNUMBER(SEARCH("4MM",Inventario!B26)),ISNUMBER(SEARCH("4 mm",Inventario!B26))),"4MM",
IF(OR(ISNUMBER(SEARCH("5 MM",Inventario!B26)),ISNUMBER(SEARCH("5MM",Inventario!B26))),"5MM",
IF(OR(ISNUMBER(SEARCH("6 MM",Inventario!B26)),ISNUMBER(SEARCH("6MM",Inventario!B26))),"6MM",
IF(OR(ISNUMBER(SEARCH("10 MM",Inventario!B26)),ISNUMBER(SEARCH("10MM",Inventario!B26))),"10MM","")))))))</f>
        <v/>
      </c>
      <c r="G27" t="str">
        <f>IF(ISNUMBER(SEARCH("ALTA RESISTENCIA",Inventario!B26)),"AR",IF(ISNUMBER(SEARCH("CAMPAÑA",Inventario!B26)),"CA",
IF(OR(ISNUMBER(SEARCH("CALIDO",Inventario!B26)),ISNUMBER(SEARCH("CÁLIDO",Inventario!B26))),"C",
IF(OR(ISNUMBER(SEARCH("TRASLUCIDO",Inventario!B26)),ISNUMBER(SEARCH("TRANSLUCIDO",Inventario!B26))),"TL",
IF(ISNUMBER(SEARCH("NEUTRO",Inventario!B26)),"N",
IF(ISNUMBER(SEARCH("FRIO",Inventario!B26)),"F",""))))))</f>
        <v/>
      </c>
      <c r="H27" t="str">
        <f>IF(ISNUMBER(SEARCH("SILED",Inventario!B26)),"SI",
IF(ISNUMBER(SEARCH("SYDEMEX",Inventario!B26)),"SY",
IF(ISNUMBER(SEARCH("ROHS",Inventario!B26)),"RO",
IF(ISNUMBER(SEARCH("RISHANG",Inventario!B26)),"RS",
IF(ISNUMBER(SEARCH("VYG",Inventario!B26)),"VYG",
IF(ISNUMBER(SEARCH("COLED",Inventario!B26)),"CO",""))))))</f>
        <v/>
      </c>
    </row>
    <row r="28" spans="1:8">
      <c r="A28" t="str">
        <f>IF(ISNUMBER(SEARCH("LONA",Inventario!B27)),"LON",
IF(ISNUMBER(SEARCH("VINIL",Inventario!B27)),"VIN",
IF(ISNUMBER(SEARCH("PANEL DE ALUMINIO COMPUESTO",Inventario!B27)),"PAN-ALU-COM",
IF(ISNUMBER(SEARCH("PVC",Inventario!B27)),"PVC",
IF(ISNUMBER(SEARCH("PAPEL",Inventario!B27)),"PAP",
IF(ISNUMBER(SEARCH("TELA",Inventario!B27)),"TEL",
IF(ISNUMBER(SEARCH("CARTULINA",Inventario!B27)),"CAR",
IF(OR(ISNUMBER(SEARCH("LAMINA",Inventario!B27)),ISNUMBER(SEARCH("LÁMINA",Inventario!B27))),"LAM",
IF(ISNUMBER(SEARCH("ESTIRENO",Inventario!B27)),"EST",
IF(ISNUMBER(SEARCH("FOAMBOARD",Inventario!B27)),"FOA",
IF(ISNUMBER(SEARCH("SOLVENTE",Inventario!B27)),"SOL",
IF(ISNUMBER(SEARCH("TINTA",Inventario!B27)),"TIN",
IF(ISNUMBER(SEARCH("ACRILICO",Inventario!B27)),"ACR",
IF(ISNUMBER(SEARCH("LED",Inventario!B27)),"LED",
IF(ISNUMBER(SEARCH("FUENTE",Inventario!B27)),"FUE",
IF(ISNUMBER(SEARCH("PETG",Inventario!B27)),"PET",
IF(ISNUMBER(SEARCH("ALUMINIO",Inventario!B27)),"ALU",
IF(ISNUMBER(SEARCH("CANAL",Inventario!B27)),"CAN",
IF(ISNUMBER(SEARCH("ESCUADRA",Inventario!B27)),"ESC",
IF(ISNUMBER(SEARCH("SOPORTE",Inventario!B27)),"SOP","OTR")
)))))))))))))))))))</f>
        <v>PAP</v>
      </c>
      <c r="B28" t="str">
        <f>IF(ISNUMBER(SEARCH("CORTE",Inventario!B27)),"COR",
IF(ISNUMBER(SEARCH("CRISTAL",Inventario!B27)),"CR",
IF(OR(ISNUMBER(SEARCH("OPTICO",Inventario!B27)),ISNUMBER(SEARCH("OPTICOS",Inventario!B27)),ISNUMBER(SEARCH("OPTICA",Inventario!B27))),"OP",
IF(ISNUMBER(SEARCH("NANO",Inventario!B27)),"NA",
IF(ISNUMBER(SEARCH("5050",Inventario!B27)),"5050",
IF(ISNUMBER(SEARCH("MICRO",Inventario!B27)),"MI",""))))))</f>
        <v/>
      </c>
      <c r="C28" t="str">
        <f>IF(ISNUMBER(SEARCH("PARED",Inventario!B27)),"PAR",IF(ISNUMBER(SEARCH("MATE",Inventario!B27)),"MAT",
IF(ISNUMBER(SEARCH("FRONT",Inventario!B27)),"FRO",
IF(ISNUMBER(SEARCH("BACK",Inventario!B27)),"BAC",
IF(ISNUMBER(SEARCH("MESH",Inventario!B27)),"MES",
IF(OR(ISNUMBER(SEARCH("BRILLANTE",Inventario!B27)),ISNUMBER(SEARCH("BTE",Inventario!B27))),"BRI",
IF(ISNUMBER(SEARCH("SINTETICA DELGADA",Inventario!B27)),"SD",
IF(ISNUMBER(SEARCH("SINTETICA GRUESA",Inventario!B27)),"SG",
IF(ISNUMBER(SEARCH("ESTATICO",Inventario!B27)),"EST",
IF(ISNUMBER(SEARCH("FLOOR",Inventario!B27)),"FLO",
IF(ISNUMBER(SEARCH("REFLECTIVO",Inventario!B27)),"REF",
IF(ISNUMBER(SEARCH("MICROPERFORADO",Inventario!B27)),"MI",
IF(ISNUMBER(SEARCH("CEPILLADO",Inventario!B27)),"CEP",
IF(ISNUMBER(SEARCH("ESPEJO",Inventario!B27)),"ESP",
IF(OR(ISNUMBER(SEARCH("UNIDIODO",Inventario!B27)),ISNUMBER(SEARCH("1 DIODO",Inventario!B27))),"1D",
IF(ISNUMBER(SEARCH("2 DIODOS",Inventario!B27)),"2D",
IF(ISNUMBER(SEARCH("3 DIODOS",Inventario!B27)),"3D","")))))))))))))))))</f>
        <v>MAT</v>
      </c>
      <c r="D28" t="str">
        <f>IF(ISNUMBER(SEARCH("LX700",Inventario!B27)),"LX7",
IF(ISNUMBER(SEARCH("GRANDO",Inventario!B27)),"GRA",
IF(OR(ISNUMBER(SEARCH("CAMA PLANA",Inventario!B27)),ISNUMBER(SEARCH("FB700",Inventario!B27))),"CP",
IF(ISNUMBER(SEARCH("LX360",Inventario!B27)),"LX3",
IF(ISNUMBER(SEARCH("XEROX",Inventario!B27)),"XER",
IF(ISNUMBER(SEARCH("18 OZ",Inventario!B27)),"18OZ",
IF(ISNUMBER(SEARCH("15 OZ",Inventario!B27)),"15OZ",
IF(OR(ISNUMBER(SEARCH("13 OZ",Inventario!B27)),ISNUMBER(SEARCH("13 ONZAS",Inventario!B27))),"13OZ",
IF(OR(ISNUMBER(SEARCH("9 OZ",Inventario!B27)),ISNUMBER(SEARCH("9 ONZAS",Inventario!B27))),"09OZ","")))))))))</f>
        <v/>
      </c>
      <c r="E28" t="str">
        <f>IF(OR(ISNUMBER(SEARCH("TRANSPARENTE",Inventario!B27)),ISNUMBER(SEARCH("TRANSPARENTES",Inventario!B27))),"TR",
IF(OR(ISNUMBER(SEARCH("BLANCO",Inventario!B27)),ISNUMBER(SEARCH("BCO",Inventario!B27))),"BL",
IF(ISNUMBER(SEARCH("VERDE",Inventario!B27)),"VR",
IF(ISNUMBER(SEARCH("MORADO",Inventario!B27)),"MR",
IF(ISNUMBER(SEARCH("PLATA",Inventario!B27)),"PL",
IF(ISNUMBER(SEARCH("ORO",Inventario!B27)),"OR",
IF(ISNUMBER(SEARCH("AMARILLO",Inventario!B27)),"AM",
IF(ISNUMBER(SEARCH("NARANJA",Inventario!B27)),"NR",
IF(ISNUMBER(SEARCH("NEGRO",Inventario!B27)),"NG",
IF(ISNUMBER(SEARCH("ROJO",Inventario!B27)),"RJ",
IF(ISNUMBER(SEARCH("AZUL",Inventario!B27)),"AZ","")))))))))))</f>
        <v/>
      </c>
      <c r="F28" t="str">
        <f>IF(ISNUMBER(SEARCH("1,2 MM",Inventario!B27)),"1MM2",
IF(OR(ISNUMBER(SEARCH("2 MM",Inventario!B27)),ISNUMBER(SEARCH("2MM",Inventario!B27))),"2MM",
IF(OR(ISNUMBER(SEARCH("3 MM",Inventario!B27)),ISNUMBER(SEARCH("3MM",Inventario!B27))),"3MM",
IF(OR(ISNUMBER(SEARCH("4 MM",Inventario!B27)),ISNUMBER(SEARCH("4MM",Inventario!B27)),ISNUMBER(SEARCH("4 mm",Inventario!B27))),"4MM",
IF(OR(ISNUMBER(SEARCH("5 MM",Inventario!B27)),ISNUMBER(SEARCH("5MM",Inventario!B27))),"5MM",
IF(OR(ISNUMBER(SEARCH("6 MM",Inventario!B27)),ISNUMBER(SEARCH("6MM",Inventario!B27))),"6MM",
IF(OR(ISNUMBER(SEARCH("10 MM",Inventario!B27)),ISNUMBER(SEARCH("10MM",Inventario!B27))),"10MM","")))))))</f>
        <v/>
      </c>
      <c r="G28" t="str">
        <f>IF(ISNUMBER(SEARCH("ALTA RESISTENCIA",Inventario!B27)),"AR",IF(ISNUMBER(SEARCH("CAMPAÑA",Inventario!B27)),"CA",
IF(OR(ISNUMBER(SEARCH("CALIDO",Inventario!B27)),ISNUMBER(SEARCH("CÁLIDO",Inventario!B27))),"C",
IF(OR(ISNUMBER(SEARCH("TRASLUCIDO",Inventario!B27)),ISNUMBER(SEARCH("TRANSLUCIDO",Inventario!B27))),"TL",
IF(ISNUMBER(SEARCH("NEUTRO",Inventario!B27)),"N",
IF(ISNUMBER(SEARCH("FRIO",Inventario!B27)),"F",""))))))</f>
        <v/>
      </c>
      <c r="H28" t="str">
        <f>IF(ISNUMBER(SEARCH("SILED",Inventario!B27)),"SI",
IF(ISNUMBER(SEARCH("SYDEMEX",Inventario!B27)),"SY",
IF(ISNUMBER(SEARCH("ROHS",Inventario!B27)),"RO",
IF(ISNUMBER(SEARCH("RISHANG",Inventario!B27)),"RS",
IF(ISNUMBER(SEARCH("VYG",Inventario!B27)),"VYG",
IF(ISNUMBER(SEARCH("COLED",Inventario!B27)),"CO",""))))))</f>
        <v/>
      </c>
    </row>
    <row r="29" spans="1:8">
      <c r="A29" t="str">
        <f>IF(ISNUMBER(SEARCH("LONA",Inventario!B28)),"LON",
IF(ISNUMBER(SEARCH("VINIL",Inventario!B28)),"VIN",
IF(ISNUMBER(SEARCH("PANEL DE ALUMINIO COMPUESTO",Inventario!B28)),"PAN-ALU-COM",
IF(ISNUMBER(SEARCH("PVC",Inventario!B28)),"PVC",
IF(ISNUMBER(SEARCH("PAPEL",Inventario!B28)),"PAP",
IF(ISNUMBER(SEARCH("TELA",Inventario!B28)),"TEL",
IF(ISNUMBER(SEARCH("CARTULINA",Inventario!B28)),"CAR",
IF(OR(ISNUMBER(SEARCH("LAMINA",Inventario!B28)),ISNUMBER(SEARCH("LÁMINA",Inventario!B28))),"LAM",
IF(ISNUMBER(SEARCH("ESTIRENO",Inventario!B28)),"EST",
IF(ISNUMBER(SEARCH("FOAMBOARD",Inventario!B28)),"FOA",
IF(ISNUMBER(SEARCH("SOLVENTE",Inventario!B28)),"SOL",
IF(ISNUMBER(SEARCH("TINTA",Inventario!B28)),"TIN",
IF(ISNUMBER(SEARCH("ACRILICO",Inventario!B28)),"ACR",
IF(ISNUMBER(SEARCH("LED",Inventario!B28)),"LED",
IF(ISNUMBER(SEARCH("FUENTE",Inventario!B28)),"FUE",
IF(ISNUMBER(SEARCH("PETG",Inventario!B28)),"PET",
IF(ISNUMBER(SEARCH("ALUMINIO",Inventario!B28)),"ALU",
IF(ISNUMBER(SEARCH("CANAL",Inventario!B28)),"CAN",
IF(ISNUMBER(SEARCH("ESCUADRA",Inventario!B28)),"ESC",
IF(ISNUMBER(SEARCH("SOPORTE",Inventario!B28)),"SOP","OTR")
)))))))))))))))))))</f>
        <v>PAP</v>
      </c>
      <c r="B29" t="str">
        <f>IF(ISNUMBER(SEARCH("CORTE",Inventario!B28)),"COR",
IF(ISNUMBER(SEARCH("CRISTAL",Inventario!B28)),"CR",
IF(OR(ISNUMBER(SEARCH("OPTICO",Inventario!B28)),ISNUMBER(SEARCH("OPTICOS",Inventario!B28)),ISNUMBER(SEARCH("OPTICA",Inventario!B28))),"OP",
IF(ISNUMBER(SEARCH("NANO",Inventario!B28)),"NA",
IF(ISNUMBER(SEARCH("5050",Inventario!B28)),"5050",
IF(ISNUMBER(SEARCH("MICRO",Inventario!B28)),"MI",""))))))</f>
        <v/>
      </c>
      <c r="C29" t="str">
        <f>IF(ISNUMBER(SEARCH("PARED",Inventario!B28)),"PAR",IF(ISNUMBER(SEARCH("MATE",Inventario!B28)),"MAT",
IF(ISNUMBER(SEARCH("FRONT",Inventario!B28)),"FRO",
IF(ISNUMBER(SEARCH("BACK",Inventario!B28)),"BAC",
IF(ISNUMBER(SEARCH("MESH",Inventario!B28)),"MES",
IF(OR(ISNUMBER(SEARCH("BRILLANTE",Inventario!B28)),ISNUMBER(SEARCH("BTE",Inventario!B28))),"BRI",
IF(ISNUMBER(SEARCH("SINTETICA DELGADA",Inventario!B28)),"SD",
IF(ISNUMBER(SEARCH("SINTETICA GRUESA",Inventario!B28)),"SG",
IF(ISNUMBER(SEARCH("ESTATICO",Inventario!B28)),"EST",
IF(ISNUMBER(SEARCH("FLOOR",Inventario!B28)),"FLO",
IF(ISNUMBER(SEARCH("REFLECTIVO",Inventario!B28)),"REF",
IF(ISNUMBER(SEARCH("MICROPERFORADO",Inventario!B28)),"MI",
IF(ISNUMBER(SEARCH("CEPILLADO",Inventario!B28)),"CEP",
IF(ISNUMBER(SEARCH("ESPEJO",Inventario!B28)),"ESP",
IF(OR(ISNUMBER(SEARCH("UNIDIODO",Inventario!B28)),ISNUMBER(SEARCH("1 DIODO",Inventario!B28))),"1D",
IF(ISNUMBER(SEARCH("2 DIODOS",Inventario!B28)),"2D",
IF(ISNUMBER(SEARCH("3 DIODOS",Inventario!B28)),"3D","")))))))))))))))))</f>
        <v>BRI</v>
      </c>
      <c r="D29" t="str">
        <f>IF(ISNUMBER(SEARCH("LX700",Inventario!B28)),"LX7",
IF(ISNUMBER(SEARCH("GRANDO",Inventario!B28)),"GRA",
IF(OR(ISNUMBER(SEARCH("CAMA PLANA",Inventario!B28)),ISNUMBER(SEARCH("FB700",Inventario!B28))),"CP",
IF(ISNUMBER(SEARCH("LX360",Inventario!B28)),"LX3",
IF(ISNUMBER(SEARCH("XEROX",Inventario!B28)),"XER",
IF(ISNUMBER(SEARCH("18 OZ",Inventario!B28)),"18OZ",
IF(ISNUMBER(SEARCH("15 OZ",Inventario!B28)),"15OZ",
IF(OR(ISNUMBER(SEARCH("13 OZ",Inventario!B28)),ISNUMBER(SEARCH("13 ONZAS",Inventario!B28))),"13OZ",
IF(OR(ISNUMBER(SEARCH("9 OZ",Inventario!B28)),ISNUMBER(SEARCH("9 ONZAS",Inventario!B28))),"09OZ","")))))))))</f>
        <v/>
      </c>
      <c r="E29" t="str">
        <f>IF(OR(ISNUMBER(SEARCH("TRANSPARENTE",Inventario!B28)),ISNUMBER(SEARCH("TRANSPARENTES",Inventario!B28))),"TR",
IF(OR(ISNUMBER(SEARCH("BLANCO",Inventario!B28)),ISNUMBER(SEARCH("BCO",Inventario!B28))),"BL",
IF(ISNUMBER(SEARCH("VERDE",Inventario!B28)),"VR",
IF(ISNUMBER(SEARCH("MORADO",Inventario!B28)),"MR",
IF(ISNUMBER(SEARCH("PLATA",Inventario!B28)),"PL",
IF(ISNUMBER(SEARCH("ORO",Inventario!B28)),"OR",
IF(ISNUMBER(SEARCH("AMARILLO",Inventario!B28)),"AM",
IF(ISNUMBER(SEARCH("NARANJA",Inventario!B28)),"NR",
IF(ISNUMBER(SEARCH("NEGRO",Inventario!B28)),"NG",
IF(ISNUMBER(SEARCH("ROJO",Inventario!B28)),"RJ",
IF(ISNUMBER(SEARCH("AZUL",Inventario!B28)),"AZ","")))))))))))</f>
        <v/>
      </c>
      <c r="F29" t="str">
        <f>IF(ISNUMBER(SEARCH("1,2 MM",Inventario!B28)),"1MM2",
IF(OR(ISNUMBER(SEARCH("2 MM",Inventario!B28)),ISNUMBER(SEARCH("2MM",Inventario!B28))),"2MM",
IF(OR(ISNUMBER(SEARCH("3 MM",Inventario!B28)),ISNUMBER(SEARCH("3MM",Inventario!B28))),"3MM",
IF(OR(ISNUMBER(SEARCH("4 MM",Inventario!B28)),ISNUMBER(SEARCH("4MM",Inventario!B28)),ISNUMBER(SEARCH("4 mm",Inventario!B28))),"4MM",
IF(OR(ISNUMBER(SEARCH("5 MM",Inventario!B28)),ISNUMBER(SEARCH("5MM",Inventario!B28))),"5MM",
IF(OR(ISNUMBER(SEARCH("6 MM",Inventario!B28)),ISNUMBER(SEARCH("6MM",Inventario!B28))),"6MM",
IF(OR(ISNUMBER(SEARCH("10 MM",Inventario!B28)),ISNUMBER(SEARCH("10MM",Inventario!B28))),"10MM","")))))))</f>
        <v/>
      </c>
      <c r="G29" t="str">
        <f>IF(ISNUMBER(SEARCH("ALTA RESISTENCIA",Inventario!B28)),"AR",IF(ISNUMBER(SEARCH("CAMPAÑA",Inventario!B28)),"CA",
IF(OR(ISNUMBER(SEARCH("CALIDO",Inventario!B28)),ISNUMBER(SEARCH("CÁLIDO",Inventario!B28))),"C",
IF(OR(ISNUMBER(SEARCH("TRASLUCIDO",Inventario!B28)),ISNUMBER(SEARCH("TRANSLUCIDO",Inventario!B28))),"TL",
IF(ISNUMBER(SEARCH("NEUTRO",Inventario!B28)),"N",
IF(ISNUMBER(SEARCH("FRIO",Inventario!B28)),"F",""))))))</f>
        <v/>
      </c>
      <c r="H29" t="str">
        <f>IF(ISNUMBER(SEARCH("SILED",Inventario!B28)),"SI",
IF(ISNUMBER(SEARCH("SYDEMEX",Inventario!B28)),"SY",
IF(ISNUMBER(SEARCH("ROHS",Inventario!B28)),"RO",
IF(ISNUMBER(SEARCH("RISHANG",Inventario!B28)),"RS",
IF(ISNUMBER(SEARCH("VYG",Inventario!B28)),"VYG",
IF(ISNUMBER(SEARCH("COLED",Inventario!B28)),"CO",""))))))</f>
        <v/>
      </c>
    </row>
    <row r="30" spans="1:8">
      <c r="A30" t="str">
        <f>IF(ISNUMBER(SEARCH("LONA",Inventario!B29)),"LON",
IF(ISNUMBER(SEARCH("VINIL",Inventario!B29)),"VIN",
IF(ISNUMBER(SEARCH("PANEL DE ALUMINIO COMPUESTO",Inventario!B29)),"PAN-ALU-COM",
IF(ISNUMBER(SEARCH("PVC",Inventario!B29)),"PVC",
IF(ISNUMBER(SEARCH("PAPEL",Inventario!B29)),"PAP",
IF(ISNUMBER(SEARCH("TELA",Inventario!B29)),"TEL",
IF(ISNUMBER(SEARCH("CARTULINA",Inventario!B29)),"CAR",
IF(OR(ISNUMBER(SEARCH("LAMINA",Inventario!B29)),ISNUMBER(SEARCH("LÁMINA",Inventario!B29))),"LAM",
IF(ISNUMBER(SEARCH("ESTIRENO",Inventario!B29)),"EST",
IF(ISNUMBER(SEARCH("FOAMBOARD",Inventario!B29)),"FOA",
IF(ISNUMBER(SEARCH("SOLVENTE",Inventario!B29)),"SOL",
IF(ISNUMBER(SEARCH("TINTA",Inventario!B29)),"TIN",
IF(ISNUMBER(SEARCH("ACRILICO",Inventario!B29)),"ACR",
IF(ISNUMBER(SEARCH("LED",Inventario!B29)),"LED",
IF(ISNUMBER(SEARCH("FUENTE",Inventario!B29)),"FUE",
IF(ISNUMBER(SEARCH("PETG",Inventario!B29)),"PET",
IF(ISNUMBER(SEARCH("ALUMINIO",Inventario!B29)),"ALU",
IF(ISNUMBER(SEARCH("CANAL",Inventario!B29)),"CAN",
IF(ISNUMBER(SEARCH("ESCUADRA",Inventario!B29)),"ESC",
IF(ISNUMBER(SEARCH("SOPORTE",Inventario!B29)),"SOP","OTR")
)))))))))))))))))))</f>
        <v>PAP</v>
      </c>
      <c r="B30" t="str">
        <f>IF(ISNUMBER(SEARCH("CORTE",Inventario!B29)),"COR",
IF(ISNUMBER(SEARCH("CRISTAL",Inventario!B29)),"CR",
IF(OR(ISNUMBER(SEARCH("OPTICO",Inventario!B29)),ISNUMBER(SEARCH("OPTICOS",Inventario!B29)),ISNUMBER(SEARCH("OPTICA",Inventario!B29))),"OP",
IF(ISNUMBER(SEARCH("NANO",Inventario!B29)),"NA",
IF(ISNUMBER(SEARCH("5050",Inventario!B29)),"5050",
IF(ISNUMBER(SEARCH("MICRO",Inventario!B29)),"MI",""))))))</f>
        <v/>
      </c>
      <c r="C30" t="str">
        <f>IF(ISNUMBER(SEARCH("PARED",Inventario!B29)),"PAR",IF(ISNUMBER(SEARCH("MATE",Inventario!B29)),"MAT",
IF(ISNUMBER(SEARCH("FRONT",Inventario!B29)),"FRO",
IF(ISNUMBER(SEARCH("BACK",Inventario!B29)),"BAC",
IF(ISNUMBER(SEARCH("MESH",Inventario!B29)),"MES",
IF(OR(ISNUMBER(SEARCH("BRILLANTE",Inventario!B29)),ISNUMBER(SEARCH("BTE",Inventario!B29))),"BRI",
IF(ISNUMBER(SEARCH("SINTETICA DELGADA",Inventario!B29)),"SD",
IF(ISNUMBER(SEARCH("SINTETICA GRUESA",Inventario!B29)),"SG",
IF(ISNUMBER(SEARCH("ESTATICO",Inventario!B29)),"EST",
IF(ISNUMBER(SEARCH("FLOOR",Inventario!B29)),"FLO",
IF(ISNUMBER(SEARCH("REFLECTIVO",Inventario!B29)),"REF",
IF(ISNUMBER(SEARCH("MICROPERFORADO",Inventario!B29)),"MI",
IF(ISNUMBER(SEARCH("CEPILLADO",Inventario!B29)),"CEP",
IF(ISNUMBER(SEARCH("ESPEJO",Inventario!B29)),"ESP",
IF(OR(ISNUMBER(SEARCH("UNIDIODO",Inventario!B29)),ISNUMBER(SEARCH("1 DIODO",Inventario!B29))),"1D",
IF(ISNUMBER(SEARCH("2 DIODOS",Inventario!B29)),"2D",
IF(ISNUMBER(SEARCH("3 DIODOS",Inventario!B29)),"3D","")))))))))))))))))</f>
        <v>MAT</v>
      </c>
      <c r="D30" t="str">
        <f>IF(ISNUMBER(SEARCH("LX700",Inventario!B29)),"LX7",
IF(ISNUMBER(SEARCH("GRANDO",Inventario!B29)),"GRA",
IF(OR(ISNUMBER(SEARCH("CAMA PLANA",Inventario!B29)),ISNUMBER(SEARCH("FB700",Inventario!B29))),"CP",
IF(ISNUMBER(SEARCH("LX360",Inventario!B29)),"LX3",
IF(ISNUMBER(SEARCH("XEROX",Inventario!B29)),"XER",
IF(ISNUMBER(SEARCH("18 OZ",Inventario!B29)),"18OZ",
IF(ISNUMBER(SEARCH("15 OZ",Inventario!B29)),"15OZ",
IF(OR(ISNUMBER(SEARCH("13 OZ",Inventario!B29)),ISNUMBER(SEARCH("13 ONZAS",Inventario!B29))),"13OZ",
IF(OR(ISNUMBER(SEARCH("9 OZ",Inventario!B29)),ISNUMBER(SEARCH("9 ONZAS",Inventario!B29))),"09OZ","")))))))))</f>
        <v/>
      </c>
      <c r="E30" t="str">
        <f>IF(OR(ISNUMBER(SEARCH("TRANSPARENTE",Inventario!B29)),ISNUMBER(SEARCH("TRANSPARENTES",Inventario!B29))),"TR",
IF(OR(ISNUMBER(SEARCH("BLANCO",Inventario!B29)),ISNUMBER(SEARCH("BCO",Inventario!B29))),"BL",
IF(ISNUMBER(SEARCH("VERDE",Inventario!B29)),"VR",
IF(ISNUMBER(SEARCH("MORADO",Inventario!B29)),"MR",
IF(ISNUMBER(SEARCH("PLATA",Inventario!B29)),"PL",
IF(ISNUMBER(SEARCH("ORO",Inventario!B29)),"OR",
IF(ISNUMBER(SEARCH("AMARILLO",Inventario!B29)),"AM",
IF(ISNUMBER(SEARCH("NARANJA",Inventario!B29)),"NR",
IF(ISNUMBER(SEARCH("NEGRO",Inventario!B29)),"NG",
IF(ISNUMBER(SEARCH("ROJO",Inventario!B29)),"RJ",
IF(ISNUMBER(SEARCH("AZUL",Inventario!B29)),"AZ","")))))))))))</f>
        <v/>
      </c>
      <c r="F30" t="str">
        <f>IF(ISNUMBER(SEARCH("1,2 MM",Inventario!B29)),"1MM2",
IF(OR(ISNUMBER(SEARCH("2 MM",Inventario!B29)),ISNUMBER(SEARCH("2MM",Inventario!B29))),"2MM",
IF(OR(ISNUMBER(SEARCH("3 MM",Inventario!B29)),ISNUMBER(SEARCH("3MM",Inventario!B29))),"3MM",
IF(OR(ISNUMBER(SEARCH("4 MM",Inventario!B29)),ISNUMBER(SEARCH("4MM",Inventario!B29)),ISNUMBER(SEARCH("4 mm",Inventario!B29))),"4MM",
IF(OR(ISNUMBER(SEARCH("5 MM",Inventario!B29)),ISNUMBER(SEARCH("5MM",Inventario!B29))),"5MM",
IF(OR(ISNUMBER(SEARCH("6 MM",Inventario!B29)),ISNUMBER(SEARCH("6MM",Inventario!B29))),"6MM",
IF(OR(ISNUMBER(SEARCH("10 MM",Inventario!B29)),ISNUMBER(SEARCH("10MM",Inventario!B29))),"10MM","")))))))</f>
        <v/>
      </c>
      <c r="G30" t="str">
        <f>IF(ISNUMBER(SEARCH("ALTA RESISTENCIA",Inventario!B29)),"AR",IF(ISNUMBER(SEARCH("CAMPAÑA",Inventario!B29)),"CA",
IF(OR(ISNUMBER(SEARCH("CALIDO",Inventario!B29)),ISNUMBER(SEARCH("CÁLIDO",Inventario!B29))),"C",
IF(OR(ISNUMBER(SEARCH("TRASLUCIDO",Inventario!B29)),ISNUMBER(SEARCH("TRANSLUCIDO",Inventario!B29))),"TL",
IF(ISNUMBER(SEARCH("NEUTRO",Inventario!B29)),"N",
IF(ISNUMBER(SEARCH("FRIO",Inventario!B29)),"F",""))))))</f>
        <v/>
      </c>
      <c r="H30" t="str">
        <f>IF(ISNUMBER(SEARCH("SILED",Inventario!B29)),"SI",
IF(ISNUMBER(SEARCH("SYDEMEX",Inventario!B29)),"SY",
IF(ISNUMBER(SEARCH("ROHS",Inventario!B29)),"RO",
IF(ISNUMBER(SEARCH("RISHANG",Inventario!B29)),"RS",
IF(ISNUMBER(SEARCH("VYG",Inventario!B29)),"VYG",
IF(ISNUMBER(SEARCH("COLED",Inventario!B29)),"CO",""))))))</f>
        <v/>
      </c>
    </row>
    <row r="31" spans="1:8">
      <c r="A31" t="str">
        <f>IF(ISNUMBER(SEARCH("LONA",Inventario!B30)),"LON",
IF(ISNUMBER(SEARCH("VINIL",Inventario!B30)),"VIN",
IF(ISNUMBER(SEARCH("PANEL DE ALUMINIO COMPUESTO",Inventario!B30)),"PAN-ALU-COM",
IF(ISNUMBER(SEARCH("PVC",Inventario!B30)),"PVC",
IF(ISNUMBER(SEARCH("PAPEL",Inventario!B30)),"PAP",
IF(ISNUMBER(SEARCH("TELA",Inventario!B30)),"TEL",
IF(ISNUMBER(SEARCH("CARTULINA",Inventario!B30)),"CAR",
IF(OR(ISNUMBER(SEARCH("LAMINA",Inventario!B30)),ISNUMBER(SEARCH("LÁMINA",Inventario!B30))),"LAM",
IF(ISNUMBER(SEARCH("ESTIRENO",Inventario!B30)),"EST",
IF(ISNUMBER(SEARCH("FOAMBOARD",Inventario!B30)),"FOA",
IF(ISNUMBER(SEARCH("SOLVENTE",Inventario!B30)),"SOL",
IF(ISNUMBER(SEARCH("TINTA",Inventario!B30)),"TIN",
IF(ISNUMBER(SEARCH("ACRILICO",Inventario!B30)),"ACR",
IF(ISNUMBER(SEARCH("LED",Inventario!B30)),"LED",
IF(ISNUMBER(SEARCH("FUENTE",Inventario!B30)),"FUE",
IF(ISNUMBER(SEARCH("PETG",Inventario!B30)),"PET",
IF(ISNUMBER(SEARCH("ALUMINIO",Inventario!B30)),"ALU",
IF(ISNUMBER(SEARCH("CANAL",Inventario!B30)),"CAN",
IF(ISNUMBER(SEARCH("ESCUADRA",Inventario!B30)),"ESC",
IF(ISNUMBER(SEARCH("SOPORTE",Inventario!B30)),"SOP","OTR")
)))))))))))))))))))</f>
        <v>PAP</v>
      </c>
      <c r="B31" t="str">
        <f>IF(ISNUMBER(SEARCH("CORTE",Inventario!B30)),"COR",
IF(ISNUMBER(SEARCH("CRISTAL",Inventario!B30)),"CR",
IF(OR(ISNUMBER(SEARCH("OPTICO",Inventario!B30)),ISNUMBER(SEARCH("OPTICOS",Inventario!B30)),ISNUMBER(SEARCH("OPTICA",Inventario!B30))),"OP",
IF(ISNUMBER(SEARCH("NANO",Inventario!B30)),"NA",
IF(ISNUMBER(SEARCH("5050",Inventario!B30)),"5050",
IF(ISNUMBER(SEARCH("MICRO",Inventario!B30)),"MI",""))))))</f>
        <v/>
      </c>
      <c r="C31" t="str">
        <f>IF(ISNUMBER(SEARCH("PARED",Inventario!B30)),"PAR",IF(ISNUMBER(SEARCH("MATE",Inventario!B30)),"MAT",
IF(ISNUMBER(SEARCH("FRONT",Inventario!B30)),"FRO",
IF(ISNUMBER(SEARCH("BACK",Inventario!B30)),"BAC",
IF(ISNUMBER(SEARCH("MESH",Inventario!B30)),"MES",
IF(OR(ISNUMBER(SEARCH("BRILLANTE",Inventario!B30)),ISNUMBER(SEARCH("BTE",Inventario!B30))),"BRI",
IF(ISNUMBER(SEARCH("SINTETICA DELGADA",Inventario!B30)),"SD",
IF(ISNUMBER(SEARCH("SINTETICA GRUESA",Inventario!B30)),"SG",
IF(ISNUMBER(SEARCH("ESTATICO",Inventario!B30)),"EST",
IF(ISNUMBER(SEARCH("FLOOR",Inventario!B30)),"FLO",
IF(ISNUMBER(SEARCH("REFLECTIVO",Inventario!B30)),"REF",
IF(ISNUMBER(SEARCH("MICROPERFORADO",Inventario!B30)),"MI",
IF(ISNUMBER(SEARCH("CEPILLADO",Inventario!B30)),"CEP",
IF(ISNUMBER(SEARCH("ESPEJO",Inventario!B30)),"ESP",
IF(OR(ISNUMBER(SEARCH("UNIDIODO",Inventario!B30)),ISNUMBER(SEARCH("1 DIODO",Inventario!B30))),"1D",
IF(ISNUMBER(SEARCH("2 DIODOS",Inventario!B30)),"2D",
IF(ISNUMBER(SEARCH("3 DIODOS",Inventario!B30)),"3D","")))))))))))))))))</f>
        <v/>
      </c>
      <c r="D31" t="str">
        <f>IF(ISNUMBER(SEARCH("LX700",Inventario!B30)),"LX7",
IF(ISNUMBER(SEARCH("GRANDO",Inventario!B30)),"GRA",
IF(OR(ISNUMBER(SEARCH("CAMA PLANA",Inventario!B30)),ISNUMBER(SEARCH("FB700",Inventario!B30))),"CP",
IF(ISNUMBER(SEARCH("LX360",Inventario!B30)),"LX3",
IF(ISNUMBER(SEARCH("XEROX",Inventario!B30)),"XER",
IF(ISNUMBER(SEARCH("18 OZ",Inventario!B30)),"18OZ",
IF(ISNUMBER(SEARCH("15 OZ",Inventario!B30)),"15OZ",
IF(OR(ISNUMBER(SEARCH("13 OZ",Inventario!B30)),ISNUMBER(SEARCH("13 ONZAS",Inventario!B30))),"13OZ",
IF(OR(ISNUMBER(SEARCH("9 OZ",Inventario!B30)),ISNUMBER(SEARCH("9 ONZAS",Inventario!B30))),"09OZ","")))))))))</f>
        <v/>
      </c>
      <c r="E31" t="str">
        <f>IF(OR(ISNUMBER(SEARCH("TRANSPARENTE",Inventario!B30)),ISNUMBER(SEARCH("TRANSPARENTES",Inventario!B30))),"TR",
IF(OR(ISNUMBER(SEARCH("BLANCO",Inventario!B30)),ISNUMBER(SEARCH("BCO",Inventario!B30))),"BL",
IF(ISNUMBER(SEARCH("VERDE",Inventario!B30)),"VR",
IF(ISNUMBER(SEARCH("MORADO",Inventario!B30)),"MR",
IF(ISNUMBER(SEARCH("PLATA",Inventario!B30)),"PL",
IF(ISNUMBER(SEARCH("ORO",Inventario!B30)),"OR",
IF(ISNUMBER(SEARCH("AMARILLO",Inventario!B30)),"AM",
IF(ISNUMBER(SEARCH("NARANJA",Inventario!B30)),"NR",
IF(ISNUMBER(SEARCH("NEGRO",Inventario!B30)),"NG",
IF(ISNUMBER(SEARCH("ROJO",Inventario!B30)),"RJ",
IF(ISNUMBER(SEARCH("AZUL",Inventario!B30)),"AZ","")))))))))))</f>
        <v/>
      </c>
      <c r="F31" t="str">
        <f>IF(ISNUMBER(SEARCH("1,2 MM",Inventario!B30)),"1MM2",
IF(OR(ISNUMBER(SEARCH("2 MM",Inventario!B30)),ISNUMBER(SEARCH("2MM",Inventario!B30))),"2MM",
IF(OR(ISNUMBER(SEARCH("3 MM",Inventario!B30)),ISNUMBER(SEARCH("3MM",Inventario!B30))),"3MM",
IF(OR(ISNUMBER(SEARCH("4 MM",Inventario!B30)),ISNUMBER(SEARCH("4MM",Inventario!B30)),ISNUMBER(SEARCH("4 mm",Inventario!B30))),"4MM",
IF(OR(ISNUMBER(SEARCH("5 MM",Inventario!B30)),ISNUMBER(SEARCH("5MM",Inventario!B30))),"5MM",
IF(OR(ISNUMBER(SEARCH("6 MM",Inventario!B30)),ISNUMBER(SEARCH("6MM",Inventario!B30))),"6MM",
IF(OR(ISNUMBER(SEARCH("10 MM",Inventario!B30)),ISNUMBER(SEARCH("10MM",Inventario!B30))),"10MM","")))))))</f>
        <v/>
      </c>
      <c r="G31" t="str">
        <f>IF(ISNUMBER(SEARCH("ALTA RESISTENCIA",Inventario!B30)),"AR",IF(ISNUMBER(SEARCH("CAMPAÑA",Inventario!B30)),"CA",
IF(OR(ISNUMBER(SEARCH("CALIDO",Inventario!B30)),ISNUMBER(SEARCH("CÁLIDO",Inventario!B30))),"C",
IF(OR(ISNUMBER(SEARCH("TRASLUCIDO",Inventario!B30)),ISNUMBER(SEARCH("TRANSLUCIDO",Inventario!B30))),"TL",
IF(ISNUMBER(SEARCH("NEUTRO",Inventario!B30)),"N",
IF(ISNUMBER(SEARCH("FRIO",Inventario!B30)),"F",""))))))</f>
        <v/>
      </c>
      <c r="H31" t="str">
        <f>IF(ISNUMBER(SEARCH("SILED",Inventario!B30)),"SI",
IF(ISNUMBER(SEARCH("SYDEMEX",Inventario!B30)),"SY",
IF(ISNUMBER(SEARCH("ROHS",Inventario!B30)),"RO",
IF(ISNUMBER(SEARCH("RISHANG",Inventario!B30)),"RS",
IF(ISNUMBER(SEARCH("VYG",Inventario!B30)),"VYG",
IF(ISNUMBER(SEARCH("COLED",Inventario!B30)),"CO",""))))))</f>
        <v/>
      </c>
    </row>
    <row r="32" spans="1:8">
      <c r="A32" t="str">
        <f>IF(ISNUMBER(SEARCH("LONA",Inventario!B31)),"LON",
IF(ISNUMBER(SEARCH("VINIL",Inventario!B31)),"VIN",
IF(ISNUMBER(SEARCH("PANEL DE ALUMINIO COMPUESTO",Inventario!B31)),"PAN-ALU-COM",
IF(ISNUMBER(SEARCH("PVC",Inventario!B31)),"PVC",
IF(ISNUMBER(SEARCH("PAPEL",Inventario!B31)),"PAP",
IF(ISNUMBER(SEARCH("TELA",Inventario!B31)),"TEL",
IF(ISNUMBER(SEARCH("CARTULINA",Inventario!B31)),"CAR",
IF(OR(ISNUMBER(SEARCH("LAMINA",Inventario!B31)),ISNUMBER(SEARCH("LÁMINA",Inventario!B31))),"LAM",
IF(ISNUMBER(SEARCH("ESTIRENO",Inventario!B31)),"EST",
IF(ISNUMBER(SEARCH("FOAMBOARD",Inventario!B31)),"FOA",
IF(ISNUMBER(SEARCH("SOLVENTE",Inventario!B31)),"SOL",
IF(ISNUMBER(SEARCH("TINTA",Inventario!B31)),"TIN",
IF(ISNUMBER(SEARCH("ACRILICO",Inventario!B31)),"ACR",
IF(ISNUMBER(SEARCH("LED",Inventario!B31)),"LED",
IF(ISNUMBER(SEARCH("FUENTE",Inventario!B31)),"FUE",
IF(ISNUMBER(SEARCH("PETG",Inventario!B31)),"PET",
IF(ISNUMBER(SEARCH("ALUMINIO",Inventario!B31)),"ALU",
IF(ISNUMBER(SEARCH("CANAL",Inventario!B31)),"CAN",
IF(ISNUMBER(SEARCH("ESCUADRA",Inventario!B31)),"ESC",
IF(ISNUMBER(SEARCH("SOPORTE",Inventario!B31)),"SOP","OTR")
)))))))))))))))))))</f>
        <v>PAP</v>
      </c>
      <c r="B32" t="str">
        <f>IF(ISNUMBER(SEARCH("CORTE",Inventario!B31)),"COR",
IF(ISNUMBER(SEARCH("CRISTAL",Inventario!B31)),"CR",
IF(OR(ISNUMBER(SEARCH("OPTICO",Inventario!B31)),ISNUMBER(SEARCH("OPTICOS",Inventario!B31)),ISNUMBER(SEARCH("OPTICA",Inventario!B31))),"OP",
IF(ISNUMBER(SEARCH("NANO",Inventario!B31)),"NA",
IF(ISNUMBER(SEARCH("5050",Inventario!B31)),"5050",
IF(ISNUMBER(SEARCH("MICRO",Inventario!B31)),"MI",""))))))</f>
        <v/>
      </c>
      <c r="C32" t="str">
        <f>IF(ISNUMBER(SEARCH("PARED",Inventario!B31)),"PAR",IF(ISNUMBER(SEARCH("MATE",Inventario!B31)),"MAT",
IF(ISNUMBER(SEARCH("FRONT",Inventario!B31)),"FRO",
IF(ISNUMBER(SEARCH("BACK",Inventario!B31)),"BAC",
IF(ISNUMBER(SEARCH("MESH",Inventario!B31)),"MES",
IF(OR(ISNUMBER(SEARCH("BRILLANTE",Inventario!B31)),ISNUMBER(SEARCH("BTE",Inventario!B31))),"BRI",
IF(ISNUMBER(SEARCH("SINTETICA DELGADA",Inventario!B31)),"SD",
IF(ISNUMBER(SEARCH("SINTETICA GRUESA",Inventario!B31)),"SG",
IF(ISNUMBER(SEARCH("ESTATICO",Inventario!B31)),"EST",
IF(ISNUMBER(SEARCH("FLOOR",Inventario!B31)),"FLO",
IF(ISNUMBER(SEARCH("REFLECTIVO",Inventario!B31)),"REF",
IF(ISNUMBER(SEARCH("MICROPERFORADO",Inventario!B31)),"MI",
IF(ISNUMBER(SEARCH("CEPILLADO",Inventario!B31)),"CEP",
IF(ISNUMBER(SEARCH("ESPEJO",Inventario!B31)),"ESP",
IF(OR(ISNUMBER(SEARCH("UNIDIODO",Inventario!B31)),ISNUMBER(SEARCH("1 DIODO",Inventario!B31))),"1D",
IF(ISNUMBER(SEARCH("2 DIODOS",Inventario!B31)),"2D",
IF(ISNUMBER(SEARCH("3 DIODOS",Inventario!B31)),"3D","")))))))))))))))))</f>
        <v/>
      </c>
      <c r="D32" t="str">
        <f>IF(ISNUMBER(SEARCH("LX700",Inventario!B31)),"LX7",
IF(ISNUMBER(SEARCH("GRANDO",Inventario!B31)),"GRA",
IF(OR(ISNUMBER(SEARCH("CAMA PLANA",Inventario!B31)),ISNUMBER(SEARCH("FB700",Inventario!B31))),"CP",
IF(ISNUMBER(SEARCH("LX360",Inventario!B31)),"LX3",
IF(ISNUMBER(SEARCH("XEROX",Inventario!B31)),"XER",
IF(ISNUMBER(SEARCH("18 OZ",Inventario!B31)),"18OZ",
IF(ISNUMBER(SEARCH("15 OZ",Inventario!B31)),"15OZ",
IF(OR(ISNUMBER(SEARCH("13 OZ",Inventario!B31)),ISNUMBER(SEARCH("13 ONZAS",Inventario!B31))),"13OZ",
IF(OR(ISNUMBER(SEARCH("9 OZ",Inventario!B31)),ISNUMBER(SEARCH("9 ONZAS",Inventario!B31))),"09OZ","")))))))))</f>
        <v/>
      </c>
      <c r="E32" t="str">
        <f>IF(OR(ISNUMBER(SEARCH("TRANSPARENTE",Inventario!B31)),ISNUMBER(SEARCH("TRANSPARENTES",Inventario!B31))),"TR",
IF(OR(ISNUMBER(SEARCH("BLANCO",Inventario!B31)),ISNUMBER(SEARCH("BCO",Inventario!B31))),"BL",
IF(ISNUMBER(SEARCH("VERDE",Inventario!B31)),"VR",
IF(ISNUMBER(SEARCH("MORADO",Inventario!B31)),"MR",
IF(ISNUMBER(SEARCH("PLATA",Inventario!B31)),"PL",
IF(ISNUMBER(SEARCH("ORO",Inventario!B31)),"OR",
IF(ISNUMBER(SEARCH("AMARILLO",Inventario!B31)),"AM",
IF(ISNUMBER(SEARCH("NARANJA",Inventario!B31)),"NR",
IF(ISNUMBER(SEARCH("NEGRO",Inventario!B31)),"NG",
IF(ISNUMBER(SEARCH("ROJO",Inventario!B31)),"RJ",
IF(ISNUMBER(SEARCH("AZUL",Inventario!B31)),"AZ","")))))))))))</f>
        <v/>
      </c>
      <c r="F32" t="str">
        <f>IF(ISNUMBER(SEARCH("1,2 MM",Inventario!B31)),"1MM2",
IF(OR(ISNUMBER(SEARCH("2 MM",Inventario!B31)),ISNUMBER(SEARCH("2MM",Inventario!B31))),"2MM",
IF(OR(ISNUMBER(SEARCH("3 MM",Inventario!B31)),ISNUMBER(SEARCH("3MM",Inventario!B31))),"3MM",
IF(OR(ISNUMBER(SEARCH("4 MM",Inventario!B31)),ISNUMBER(SEARCH("4MM",Inventario!B31)),ISNUMBER(SEARCH("4 mm",Inventario!B31))),"4MM",
IF(OR(ISNUMBER(SEARCH("5 MM",Inventario!B31)),ISNUMBER(SEARCH("5MM",Inventario!B31))),"5MM",
IF(OR(ISNUMBER(SEARCH("6 MM",Inventario!B31)),ISNUMBER(SEARCH("6MM",Inventario!B31))),"6MM",
IF(OR(ISNUMBER(SEARCH("10 MM",Inventario!B31)),ISNUMBER(SEARCH("10MM",Inventario!B31))),"10MM","")))))))</f>
        <v/>
      </c>
      <c r="G32" t="str">
        <f>IF(ISNUMBER(SEARCH("ALTA RESISTENCIA",Inventario!B31)),"AR",IF(ISNUMBER(SEARCH("CAMPAÑA",Inventario!B31)),"CA",
IF(OR(ISNUMBER(SEARCH("CALIDO",Inventario!B31)),ISNUMBER(SEARCH("CÁLIDO",Inventario!B31))),"C",
IF(OR(ISNUMBER(SEARCH("TRASLUCIDO",Inventario!B31)),ISNUMBER(SEARCH("TRANSLUCIDO",Inventario!B31))),"TL",
IF(ISNUMBER(SEARCH("NEUTRO",Inventario!B31)),"N",
IF(ISNUMBER(SEARCH("FRIO",Inventario!B31)),"F",""))))))</f>
        <v/>
      </c>
      <c r="H32" t="str">
        <f>IF(ISNUMBER(SEARCH("SILED",Inventario!B31)),"SI",
IF(ISNUMBER(SEARCH("SYDEMEX",Inventario!B31)),"SY",
IF(ISNUMBER(SEARCH("ROHS",Inventario!B31)),"RO",
IF(ISNUMBER(SEARCH("RISHANG",Inventario!B31)),"RS",
IF(ISNUMBER(SEARCH("VYG",Inventario!B31)),"VYG",
IF(ISNUMBER(SEARCH("COLED",Inventario!B31)),"CO",""))))))</f>
        <v/>
      </c>
    </row>
    <row r="33" spans="1:8">
      <c r="A33" t="str">
        <f>IF(ISNUMBER(SEARCH("LONA",Inventario!B32)),"LON",
IF(ISNUMBER(SEARCH("VINIL",Inventario!B32)),"VIN",
IF(ISNUMBER(SEARCH("PANEL DE ALUMINIO COMPUESTO",Inventario!B32)),"PAN-ALU-COM",
IF(ISNUMBER(SEARCH("PVC",Inventario!B32)),"PVC",
IF(ISNUMBER(SEARCH("PAPEL",Inventario!B32)),"PAP",
IF(ISNUMBER(SEARCH("TELA",Inventario!B32)),"TEL",
IF(ISNUMBER(SEARCH("CARTULINA",Inventario!B32)),"CAR",
IF(OR(ISNUMBER(SEARCH("LAMINA",Inventario!B32)),ISNUMBER(SEARCH("LÁMINA",Inventario!B32))),"LAM",
IF(ISNUMBER(SEARCH("ESTIRENO",Inventario!B32)),"EST",
IF(ISNUMBER(SEARCH("FOAMBOARD",Inventario!B32)),"FOA",
IF(ISNUMBER(SEARCH("SOLVENTE",Inventario!B32)),"SOL",
IF(ISNUMBER(SEARCH("TINTA",Inventario!B32)),"TIN",
IF(ISNUMBER(SEARCH("ACRILICO",Inventario!B32)),"ACR",
IF(ISNUMBER(SEARCH("LED",Inventario!B32)),"LED",
IF(ISNUMBER(SEARCH("FUENTE",Inventario!B32)),"FUE",
IF(ISNUMBER(SEARCH("PETG",Inventario!B32)),"PET",
IF(ISNUMBER(SEARCH("ALUMINIO",Inventario!B32)),"ALU",
IF(ISNUMBER(SEARCH("CANAL",Inventario!B32)),"CAN",
IF(ISNUMBER(SEARCH("ESCUADRA",Inventario!B32)),"ESC",
IF(ISNUMBER(SEARCH("SOPORTE",Inventario!B32)),"SOP","OTR")
)))))))))))))))))))</f>
        <v>PAP</v>
      </c>
      <c r="B33" t="str">
        <f>IF(ISNUMBER(SEARCH("CORTE",Inventario!B32)),"COR",
IF(ISNUMBER(SEARCH("CRISTAL",Inventario!B32)),"CR",
IF(OR(ISNUMBER(SEARCH("OPTICO",Inventario!B32)),ISNUMBER(SEARCH("OPTICOS",Inventario!B32)),ISNUMBER(SEARCH("OPTICA",Inventario!B32))),"OP",
IF(ISNUMBER(SEARCH("NANO",Inventario!B32)),"NA",
IF(ISNUMBER(SEARCH("5050",Inventario!B32)),"5050",
IF(ISNUMBER(SEARCH("MICRO",Inventario!B32)),"MI",""))))))</f>
        <v/>
      </c>
      <c r="C33" t="str">
        <f>IF(ISNUMBER(SEARCH("PARED",Inventario!B32)),"PAR",IF(ISNUMBER(SEARCH("MATE",Inventario!B32)),"MAT",
IF(ISNUMBER(SEARCH("FRONT",Inventario!B32)),"FRO",
IF(ISNUMBER(SEARCH("BACK",Inventario!B32)),"BAC",
IF(ISNUMBER(SEARCH("MESH",Inventario!B32)),"MES",
IF(OR(ISNUMBER(SEARCH("BRILLANTE",Inventario!B32)),ISNUMBER(SEARCH("BTE",Inventario!B32))),"BRI",
IF(ISNUMBER(SEARCH("SINTETICA DELGADA",Inventario!B32)),"SD",
IF(ISNUMBER(SEARCH("SINTETICA GRUESA",Inventario!B32)),"SG",
IF(ISNUMBER(SEARCH("ESTATICO",Inventario!B32)),"EST",
IF(ISNUMBER(SEARCH("FLOOR",Inventario!B32)),"FLO",
IF(ISNUMBER(SEARCH("REFLECTIVO",Inventario!B32)),"REF",
IF(ISNUMBER(SEARCH("MICROPERFORADO",Inventario!B32)),"MI",
IF(ISNUMBER(SEARCH("CEPILLADO",Inventario!B32)),"CEP",
IF(ISNUMBER(SEARCH("ESPEJO",Inventario!B32)),"ESP",
IF(OR(ISNUMBER(SEARCH("UNIDIODO",Inventario!B32)),ISNUMBER(SEARCH("1 DIODO",Inventario!B32))),"1D",
IF(ISNUMBER(SEARCH("2 DIODOS",Inventario!B32)),"2D",
IF(ISNUMBER(SEARCH("3 DIODOS",Inventario!B32)),"3D","")))))))))))))))))</f>
        <v/>
      </c>
      <c r="D33" t="str">
        <f>IF(ISNUMBER(SEARCH("LX700",Inventario!B32)),"LX7",
IF(ISNUMBER(SEARCH("GRANDO",Inventario!B32)),"GRA",
IF(OR(ISNUMBER(SEARCH("CAMA PLANA",Inventario!B32)),ISNUMBER(SEARCH("FB700",Inventario!B32))),"CP",
IF(ISNUMBER(SEARCH("LX360",Inventario!B32)),"LX3",
IF(ISNUMBER(SEARCH("XEROX",Inventario!B32)),"XER",
IF(ISNUMBER(SEARCH("18 OZ",Inventario!B32)),"18OZ",
IF(ISNUMBER(SEARCH("15 OZ",Inventario!B32)),"15OZ",
IF(OR(ISNUMBER(SEARCH("13 OZ",Inventario!B32)),ISNUMBER(SEARCH("13 ONZAS",Inventario!B32))),"13OZ",
IF(OR(ISNUMBER(SEARCH("9 OZ",Inventario!B32)),ISNUMBER(SEARCH("9 ONZAS",Inventario!B32))),"09OZ","")))))))))</f>
        <v/>
      </c>
      <c r="E33" t="str">
        <f>IF(OR(ISNUMBER(SEARCH("TRANSPARENTE",Inventario!B32)),ISNUMBER(SEARCH("TRANSPARENTES",Inventario!B32))),"TR",
IF(OR(ISNUMBER(SEARCH("BLANCO",Inventario!B32)),ISNUMBER(SEARCH("BCO",Inventario!B32))),"BL",
IF(ISNUMBER(SEARCH("VERDE",Inventario!B32)),"VR",
IF(ISNUMBER(SEARCH("MORADO",Inventario!B32)),"MR",
IF(ISNUMBER(SEARCH("PLATA",Inventario!B32)),"PL",
IF(ISNUMBER(SEARCH("ORO",Inventario!B32)),"OR",
IF(ISNUMBER(SEARCH("AMARILLO",Inventario!B32)),"AM",
IF(ISNUMBER(SEARCH("NARANJA",Inventario!B32)),"NR",
IF(ISNUMBER(SEARCH("NEGRO",Inventario!B32)),"NG",
IF(ISNUMBER(SEARCH("ROJO",Inventario!B32)),"RJ",
IF(ISNUMBER(SEARCH("AZUL",Inventario!B32)),"AZ","")))))))))))</f>
        <v/>
      </c>
      <c r="F33" t="str">
        <f>IF(ISNUMBER(SEARCH("1,2 MM",Inventario!B32)),"1MM2",
IF(OR(ISNUMBER(SEARCH("2 MM",Inventario!B32)),ISNUMBER(SEARCH("2MM",Inventario!B32))),"2MM",
IF(OR(ISNUMBER(SEARCH("3 MM",Inventario!B32)),ISNUMBER(SEARCH("3MM",Inventario!B32))),"3MM",
IF(OR(ISNUMBER(SEARCH("4 MM",Inventario!B32)),ISNUMBER(SEARCH("4MM",Inventario!B32)),ISNUMBER(SEARCH("4 mm",Inventario!B32))),"4MM",
IF(OR(ISNUMBER(SEARCH("5 MM",Inventario!B32)),ISNUMBER(SEARCH("5MM",Inventario!B32))),"5MM",
IF(OR(ISNUMBER(SEARCH("6 MM",Inventario!B32)),ISNUMBER(SEARCH("6MM",Inventario!B32))),"6MM",
IF(OR(ISNUMBER(SEARCH("10 MM",Inventario!B32)),ISNUMBER(SEARCH("10MM",Inventario!B32))),"10MM","")))))))</f>
        <v/>
      </c>
      <c r="G33" t="str">
        <f>IF(ISNUMBER(SEARCH("ALTA RESISTENCIA",Inventario!B32)),"AR",IF(ISNUMBER(SEARCH("CAMPAÑA",Inventario!B32)),"CA",
IF(OR(ISNUMBER(SEARCH("CALIDO",Inventario!B32)),ISNUMBER(SEARCH("CÁLIDO",Inventario!B32))),"C",
IF(OR(ISNUMBER(SEARCH("TRASLUCIDO",Inventario!B32)),ISNUMBER(SEARCH("TRANSLUCIDO",Inventario!B32))),"TL",
IF(ISNUMBER(SEARCH("NEUTRO",Inventario!B32)),"N",
IF(ISNUMBER(SEARCH("FRIO",Inventario!B32)),"F",""))))))</f>
        <v/>
      </c>
      <c r="H33" t="str">
        <f>IF(ISNUMBER(SEARCH("SILED",Inventario!B32)),"SI",
IF(ISNUMBER(SEARCH("SYDEMEX",Inventario!B32)),"SY",
IF(ISNUMBER(SEARCH("ROHS",Inventario!B32)),"RO",
IF(ISNUMBER(SEARCH("RISHANG",Inventario!B32)),"RS",
IF(ISNUMBER(SEARCH("VYG",Inventario!B32)),"VYG",
IF(ISNUMBER(SEARCH("COLED",Inventario!B32)),"CO",""))))))</f>
        <v/>
      </c>
    </row>
    <row r="34" spans="1:8">
      <c r="A34" t="str">
        <f>IF(ISNUMBER(SEARCH("LONA",Inventario!B33)),"LON",
IF(ISNUMBER(SEARCH("VINIL",Inventario!B33)),"VIN",
IF(ISNUMBER(SEARCH("PANEL DE ALUMINIO COMPUESTO",Inventario!B33)),"PAN-ALU-COM",
IF(ISNUMBER(SEARCH("PVC",Inventario!B33)),"PVC",
IF(ISNUMBER(SEARCH("PAPEL",Inventario!B33)),"PAP",
IF(ISNUMBER(SEARCH("TELA",Inventario!B33)),"TEL",
IF(ISNUMBER(SEARCH("CARTULINA",Inventario!B33)),"CAR",
IF(OR(ISNUMBER(SEARCH("LAMINA",Inventario!B33)),ISNUMBER(SEARCH("LÁMINA",Inventario!B33))),"LAM",
IF(ISNUMBER(SEARCH("ESTIRENO",Inventario!B33)),"EST",
IF(ISNUMBER(SEARCH("FOAMBOARD",Inventario!B33)),"FOA",
IF(ISNUMBER(SEARCH("SOLVENTE",Inventario!B33)),"SOL",
IF(ISNUMBER(SEARCH("TINTA",Inventario!B33)),"TIN",
IF(ISNUMBER(SEARCH("ACRILICO",Inventario!B33)),"ACR",
IF(ISNUMBER(SEARCH("LED",Inventario!B33)),"LED",
IF(ISNUMBER(SEARCH("FUENTE",Inventario!B33)),"FUE",
IF(ISNUMBER(SEARCH("PETG",Inventario!B33)),"PET",
IF(ISNUMBER(SEARCH("ALUMINIO",Inventario!B33)),"ALU",
IF(ISNUMBER(SEARCH("CANAL",Inventario!B33)),"CAN",
IF(ISNUMBER(SEARCH("ESCUADRA",Inventario!B33)),"ESC",
IF(ISNUMBER(SEARCH("SOPORTE",Inventario!B33)),"SOP","OTR")
)))))))))))))))))))</f>
        <v>CAR</v>
      </c>
      <c r="B34" t="str">
        <f>IF(ISNUMBER(SEARCH("CORTE",Inventario!B33)),"COR",
IF(ISNUMBER(SEARCH("CRISTAL",Inventario!B33)),"CR",
IF(OR(ISNUMBER(SEARCH("OPTICO",Inventario!B33)),ISNUMBER(SEARCH("OPTICOS",Inventario!B33)),ISNUMBER(SEARCH("OPTICA",Inventario!B33))),"OP",
IF(ISNUMBER(SEARCH("NANO",Inventario!B33)),"NA",
IF(ISNUMBER(SEARCH("5050",Inventario!B33)),"5050",
IF(ISNUMBER(SEARCH("MICRO",Inventario!B33)),"MI",""))))))</f>
        <v/>
      </c>
      <c r="C34" t="str">
        <f>IF(ISNUMBER(SEARCH("PARED",Inventario!B33)),"PAR",IF(ISNUMBER(SEARCH("MATE",Inventario!B33)),"MAT",
IF(ISNUMBER(SEARCH("FRONT",Inventario!B33)),"FRO",
IF(ISNUMBER(SEARCH("BACK",Inventario!B33)),"BAC",
IF(ISNUMBER(SEARCH("MESH",Inventario!B33)),"MES",
IF(OR(ISNUMBER(SEARCH("BRILLANTE",Inventario!B33)),ISNUMBER(SEARCH("BTE",Inventario!B33))),"BRI",
IF(ISNUMBER(SEARCH("SINTETICA DELGADA",Inventario!B33)),"SD",
IF(ISNUMBER(SEARCH("SINTETICA GRUESA",Inventario!B33)),"SG",
IF(ISNUMBER(SEARCH("ESTATICO",Inventario!B33)),"EST",
IF(ISNUMBER(SEARCH("FLOOR",Inventario!B33)),"FLO",
IF(ISNUMBER(SEARCH("REFLECTIVO",Inventario!B33)),"REF",
IF(ISNUMBER(SEARCH("MICROPERFORADO",Inventario!B33)),"MI",
IF(ISNUMBER(SEARCH("CEPILLADO",Inventario!B33)),"CEP",
IF(ISNUMBER(SEARCH("ESPEJO",Inventario!B33)),"ESP",
IF(OR(ISNUMBER(SEARCH("UNIDIODO",Inventario!B33)),ISNUMBER(SEARCH("1 DIODO",Inventario!B33))),"1D",
IF(ISNUMBER(SEARCH("2 DIODOS",Inventario!B33)),"2D",
IF(ISNUMBER(SEARCH("3 DIODOS",Inventario!B33)),"3D","")))))))))))))))))</f>
        <v/>
      </c>
      <c r="D34" t="str">
        <f>IF(ISNUMBER(SEARCH("LX700",Inventario!B33)),"LX7",
IF(ISNUMBER(SEARCH("GRANDO",Inventario!B33)),"GRA",
IF(OR(ISNUMBER(SEARCH("CAMA PLANA",Inventario!B33)),ISNUMBER(SEARCH("FB700",Inventario!B33))),"CP",
IF(ISNUMBER(SEARCH("LX360",Inventario!B33)),"LX3",
IF(ISNUMBER(SEARCH("XEROX",Inventario!B33)),"XER",
IF(ISNUMBER(SEARCH("18 OZ",Inventario!B33)),"18OZ",
IF(ISNUMBER(SEARCH("15 OZ",Inventario!B33)),"15OZ",
IF(OR(ISNUMBER(SEARCH("13 OZ",Inventario!B33)),ISNUMBER(SEARCH("13 ONZAS",Inventario!B33))),"13OZ",
IF(OR(ISNUMBER(SEARCH("9 OZ",Inventario!B33)),ISNUMBER(SEARCH("9 ONZAS",Inventario!B33))),"09OZ","")))))))))</f>
        <v/>
      </c>
      <c r="E34" t="str">
        <f>IF(OR(ISNUMBER(SEARCH("TRANSPARENTE",Inventario!B33)),ISNUMBER(SEARCH("TRANSPARENTES",Inventario!B33))),"TR",
IF(OR(ISNUMBER(SEARCH("BLANCO",Inventario!B33)),ISNUMBER(SEARCH("BCO",Inventario!B33))),"BL",
IF(ISNUMBER(SEARCH("VERDE",Inventario!B33)),"VR",
IF(ISNUMBER(SEARCH("MORADO",Inventario!B33)),"MR",
IF(ISNUMBER(SEARCH("PLATA",Inventario!B33)),"PL",
IF(ISNUMBER(SEARCH("ORO",Inventario!B33)),"OR",
IF(ISNUMBER(SEARCH("AMARILLO",Inventario!B33)),"AM",
IF(ISNUMBER(SEARCH("NARANJA",Inventario!B33)),"NR",
IF(ISNUMBER(SEARCH("NEGRO",Inventario!B33)),"NG",
IF(ISNUMBER(SEARCH("ROJO",Inventario!B33)),"RJ",
IF(ISNUMBER(SEARCH("AZUL",Inventario!B33)),"AZ","")))))))))))</f>
        <v/>
      </c>
      <c r="F34" t="str">
        <f>IF(ISNUMBER(SEARCH("1,2 MM",Inventario!B33)),"1MM2",
IF(OR(ISNUMBER(SEARCH("2 MM",Inventario!B33)),ISNUMBER(SEARCH("2MM",Inventario!B33))),"2MM",
IF(OR(ISNUMBER(SEARCH("3 MM",Inventario!B33)),ISNUMBER(SEARCH("3MM",Inventario!B33))),"3MM",
IF(OR(ISNUMBER(SEARCH("4 MM",Inventario!B33)),ISNUMBER(SEARCH("4MM",Inventario!B33)),ISNUMBER(SEARCH("4 mm",Inventario!B33))),"4MM",
IF(OR(ISNUMBER(SEARCH("5 MM",Inventario!B33)),ISNUMBER(SEARCH("5MM",Inventario!B33))),"5MM",
IF(OR(ISNUMBER(SEARCH("6 MM",Inventario!B33)),ISNUMBER(SEARCH("6MM",Inventario!B33))),"6MM",
IF(OR(ISNUMBER(SEARCH("10 MM",Inventario!B33)),ISNUMBER(SEARCH("10MM",Inventario!B33))),"10MM","")))))))</f>
        <v/>
      </c>
      <c r="G34" t="str">
        <f>IF(ISNUMBER(SEARCH("ALTA RESISTENCIA",Inventario!B33)),"AR",IF(ISNUMBER(SEARCH("CAMPAÑA",Inventario!B33)),"CA",
IF(OR(ISNUMBER(SEARCH("CALIDO",Inventario!B33)),ISNUMBER(SEARCH("CÁLIDO",Inventario!B33))),"C",
IF(OR(ISNUMBER(SEARCH("TRASLUCIDO",Inventario!B33)),ISNUMBER(SEARCH("TRANSLUCIDO",Inventario!B33))),"TL",
IF(ISNUMBER(SEARCH("NEUTRO",Inventario!B33)),"N",
IF(ISNUMBER(SEARCH("FRIO",Inventario!B33)),"F",""))))))</f>
        <v/>
      </c>
      <c r="H34" t="str">
        <f>IF(ISNUMBER(SEARCH("SILED",Inventario!B33)),"SI",
IF(ISNUMBER(SEARCH("SYDEMEX",Inventario!B33)),"SY",
IF(ISNUMBER(SEARCH("ROHS",Inventario!B33)),"RO",
IF(ISNUMBER(SEARCH("RISHANG",Inventario!B33)),"RS",
IF(ISNUMBER(SEARCH("VYG",Inventario!B33)),"VYG",
IF(ISNUMBER(SEARCH("COLED",Inventario!B33)),"CO",""))))))</f>
        <v/>
      </c>
    </row>
    <row r="35" spans="1:8">
      <c r="A35" t="str">
        <f>IF(ISNUMBER(SEARCH("LONA",Inventario!B34)),"LON",
IF(ISNUMBER(SEARCH("VINIL",Inventario!B34)),"VIN",
IF(ISNUMBER(SEARCH("PANEL DE ALUMINIO COMPUESTO",Inventario!B34)),"PAN-ALU-COM",
IF(ISNUMBER(SEARCH("PVC",Inventario!B34)),"PVC",
IF(ISNUMBER(SEARCH("PAPEL",Inventario!B34)),"PAP",
IF(ISNUMBER(SEARCH("TELA",Inventario!B34)),"TEL",
IF(ISNUMBER(SEARCH("CARTULINA",Inventario!B34)),"CAR",
IF(OR(ISNUMBER(SEARCH("LAMINA",Inventario!B34)),ISNUMBER(SEARCH("LÁMINA",Inventario!B34))),"LAM",
IF(ISNUMBER(SEARCH("ESTIRENO",Inventario!B34)),"EST",
IF(ISNUMBER(SEARCH("FOAMBOARD",Inventario!B34)),"FOA",
IF(ISNUMBER(SEARCH("SOLVENTE",Inventario!B34)),"SOL",
IF(ISNUMBER(SEARCH("TINTA",Inventario!B34)),"TIN",
IF(ISNUMBER(SEARCH("ACRILICO",Inventario!B34)),"ACR",
IF(ISNUMBER(SEARCH("LED",Inventario!B34)),"LED",
IF(ISNUMBER(SEARCH("FUENTE",Inventario!B34)),"FUE",
IF(ISNUMBER(SEARCH("PETG",Inventario!B34)),"PET",
IF(ISNUMBER(SEARCH("ALUMINIO",Inventario!B34)),"ALU",
IF(ISNUMBER(SEARCH("CANAL",Inventario!B34)),"CAN",
IF(ISNUMBER(SEARCH("ESCUADRA",Inventario!B34)),"ESC",
IF(ISNUMBER(SEARCH("SOPORTE",Inventario!B34)),"SOP","OTR")
)))))))))))))))))))</f>
        <v>TEL</v>
      </c>
      <c r="B35" t="str">
        <f>IF(ISNUMBER(SEARCH("CORTE",Inventario!B34)),"COR",
IF(ISNUMBER(SEARCH("CRISTAL",Inventario!B34)),"CR",
IF(OR(ISNUMBER(SEARCH("OPTICO",Inventario!B34)),ISNUMBER(SEARCH("OPTICOS",Inventario!B34)),ISNUMBER(SEARCH("OPTICA",Inventario!B34))),"OP",
IF(ISNUMBER(SEARCH("NANO",Inventario!B34)),"NA",
IF(ISNUMBER(SEARCH("5050",Inventario!B34)),"5050",
IF(ISNUMBER(SEARCH("MICRO",Inventario!B34)),"MI",""))))))</f>
        <v/>
      </c>
      <c r="C35" t="str">
        <f>IF(ISNUMBER(SEARCH("PARED",Inventario!B34)),"PAR",IF(ISNUMBER(SEARCH("MATE",Inventario!B34)),"MAT",
IF(ISNUMBER(SEARCH("FRONT",Inventario!B34)),"FRO",
IF(ISNUMBER(SEARCH("BACK",Inventario!B34)),"BAC",
IF(ISNUMBER(SEARCH("MESH",Inventario!B34)),"MES",
IF(OR(ISNUMBER(SEARCH("BRILLANTE",Inventario!B34)),ISNUMBER(SEARCH("BTE",Inventario!B34))),"BRI",
IF(ISNUMBER(SEARCH("SINTETICA DELGADA",Inventario!B34)),"SD",
IF(ISNUMBER(SEARCH("SINTETICA GRUESA",Inventario!B34)),"SG",
IF(ISNUMBER(SEARCH("ESTATICO",Inventario!B34)),"EST",
IF(ISNUMBER(SEARCH("FLOOR",Inventario!B34)),"FLO",
IF(ISNUMBER(SEARCH("REFLECTIVO",Inventario!B34)),"REF",
IF(ISNUMBER(SEARCH("MICROPERFORADO",Inventario!B34)),"MI",
IF(ISNUMBER(SEARCH("CEPILLADO",Inventario!B34)),"CEP",
IF(ISNUMBER(SEARCH("ESPEJO",Inventario!B34)),"ESP",
IF(OR(ISNUMBER(SEARCH("UNIDIODO",Inventario!B34)),ISNUMBER(SEARCH("1 DIODO",Inventario!B34))),"1D",
IF(ISNUMBER(SEARCH("2 DIODOS",Inventario!B34)),"2D",
IF(ISNUMBER(SEARCH("3 DIODOS",Inventario!B34)),"3D","")))))))))))))))))</f>
        <v>SD</v>
      </c>
      <c r="D35" t="str">
        <f>IF(ISNUMBER(SEARCH("LX700",Inventario!B34)),"LX7",
IF(ISNUMBER(SEARCH("GRANDO",Inventario!B34)),"GRA",
IF(OR(ISNUMBER(SEARCH("CAMA PLANA",Inventario!B34)),ISNUMBER(SEARCH("FB700",Inventario!B34))),"CP",
IF(ISNUMBER(SEARCH("LX360",Inventario!B34)),"LX3",
IF(ISNUMBER(SEARCH("XEROX",Inventario!B34)),"XER",
IF(ISNUMBER(SEARCH("18 OZ",Inventario!B34)),"18OZ",
IF(ISNUMBER(SEARCH("15 OZ",Inventario!B34)),"15OZ",
IF(OR(ISNUMBER(SEARCH("13 OZ",Inventario!B34)),ISNUMBER(SEARCH("13 ONZAS",Inventario!B34))),"13OZ",
IF(OR(ISNUMBER(SEARCH("9 OZ",Inventario!B34)),ISNUMBER(SEARCH("9 ONZAS",Inventario!B34))),"09OZ","")))))))))</f>
        <v/>
      </c>
      <c r="E35" t="str">
        <f>IF(OR(ISNUMBER(SEARCH("TRANSPARENTE",Inventario!B34)),ISNUMBER(SEARCH("TRANSPARENTES",Inventario!B34))),"TR",
IF(OR(ISNUMBER(SEARCH("BLANCO",Inventario!B34)),ISNUMBER(SEARCH("BCO",Inventario!B34))),"BL",
IF(ISNUMBER(SEARCH("VERDE",Inventario!B34)),"VR",
IF(ISNUMBER(SEARCH("MORADO",Inventario!B34)),"MR",
IF(ISNUMBER(SEARCH("PLATA",Inventario!B34)),"PL",
IF(ISNUMBER(SEARCH("ORO",Inventario!B34)),"OR",
IF(ISNUMBER(SEARCH("AMARILLO",Inventario!B34)),"AM",
IF(ISNUMBER(SEARCH("NARANJA",Inventario!B34)),"NR",
IF(ISNUMBER(SEARCH("NEGRO",Inventario!B34)),"NG",
IF(ISNUMBER(SEARCH("ROJO",Inventario!B34)),"RJ",
IF(ISNUMBER(SEARCH("AZUL",Inventario!B34)),"AZ","")))))))))))</f>
        <v/>
      </c>
      <c r="F35" t="str">
        <f>IF(ISNUMBER(SEARCH("1,2 MM",Inventario!B34)),"1MM2",
IF(OR(ISNUMBER(SEARCH("2 MM",Inventario!B34)),ISNUMBER(SEARCH("2MM",Inventario!B34))),"2MM",
IF(OR(ISNUMBER(SEARCH("3 MM",Inventario!B34)),ISNUMBER(SEARCH("3MM",Inventario!B34))),"3MM",
IF(OR(ISNUMBER(SEARCH("4 MM",Inventario!B34)),ISNUMBER(SEARCH("4MM",Inventario!B34)),ISNUMBER(SEARCH("4 mm",Inventario!B34))),"4MM",
IF(OR(ISNUMBER(SEARCH("5 MM",Inventario!B34)),ISNUMBER(SEARCH("5MM",Inventario!B34))),"5MM",
IF(OR(ISNUMBER(SEARCH("6 MM",Inventario!B34)),ISNUMBER(SEARCH("6MM",Inventario!B34))),"6MM",
IF(OR(ISNUMBER(SEARCH("10 MM",Inventario!B34)),ISNUMBER(SEARCH("10MM",Inventario!B34))),"10MM","")))))))</f>
        <v/>
      </c>
      <c r="G35" t="str">
        <f>IF(ISNUMBER(SEARCH("ALTA RESISTENCIA",Inventario!B34)),"AR",IF(ISNUMBER(SEARCH("CAMPAÑA",Inventario!B34)),"CA",
IF(OR(ISNUMBER(SEARCH("CALIDO",Inventario!B34)),ISNUMBER(SEARCH("CÁLIDO",Inventario!B34))),"C",
IF(OR(ISNUMBER(SEARCH("TRASLUCIDO",Inventario!B34)),ISNUMBER(SEARCH("TRANSLUCIDO",Inventario!B34))),"TL",
IF(ISNUMBER(SEARCH("NEUTRO",Inventario!B34)),"N",
IF(ISNUMBER(SEARCH("FRIO",Inventario!B34)),"F",""))))))</f>
        <v/>
      </c>
      <c r="H35" t="str">
        <f>IF(ISNUMBER(SEARCH("SILED",Inventario!B34)),"SI",
IF(ISNUMBER(SEARCH("SYDEMEX",Inventario!B34)),"SY",
IF(ISNUMBER(SEARCH("ROHS",Inventario!B34)),"RO",
IF(ISNUMBER(SEARCH("RISHANG",Inventario!B34)),"RS",
IF(ISNUMBER(SEARCH("VYG",Inventario!B34)),"VYG",
IF(ISNUMBER(SEARCH("COLED",Inventario!B34)),"CO",""))))))</f>
        <v/>
      </c>
    </row>
    <row r="36" spans="1:8">
      <c r="A36" t="str">
        <f>IF(ISNUMBER(SEARCH("LONA",Inventario!B35)),"LON",
IF(ISNUMBER(SEARCH("VINIL",Inventario!B35)),"VIN",
IF(ISNUMBER(SEARCH("PANEL DE ALUMINIO COMPUESTO",Inventario!B35)),"PAN-ALU-COM",
IF(ISNUMBER(SEARCH("PVC",Inventario!B35)),"PVC",
IF(ISNUMBER(SEARCH("PAPEL",Inventario!B35)),"PAP",
IF(ISNUMBER(SEARCH("TELA",Inventario!B35)),"TEL",
IF(ISNUMBER(SEARCH("CARTULINA",Inventario!B35)),"CAR",
IF(OR(ISNUMBER(SEARCH("LAMINA",Inventario!B35)),ISNUMBER(SEARCH("LÁMINA",Inventario!B35))),"LAM",
IF(ISNUMBER(SEARCH("ESTIRENO",Inventario!B35)),"EST",
IF(ISNUMBER(SEARCH("FOAMBOARD",Inventario!B35)),"FOA",
IF(ISNUMBER(SEARCH("SOLVENTE",Inventario!B35)),"SOL",
IF(ISNUMBER(SEARCH("TINTA",Inventario!B35)),"TIN",
IF(ISNUMBER(SEARCH("ACRILICO",Inventario!B35)),"ACR",
IF(ISNUMBER(SEARCH("LED",Inventario!B35)),"LED",
IF(ISNUMBER(SEARCH("FUENTE",Inventario!B35)),"FUE",
IF(ISNUMBER(SEARCH("PETG",Inventario!B35)),"PET",
IF(ISNUMBER(SEARCH("ALUMINIO",Inventario!B35)),"ALU",
IF(ISNUMBER(SEARCH("CANAL",Inventario!B35)),"CAN",
IF(ISNUMBER(SEARCH("ESCUADRA",Inventario!B35)),"ESC",
IF(ISNUMBER(SEARCH("SOPORTE",Inventario!B35)),"SOP","OTR")
)))))))))))))))))))</f>
        <v>TEL</v>
      </c>
      <c r="B36" t="str">
        <f>IF(ISNUMBER(SEARCH("CORTE",Inventario!B35)),"COR",
IF(ISNUMBER(SEARCH("CRISTAL",Inventario!B35)),"CR",
IF(OR(ISNUMBER(SEARCH("OPTICO",Inventario!B35)),ISNUMBER(SEARCH("OPTICOS",Inventario!B35)),ISNUMBER(SEARCH("OPTICA",Inventario!B35))),"OP",
IF(ISNUMBER(SEARCH("NANO",Inventario!B35)),"NA",
IF(ISNUMBER(SEARCH("5050",Inventario!B35)),"5050",
IF(ISNUMBER(SEARCH("MICRO",Inventario!B35)),"MI",""))))))</f>
        <v/>
      </c>
      <c r="C36" t="str">
        <f>IF(ISNUMBER(SEARCH("PARED",Inventario!B35)),"PAR",IF(ISNUMBER(SEARCH("MATE",Inventario!B35)),"MAT",
IF(ISNUMBER(SEARCH("FRONT",Inventario!B35)),"FRO",
IF(ISNUMBER(SEARCH("BACK",Inventario!B35)),"BAC",
IF(ISNUMBER(SEARCH("MESH",Inventario!B35)),"MES",
IF(OR(ISNUMBER(SEARCH("BRILLANTE",Inventario!B35)),ISNUMBER(SEARCH("BTE",Inventario!B35))),"BRI",
IF(ISNUMBER(SEARCH("SINTETICA DELGADA",Inventario!B35)),"SD",
IF(ISNUMBER(SEARCH("SINTETICA GRUESA",Inventario!B35)),"SG",
IF(ISNUMBER(SEARCH("ESTATICO",Inventario!B35)),"EST",
IF(ISNUMBER(SEARCH("FLOOR",Inventario!B35)),"FLO",
IF(ISNUMBER(SEARCH("REFLECTIVO",Inventario!B35)),"REF",
IF(ISNUMBER(SEARCH("MICROPERFORADO",Inventario!B35)),"MI",
IF(ISNUMBER(SEARCH("CEPILLADO",Inventario!B35)),"CEP",
IF(ISNUMBER(SEARCH("ESPEJO",Inventario!B35)),"ESP",
IF(OR(ISNUMBER(SEARCH("UNIDIODO",Inventario!B35)),ISNUMBER(SEARCH("1 DIODO",Inventario!B35))),"1D",
IF(ISNUMBER(SEARCH("2 DIODOS",Inventario!B35)),"2D",
IF(ISNUMBER(SEARCH("3 DIODOS",Inventario!B35)),"3D","")))))))))))))))))</f>
        <v>SD</v>
      </c>
      <c r="D36" t="str">
        <f>IF(ISNUMBER(SEARCH("LX700",Inventario!B35)),"LX7",
IF(ISNUMBER(SEARCH("GRANDO",Inventario!B35)),"GRA",
IF(OR(ISNUMBER(SEARCH("CAMA PLANA",Inventario!B35)),ISNUMBER(SEARCH("FB700",Inventario!B35))),"CP",
IF(ISNUMBER(SEARCH("LX360",Inventario!B35)),"LX3",
IF(ISNUMBER(SEARCH("XEROX",Inventario!B35)),"XER",
IF(ISNUMBER(SEARCH("18 OZ",Inventario!B35)),"18OZ",
IF(ISNUMBER(SEARCH("15 OZ",Inventario!B35)),"15OZ",
IF(OR(ISNUMBER(SEARCH("13 OZ",Inventario!B35)),ISNUMBER(SEARCH("13 ONZAS",Inventario!B35))),"13OZ",
IF(OR(ISNUMBER(SEARCH("9 OZ",Inventario!B35)),ISNUMBER(SEARCH("9 ONZAS",Inventario!B35))),"09OZ","")))))))))</f>
        <v/>
      </c>
      <c r="E36" t="str">
        <f>IF(OR(ISNUMBER(SEARCH("TRANSPARENTE",Inventario!B35)),ISNUMBER(SEARCH("TRANSPARENTES",Inventario!B35))),"TR",
IF(OR(ISNUMBER(SEARCH("BLANCO",Inventario!B35)),ISNUMBER(SEARCH("BCO",Inventario!B35))),"BL",
IF(ISNUMBER(SEARCH("VERDE",Inventario!B35)),"VR",
IF(ISNUMBER(SEARCH("MORADO",Inventario!B35)),"MR",
IF(ISNUMBER(SEARCH("PLATA",Inventario!B35)),"PL",
IF(ISNUMBER(SEARCH("ORO",Inventario!B35)),"OR",
IF(ISNUMBER(SEARCH("AMARILLO",Inventario!B35)),"AM",
IF(ISNUMBER(SEARCH("NARANJA",Inventario!B35)),"NR",
IF(ISNUMBER(SEARCH("NEGRO",Inventario!B35)),"NG",
IF(ISNUMBER(SEARCH("ROJO",Inventario!B35)),"RJ",
IF(ISNUMBER(SEARCH("AZUL",Inventario!B35)),"AZ","")))))))))))</f>
        <v/>
      </c>
      <c r="F36" t="str">
        <f>IF(ISNUMBER(SEARCH("1,2 MM",Inventario!B35)),"1MM2",
IF(OR(ISNUMBER(SEARCH("2 MM",Inventario!B35)),ISNUMBER(SEARCH("2MM",Inventario!B35))),"2MM",
IF(OR(ISNUMBER(SEARCH("3 MM",Inventario!B35)),ISNUMBER(SEARCH("3MM",Inventario!B35))),"3MM",
IF(OR(ISNUMBER(SEARCH("4 MM",Inventario!B35)),ISNUMBER(SEARCH("4MM",Inventario!B35)),ISNUMBER(SEARCH("4 mm",Inventario!B35))),"4MM",
IF(OR(ISNUMBER(SEARCH("5 MM",Inventario!B35)),ISNUMBER(SEARCH("5MM",Inventario!B35))),"5MM",
IF(OR(ISNUMBER(SEARCH("6 MM",Inventario!B35)),ISNUMBER(SEARCH("6MM",Inventario!B35))),"6MM",
IF(OR(ISNUMBER(SEARCH("10 MM",Inventario!B35)),ISNUMBER(SEARCH("10MM",Inventario!B35))),"10MM","")))))))</f>
        <v/>
      </c>
      <c r="G36" t="str">
        <f>IF(ISNUMBER(SEARCH("ALTA RESISTENCIA",Inventario!B35)),"AR",IF(ISNUMBER(SEARCH("CAMPAÑA",Inventario!B35)),"CA",
IF(OR(ISNUMBER(SEARCH("CALIDO",Inventario!B35)),ISNUMBER(SEARCH("CÁLIDO",Inventario!B35))),"C",
IF(OR(ISNUMBER(SEARCH("TRASLUCIDO",Inventario!B35)),ISNUMBER(SEARCH("TRANSLUCIDO",Inventario!B35))),"TL",
IF(ISNUMBER(SEARCH("NEUTRO",Inventario!B35)),"N",
IF(ISNUMBER(SEARCH("FRIO",Inventario!B35)),"F",""))))))</f>
        <v/>
      </c>
      <c r="H36" t="str">
        <f>IF(ISNUMBER(SEARCH("SILED",Inventario!B35)),"SI",
IF(ISNUMBER(SEARCH("SYDEMEX",Inventario!B35)),"SY",
IF(ISNUMBER(SEARCH("ROHS",Inventario!B35)),"RO",
IF(ISNUMBER(SEARCH("RISHANG",Inventario!B35)),"RS",
IF(ISNUMBER(SEARCH("VYG",Inventario!B35)),"VYG",
IF(ISNUMBER(SEARCH("COLED",Inventario!B35)),"CO",""))))))</f>
        <v/>
      </c>
    </row>
    <row r="37" spans="1:8">
      <c r="A37" t="str">
        <f>IF(ISNUMBER(SEARCH("LONA",Inventario!B36)),"LON",
IF(ISNUMBER(SEARCH("VINIL",Inventario!B36)),"VIN",
IF(ISNUMBER(SEARCH("PANEL DE ALUMINIO COMPUESTO",Inventario!B36)),"PAN-ALU-COM",
IF(ISNUMBER(SEARCH("PVC",Inventario!B36)),"PVC",
IF(ISNUMBER(SEARCH("PAPEL",Inventario!B36)),"PAP",
IF(ISNUMBER(SEARCH("TELA",Inventario!B36)),"TEL",
IF(ISNUMBER(SEARCH("CARTULINA",Inventario!B36)),"CAR",
IF(OR(ISNUMBER(SEARCH("LAMINA",Inventario!B36)),ISNUMBER(SEARCH("LÁMINA",Inventario!B36))),"LAM",
IF(ISNUMBER(SEARCH("ESTIRENO",Inventario!B36)),"EST",
IF(ISNUMBER(SEARCH("FOAMBOARD",Inventario!B36)),"FOA",
IF(ISNUMBER(SEARCH("SOLVENTE",Inventario!B36)),"SOL",
IF(ISNUMBER(SEARCH("TINTA",Inventario!B36)),"TIN",
IF(ISNUMBER(SEARCH("ACRILICO",Inventario!B36)),"ACR",
IF(ISNUMBER(SEARCH("LED",Inventario!B36)),"LED",
IF(ISNUMBER(SEARCH("FUENTE",Inventario!B36)),"FUE",
IF(ISNUMBER(SEARCH("PETG",Inventario!B36)),"PET",
IF(ISNUMBER(SEARCH("ALUMINIO",Inventario!B36)),"ALU",
IF(ISNUMBER(SEARCH("CANAL",Inventario!B36)),"CAN",
IF(ISNUMBER(SEARCH("ESCUADRA",Inventario!B36)),"ESC",
IF(ISNUMBER(SEARCH("SOPORTE",Inventario!B36)),"SOP","OTR")
)))))))))))))))))))</f>
        <v>TEL</v>
      </c>
      <c r="B37" t="str">
        <f>IF(ISNUMBER(SEARCH("CORTE",Inventario!B36)),"COR",
IF(ISNUMBER(SEARCH("CRISTAL",Inventario!B36)),"CR",
IF(OR(ISNUMBER(SEARCH("OPTICO",Inventario!B36)),ISNUMBER(SEARCH("OPTICOS",Inventario!B36)),ISNUMBER(SEARCH("OPTICA",Inventario!B36))),"OP",
IF(ISNUMBER(SEARCH("NANO",Inventario!B36)),"NA",
IF(ISNUMBER(SEARCH("5050",Inventario!B36)),"5050",
IF(ISNUMBER(SEARCH("MICRO",Inventario!B36)),"MI",""))))))</f>
        <v/>
      </c>
      <c r="C37" t="str">
        <f>IF(ISNUMBER(SEARCH("PARED",Inventario!B36)),"PAR",IF(ISNUMBER(SEARCH("MATE",Inventario!B36)),"MAT",
IF(ISNUMBER(SEARCH("FRONT",Inventario!B36)),"FRO",
IF(ISNUMBER(SEARCH("BACK",Inventario!B36)),"BAC",
IF(ISNUMBER(SEARCH("MESH",Inventario!B36)),"MES",
IF(OR(ISNUMBER(SEARCH("BRILLANTE",Inventario!B36)),ISNUMBER(SEARCH("BTE",Inventario!B36))),"BRI",
IF(ISNUMBER(SEARCH("SINTETICA DELGADA",Inventario!B36)),"SD",
IF(ISNUMBER(SEARCH("SINTETICA GRUESA",Inventario!B36)),"SG",
IF(ISNUMBER(SEARCH("ESTATICO",Inventario!B36)),"EST",
IF(ISNUMBER(SEARCH("FLOOR",Inventario!B36)),"FLO",
IF(ISNUMBER(SEARCH("REFLECTIVO",Inventario!B36)),"REF",
IF(ISNUMBER(SEARCH("MICROPERFORADO",Inventario!B36)),"MI",
IF(ISNUMBER(SEARCH("CEPILLADO",Inventario!B36)),"CEP",
IF(ISNUMBER(SEARCH("ESPEJO",Inventario!B36)),"ESP",
IF(OR(ISNUMBER(SEARCH("UNIDIODO",Inventario!B36)),ISNUMBER(SEARCH("1 DIODO",Inventario!B36))),"1D",
IF(ISNUMBER(SEARCH("2 DIODOS",Inventario!B36)),"2D",
IF(ISNUMBER(SEARCH("3 DIODOS",Inventario!B36)),"3D","")))))))))))))))))</f>
        <v>SD</v>
      </c>
      <c r="D37" t="str">
        <f>IF(ISNUMBER(SEARCH("LX700",Inventario!B36)),"LX7",
IF(ISNUMBER(SEARCH("GRANDO",Inventario!B36)),"GRA",
IF(OR(ISNUMBER(SEARCH("CAMA PLANA",Inventario!B36)),ISNUMBER(SEARCH("FB700",Inventario!B36))),"CP",
IF(ISNUMBER(SEARCH("LX360",Inventario!B36)),"LX3",
IF(ISNUMBER(SEARCH("XEROX",Inventario!B36)),"XER",
IF(ISNUMBER(SEARCH("18 OZ",Inventario!B36)),"18OZ",
IF(ISNUMBER(SEARCH("15 OZ",Inventario!B36)),"15OZ",
IF(OR(ISNUMBER(SEARCH("13 OZ",Inventario!B36)),ISNUMBER(SEARCH("13 ONZAS",Inventario!B36))),"13OZ",
IF(OR(ISNUMBER(SEARCH("9 OZ",Inventario!B36)),ISNUMBER(SEARCH("9 ONZAS",Inventario!B36))),"09OZ","")))))))))</f>
        <v/>
      </c>
      <c r="E37" t="str">
        <f>IF(OR(ISNUMBER(SEARCH("TRANSPARENTE",Inventario!B36)),ISNUMBER(SEARCH("TRANSPARENTES",Inventario!B36))),"TR",
IF(OR(ISNUMBER(SEARCH("BLANCO",Inventario!B36)),ISNUMBER(SEARCH("BCO",Inventario!B36))),"BL",
IF(ISNUMBER(SEARCH("VERDE",Inventario!B36)),"VR",
IF(ISNUMBER(SEARCH("MORADO",Inventario!B36)),"MR",
IF(ISNUMBER(SEARCH("PLATA",Inventario!B36)),"PL",
IF(ISNUMBER(SEARCH("ORO",Inventario!B36)),"OR",
IF(ISNUMBER(SEARCH("AMARILLO",Inventario!B36)),"AM",
IF(ISNUMBER(SEARCH("NARANJA",Inventario!B36)),"NR",
IF(ISNUMBER(SEARCH("NEGRO",Inventario!B36)),"NG",
IF(ISNUMBER(SEARCH("ROJO",Inventario!B36)),"RJ",
IF(ISNUMBER(SEARCH("AZUL",Inventario!B36)),"AZ","")))))))))))</f>
        <v/>
      </c>
      <c r="F37" t="str">
        <f>IF(ISNUMBER(SEARCH("1,2 MM",Inventario!B36)),"1MM2",
IF(OR(ISNUMBER(SEARCH("2 MM",Inventario!B36)),ISNUMBER(SEARCH("2MM",Inventario!B36))),"2MM",
IF(OR(ISNUMBER(SEARCH("3 MM",Inventario!B36)),ISNUMBER(SEARCH("3MM",Inventario!B36))),"3MM",
IF(OR(ISNUMBER(SEARCH("4 MM",Inventario!B36)),ISNUMBER(SEARCH("4MM",Inventario!B36)),ISNUMBER(SEARCH("4 mm",Inventario!B36))),"4MM",
IF(OR(ISNUMBER(SEARCH("5 MM",Inventario!B36)),ISNUMBER(SEARCH("5MM",Inventario!B36))),"5MM",
IF(OR(ISNUMBER(SEARCH("6 MM",Inventario!B36)),ISNUMBER(SEARCH("6MM",Inventario!B36))),"6MM",
IF(OR(ISNUMBER(SEARCH("10 MM",Inventario!B36)),ISNUMBER(SEARCH("10MM",Inventario!B36))),"10MM","")))))))</f>
        <v/>
      </c>
      <c r="G37" t="str">
        <f>IF(ISNUMBER(SEARCH("ALTA RESISTENCIA",Inventario!B36)),"AR",IF(ISNUMBER(SEARCH("CAMPAÑA",Inventario!B36)),"CA",
IF(OR(ISNUMBER(SEARCH("CALIDO",Inventario!B36)),ISNUMBER(SEARCH("CÁLIDO",Inventario!B36))),"C",
IF(OR(ISNUMBER(SEARCH("TRASLUCIDO",Inventario!B36)),ISNUMBER(SEARCH("TRANSLUCIDO",Inventario!B36))),"TL",
IF(ISNUMBER(SEARCH("NEUTRO",Inventario!B36)),"N",
IF(ISNUMBER(SEARCH("FRIO",Inventario!B36)),"F",""))))))</f>
        <v/>
      </c>
      <c r="H37" t="str">
        <f>IF(ISNUMBER(SEARCH("SILED",Inventario!B36)),"SI",
IF(ISNUMBER(SEARCH("SYDEMEX",Inventario!B36)),"SY",
IF(ISNUMBER(SEARCH("ROHS",Inventario!B36)),"RO",
IF(ISNUMBER(SEARCH("RISHANG",Inventario!B36)),"RS",
IF(ISNUMBER(SEARCH("VYG",Inventario!B36)),"VYG",
IF(ISNUMBER(SEARCH("COLED",Inventario!B36)),"CO",""))))))</f>
        <v/>
      </c>
    </row>
    <row r="38" spans="1:8">
      <c r="A38" t="str">
        <f>IF(ISNUMBER(SEARCH("LONA",Inventario!B37)),"LON",
IF(ISNUMBER(SEARCH("VINIL",Inventario!B37)),"VIN",
IF(ISNUMBER(SEARCH("PANEL DE ALUMINIO COMPUESTO",Inventario!B37)),"PAN-ALU-COM",
IF(ISNUMBER(SEARCH("PVC",Inventario!B37)),"PVC",
IF(ISNUMBER(SEARCH("PAPEL",Inventario!B37)),"PAP",
IF(ISNUMBER(SEARCH("TELA",Inventario!B37)),"TEL",
IF(ISNUMBER(SEARCH("CARTULINA",Inventario!B37)),"CAR",
IF(OR(ISNUMBER(SEARCH("LAMINA",Inventario!B37)),ISNUMBER(SEARCH("LÁMINA",Inventario!B37))),"LAM",
IF(ISNUMBER(SEARCH("ESTIRENO",Inventario!B37)),"EST",
IF(ISNUMBER(SEARCH("FOAMBOARD",Inventario!B37)),"FOA",
IF(ISNUMBER(SEARCH("SOLVENTE",Inventario!B37)),"SOL",
IF(ISNUMBER(SEARCH("TINTA",Inventario!B37)),"TIN",
IF(ISNUMBER(SEARCH("ACRILICO",Inventario!B37)),"ACR",
IF(ISNUMBER(SEARCH("LED",Inventario!B37)),"LED",
IF(ISNUMBER(SEARCH("FUENTE",Inventario!B37)),"FUE",
IF(ISNUMBER(SEARCH("PETG",Inventario!B37)),"PET",
IF(ISNUMBER(SEARCH("ALUMINIO",Inventario!B37)),"ALU",
IF(ISNUMBER(SEARCH("CANAL",Inventario!B37)),"CAN",
IF(ISNUMBER(SEARCH("ESCUADRA",Inventario!B37)),"ESC",
IF(ISNUMBER(SEARCH("SOPORTE",Inventario!B37)),"SOP","OTR")
)))))))))))))))))))</f>
        <v>TEL</v>
      </c>
      <c r="B38" t="str">
        <f>IF(ISNUMBER(SEARCH("CORTE",Inventario!B37)),"COR",
IF(ISNUMBER(SEARCH("CRISTAL",Inventario!B37)),"CR",
IF(OR(ISNUMBER(SEARCH("OPTICO",Inventario!B37)),ISNUMBER(SEARCH("OPTICOS",Inventario!B37)),ISNUMBER(SEARCH("OPTICA",Inventario!B37))),"OP",
IF(ISNUMBER(SEARCH("NANO",Inventario!B37)),"NA",
IF(ISNUMBER(SEARCH("5050",Inventario!B37)),"5050",
IF(ISNUMBER(SEARCH("MICRO",Inventario!B37)),"MI",""))))))</f>
        <v/>
      </c>
      <c r="C38" t="str">
        <f>IF(ISNUMBER(SEARCH("PARED",Inventario!B37)),"PAR",IF(ISNUMBER(SEARCH("MATE",Inventario!B37)),"MAT",
IF(ISNUMBER(SEARCH("FRONT",Inventario!B37)),"FRO",
IF(ISNUMBER(SEARCH("BACK",Inventario!B37)),"BAC",
IF(ISNUMBER(SEARCH("MESH",Inventario!B37)),"MES",
IF(OR(ISNUMBER(SEARCH("BRILLANTE",Inventario!B37)),ISNUMBER(SEARCH("BTE",Inventario!B37))),"BRI",
IF(ISNUMBER(SEARCH("SINTETICA DELGADA",Inventario!B37)),"SD",
IF(ISNUMBER(SEARCH("SINTETICA GRUESA",Inventario!B37)),"SG",
IF(ISNUMBER(SEARCH("ESTATICO",Inventario!B37)),"EST",
IF(ISNUMBER(SEARCH("FLOOR",Inventario!B37)),"FLO",
IF(ISNUMBER(SEARCH("REFLECTIVO",Inventario!B37)),"REF",
IF(ISNUMBER(SEARCH("MICROPERFORADO",Inventario!B37)),"MI",
IF(ISNUMBER(SEARCH("CEPILLADO",Inventario!B37)),"CEP",
IF(ISNUMBER(SEARCH("ESPEJO",Inventario!B37)),"ESP",
IF(OR(ISNUMBER(SEARCH("UNIDIODO",Inventario!B37)),ISNUMBER(SEARCH("1 DIODO",Inventario!B37))),"1D",
IF(ISNUMBER(SEARCH("2 DIODOS",Inventario!B37)),"2D",
IF(ISNUMBER(SEARCH("3 DIODOS",Inventario!B37)),"3D","")))))))))))))))))</f>
        <v>SG</v>
      </c>
      <c r="D38" t="str">
        <f>IF(ISNUMBER(SEARCH("LX700",Inventario!B37)),"LX7",
IF(ISNUMBER(SEARCH("GRANDO",Inventario!B37)),"GRA",
IF(OR(ISNUMBER(SEARCH("CAMA PLANA",Inventario!B37)),ISNUMBER(SEARCH("FB700",Inventario!B37))),"CP",
IF(ISNUMBER(SEARCH("LX360",Inventario!B37)),"LX3",
IF(ISNUMBER(SEARCH("XEROX",Inventario!B37)),"XER",
IF(ISNUMBER(SEARCH("18 OZ",Inventario!B37)),"18OZ",
IF(ISNUMBER(SEARCH("15 OZ",Inventario!B37)),"15OZ",
IF(OR(ISNUMBER(SEARCH("13 OZ",Inventario!B37)),ISNUMBER(SEARCH("13 ONZAS",Inventario!B37))),"13OZ",
IF(OR(ISNUMBER(SEARCH("9 OZ",Inventario!B37)),ISNUMBER(SEARCH("9 ONZAS",Inventario!B37))),"09OZ","")))))))))</f>
        <v/>
      </c>
      <c r="E38" t="str">
        <f>IF(OR(ISNUMBER(SEARCH("TRANSPARENTE",Inventario!B37)),ISNUMBER(SEARCH("TRANSPARENTES",Inventario!B37))),"TR",
IF(OR(ISNUMBER(SEARCH("BLANCO",Inventario!B37)),ISNUMBER(SEARCH("BCO",Inventario!B37))),"BL",
IF(ISNUMBER(SEARCH("VERDE",Inventario!B37)),"VR",
IF(ISNUMBER(SEARCH("MORADO",Inventario!B37)),"MR",
IF(ISNUMBER(SEARCH("PLATA",Inventario!B37)),"PL",
IF(ISNUMBER(SEARCH("ORO",Inventario!B37)),"OR",
IF(ISNUMBER(SEARCH("AMARILLO",Inventario!B37)),"AM",
IF(ISNUMBER(SEARCH("NARANJA",Inventario!B37)),"NR",
IF(ISNUMBER(SEARCH("NEGRO",Inventario!B37)),"NG",
IF(ISNUMBER(SEARCH("ROJO",Inventario!B37)),"RJ",
IF(ISNUMBER(SEARCH("AZUL",Inventario!B37)),"AZ","")))))))))))</f>
        <v/>
      </c>
      <c r="F38" t="str">
        <f>IF(ISNUMBER(SEARCH("1,2 MM",Inventario!B37)),"1MM2",
IF(OR(ISNUMBER(SEARCH("2 MM",Inventario!B37)),ISNUMBER(SEARCH("2MM",Inventario!B37))),"2MM",
IF(OR(ISNUMBER(SEARCH("3 MM",Inventario!B37)),ISNUMBER(SEARCH("3MM",Inventario!B37))),"3MM",
IF(OR(ISNUMBER(SEARCH("4 MM",Inventario!B37)),ISNUMBER(SEARCH("4MM",Inventario!B37)),ISNUMBER(SEARCH("4 mm",Inventario!B37))),"4MM",
IF(OR(ISNUMBER(SEARCH("5 MM",Inventario!B37)),ISNUMBER(SEARCH("5MM",Inventario!B37))),"5MM",
IF(OR(ISNUMBER(SEARCH("6 MM",Inventario!B37)),ISNUMBER(SEARCH("6MM",Inventario!B37))),"6MM",
IF(OR(ISNUMBER(SEARCH("10 MM",Inventario!B37)),ISNUMBER(SEARCH("10MM",Inventario!B37))),"10MM","")))))))</f>
        <v/>
      </c>
      <c r="G38" t="str">
        <f>IF(ISNUMBER(SEARCH("ALTA RESISTENCIA",Inventario!B37)),"AR",IF(ISNUMBER(SEARCH("CAMPAÑA",Inventario!B37)),"CA",
IF(OR(ISNUMBER(SEARCH("CALIDO",Inventario!B37)),ISNUMBER(SEARCH("CÁLIDO",Inventario!B37))),"C",
IF(OR(ISNUMBER(SEARCH("TRASLUCIDO",Inventario!B37)),ISNUMBER(SEARCH("TRANSLUCIDO",Inventario!B37))),"TL",
IF(ISNUMBER(SEARCH("NEUTRO",Inventario!B37)),"N",
IF(ISNUMBER(SEARCH("FRIO",Inventario!B37)),"F",""))))))</f>
        <v/>
      </c>
      <c r="H38" t="str">
        <f>IF(ISNUMBER(SEARCH("SILED",Inventario!B37)),"SI",
IF(ISNUMBER(SEARCH("SYDEMEX",Inventario!B37)),"SY",
IF(ISNUMBER(SEARCH("ROHS",Inventario!B37)),"RO",
IF(ISNUMBER(SEARCH("RISHANG",Inventario!B37)),"RS",
IF(ISNUMBER(SEARCH("VYG",Inventario!B37)),"VYG",
IF(ISNUMBER(SEARCH("COLED",Inventario!B37)),"CO",""))))))</f>
        <v/>
      </c>
    </row>
    <row r="39" spans="1:8">
      <c r="A39" t="str">
        <f>IF(ISNUMBER(SEARCH("LONA",Inventario!B38)),"LON",
IF(ISNUMBER(SEARCH("VINIL",Inventario!B38)),"VIN",
IF(ISNUMBER(SEARCH("PANEL DE ALUMINIO COMPUESTO",Inventario!B38)),"PAN-ALU-COM",
IF(ISNUMBER(SEARCH("PVC",Inventario!B38)),"PVC",
IF(ISNUMBER(SEARCH("PAPEL",Inventario!B38)),"PAP",
IF(ISNUMBER(SEARCH("TELA",Inventario!B38)),"TEL",
IF(ISNUMBER(SEARCH("CARTULINA",Inventario!B38)),"CAR",
IF(OR(ISNUMBER(SEARCH("LAMINA",Inventario!B38)),ISNUMBER(SEARCH("LÁMINA",Inventario!B38))),"LAM",
IF(ISNUMBER(SEARCH("ESTIRENO",Inventario!B38)),"EST",
IF(ISNUMBER(SEARCH("FOAMBOARD",Inventario!B38)),"FOA",
IF(ISNUMBER(SEARCH("SOLVENTE",Inventario!B38)),"SOL",
IF(ISNUMBER(SEARCH("TINTA",Inventario!B38)),"TIN",
IF(ISNUMBER(SEARCH("ACRILICO",Inventario!B38)),"ACR",
IF(ISNUMBER(SEARCH("LED",Inventario!B38)),"LED",
IF(ISNUMBER(SEARCH("FUENTE",Inventario!B38)),"FUE",
IF(ISNUMBER(SEARCH("PETG",Inventario!B38)),"PET",
IF(ISNUMBER(SEARCH("ALUMINIO",Inventario!B38)),"ALU",
IF(ISNUMBER(SEARCH("CANAL",Inventario!B38)),"CAN",
IF(ISNUMBER(SEARCH("ESCUADRA",Inventario!B38)),"ESC",
IF(ISNUMBER(SEARCH("SOPORTE",Inventario!B38)),"SOP","OTR")
)))))))))))))))))))</f>
        <v>TEL</v>
      </c>
      <c r="B39" t="str">
        <f>IF(ISNUMBER(SEARCH("CORTE",Inventario!B38)),"COR",
IF(ISNUMBER(SEARCH("CRISTAL",Inventario!B38)),"CR",
IF(OR(ISNUMBER(SEARCH("OPTICO",Inventario!B38)),ISNUMBER(SEARCH("OPTICOS",Inventario!B38)),ISNUMBER(SEARCH("OPTICA",Inventario!B38))),"OP",
IF(ISNUMBER(SEARCH("NANO",Inventario!B38)),"NA",
IF(ISNUMBER(SEARCH("5050",Inventario!B38)),"5050",
IF(ISNUMBER(SEARCH("MICRO",Inventario!B38)),"MI",""))))))</f>
        <v/>
      </c>
      <c r="C39" t="str">
        <f>IF(ISNUMBER(SEARCH("PARED",Inventario!B38)),"PAR",IF(ISNUMBER(SEARCH("MATE",Inventario!B38)),"MAT",
IF(ISNUMBER(SEARCH("FRONT",Inventario!B38)),"FRO",
IF(ISNUMBER(SEARCH("BACK",Inventario!B38)),"BAC",
IF(ISNUMBER(SEARCH("MESH",Inventario!B38)),"MES",
IF(OR(ISNUMBER(SEARCH("BRILLANTE",Inventario!B38)),ISNUMBER(SEARCH("BTE",Inventario!B38))),"BRI",
IF(ISNUMBER(SEARCH("SINTETICA DELGADA",Inventario!B38)),"SD",
IF(ISNUMBER(SEARCH("SINTETICA GRUESA",Inventario!B38)),"SG",
IF(ISNUMBER(SEARCH("ESTATICO",Inventario!B38)),"EST",
IF(ISNUMBER(SEARCH("FLOOR",Inventario!B38)),"FLO",
IF(ISNUMBER(SEARCH("REFLECTIVO",Inventario!B38)),"REF",
IF(ISNUMBER(SEARCH("MICROPERFORADO",Inventario!B38)),"MI",
IF(ISNUMBER(SEARCH("CEPILLADO",Inventario!B38)),"CEP",
IF(ISNUMBER(SEARCH("ESPEJO",Inventario!B38)),"ESP",
IF(OR(ISNUMBER(SEARCH("UNIDIODO",Inventario!B38)),ISNUMBER(SEARCH("1 DIODO",Inventario!B38))),"1D",
IF(ISNUMBER(SEARCH("2 DIODOS",Inventario!B38)),"2D",
IF(ISNUMBER(SEARCH("3 DIODOS",Inventario!B38)),"3D","")))))))))))))))))</f>
        <v/>
      </c>
      <c r="D39" t="str">
        <f>IF(ISNUMBER(SEARCH("LX700",Inventario!B38)),"LX7",
IF(ISNUMBER(SEARCH("GRANDO",Inventario!B38)),"GRA",
IF(OR(ISNUMBER(SEARCH("CAMA PLANA",Inventario!B38)),ISNUMBER(SEARCH("FB700",Inventario!B38))),"CP",
IF(ISNUMBER(SEARCH("LX360",Inventario!B38)),"LX3",
IF(ISNUMBER(SEARCH("XEROX",Inventario!B38)),"XER",
IF(ISNUMBER(SEARCH("18 OZ",Inventario!B38)),"18OZ",
IF(ISNUMBER(SEARCH("15 OZ",Inventario!B38)),"15OZ",
IF(OR(ISNUMBER(SEARCH("13 OZ",Inventario!B38)),ISNUMBER(SEARCH("13 ONZAS",Inventario!B38))),"13OZ",
IF(OR(ISNUMBER(SEARCH("9 OZ",Inventario!B38)),ISNUMBER(SEARCH("9 ONZAS",Inventario!B38))),"09OZ","")))))))))</f>
        <v/>
      </c>
      <c r="E39" t="str">
        <f>IF(OR(ISNUMBER(SEARCH("TRANSPARENTE",Inventario!B38)),ISNUMBER(SEARCH("TRANSPARENTES",Inventario!B38))),"TR",
IF(OR(ISNUMBER(SEARCH("BLANCO",Inventario!B38)),ISNUMBER(SEARCH("BCO",Inventario!B38))),"BL",
IF(ISNUMBER(SEARCH("VERDE",Inventario!B38)),"VR",
IF(ISNUMBER(SEARCH("MORADO",Inventario!B38)),"MR",
IF(ISNUMBER(SEARCH("PLATA",Inventario!B38)),"PL",
IF(ISNUMBER(SEARCH("ORO",Inventario!B38)),"OR",
IF(ISNUMBER(SEARCH("AMARILLO",Inventario!B38)),"AM",
IF(ISNUMBER(SEARCH("NARANJA",Inventario!B38)),"NR",
IF(ISNUMBER(SEARCH("NEGRO",Inventario!B38)),"NG",
IF(ISNUMBER(SEARCH("ROJO",Inventario!B38)),"RJ",
IF(ISNUMBER(SEARCH("AZUL",Inventario!B38)),"AZ","")))))))))))</f>
        <v/>
      </c>
      <c r="F39" t="str">
        <f>IF(ISNUMBER(SEARCH("1,2 MM",Inventario!B38)),"1MM2",
IF(OR(ISNUMBER(SEARCH("2 MM",Inventario!B38)),ISNUMBER(SEARCH("2MM",Inventario!B38))),"2MM",
IF(OR(ISNUMBER(SEARCH("3 MM",Inventario!B38)),ISNUMBER(SEARCH("3MM",Inventario!B38))),"3MM",
IF(OR(ISNUMBER(SEARCH("4 MM",Inventario!B38)),ISNUMBER(SEARCH("4MM",Inventario!B38)),ISNUMBER(SEARCH("4 mm",Inventario!B38))),"4MM",
IF(OR(ISNUMBER(SEARCH("5 MM",Inventario!B38)),ISNUMBER(SEARCH("5MM",Inventario!B38))),"5MM",
IF(OR(ISNUMBER(SEARCH("6 MM",Inventario!B38)),ISNUMBER(SEARCH("6MM",Inventario!B38))),"6MM",
IF(OR(ISNUMBER(SEARCH("10 MM",Inventario!B38)),ISNUMBER(SEARCH("10MM",Inventario!B38))),"10MM","")))))))</f>
        <v/>
      </c>
      <c r="G39" t="str">
        <f>IF(ISNUMBER(SEARCH("ALTA RESISTENCIA",Inventario!B38)),"AR",IF(ISNUMBER(SEARCH("CAMPAÑA",Inventario!B38)),"CA",
IF(OR(ISNUMBER(SEARCH("CALIDO",Inventario!B38)),ISNUMBER(SEARCH("CÁLIDO",Inventario!B38))),"C",
IF(OR(ISNUMBER(SEARCH("TRASLUCIDO",Inventario!B38)),ISNUMBER(SEARCH("TRANSLUCIDO",Inventario!B38))),"TL",
IF(ISNUMBER(SEARCH("NEUTRO",Inventario!B38)),"N",
IF(ISNUMBER(SEARCH("FRIO",Inventario!B38)),"F",""))))))</f>
        <v/>
      </c>
      <c r="H39" t="str">
        <f>IF(ISNUMBER(SEARCH("SILED",Inventario!B38)),"SI",
IF(ISNUMBER(SEARCH("SYDEMEX",Inventario!B38)),"SY",
IF(ISNUMBER(SEARCH("ROHS",Inventario!B38)),"RO",
IF(ISNUMBER(SEARCH("RISHANG",Inventario!B38)),"RS",
IF(ISNUMBER(SEARCH("VYG",Inventario!B38)),"VYG",
IF(ISNUMBER(SEARCH("COLED",Inventario!B38)),"CO",""))))))</f>
        <v/>
      </c>
    </row>
    <row r="40" spans="1:8">
      <c r="A40" t="str">
        <f>IF(ISNUMBER(SEARCH("LONA",Inventario!B39)),"LON",
IF(ISNUMBER(SEARCH("VINIL",Inventario!B39)),"VIN",
IF(ISNUMBER(SEARCH("PANEL DE ALUMINIO COMPUESTO",Inventario!B39)),"PAN-ALU-COM",
IF(ISNUMBER(SEARCH("PVC",Inventario!B39)),"PVC",
IF(ISNUMBER(SEARCH("PAPEL",Inventario!B39)),"PAP",
IF(ISNUMBER(SEARCH("TELA",Inventario!B39)),"TEL",
IF(ISNUMBER(SEARCH("CARTULINA",Inventario!B39)),"CAR",
IF(OR(ISNUMBER(SEARCH("LAMINA",Inventario!B39)),ISNUMBER(SEARCH("LÁMINA",Inventario!B39))),"LAM",
IF(ISNUMBER(SEARCH("ESTIRENO",Inventario!B39)),"EST",
IF(ISNUMBER(SEARCH("FOAMBOARD",Inventario!B39)),"FOA",
IF(ISNUMBER(SEARCH("SOLVENTE",Inventario!B39)),"SOL",
IF(ISNUMBER(SEARCH("TINTA",Inventario!B39)),"TIN",
IF(ISNUMBER(SEARCH("ACRILICO",Inventario!B39)),"ACR",
IF(ISNUMBER(SEARCH("LED",Inventario!B39)),"LED",
IF(ISNUMBER(SEARCH("FUENTE",Inventario!B39)),"FUE",
IF(ISNUMBER(SEARCH("PETG",Inventario!B39)),"PET",
IF(ISNUMBER(SEARCH("ALUMINIO",Inventario!B39)),"ALU",
IF(ISNUMBER(SEARCH("CANAL",Inventario!B39)),"CAN",
IF(ISNUMBER(SEARCH("ESCUADRA",Inventario!B39)),"ESC",
IF(ISNUMBER(SEARCH("SOPORTE",Inventario!B39)),"SOP","OTR")
)))))))))))))))))))</f>
        <v>VIN</v>
      </c>
      <c r="B40" t="str">
        <f>IF(ISNUMBER(SEARCH("CORTE",Inventario!B39)),"COR",
IF(ISNUMBER(SEARCH("CRISTAL",Inventario!B39)),"CR",
IF(OR(ISNUMBER(SEARCH("OPTICO",Inventario!B39)),ISNUMBER(SEARCH("OPTICOS",Inventario!B39)),ISNUMBER(SEARCH("OPTICA",Inventario!B39))),"OP",
IF(ISNUMBER(SEARCH("NANO",Inventario!B39)),"NA",
IF(ISNUMBER(SEARCH("5050",Inventario!B39)),"5050",
IF(ISNUMBER(SEARCH("MICRO",Inventario!B39)),"MI",""))))))</f>
        <v/>
      </c>
      <c r="C40" t="str">
        <f>IF(ISNUMBER(SEARCH("PARED",Inventario!B39)),"PAR",IF(ISNUMBER(SEARCH("MATE",Inventario!B39)),"MAT",
IF(ISNUMBER(SEARCH("FRONT",Inventario!B39)),"FRO",
IF(ISNUMBER(SEARCH("BACK",Inventario!B39)),"BAC",
IF(ISNUMBER(SEARCH("MESH",Inventario!B39)),"MES",
IF(OR(ISNUMBER(SEARCH("BRILLANTE",Inventario!B39)),ISNUMBER(SEARCH("BTE",Inventario!B39))),"BRI",
IF(ISNUMBER(SEARCH("SINTETICA DELGADA",Inventario!B39)),"SD",
IF(ISNUMBER(SEARCH("SINTETICA GRUESA",Inventario!B39)),"SG",
IF(ISNUMBER(SEARCH("ESTATICO",Inventario!B39)),"EST",
IF(ISNUMBER(SEARCH("FLOOR",Inventario!B39)),"FLO",
IF(ISNUMBER(SEARCH("REFLECTIVO",Inventario!B39)),"REF",
IF(ISNUMBER(SEARCH("MICROPERFORADO",Inventario!B39)),"MI",
IF(ISNUMBER(SEARCH("CEPILLADO",Inventario!B39)),"CEP",
IF(ISNUMBER(SEARCH("ESPEJO",Inventario!B39)),"ESP",
IF(OR(ISNUMBER(SEARCH("UNIDIODO",Inventario!B39)),ISNUMBER(SEARCH("1 DIODO",Inventario!B39))),"1D",
IF(ISNUMBER(SEARCH("2 DIODOS",Inventario!B39)),"2D",
IF(ISNUMBER(SEARCH("3 DIODOS",Inventario!B39)),"3D","")))))))))))))))))</f>
        <v/>
      </c>
      <c r="D40" t="str">
        <f>IF(ISNUMBER(SEARCH("LX700",Inventario!B39)),"LX7",
IF(ISNUMBER(SEARCH("GRANDO",Inventario!B39)),"GRA",
IF(OR(ISNUMBER(SEARCH("CAMA PLANA",Inventario!B39)),ISNUMBER(SEARCH("FB700",Inventario!B39))),"CP",
IF(ISNUMBER(SEARCH("LX360",Inventario!B39)),"LX3",
IF(ISNUMBER(SEARCH("XEROX",Inventario!B39)),"XER",
IF(ISNUMBER(SEARCH("18 OZ",Inventario!B39)),"18OZ",
IF(ISNUMBER(SEARCH("15 OZ",Inventario!B39)),"15OZ",
IF(OR(ISNUMBER(SEARCH("13 OZ",Inventario!B39)),ISNUMBER(SEARCH("13 ONZAS",Inventario!B39))),"13OZ",
IF(OR(ISNUMBER(SEARCH("9 OZ",Inventario!B39)),ISNUMBER(SEARCH("9 ONZAS",Inventario!B39))),"09OZ","")))))))))</f>
        <v/>
      </c>
      <c r="E40" t="str">
        <f>IF(OR(ISNUMBER(SEARCH("TRANSPARENTE",Inventario!B39)),ISNUMBER(SEARCH("TRANSPARENTES",Inventario!B39))),"TR",
IF(OR(ISNUMBER(SEARCH("BLANCO",Inventario!B39)),ISNUMBER(SEARCH("BCO",Inventario!B39))),"BL",
IF(ISNUMBER(SEARCH("VERDE",Inventario!B39)),"VR",
IF(ISNUMBER(SEARCH("MORADO",Inventario!B39)),"MR",
IF(ISNUMBER(SEARCH("PLATA",Inventario!B39)),"PL",
IF(ISNUMBER(SEARCH("ORO",Inventario!B39)),"OR",
IF(ISNUMBER(SEARCH("AMARILLO",Inventario!B39)),"AM",
IF(ISNUMBER(SEARCH("NARANJA",Inventario!B39)),"NR",
IF(ISNUMBER(SEARCH("NEGRO",Inventario!B39)),"NG",
IF(ISNUMBER(SEARCH("ROJO",Inventario!B39)),"RJ",
IF(ISNUMBER(SEARCH("AZUL",Inventario!B39)),"AZ","")))))))))))</f>
        <v/>
      </c>
      <c r="F40" t="str">
        <f>IF(ISNUMBER(SEARCH("1,2 MM",Inventario!B39)),"1MM2",
IF(OR(ISNUMBER(SEARCH("2 MM",Inventario!B39)),ISNUMBER(SEARCH("2MM",Inventario!B39))),"2MM",
IF(OR(ISNUMBER(SEARCH("3 MM",Inventario!B39)),ISNUMBER(SEARCH("3MM",Inventario!B39))),"3MM",
IF(OR(ISNUMBER(SEARCH("4 MM",Inventario!B39)),ISNUMBER(SEARCH("4MM",Inventario!B39)),ISNUMBER(SEARCH("4 mm",Inventario!B39))),"4MM",
IF(OR(ISNUMBER(SEARCH("5 MM",Inventario!B39)),ISNUMBER(SEARCH("5MM",Inventario!B39))),"5MM",
IF(OR(ISNUMBER(SEARCH("6 MM",Inventario!B39)),ISNUMBER(SEARCH("6MM",Inventario!B39))),"6MM",
IF(OR(ISNUMBER(SEARCH("10 MM",Inventario!B39)),ISNUMBER(SEARCH("10MM",Inventario!B39))),"10MM","")))))))</f>
        <v/>
      </c>
      <c r="G40" t="str">
        <f>IF(ISNUMBER(SEARCH("ALTA RESISTENCIA",Inventario!B39)),"AR",IF(ISNUMBER(SEARCH("CAMPAÑA",Inventario!B39)),"CA",
IF(OR(ISNUMBER(SEARCH("CALIDO",Inventario!B39)),ISNUMBER(SEARCH("CÁLIDO",Inventario!B39))),"C",
IF(OR(ISNUMBER(SEARCH("TRASLUCIDO",Inventario!B39)),ISNUMBER(SEARCH("TRANSLUCIDO",Inventario!B39))),"TL",
IF(ISNUMBER(SEARCH("NEUTRO",Inventario!B39)),"N",
IF(ISNUMBER(SEARCH("FRIO",Inventario!B39)),"F",""))))))</f>
        <v/>
      </c>
      <c r="H40" t="str">
        <f>IF(ISNUMBER(SEARCH("SILED",Inventario!B39)),"SI",
IF(ISNUMBER(SEARCH("SYDEMEX",Inventario!B39)),"SY",
IF(ISNUMBER(SEARCH("ROHS",Inventario!B39)),"RO",
IF(ISNUMBER(SEARCH("RISHANG",Inventario!B39)),"RS",
IF(ISNUMBER(SEARCH("VYG",Inventario!B39)),"VYG",
IF(ISNUMBER(SEARCH("COLED",Inventario!B39)),"CO",""))))))</f>
        <v/>
      </c>
    </row>
    <row r="41" spans="1:8">
      <c r="A41" t="str">
        <f>IF(ISNUMBER(SEARCH("LONA",Inventario!B40)),"LON",
IF(ISNUMBER(SEARCH("VINIL",Inventario!B40)),"VIN",
IF(ISNUMBER(SEARCH("PANEL DE ALUMINIO COMPUESTO",Inventario!B40)),"PAN-ALU-COM",
IF(ISNUMBER(SEARCH("PVC",Inventario!B40)),"PVC",
IF(ISNUMBER(SEARCH("PAPEL",Inventario!B40)),"PAP",
IF(ISNUMBER(SEARCH("TELA",Inventario!B40)),"TEL",
IF(ISNUMBER(SEARCH("CARTULINA",Inventario!B40)),"CAR",
IF(OR(ISNUMBER(SEARCH("LAMINA",Inventario!B40)),ISNUMBER(SEARCH("LÁMINA",Inventario!B40))),"LAM",
IF(ISNUMBER(SEARCH("ESTIRENO",Inventario!B40)),"EST",
IF(ISNUMBER(SEARCH("FOAMBOARD",Inventario!B40)),"FOA",
IF(ISNUMBER(SEARCH("SOLVENTE",Inventario!B40)),"SOL",
IF(ISNUMBER(SEARCH("TINTA",Inventario!B40)),"TIN",
IF(ISNUMBER(SEARCH("ACRILICO",Inventario!B40)),"ACR",
IF(ISNUMBER(SEARCH("LED",Inventario!B40)),"LED",
IF(ISNUMBER(SEARCH("FUENTE",Inventario!B40)),"FUE",
IF(ISNUMBER(SEARCH("PETG",Inventario!B40)),"PET",
IF(ISNUMBER(SEARCH("ALUMINIO",Inventario!B40)),"ALU",
IF(ISNUMBER(SEARCH("CANAL",Inventario!B40)),"CAN",
IF(ISNUMBER(SEARCH("ESCUADRA",Inventario!B40)),"ESC",
IF(ISNUMBER(SEARCH("SOPORTE",Inventario!B40)),"SOP","OTR")
)))))))))))))))))))</f>
        <v>VIN</v>
      </c>
      <c r="B41" t="str">
        <f>IF(ISNUMBER(SEARCH("CORTE",Inventario!B40)),"COR",
IF(ISNUMBER(SEARCH("CRISTAL",Inventario!B40)),"CR",
IF(OR(ISNUMBER(SEARCH("OPTICO",Inventario!B40)),ISNUMBER(SEARCH("OPTICOS",Inventario!B40)),ISNUMBER(SEARCH("OPTICA",Inventario!B40))),"OP",
IF(ISNUMBER(SEARCH("NANO",Inventario!B40)),"NA",
IF(ISNUMBER(SEARCH("5050",Inventario!B40)),"5050",
IF(ISNUMBER(SEARCH("MICRO",Inventario!B40)),"MI",""))))))</f>
        <v/>
      </c>
      <c r="C41" t="str">
        <f>IF(ISNUMBER(SEARCH("PARED",Inventario!B40)),"PAR",IF(ISNUMBER(SEARCH("MATE",Inventario!B40)),"MAT",
IF(ISNUMBER(SEARCH("FRONT",Inventario!B40)),"FRO",
IF(ISNUMBER(SEARCH("BACK",Inventario!B40)),"BAC",
IF(ISNUMBER(SEARCH("MESH",Inventario!B40)),"MES",
IF(OR(ISNUMBER(SEARCH("BRILLANTE",Inventario!B40)),ISNUMBER(SEARCH("BTE",Inventario!B40))),"BRI",
IF(ISNUMBER(SEARCH("SINTETICA DELGADA",Inventario!B40)),"SD",
IF(ISNUMBER(SEARCH("SINTETICA GRUESA",Inventario!B40)),"SG",
IF(ISNUMBER(SEARCH("ESTATICO",Inventario!B40)),"EST",
IF(ISNUMBER(SEARCH("FLOOR",Inventario!B40)),"FLO",
IF(ISNUMBER(SEARCH("REFLECTIVO",Inventario!B40)),"REF",
IF(ISNUMBER(SEARCH("MICROPERFORADO",Inventario!B40)),"MI",
IF(ISNUMBER(SEARCH("CEPILLADO",Inventario!B40)),"CEP",
IF(ISNUMBER(SEARCH("ESPEJO",Inventario!B40)),"ESP",
IF(OR(ISNUMBER(SEARCH("UNIDIODO",Inventario!B40)),ISNUMBER(SEARCH("1 DIODO",Inventario!B40))),"1D",
IF(ISNUMBER(SEARCH("2 DIODOS",Inventario!B40)),"2D",
IF(ISNUMBER(SEARCH("3 DIODOS",Inventario!B40)),"3D","")))))))))))))))))</f>
        <v/>
      </c>
      <c r="D41" t="str">
        <f>IF(ISNUMBER(SEARCH("LX700",Inventario!B40)),"LX7",
IF(ISNUMBER(SEARCH("GRANDO",Inventario!B40)),"GRA",
IF(OR(ISNUMBER(SEARCH("CAMA PLANA",Inventario!B40)),ISNUMBER(SEARCH("FB700",Inventario!B40))),"CP",
IF(ISNUMBER(SEARCH("LX360",Inventario!B40)),"LX3",
IF(ISNUMBER(SEARCH("XEROX",Inventario!B40)),"XER",
IF(ISNUMBER(SEARCH("18 OZ",Inventario!B40)),"18OZ",
IF(ISNUMBER(SEARCH("15 OZ",Inventario!B40)),"15OZ",
IF(OR(ISNUMBER(SEARCH("13 OZ",Inventario!B40)),ISNUMBER(SEARCH("13 ONZAS",Inventario!B40))),"13OZ",
IF(OR(ISNUMBER(SEARCH("9 OZ",Inventario!B40)),ISNUMBER(SEARCH("9 ONZAS",Inventario!B40))),"09OZ","")))))))))</f>
        <v/>
      </c>
      <c r="E41" t="str">
        <f>IF(OR(ISNUMBER(SEARCH("TRANSPARENTE",Inventario!B40)),ISNUMBER(SEARCH("TRANSPARENTES",Inventario!B40))),"TR",
IF(OR(ISNUMBER(SEARCH("BLANCO",Inventario!B40)),ISNUMBER(SEARCH("BCO",Inventario!B40))),"BL",
IF(ISNUMBER(SEARCH("VERDE",Inventario!B40)),"VR",
IF(ISNUMBER(SEARCH("MORADO",Inventario!B40)),"MR",
IF(ISNUMBER(SEARCH("PLATA",Inventario!B40)),"PL",
IF(ISNUMBER(SEARCH("ORO",Inventario!B40)),"OR",
IF(ISNUMBER(SEARCH("AMARILLO",Inventario!B40)),"AM",
IF(ISNUMBER(SEARCH("NARANJA",Inventario!B40)),"NR",
IF(ISNUMBER(SEARCH("NEGRO",Inventario!B40)),"NG",
IF(ISNUMBER(SEARCH("ROJO",Inventario!B40)),"RJ",
IF(ISNUMBER(SEARCH("AZUL",Inventario!B40)),"AZ","")))))))))))</f>
        <v/>
      </c>
      <c r="F41" t="str">
        <f>IF(ISNUMBER(SEARCH("1,2 MM",Inventario!B40)),"1MM2",
IF(OR(ISNUMBER(SEARCH("2 MM",Inventario!B40)),ISNUMBER(SEARCH("2MM",Inventario!B40))),"2MM",
IF(OR(ISNUMBER(SEARCH("3 MM",Inventario!B40)),ISNUMBER(SEARCH("3MM",Inventario!B40))),"3MM",
IF(OR(ISNUMBER(SEARCH("4 MM",Inventario!B40)),ISNUMBER(SEARCH("4MM",Inventario!B40)),ISNUMBER(SEARCH("4 mm",Inventario!B40))),"4MM",
IF(OR(ISNUMBER(SEARCH("5 MM",Inventario!B40)),ISNUMBER(SEARCH("5MM",Inventario!B40))),"5MM",
IF(OR(ISNUMBER(SEARCH("6 MM",Inventario!B40)),ISNUMBER(SEARCH("6MM",Inventario!B40))),"6MM",
IF(OR(ISNUMBER(SEARCH("10 MM",Inventario!B40)),ISNUMBER(SEARCH("10MM",Inventario!B40))),"10MM","")))))))</f>
        <v/>
      </c>
      <c r="G41" t="str">
        <f>IF(ISNUMBER(SEARCH("ALTA RESISTENCIA",Inventario!B40)),"AR",IF(ISNUMBER(SEARCH("CAMPAÑA",Inventario!B40)),"CA",
IF(OR(ISNUMBER(SEARCH("CALIDO",Inventario!B40)),ISNUMBER(SEARCH("CÁLIDO",Inventario!B40))),"C",
IF(OR(ISNUMBER(SEARCH("TRASLUCIDO",Inventario!B40)),ISNUMBER(SEARCH("TRANSLUCIDO",Inventario!B40))),"TL",
IF(ISNUMBER(SEARCH("NEUTRO",Inventario!B40)),"N",
IF(ISNUMBER(SEARCH("FRIO",Inventario!B40)),"F",""))))))</f>
        <v/>
      </c>
      <c r="H41" t="str">
        <f>IF(ISNUMBER(SEARCH("SILED",Inventario!B40)),"SI",
IF(ISNUMBER(SEARCH("SYDEMEX",Inventario!B40)),"SY",
IF(ISNUMBER(SEARCH("ROHS",Inventario!B40)),"RO",
IF(ISNUMBER(SEARCH("RISHANG",Inventario!B40)),"RS",
IF(ISNUMBER(SEARCH("VYG",Inventario!B40)),"VYG",
IF(ISNUMBER(SEARCH("COLED",Inventario!B40)),"CO",""))))))</f>
        <v/>
      </c>
    </row>
    <row r="42" spans="1:8">
      <c r="A42" t="str">
        <f>IF(ISNUMBER(SEARCH("LONA",Inventario!B41)),"LON",
IF(ISNUMBER(SEARCH("VINIL",Inventario!B41)),"VIN",
IF(ISNUMBER(SEARCH("PANEL DE ALUMINIO COMPUESTO",Inventario!B41)),"PAN-ALU-COM",
IF(ISNUMBER(SEARCH("PVC",Inventario!B41)),"PVC",
IF(ISNUMBER(SEARCH("PAPEL",Inventario!B41)),"PAP",
IF(ISNUMBER(SEARCH("TELA",Inventario!B41)),"TEL",
IF(ISNUMBER(SEARCH("CARTULINA",Inventario!B41)),"CAR",
IF(OR(ISNUMBER(SEARCH("LAMINA",Inventario!B41)),ISNUMBER(SEARCH("LÁMINA",Inventario!B41))),"LAM",
IF(ISNUMBER(SEARCH("ESTIRENO",Inventario!B41)),"EST",
IF(ISNUMBER(SEARCH("FOAMBOARD",Inventario!B41)),"FOA",
IF(ISNUMBER(SEARCH("SOLVENTE",Inventario!B41)),"SOL",
IF(ISNUMBER(SEARCH("TINTA",Inventario!B41)),"TIN",
IF(ISNUMBER(SEARCH("ACRILICO",Inventario!B41)),"ACR",
IF(ISNUMBER(SEARCH("LED",Inventario!B41)),"LED",
IF(ISNUMBER(SEARCH("FUENTE",Inventario!B41)),"FUE",
IF(ISNUMBER(SEARCH("PETG",Inventario!B41)),"PET",
IF(ISNUMBER(SEARCH("ALUMINIO",Inventario!B41)),"ALU",
IF(ISNUMBER(SEARCH("CANAL",Inventario!B41)),"CAN",
IF(ISNUMBER(SEARCH("ESCUADRA",Inventario!B41)),"ESC",
IF(ISNUMBER(SEARCH("SOPORTE",Inventario!B41)),"SOP","OTR")
)))))))))))))))))))</f>
        <v>VIN</v>
      </c>
      <c r="B42" t="str">
        <f>IF(ISNUMBER(SEARCH("CORTE",Inventario!B41)),"COR",
IF(ISNUMBER(SEARCH("CRISTAL",Inventario!B41)),"CR",
IF(OR(ISNUMBER(SEARCH("OPTICO",Inventario!B41)),ISNUMBER(SEARCH("OPTICOS",Inventario!B41)),ISNUMBER(SEARCH("OPTICA",Inventario!B41))),"OP",
IF(ISNUMBER(SEARCH("NANO",Inventario!B41)),"NA",
IF(ISNUMBER(SEARCH("5050",Inventario!B41)),"5050",
IF(ISNUMBER(SEARCH("MICRO",Inventario!B41)),"MI",""))))))</f>
        <v/>
      </c>
      <c r="C42" t="str">
        <f>IF(ISNUMBER(SEARCH("PARED",Inventario!B41)),"PAR",IF(ISNUMBER(SEARCH("MATE",Inventario!B41)),"MAT",
IF(ISNUMBER(SEARCH("FRONT",Inventario!B41)),"FRO",
IF(ISNUMBER(SEARCH("BACK",Inventario!B41)),"BAC",
IF(ISNUMBER(SEARCH("MESH",Inventario!B41)),"MES",
IF(OR(ISNUMBER(SEARCH("BRILLANTE",Inventario!B41)),ISNUMBER(SEARCH("BTE",Inventario!B41))),"BRI",
IF(ISNUMBER(SEARCH("SINTETICA DELGADA",Inventario!B41)),"SD",
IF(ISNUMBER(SEARCH("SINTETICA GRUESA",Inventario!B41)),"SG",
IF(ISNUMBER(SEARCH("ESTATICO",Inventario!B41)),"EST",
IF(ISNUMBER(SEARCH("FLOOR",Inventario!B41)),"FLO",
IF(ISNUMBER(SEARCH("REFLECTIVO",Inventario!B41)),"REF",
IF(ISNUMBER(SEARCH("MICROPERFORADO",Inventario!B41)),"MI",
IF(ISNUMBER(SEARCH("CEPILLADO",Inventario!B41)),"CEP",
IF(ISNUMBER(SEARCH("ESPEJO",Inventario!B41)),"ESP",
IF(OR(ISNUMBER(SEARCH("UNIDIODO",Inventario!B41)),ISNUMBER(SEARCH("1 DIODO",Inventario!B41))),"1D",
IF(ISNUMBER(SEARCH("2 DIODOS",Inventario!B41)),"2D",
IF(ISNUMBER(SEARCH("3 DIODOS",Inventario!B41)),"3D","")))))))))))))))))</f>
        <v/>
      </c>
      <c r="D42" t="str">
        <f>IF(ISNUMBER(SEARCH("LX700",Inventario!B41)),"LX7",
IF(ISNUMBER(SEARCH("GRANDO",Inventario!B41)),"GRA",
IF(OR(ISNUMBER(SEARCH("CAMA PLANA",Inventario!B41)),ISNUMBER(SEARCH("FB700",Inventario!B41))),"CP",
IF(ISNUMBER(SEARCH("LX360",Inventario!B41)),"LX3",
IF(ISNUMBER(SEARCH("XEROX",Inventario!B41)),"XER",
IF(ISNUMBER(SEARCH("18 OZ",Inventario!B41)),"18OZ",
IF(ISNUMBER(SEARCH("15 OZ",Inventario!B41)),"15OZ",
IF(OR(ISNUMBER(SEARCH("13 OZ",Inventario!B41)),ISNUMBER(SEARCH("13 ONZAS",Inventario!B41))),"13OZ",
IF(OR(ISNUMBER(SEARCH("9 OZ",Inventario!B41)),ISNUMBER(SEARCH("9 ONZAS",Inventario!B41))),"09OZ","")))))))))</f>
        <v/>
      </c>
      <c r="E42" t="str">
        <f>IF(OR(ISNUMBER(SEARCH("TRANSPARENTE",Inventario!B41)),ISNUMBER(SEARCH("TRANSPARENTES",Inventario!B41))),"TR",
IF(OR(ISNUMBER(SEARCH("BLANCO",Inventario!B41)),ISNUMBER(SEARCH("BCO",Inventario!B41))),"BL",
IF(ISNUMBER(SEARCH("VERDE",Inventario!B41)),"VR",
IF(ISNUMBER(SEARCH("MORADO",Inventario!B41)),"MR",
IF(ISNUMBER(SEARCH("PLATA",Inventario!B41)),"PL",
IF(ISNUMBER(SEARCH("ORO",Inventario!B41)),"OR",
IF(ISNUMBER(SEARCH("AMARILLO",Inventario!B41)),"AM",
IF(ISNUMBER(SEARCH("NARANJA",Inventario!B41)),"NR",
IF(ISNUMBER(SEARCH("NEGRO",Inventario!B41)),"NG",
IF(ISNUMBER(SEARCH("ROJO",Inventario!B41)),"RJ",
IF(ISNUMBER(SEARCH("AZUL",Inventario!B41)),"AZ","")))))))))))</f>
        <v/>
      </c>
      <c r="F42" t="str">
        <f>IF(ISNUMBER(SEARCH("1,2 MM",Inventario!B41)),"1MM2",
IF(OR(ISNUMBER(SEARCH("2 MM",Inventario!B41)),ISNUMBER(SEARCH("2MM",Inventario!B41))),"2MM",
IF(OR(ISNUMBER(SEARCH("3 MM",Inventario!B41)),ISNUMBER(SEARCH("3MM",Inventario!B41))),"3MM",
IF(OR(ISNUMBER(SEARCH("4 MM",Inventario!B41)),ISNUMBER(SEARCH("4MM",Inventario!B41)),ISNUMBER(SEARCH("4 mm",Inventario!B41))),"4MM",
IF(OR(ISNUMBER(SEARCH("5 MM",Inventario!B41)),ISNUMBER(SEARCH("5MM",Inventario!B41))),"5MM",
IF(OR(ISNUMBER(SEARCH("6 MM",Inventario!B41)),ISNUMBER(SEARCH("6MM",Inventario!B41))),"6MM",
IF(OR(ISNUMBER(SEARCH("10 MM",Inventario!B41)),ISNUMBER(SEARCH("10MM",Inventario!B41))),"10MM","")))))))</f>
        <v/>
      </c>
      <c r="G42" t="str">
        <f>IF(ISNUMBER(SEARCH("ALTA RESISTENCIA",Inventario!B41)),"AR",IF(ISNUMBER(SEARCH("CAMPAÑA",Inventario!B41)),"CA",
IF(OR(ISNUMBER(SEARCH("CALIDO",Inventario!B41)),ISNUMBER(SEARCH("CÁLIDO",Inventario!B41))),"C",
IF(OR(ISNUMBER(SEARCH("TRASLUCIDO",Inventario!B41)),ISNUMBER(SEARCH("TRANSLUCIDO",Inventario!B41))),"TL",
IF(ISNUMBER(SEARCH("NEUTRO",Inventario!B41)),"N",
IF(ISNUMBER(SEARCH("FRIO",Inventario!B41)),"F",""))))))</f>
        <v/>
      </c>
      <c r="H42" t="str">
        <f>IF(ISNUMBER(SEARCH("SILED",Inventario!B41)),"SI",
IF(ISNUMBER(SEARCH("SYDEMEX",Inventario!B41)),"SY",
IF(ISNUMBER(SEARCH("ROHS",Inventario!B41)),"RO",
IF(ISNUMBER(SEARCH("RISHANG",Inventario!B41)),"RS",
IF(ISNUMBER(SEARCH("VYG",Inventario!B41)),"VYG",
IF(ISNUMBER(SEARCH("COLED",Inventario!B41)),"CO",""))))))</f>
        <v/>
      </c>
    </row>
    <row r="43" spans="1:8">
      <c r="A43" t="str">
        <f>IF(ISNUMBER(SEARCH("LONA",Inventario!B42)),"LON",
IF(ISNUMBER(SEARCH("VINIL",Inventario!B42)),"VIN",
IF(ISNUMBER(SEARCH("PANEL DE ALUMINIO COMPUESTO",Inventario!B42)),"PAN-ALU-COM",
IF(ISNUMBER(SEARCH("PVC",Inventario!B42)),"PVC",
IF(ISNUMBER(SEARCH("PAPEL",Inventario!B42)),"PAP",
IF(ISNUMBER(SEARCH("TELA",Inventario!B42)),"TEL",
IF(ISNUMBER(SEARCH("CARTULINA",Inventario!B42)),"CAR",
IF(OR(ISNUMBER(SEARCH("LAMINA",Inventario!B42)),ISNUMBER(SEARCH("LÁMINA",Inventario!B42))),"LAM",
IF(ISNUMBER(SEARCH("ESTIRENO",Inventario!B42)),"EST",
IF(ISNUMBER(SEARCH("FOAMBOARD",Inventario!B42)),"FOA",
IF(ISNUMBER(SEARCH("SOLVENTE",Inventario!B42)),"SOL",
IF(ISNUMBER(SEARCH("TINTA",Inventario!B42)),"TIN",
IF(ISNUMBER(SEARCH("ACRILICO",Inventario!B42)),"ACR",
IF(ISNUMBER(SEARCH("LED",Inventario!B42)),"LED",
IF(ISNUMBER(SEARCH("FUENTE",Inventario!B42)),"FUE",
IF(ISNUMBER(SEARCH("PETG",Inventario!B42)),"PET",
IF(ISNUMBER(SEARCH("ALUMINIO",Inventario!B42)),"ALU",
IF(ISNUMBER(SEARCH("CANAL",Inventario!B42)),"CAN",
IF(ISNUMBER(SEARCH("ESCUADRA",Inventario!B42)),"ESC",
IF(ISNUMBER(SEARCH("SOPORTE",Inventario!B42)),"SOP","OTR")
)))))))))))))))))))</f>
        <v>VIN</v>
      </c>
      <c r="B43" t="str">
        <f>IF(ISNUMBER(SEARCH("CORTE",Inventario!B42)),"COR",
IF(ISNUMBER(SEARCH("CRISTAL",Inventario!B42)),"CR",
IF(OR(ISNUMBER(SEARCH("OPTICO",Inventario!B42)),ISNUMBER(SEARCH("OPTICOS",Inventario!B42)),ISNUMBER(SEARCH("OPTICA",Inventario!B42))),"OP",
IF(ISNUMBER(SEARCH("NANO",Inventario!B42)),"NA",
IF(ISNUMBER(SEARCH("5050",Inventario!B42)),"5050",
IF(ISNUMBER(SEARCH("MICRO",Inventario!B42)),"MI",""))))))</f>
        <v/>
      </c>
      <c r="C43" t="str">
        <f>IF(ISNUMBER(SEARCH("PARED",Inventario!B42)),"PAR",IF(ISNUMBER(SEARCH("MATE",Inventario!B42)),"MAT",
IF(ISNUMBER(SEARCH("FRONT",Inventario!B42)),"FRO",
IF(ISNUMBER(SEARCH("BACK",Inventario!B42)),"BAC",
IF(ISNUMBER(SEARCH("MESH",Inventario!B42)),"MES",
IF(OR(ISNUMBER(SEARCH("BRILLANTE",Inventario!B42)),ISNUMBER(SEARCH("BTE",Inventario!B42))),"BRI",
IF(ISNUMBER(SEARCH("SINTETICA DELGADA",Inventario!B42)),"SD",
IF(ISNUMBER(SEARCH("SINTETICA GRUESA",Inventario!B42)),"SG",
IF(ISNUMBER(SEARCH("ESTATICO",Inventario!B42)),"EST",
IF(ISNUMBER(SEARCH("FLOOR",Inventario!B42)),"FLO",
IF(ISNUMBER(SEARCH("REFLECTIVO",Inventario!B42)),"REF",
IF(ISNUMBER(SEARCH("MICROPERFORADO",Inventario!B42)),"MI",
IF(ISNUMBER(SEARCH("CEPILLADO",Inventario!B42)),"CEP",
IF(ISNUMBER(SEARCH("ESPEJO",Inventario!B42)),"ESP",
IF(OR(ISNUMBER(SEARCH("UNIDIODO",Inventario!B42)),ISNUMBER(SEARCH("1 DIODO",Inventario!B42))),"1D",
IF(ISNUMBER(SEARCH("2 DIODOS",Inventario!B42)),"2D",
IF(ISNUMBER(SEARCH("3 DIODOS",Inventario!B42)),"3D","")))))))))))))))))</f>
        <v>EST</v>
      </c>
      <c r="D43" t="str">
        <f>IF(ISNUMBER(SEARCH("LX700",Inventario!B42)),"LX7",
IF(ISNUMBER(SEARCH("GRANDO",Inventario!B42)),"GRA",
IF(OR(ISNUMBER(SEARCH("CAMA PLANA",Inventario!B42)),ISNUMBER(SEARCH("FB700",Inventario!B42))),"CP",
IF(ISNUMBER(SEARCH("LX360",Inventario!B42)),"LX3",
IF(ISNUMBER(SEARCH("XEROX",Inventario!B42)),"XER",
IF(ISNUMBER(SEARCH("18 OZ",Inventario!B42)),"18OZ",
IF(ISNUMBER(SEARCH("15 OZ",Inventario!B42)),"15OZ",
IF(OR(ISNUMBER(SEARCH("13 OZ",Inventario!B42)),ISNUMBER(SEARCH("13 ONZAS",Inventario!B42))),"13OZ",
IF(OR(ISNUMBER(SEARCH("9 OZ",Inventario!B42)),ISNUMBER(SEARCH("9 ONZAS",Inventario!B42))),"09OZ","")))))))))</f>
        <v/>
      </c>
      <c r="E43" t="str">
        <f>IF(OR(ISNUMBER(SEARCH("TRANSPARENTE",Inventario!B42)),ISNUMBER(SEARCH("TRANSPARENTES",Inventario!B42))),"TR",
IF(OR(ISNUMBER(SEARCH("BLANCO",Inventario!B42)),ISNUMBER(SEARCH("BCO",Inventario!B42))),"BL",
IF(ISNUMBER(SEARCH("VERDE",Inventario!B42)),"VR",
IF(ISNUMBER(SEARCH("MORADO",Inventario!B42)),"MR",
IF(ISNUMBER(SEARCH("PLATA",Inventario!B42)),"PL",
IF(ISNUMBER(SEARCH("ORO",Inventario!B42)),"OR",
IF(ISNUMBER(SEARCH("AMARILLO",Inventario!B42)),"AM",
IF(ISNUMBER(SEARCH("NARANJA",Inventario!B42)),"NR",
IF(ISNUMBER(SEARCH("NEGRO",Inventario!B42)),"NG",
IF(ISNUMBER(SEARCH("ROJO",Inventario!B42)),"RJ",
IF(ISNUMBER(SEARCH("AZUL",Inventario!B42)),"AZ","")))))))))))</f>
        <v>BL</v>
      </c>
      <c r="F43" t="str">
        <f>IF(ISNUMBER(SEARCH("1,2 MM",Inventario!B42)),"1MM2",
IF(OR(ISNUMBER(SEARCH("2 MM",Inventario!B42)),ISNUMBER(SEARCH("2MM",Inventario!B42))),"2MM",
IF(OR(ISNUMBER(SEARCH("3 MM",Inventario!B42)),ISNUMBER(SEARCH("3MM",Inventario!B42))),"3MM",
IF(OR(ISNUMBER(SEARCH("4 MM",Inventario!B42)),ISNUMBER(SEARCH("4MM",Inventario!B42)),ISNUMBER(SEARCH("4 mm",Inventario!B42))),"4MM",
IF(OR(ISNUMBER(SEARCH("5 MM",Inventario!B42)),ISNUMBER(SEARCH("5MM",Inventario!B42))),"5MM",
IF(OR(ISNUMBER(SEARCH("6 MM",Inventario!B42)),ISNUMBER(SEARCH("6MM",Inventario!B42))),"6MM",
IF(OR(ISNUMBER(SEARCH("10 MM",Inventario!B42)),ISNUMBER(SEARCH("10MM",Inventario!B42))),"10MM","")))))))</f>
        <v/>
      </c>
      <c r="G43" t="str">
        <f>IF(ISNUMBER(SEARCH("ALTA RESISTENCIA",Inventario!B42)),"AR",IF(ISNUMBER(SEARCH("CAMPAÑA",Inventario!B42)),"CA",
IF(OR(ISNUMBER(SEARCH("CALIDO",Inventario!B42)),ISNUMBER(SEARCH("CÁLIDO",Inventario!B42))),"C",
IF(OR(ISNUMBER(SEARCH("TRASLUCIDO",Inventario!B42)),ISNUMBER(SEARCH("TRANSLUCIDO",Inventario!B42))),"TL",
IF(ISNUMBER(SEARCH("NEUTRO",Inventario!B42)),"N",
IF(ISNUMBER(SEARCH("FRIO",Inventario!B42)),"F",""))))))</f>
        <v/>
      </c>
      <c r="H43" t="str">
        <f>IF(ISNUMBER(SEARCH("SILED",Inventario!B42)),"SI",
IF(ISNUMBER(SEARCH("SYDEMEX",Inventario!B42)),"SY",
IF(ISNUMBER(SEARCH("ROHS",Inventario!B42)),"RO",
IF(ISNUMBER(SEARCH("RISHANG",Inventario!B42)),"RS",
IF(ISNUMBER(SEARCH("VYG",Inventario!B42)),"VYG",
IF(ISNUMBER(SEARCH("COLED",Inventario!B42)),"CO",""))))))</f>
        <v/>
      </c>
    </row>
    <row r="44" spans="1:8">
      <c r="A44" t="str">
        <f>IF(ISNUMBER(SEARCH("LONA",Inventario!B43)),"LON",
IF(ISNUMBER(SEARCH("VINIL",Inventario!B43)),"VIN",
IF(ISNUMBER(SEARCH("PANEL DE ALUMINIO COMPUESTO",Inventario!B43)),"PAN-ALU-COM",
IF(ISNUMBER(SEARCH("PVC",Inventario!B43)),"PVC",
IF(ISNUMBER(SEARCH("PAPEL",Inventario!B43)),"PAP",
IF(ISNUMBER(SEARCH("TELA",Inventario!B43)),"TEL",
IF(ISNUMBER(SEARCH("CARTULINA",Inventario!B43)),"CAR",
IF(OR(ISNUMBER(SEARCH("LAMINA",Inventario!B43)),ISNUMBER(SEARCH("LÁMINA",Inventario!B43))),"LAM",
IF(ISNUMBER(SEARCH("ESTIRENO",Inventario!B43)),"EST",
IF(ISNUMBER(SEARCH("FOAMBOARD",Inventario!B43)),"FOA",
IF(ISNUMBER(SEARCH("SOLVENTE",Inventario!B43)),"SOL",
IF(ISNUMBER(SEARCH("TINTA",Inventario!B43)),"TIN",
IF(ISNUMBER(SEARCH("ACRILICO",Inventario!B43)),"ACR",
IF(ISNUMBER(SEARCH("LED",Inventario!B43)),"LED",
IF(ISNUMBER(SEARCH("FUENTE",Inventario!B43)),"FUE",
IF(ISNUMBER(SEARCH("PETG",Inventario!B43)),"PET",
IF(ISNUMBER(SEARCH("ALUMINIO",Inventario!B43)),"ALU",
IF(ISNUMBER(SEARCH("CANAL",Inventario!B43)),"CAN",
IF(ISNUMBER(SEARCH("ESCUADRA",Inventario!B43)),"ESC",
IF(ISNUMBER(SEARCH("SOPORTE",Inventario!B43)),"SOP","OTR")
)))))))))))))))))))</f>
        <v>VIN</v>
      </c>
      <c r="B44" t="str">
        <f>IF(ISNUMBER(SEARCH("CORTE",Inventario!B43)),"COR",
IF(ISNUMBER(SEARCH("CRISTAL",Inventario!B43)),"CR",
IF(OR(ISNUMBER(SEARCH("OPTICO",Inventario!B43)),ISNUMBER(SEARCH("OPTICOS",Inventario!B43)),ISNUMBER(SEARCH("OPTICA",Inventario!B43))),"OP",
IF(ISNUMBER(SEARCH("NANO",Inventario!B43)),"NA",
IF(ISNUMBER(SEARCH("5050",Inventario!B43)),"5050",
IF(ISNUMBER(SEARCH("MICRO",Inventario!B43)),"MI",""))))))</f>
        <v/>
      </c>
      <c r="C44" t="str">
        <f>IF(ISNUMBER(SEARCH("PARED",Inventario!B43)),"PAR",IF(ISNUMBER(SEARCH("MATE",Inventario!B43)),"MAT",
IF(ISNUMBER(SEARCH("FRONT",Inventario!B43)),"FRO",
IF(ISNUMBER(SEARCH("BACK",Inventario!B43)),"BAC",
IF(ISNUMBER(SEARCH("MESH",Inventario!B43)),"MES",
IF(OR(ISNUMBER(SEARCH("BRILLANTE",Inventario!B43)),ISNUMBER(SEARCH("BTE",Inventario!B43))),"BRI",
IF(ISNUMBER(SEARCH("SINTETICA DELGADA",Inventario!B43)),"SD",
IF(ISNUMBER(SEARCH("SINTETICA GRUESA",Inventario!B43)),"SG",
IF(ISNUMBER(SEARCH("ESTATICO",Inventario!B43)),"EST",
IF(ISNUMBER(SEARCH("FLOOR",Inventario!B43)),"FLO",
IF(ISNUMBER(SEARCH("REFLECTIVO",Inventario!B43)),"REF",
IF(ISNUMBER(SEARCH("MICROPERFORADO",Inventario!B43)),"MI",
IF(ISNUMBER(SEARCH("CEPILLADO",Inventario!B43)),"CEP",
IF(ISNUMBER(SEARCH("ESPEJO",Inventario!B43)),"ESP",
IF(OR(ISNUMBER(SEARCH("UNIDIODO",Inventario!B43)),ISNUMBER(SEARCH("1 DIODO",Inventario!B43))),"1D",
IF(ISNUMBER(SEARCH("2 DIODOS",Inventario!B43)),"2D",
IF(ISNUMBER(SEARCH("3 DIODOS",Inventario!B43)),"3D","")))))))))))))))))</f>
        <v>EST</v>
      </c>
      <c r="D44" t="str">
        <f>IF(ISNUMBER(SEARCH("LX700",Inventario!B43)),"LX7",
IF(ISNUMBER(SEARCH("GRANDO",Inventario!B43)),"GRA",
IF(OR(ISNUMBER(SEARCH("CAMA PLANA",Inventario!B43)),ISNUMBER(SEARCH("FB700",Inventario!B43))),"CP",
IF(ISNUMBER(SEARCH("LX360",Inventario!B43)),"LX3",
IF(ISNUMBER(SEARCH("XEROX",Inventario!B43)),"XER",
IF(ISNUMBER(SEARCH("18 OZ",Inventario!B43)),"18OZ",
IF(ISNUMBER(SEARCH("15 OZ",Inventario!B43)),"15OZ",
IF(OR(ISNUMBER(SEARCH("13 OZ",Inventario!B43)),ISNUMBER(SEARCH("13 ONZAS",Inventario!B43))),"13OZ",
IF(OR(ISNUMBER(SEARCH("9 OZ",Inventario!B43)),ISNUMBER(SEARCH("9 ONZAS",Inventario!B43))),"09OZ","")))))))))</f>
        <v/>
      </c>
      <c r="E44" t="str">
        <f>IF(OR(ISNUMBER(SEARCH("TRANSPARENTE",Inventario!B43)),ISNUMBER(SEARCH("TRANSPARENTES",Inventario!B43))),"TR",
IF(OR(ISNUMBER(SEARCH("BLANCO",Inventario!B43)),ISNUMBER(SEARCH("BCO",Inventario!B43))),"BL",
IF(ISNUMBER(SEARCH("VERDE",Inventario!B43)),"VR",
IF(ISNUMBER(SEARCH("MORADO",Inventario!B43)),"MR",
IF(ISNUMBER(SEARCH("PLATA",Inventario!B43)),"PL",
IF(ISNUMBER(SEARCH("ORO",Inventario!B43)),"OR",
IF(ISNUMBER(SEARCH("AMARILLO",Inventario!B43)),"AM",
IF(ISNUMBER(SEARCH("NARANJA",Inventario!B43)),"NR",
IF(ISNUMBER(SEARCH("NEGRO",Inventario!B43)),"NG",
IF(ISNUMBER(SEARCH("ROJO",Inventario!B43)),"RJ",
IF(ISNUMBER(SEARCH("AZUL",Inventario!B43)),"AZ","")))))))))))</f>
        <v>BL</v>
      </c>
      <c r="F44" t="str">
        <f>IF(ISNUMBER(SEARCH("1,2 MM",Inventario!B43)),"1MM2",
IF(OR(ISNUMBER(SEARCH("2 MM",Inventario!B43)),ISNUMBER(SEARCH("2MM",Inventario!B43))),"2MM",
IF(OR(ISNUMBER(SEARCH("3 MM",Inventario!B43)),ISNUMBER(SEARCH("3MM",Inventario!B43))),"3MM",
IF(OR(ISNUMBER(SEARCH("4 MM",Inventario!B43)),ISNUMBER(SEARCH("4MM",Inventario!B43)),ISNUMBER(SEARCH("4 mm",Inventario!B43))),"4MM",
IF(OR(ISNUMBER(SEARCH("5 MM",Inventario!B43)),ISNUMBER(SEARCH("5MM",Inventario!B43))),"5MM",
IF(OR(ISNUMBER(SEARCH("6 MM",Inventario!B43)),ISNUMBER(SEARCH("6MM",Inventario!B43))),"6MM",
IF(OR(ISNUMBER(SEARCH("10 MM",Inventario!B43)),ISNUMBER(SEARCH("10MM",Inventario!B43))),"10MM","")))))))</f>
        <v/>
      </c>
      <c r="G44" t="str">
        <f>IF(ISNUMBER(SEARCH("ALTA RESISTENCIA",Inventario!B43)),"AR",IF(ISNUMBER(SEARCH("CAMPAÑA",Inventario!B43)),"CA",
IF(OR(ISNUMBER(SEARCH("CALIDO",Inventario!B43)),ISNUMBER(SEARCH("CÁLIDO",Inventario!B43))),"C",
IF(OR(ISNUMBER(SEARCH("TRASLUCIDO",Inventario!B43)),ISNUMBER(SEARCH("TRANSLUCIDO",Inventario!B43))),"TL",
IF(ISNUMBER(SEARCH("NEUTRO",Inventario!B43)),"N",
IF(ISNUMBER(SEARCH("FRIO",Inventario!B43)),"F",""))))))</f>
        <v/>
      </c>
      <c r="H44" t="str">
        <f>IF(ISNUMBER(SEARCH("SILED",Inventario!B43)),"SI",
IF(ISNUMBER(SEARCH("SYDEMEX",Inventario!B43)),"SY",
IF(ISNUMBER(SEARCH("ROHS",Inventario!B43)),"RO",
IF(ISNUMBER(SEARCH("RISHANG",Inventario!B43)),"RS",
IF(ISNUMBER(SEARCH("VYG",Inventario!B43)),"VYG",
IF(ISNUMBER(SEARCH("COLED",Inventario!B43)),"CO",""))))))</f>
        <v/>
      </c>
    </row>
    <row r="45" spans="1:8">
      <c r="A45" t="str">
        <f>IF(ISNUMBER(SEARCH("LONA",Inventario!B44)),"LON",
IF(ISNUMBER(SEARCH("VINIL",Inventario!B44)),"VIN",
IF(ISNUMBER(SEARCH("PANEL DE ALUMINIO COMPUESTO",Inventario!B44)),"PAN-ALU-COM",
IF(ISNUMBER(SEARCH("PVC",Inventario!B44)),"PVC",
IF(ISNUMBER(SEARCH("PAPEL",Inventario!B44)),"PAP",
IF(ISNUMBER(SEARCH("TELA",Inventario!B44)),"TEL",
IF(ISNUMBER(SEARCH("CARTULINA",Inventario!B44)),"CAR",
IF(OR(ISNUMBER(SEARCH("LAMINA",Inventario!B44)),ISNUMBER(SEARCH("LÁMINA",Inventario!B44))),"LAM",
IF(ISNUMBER(SEARCH("ESTIRENO",Inventario!B44)),"EST",
IF(ISNUMBER(SEARCH("FOAMBOARD",Inventario!B44)),"FOA",
IF(ISNUMBER(SEARCH("SOLVENTE",Inventario!B44)),"SOL",
IF(ISNUMBER(SEARCH("TINTA",Inventario!B44)),"TIN",
IF(ISNUMBER(SEARCH("ACRILICO",Inventario!B44)),"ACR",
IF(ISNUMBER(SEARCH("LED",Inventario!B44)),"LED",
IF(ISNUMBER(SEARCH("FUENTE",Inventario!B44)),"FUE",
IF(ISNUMBER(SEARCH("PETG",Inventario!B44)),"PET",
IF(ISNUMBER(SEARCH("ALUMINIO",Inventario!B44)),"ALU",
IF(ISNUMBER(SEARCH("CANAL",Inventario!B44)),"CAN",
IF(ISNUMBER(SEARCH("ESCUADRA",Inventario!B44)),"ESC",
IF(ISNUMBER(SEARCH("SOPORTE",Inventario!B44)),"SOP","OTR")
)))))))))))))))))))</f>
        <v>VIN</v>
      </c>
      <c r="B45" t="str">
        <f>IF(ISNUMBER(SEARCH("CORTE",Inventario!B44)),"COR",
IF(ISNUMBER(SEARCH("CRISTAL",Inventario!B44)),"CR",
IF(OR(ISNUMBER(SEARCH("OPTICO",Inventario!B44)),ISNUMBER(SEARCH("OPTICOS",Inventario!B44)),ISNUMBER(SEARCH("OPTICA",Inventario!B44))),"OP",
IF(ISNUMBER(SEARCH("NANO",Inventario!B44)),"NA",
IF(ISNUMBER(SEARCH("5050",Inventario!B44)),"5050",
IF(ISNUMBER(SEARCH("MICRO",Inventario!B44)),"MI",""))))))</f>
        <v/>
      </c>
      <c r="C45" t="str">
        <f>IF(ISNUMBER(SEARCH("PARED",Inventario!B44)),"PAR",IF(ISNUMBER(SEARCH("MATE",Inventario!B44)),"MAT",
IF(ISNUMBER(SEARCH("FRONT",Inventario!B44)),"FRO",
IF(ISNUMBER(SEARCH("BACK",Inventario!B44)),"BAC",
IF(ISNUMBER(SEARCH("MESH",Inventario!B44)),"MES",
IF(OR(ISNUMBER(SEARCH("BRILLANTE",Inventario!B44)),ISNUMBER(SEARCH("BTE",Inventario!B44))),"BRI",
IF(ISNUMBER(SEARCH("SINTETICA DELGADA",Inventario!B44)),"SD",
IF(ISNUMBER(SEARCH("SINTETICA GRUESA",Inventario!B44)),"SG",
IF(ISNUMBER(SEARCH("ESTATICO",Inventario!B44)),"EST",
IF(ISNUMBER(SEARCH("FLOOR",Inventario!B44)),"FLO",
IF(ISNUMBER(SEARCH("REFLECTIVO",Inventario!B44)),"REF",
IF(ISNUMBER(SEARCH("MICROPERFORADO",Inventario!B44)),"MI",
IF(ISNUMBER(SEARCH("CEPILLADO",Inventario!B44)),"CEP",
IF(ISNUMBER(SEARCH("ESPEJO",Inventario!B44)),"ESP",
IF(OR(ISNUMBER(SEARCH("UNIDIODO",Inventario!B44)),ISNUMBER(SEARCH("1 DIODO",Inventario!B44))),"1D",
IF(ISNUMBER(SEARCH("2 DIODOS",Inventario!B44)),"2D",
IF(ISNUMBER(SEARCH("3 DIODOS",Inventario!B44)),"3D","")))))))))))))))))</f>
        <v>EST</v>
      </c>
      <c r="D45" t="str">
        <f>IF(ISNUMBER(SEARCH("LX700",Inventario!B44)),"LX7",
IF(ISNUMBER(SEARCH("GRANDO",Inventario!B44)),"GRA",
IF(OR(ISNUMBER(SEARCH("CAMA PLANA",Inventario!B44)),ISNUMBER(SEARCH("FB700",Inventario!B44))),"CP",
IF(ISNUMBER(SEARCH("LX360",Inventario!B44)),"LX3",
IF(ISNUMBER(SEARCH("XEROX",Inventario!B44)),"XER",
IF(ISNUMBER(SEARCH("18 OZ",Inventario!B44)),"18OZ",
IF(ISNUMBER(SEARCH("15 OZ",Inventario!B44)),"15OZ",
IF(OR(ISNUMBER(SEARCH("13 OZ",Inventario!B44)),ISNUMBER(SEARCH("13 ONZAS",Inventario!B44))),"13OZ",
IF(OR(ISNUMBER(SEARCH("9 OZ",Inventario!B44)),ISNUMBER(SEARCH("9 ONZAS",Inventario!B44))),"09OZ","")))))))))</f>
        <v/>
      </c>
      <c r="E45" t="str">
        <f>IF(OR(ISNUMBER(SEARCH("TRANSPARENTE",Inventario!B44)),ISNUMBER(SEARCH("TRANSPARENTES",Inventario!B44))),"TR",
IF(OR(ISNUMBER(SEARCH("BLANCO",Inventario!B44)),ISNUMBER(SEARCH("BCO",Inventario!B44))),"BL",
IF(ISNUMBER(SEARCH("VERDE",Inventario!B44)),"VR",
IF(ISNUMBER(SEARCH("MORADO",Inventario!B44)),"MR",
IF(ISNUMBER(SEARCH("PLATA",Inventario!B44)),"PL",
IF(ISNUMBER(SEARCH("ORO",Inventario!B44)),"OR",
IF(ISNUMBER(SEARCH("AMARILLO",Inventario!B44)),"AM",
IF(ISNUMBER(SEARCH("NARANJA",Inventario!B44)),"NR",
IF(ISNUMBER(SEARCH("NEGRO",Inventario!B44)),"NG",
IF(ISNUMBER(SEARCH("ROJO",Inventario!B44)),"RJ",
IF(ISNUMBER(SEARCH("AZUL",Inventario!B44)),"AZ","")))))))))))</f>
        <v>BL</v>
      </c>
      <c r="F45" t="str">
        <f>IF(ISNUMBER(SEARCH("1,2 MM",Inventario!B44)),"1MM2",
IF(OR(ISNUMBER(SEARCH("2 MM",Inventario!B44)),ISNUMBER(SEARCH("2MM",Inventario!B44))),"2MM",
IF(OR(ISNUMBER(SEARCH("3 MM",Inventario!B44)),ISNUMBER(SEARCH("3MM",Inventario!B44))),"3MM",
IF(OR(ISNUMBER(SEARCH("4 MM",Inventario!B44)),ISNUMBER(SEARCH("4MM",Inventario!B44)),ISNUMBER(SEARCH("4 mm",Inventario!B44))),"4MM",
IF(OR(ISNUMBER(SEARCH("5 MM",Inventario!B44)),ISNUMBER(SEARCH("5MM",Inventario!B44))),"5MM",
IF(OR(ISNUMBER(SEARCH("6 MM",Inventario!B44)),ISNUMBER(SEARCH("6MM",Inventario!B44))),"6MM",
IF(OR(ISNUMBER(SEARCH("10 MM",Inventario!B44)),ISNUMBER(SEARCH("10MM",Inventario!B44))),"10MM","")))))))</f>
        <v/>
      </c>
      <c r="G45" t="str">
        <f>IF(ISNUMBER(SEARCH("ALTA RESISTENCIA",Inventario!B44)),"AR",IF(ISNUMBER(SEARCH("CAMPAÑA",Inventario!B44)),"CA",
IF(OR(ISNUMBER(SEARCH("CALIDO",Inventario!B44)),ISNUMBER(SEARCH("CÁLIDO",Inventario!B44))),"C",
IF(OR(ISNUMBER(SEARCH("TRASLUCIDO",Inventario!B44)),ISNUMBER(SEARCH("TRANSLUCIDO",Inventario!B44))),"TL",
IF(ISNUMBER(SEARCH("NEUTRO",Inventario!B44)),"N",
IF(ISNUMBER(SEARCH("FRIO",Inventario!B44)),"F",""))))))</f>
        <v/>
      </c>
      <c r="H45" t="str">
        <f>IF(ISNUMBER(SEARCH("SILED",Inventario!B44)),"SI",
IF(ISNUMBER(SEARCH("SYDEMEX",Inventario!B44)),"SY",
IF(ISNUMBER(SEARCH("ROHS",Inventario!B44)),"RO",
IF(ISNUMBER(SEARCH("RISHANG",Inventario!B44)),"RS",
IF(ISNUMBER(SEARCH("VYG",Inventario!B44)),"VYG",
IF(ISNUMBER(SEARCH("COLED",Inventario!B44)),"CO",""))))))</f>
        <v/>
      </c>
    </row>
    <row r="46" spans="1:8">
      <c r="A46" t="str">
        <f>IF(ISNUMBER(SEARCH("LONA",Inventario!B45)),"LON",
IF(ISNUMBER(SEARCH("VINIL",Inventario!B45)),"VIN",
IF(ISNUMBER(SEARCH("PANEL DE ALUMINIO COMPUESTO",Inventario!B45)),"PAN-ALU-COM",
IF(ISNUMBER(SEARCH("PVC",Inventario!B45)),"PVC",
IF(ISNUMBER(SEARCH("PAPEL",Inventario!B45)),"PAP",
IF(ISNUMBER(SEARCH("TELA",Inventario!B45)),"TEL",
IF(ISNUMBER(SEARCH("CARTULINA",Inventario!B45)),"CAR",
IF(OR(ISNUMBER(SEARCH("LAMINA",Inventario!B45)),ISNUMBER(SEARCH("LÁMINA",Inventario!B45))),"LAM",
IF(ISNUMBER(SEARCH("ESTIRENO",Inventario!B45)),"EST",
IF(ISNUMBER(SEARCH("FOAMBOARD",Inventario!B45)),"FOA",
IF(ISNUMBER(SEARCH("SOLVENTE",Inventario!B45)),"SOL",
IF(ISNUMBER(SEARCH("TINTA",Inventario!B45)),"TIN",
IF(ISNUMBER(SEARCH("ACRILICO",Inventario!B45)),"ACR",
IF(ISNUMBER(SEARCH("LED",Inventario!B45)),"LED",
IF(ISNUMBER(SEARCH("FUENTE",Inventario!B45)),"FUE",
IF(ISNUMBER(SEARCH("PETG",Inventario!B45)),"PET",
IF(ISNUMBER(SEARCH("ALUMINIO",Inventario!B45)),"ALU",
IF(ISNUMBER(SEARCH("CANAL",Inventario!B45)),"CAN",
IF(ISNUMBER(SEARCH("ESCUADRA",Inventario!B45)),"ESC",
IF(ISNUMBER(SEARCH("SOPORTE",Inventario!B45)),"SOP","OTR")
)))))))))))))))))))</f>
        <v>VIN</v>
      </c>
      <c r="B46" t="str">
        <f>IF(ISNUMBER(SEARCH("CORTE",Inventario!B45)),"COR",
IF(ISNUMBER(SEARCH("CRISTAL",Inventario!B45)),"CR",
IF(OR(ISNUMBER(SEARCH("OPTICO",Inventario!B45)),ISNUMBER(SEARCH("OPTICOS",Inventario!B45)),ISNUMBER(SEARCH("OPTICA",Inventario!B45))),"OP",
IF(ISNUMBER(SEARCH("NANO",Inventario!B45)),"NA",
IF(ISNUMBER(SEARCH("5050",Inventario!B45)),"5050",
IF(ISNUMBER(SEARCH("MICRO",Inventario!B45)),"MI",""))))))</f>
        <v/>
      </c>
      <c r="C46" t="str">
        <f>IF(ISNUMBER(SEARCH("PARED",Inventario!B45)),"PAR",IF(ISNUMBER(SEARCH("MATE",Inventario!B45)),"MAT",
IF(ISNUMBER(SEARCH("FRONT",Inventario!B45)),"FRO",
IF(ISNUMBER(SEARCH("BACK",Inventario!B45)),"BAC",
IF(ISNUMBER(SEARCH("MESH",Inventario!B45)),"MES",
IF(OR(ISNUMBER(SEARCH("BRILLANTE",Inventario!B45)),ISNUMBER(SEARCH("BTE",Inventario!B45))),"BRI",
IF(ISNUMBER(SEARCH("SINTETICA DELGADA",Inventario!B45)),"SD",
IF(ISNUMBER(SEARCH("SINTETICA GRUESA",Inventario!B45)),"SG",
IF(ISNUMBER(SEARCH("ESTATICO",Inventario!B45)),"EST",
IF(ISNUMBER(SEARCH("FLOOR",Inventario!B45)),"FLO",
IF(ISNUMBER(SEARCH("REFLECTIVO",Inventario!B45)),"REF",
IF(ISNUMBER(SEARCH("MICROPERFORADO",Inventario!B45)),"MI",
IF(ISNUMBER(SEARCH("CEPILLADO",Inventario!B45)),"CEP",
IF(ISNUMBER(SEARCH("ESPEJO",Inventario!B45)),"ESP",
IF(OR(ISNUMBER(SEARCH("UNIDIODO",Inventario!B45)),ISNUMBER(SEARCH("1 DIODO",Inventario!B45))),"1D",
IF(ISNUMBER(SEARCH("2 DIODOS",Inventario!B45)),"2D",
IF(ISNUMBER(SEARCH("3 DIODOS",Inventario!B45)),"3D","")))))))))))))))))</f>
        <v>EST</v>
      </c>
      <c r="D46" t="str">
        <f>IF(ISNUMBER(SEARCH("LX700",Inventario!B45)),"LX7",
IF(ISNUMBER(SEARCH("GRANDO",Inventario!B45)),"GRA",
IF(OR(ISNUMBER(SEARCH("CAMA PLANA",Inventario!B45)),ISNUMBER(SEARCH("FB700",Inventario!B45))),"CP",
IF(ISNUMBER(SEARCH("LX360",Inventario!B45)),"LX3",
IF(ISNUMBER(SEARCH("XEROX",Inventario!B45)),"XER",
IF(ISNUMBER(SEARCH("18 OZ",Inventario!B45)),"18OZ",
IF(ISNUMBER(SEARCH("15 OZ",Inventario!B45)),"15OZ",
IF(OR(ISNUMBER(SEARCH("13 OZ",Inventario!B45)),ISNUMBER(SEARCH("13 ONZAS",Inventario!B45))),"13OZ",
IF(OR(ISNUMBER(SEARCH("9 OZ",Inventario!B45)),ISNUMBER(SEARCH("9 ONZAS",Inventario!B45))),"09OZ","")))))))))</f>
        <v/>
      </c>
      <c r="E46" t="str">
        <f>IF(OR(ISNUMBER(SEARCH("TRANSPARENTE",Inventario!B45)),ISNUMBER(SEARCH("TRANSPARENTES",Inventario!B45))),"TR",
IF(OR(ISNUMBER(SEARCH("BLANCO",Inventario!B45)),ISNUMBER(SEARCH("BCO",Inventario!B45))),"BL",
IF(ISNUMBER(SEARCH("VERDE",Inventario!B45)),"VR",
IF(ISNUMBER(SEARCH("MORADO",Inventario!B45)),"MR",
IF(ISNUMBER(SEARCH("PLATA",Inventario!B45)),"PL",
IF(ISNUMBER(SEARCH("ORO",Inventario!B45)),"OR",
IF(ISNUMBER(SEARCH("AMARILLO",Inventario!B45)),"AM",
IF(ISNUMBER(SEARCH("NARANJA",Inventario!B45)),"NR",
IF(ISNUMBER(SEARCH("NEGRO",Inventario!B45)),"NG",
IF(ISNUMBER(SEARCH("ROJO",Inventario!B45)),"RJ",
IF(ISNUMBER(SEARCH("AZUL",Inventario!B45)),"AZ","")))))))))))</f>
        <v>BL</v>
      </c>
      <c r="F46" t="str">
        <f>IF(ISNUMBER(SEARCH("1,2 MM",Inventario!B45)),"1MM2",
IF(OR(ISNUMBER(SEARCH("2 MM",Inventario!B45)),ISNUMBER(SEARCH("2MM",Inventario!B45))),"2MM",
IF(OR(ISNUMBER(SEARCH("3 MM",Inventario!B45)),ISNUMBER(SEARCH("3MM",Inventario!B45))),"3MM",
IF(OR(ISNUMBER(SEARCH("4 MM",Inventario!B45)),ISNUMBER(SEARCH("4MM",Inventario!B45)),ISNUMBER(SEARCH("4 mm",Inventario!B45))),"4MM",
IF(OR(ISNUMBER(SEARCH("5 MM",Inventario!B45)),ISNUMBER(SEARCH("5MM",Inventario!B45))),"5MM",
IF(OR(ISNUMBER(SEARCH("6 MM",Inventario!B45)),ISNUMBER(SEARCH("6MM",Inventario!B45))),"6MM",
IF(OR(ISNUMBER(SEARCH("10 MM",Inventario!B45)),ISNUMBER(SEARCH("10MM",Inventario!B45))),"10MM","")))))))</f>
        <v/>
      </c>
      <c r="G46" t="str">
        <f>IF(ISNUMBER(SEARCH("ALTA RESISTENCIA",Inventario!B45)),"AR",IF(ISNUMBER(SEARCH("CAMPAÑA",Inventario!B45)),"CA",
IF(OR(ISNUMBER(SEARCH("CALIDO",Inventario!B45)),ISNUMBER(SEARCH("CÁLIDO",Inventario!B45))),"C",
IF(OR(ISNUMBER(SEARCH("TRASLUCIDO",Inventario!B45)),ISNUMBER(SEARCH("TRANSLUCIDO",Inventario!B45))),"TL",
IF(ISNUMBER(SEARCH("NEUTRO",Inventario!B45)),"N",
IF(ISNUMBER(SEARCH("FRIO",Inventario!B45)),"F",""))))))</f>
        <v/>
      </c>
      <c r="H46" t="str">
        <f>IF(ISNUMBER(SEARCH("SILED",Inventario!B45)),"SI",
IF(ISNUMBER(SEARCH("SYDEMEX",Inventario!B45)),"SY",
IF(ISNUMBER(SEARCH("ROHS",Inventario!B45)),"RO",
IF(ISNUMBER(SEARCH("RISHANG",Inventario!B45)),"RS",
IF(ISNUMBER(SEARCH("VYG",Inventario!B45)),"VYG",
IF(ISNUMBER(SEARCH("COLED",Inventario!B45)),"CO",""))))))</f>
        <v/>
      </c>
    </row>
    <row r="47" spans="1:8">
      <c r="A47" t="str">
        <f>IF(ISNUMBER(SEARCH("LONA",Inventario!B46)),"LON",
IF(ISNUMBER(SEARCH("VINIL",Inventario!B46)),"VIN",
IF(ISNUMBER(SEARCH("PANEL DE ALUMINIO COMPUESTO",Inventario!B46)),"PAN-ALU-COM",
IF(ISNUMBER(SEARCH("PVC",Inventario!B46)),"PVC",
IF(ISNUMBER(SEARCH("PAPEL",Inventario!B46)),"PAP",
IF(ISNUMBER(SEARCH("TELA",Inventario!B46)),"TEL",
IF(ISNUMBER(SEARCH("CARTULINA",Inventario!B46)),"CAR",
IF(OR(ISNUMBER(SEARCH("LAMINA",Inventario!B46)),ISNUMBER(SEARCH("LÁMINA",Inventario!B46))),"LAM",
IF(ISNUMBER(SEARCH("ESTIRENO",Inventario!B46)),"EST",
IF(ISNUMBER(SEARCH("FOAMBOARD",Inventario!B46)),"FOA",
IF(ISNUMBER(SEARCH("SOLVENTE",Inventario!B46)),"SOL",
IF(ISNUMBER(SEARCH("TINTA",Inventario!B46)),"TIN",
IF(ISNUMBER(SEARCH("ACRILICO",Inventario!B46)),"ACR",
IF(ISNUMBER(SEARCH("LED",Inventario!B46)),"LED",
IF(ISNUMBER(SEARCH("FUENTE",Inventario!B46)),"FUE",
IF(ISNUMBER(SEARCH("PETG",Inventario!B46)),"PET",
IF(ISNUMBER(SEARCH("ALUMINIO",Inventario!B46)),"ALU",
IF(ISNUMBER(SEARCH("CANAL",Inventario!B46)),"CAN",
IF(ISNUMBER(SEARCH("ESCUADRA",Inventario!B46)),"ESC",
IF(ISNUMBER(SEARCH("SOPORTE",Inventario!B46)),"SOP","OTR")
)))))))))))))))))))</f>
        <v>VIN</v>
      </c>
      <c r="B47" t="str">
        <f>IF(ISNUMBER(SEARCH("CORTE",Inventario!B46)),"COR",
IF(ISNUMBER(SEARCH("CRISTAL",Inventario!B46)),"CR",
IF(OR(ISNUMBER(SEARCH("OPTICO",Inventario!B46)),ISNUMBER(SEARCH("OPTICOS",Inventario!B46)),ISNUMBER(SEARCH("OPTICA",Inventario!B46))),"OP",
IF(ISNUMBER(SEARCH("NANO",Inventario!B46)),"NA",
IF(ISNUMBER(SEARCH("5050",Inventario!B46)),"5050",
IF(ISNUMBER(SEARCH("MICRO",Inventario!B46)),"MI",""))))))</f>
        <v/>
      </c>
      <c r="C47" t="str">
        <f>IF(ISNUMBER(SEARCH("PARED",Inventario!B46)),"PAR",IF(ISNUMBER(SEARCH("MATE",Inventario!B46)),"MAT",
IF(ISNUMBER(SEARCH("FRONT",Inventario!B46)),"FRO",
IF(ISNUMBER(SEARCH("BACK",Inventario!B46)),"BAC",
IF(ISNUMBER(SEARCH("MESH",Inventario!B46)),"MES",
IF(OR(ISNUMBER(SEARCH("BRILLANTE",Inventario!B46)),ISNUMBER(SEARCH("BTE",Inventario!B46))),"BRI",
IF(ISNUMBER(SEARCH("SINTETICA DELGADA",Inventario!B46)),"SD",
IF(ISNUMBER(SEARCH("SINTETICA GRUESA",Inventario!B46)),"SG",
IF(ISNUMBER(SEARCH("ESTATICO",Inventario!B46)),"EST",
IF(ISNUMBER(SEARCH("FLOOR",Inventario!B46)),"FLO",
IF(ISNUMBER(SEARCH("REFLECTIVO",Inventario!B46)),"REF",
IF(ISNUMBER(SEARCH("MICROPERFORADO",Inventario!B46)),"MI",
IF(ISNUMBER(SEARCH("CEPILLADO",Inventario!B46)),"CEP",
IF(ISNUMBER(SEARCH("ESPEJO",Inventario!B46)),"ESP",
IF(OR(ISNUMBER(SEARCH("UNIDIODO",Inventario!B46)),ISNUMBER(SEARCH("1 DIODO",Inventario!B46))),"1D",
IF(ISNUMBER(SEARCH("2 DIODOS",Inventario!B46)),"2D",
IF(ISNUMBER(SEARCH("3 DIODOS",Inventario!B46)),"3D","")))))))))))))))))</f>
        <v>EST</v>
      </c>
      <c r="D47" t="str">
        <f>IF(ISNUMBER(SEARCH("LX700",Inventario!B46)),"LX7",
IF(ISNUMBER(SEARCH("GRANDO",Inventario!B46)),"GRA",
IF(OR(ISNUMBER(SEARCH("CAMA PLANA",Inventario!B46)),ISNUMBER(SEARCH("FB700",Inventario!B46))),"CP",
IF(ISNUMBER(SEARCH("LX360",Inventario!B46)),"LX3",
IF(ISNUMBER(SEARCH("XEROX",Inventario!B46)),"XER",
IF(ISNUMBER(SEARCH("18 OZ",Inventario!B46)),"18OZ",
IF(ISNUMBER(SEARCH("15 OZ",Inventario!B46)),"15OZ",
IF(OR(ISNUMBER(SEARCH("13 OZ",Inventario!B46)),ISNUMBER(SEARCH("13 ONZAS",Inventario!B46))),"13OZ",
IF(OR(ISNUMBER(SEARCH("9 OZ",Inventario!B46)),ISNUMBER(SEARCH("9 ONZAS",Inventario!B46))),"09OZ","")))))))))</f>
        <v/>
      </c>
      <c r="E47" t="str">
        <f>IF(OR(ISNUMBER(SEARCH("TRANSPARENTE",Inventario!B46)),ISNUMBER(SEARCH("TRANSPARENTES",Inventario!B46))),"TR",
IF(OR(ISNUMBER(SEARCH("BLANCO",Inventario!B46)),ISNUMBER(SEARCH("BCO",Inventario!B46))),"BL",
IF(ISNUMBER(SEARCH("VERDE",Inventario!B46)),"VR",
IF(ISNUMBER(SEARCH("MORADO",Inventario!B46)),"MR",
IF(ISNUMBER(SEARCH("PLATA",Inventario!B46)),"PL",
IF(ISNUMBER(SEARCH("ORO",Inventario!B46)),"OR",
IF(ISNUMBER(SEARCH("AMARILLO",Inventario!B46)),"AM",
IF(ISNUMBER(SEARCH("NARANJA",Inventario!B46)),"NR",
IF(ISNUMBER(SEARCH("NEGRO",Inventario!B46)),"NG",
IF(ISNUMBER(SEARCH("ROJO",Inventario!B46)),"RJ",
IF(ISNUMBER(SEARCH("AZUL",Inventario!B46)),"AZ","")))))))))))</f>
        <v>BL</v>
      </c>
      <c r="F47" t="str">
        <f>IF(ISNUMBER(SEARCH("1,2 MM",Inventario!B46)),"1MM2",
IF(OR(ISNUMBER(SEARCH("2 MM",Inventario!B46)),ISNUMBER(SEARCH("2MM",Inventario!B46))),"2MM",
IF(OR(ISNUMBER(SEARCH("3 MM",Inventario!B46)),ISNUMBER(SEARCH("3MM",Inventario!B46))),"3MM",
IF(OR(ISNUMBER(SEARCH("4 MM",Inventario!B46)),ISNUMBER(SEARCH("4MM",Inventario!B46)),ISNUMBER(SEARCH("4 mm",Inventario!B46))),"4MM",
IF(OR(ISNUMBER(SEARCH("5 MM",Inventario!B46)),ISNUMBER(SEARCH("5MM",Inventario!B46))),"5MM",
IF(OR(ISNUMBER(SEARCH("6 MM",Inventario!B46)),ISNUMBER(SEARCH("6MM",Inventario!B46))),"6MM",
IF(OR(ISNUMBER(SEARCH("10 MM",Inventario!B46)),ISNUMBER(SEARCH("10MM",Inventario!B46))),"10MM","")))))))</f>
        <v/>
      </c>
      <c r="G47" t="str">
        <f>IF(ISNUMBER(SEARCH("ALTA RESISTENCIA",Inventario!B46)),"AR",IF(ISNUMBER(SEARCH("CAMPAÑA",Inventario!B46)),"CA",
IF(OR(ISNUMBER(SEARCH("CALIDO",Inventario!B46)),ISNUMBER(SEARCH("CÁLIDO",Inventario!B46))),"C",
IF(OR(ISNUMBER(SEARCH("TRASLUCIDO",Inventario!B46)),ISNUMBER(SEARCH("TRANSLUCIDO",Inventario!B46))),"TL",
IF(ISNUMBER(SEARCH("NEUTRO",Inventario!B46)),"N",
IF(ISNUMBER(SEARCH("FRIO",Inventario!B46)),"F",""))))))</f>
        <v/>
      </c>
      <c r="H47" t="str">
        <f>IF(ISNUMBER(SEARCH("SILED",Inventario!B46)),"SI",
IF(ISNUMBER(SEARCH("SYDEMEX",Inventario!B46)),"SY",
IF(ISNUMBER(SEARCH("ROHS",Inventario!B46)),"RO",
IF(ISNUMBER(SEARCH("RISHANG",Inventario!B46)),"RS",
IF(ISNUMBER(SEARCH("VYG",Inventario!B46)),"VYG",
IF(ISNUMBER(SEARCH("COLED",Inventario!B46)),"CO",""))))))</f>
        <v/>
      </c>
    </row>
    <row r="48" spans="1:8">
      <c r="A48" t="str">
        <f>IF(ISNUMBER(SEARCH("LONA",Inventario!B47)),"LON",
IF(ISNUMBER(SEARCH("VINIL",Inventario!B47)),"VIN",
IF(ISNUMBER(SEARCH("PANEL DE ALUMINIO COMPUESTO",Inventario!B47)),"PAN-ALU-COM",
IF(ISNUMBER(SEARCH("PVC",Inventario!B47)),"PVC",
IF(ISNUMBER(SEARCH("PAPEL",Inventario!B47)),"PAP",
IF(ISNUMBER(SEARCH("TELA",Inventario!B47)),"TEL",
IF(ISNUMBER(SEARCH("CARTULINA",Inventario!B47)),"CAR",
IF(OR(ISNUMBER(SEARCH("LAMINA",Inventario!B47)),ISNUMBER(SEARCH("LÁMINA",Inventario!B47))),"LAM",
IF(ISNUMBER(SEARCH("ESTIRENO",Inventario!B47)),"EST",
IF(ISNUMBER(SEARCH("FOAMBOARD",Inventario!B47)),"FOA",
IF(ISNUMBER(SEARCH("SOLVENTE",Inventario!B47)),"SOL",
IF(ISNUMBER(SEARCH("TINTA",Inventario!B47)),"TIN",
IF(ISNUMBER(SEARCH("ACRILICO",Inventario!B47)),"ACR",
IF(ISNUMBER(SEARCH("LED",Inventario!B47)),"LED",
IF(ISNUMBER(SEARCH("FUENTE",Inventario!B47)),"FUE",
IF(ISNUMBER(SEARCH("PETG",Inventario!B47)),"PET",
IF(ISNUMBER(SEARCH("ALUMINIO",Inventario!B47)),"ALU",
IF(ISNUMBER(SEARCH("CANAL",Inventario!B47)),"CAN",
IF(ISNUMBER(SEARCH("ESCUADRA",Inventario!B47)),"ESC",
IF(ISNUMBER(SEARCH("SOPORTE",Inventario!B47)),"SOP","OTR")
)))))))))))))))))))</f>
        <v>VIN</v>
      </c>
      <c r="B48" t="str">
        <f>IF(ISNUMBER(SEARCH("CORTE",Inventario!B47)),"COR",
IF(ISNUMBER(SEARCH("CRISTAL",Inventario!B47)),"CR",
IF(OR(ISNUMBER(SEARCH("OPTICO",Inventario!B47)),ISNUMBER(SEARCH("OPTICOS",Inventario!B47)),ISNUMBER(SEARCH("OPTICA",Inventario!B47))),"OP",
IF(ISNUMBER(SEARCH("NANO",Inventario!B47)),"NA",
IF(ISNUMBER(SEARCH("5050",Inventario!B47)),"5050",
IF(ISNUMBER(SEARCH("MICRO",Inventario!B47)),"MI",""))))))</f>
        <v/>
      </c>
      <c r="C48" t="str">
        <f>IF(ISNUMBER(SEARCH("PARED",Inventario!B47)),"PAR",IF(ISNUMBER(SEARCH("MATE",Inventario!B47)),"MAT",
IF(ISNUMBER(SEARCH("FRONT",Inventario!B47)),"FRO",
IF(ISNUMBER(SEARCH("BACK",Inventario!B47)),"BAC",
IF(ISNUMBER(SEARCH("MESH",Inventario!B47)),"MES",
IF(OR(ISNUMBER(SEARCH("BRILLANTE",Inventario!B47)),ISNUMBER(SEARCH("BTE",Inventario!B47))),"BRI",
IF(ISNUMBER(SEARCH("SINTETICA DELGADA",Inventario!B47)),"SD",
IF(ISNUMBER(SEARCH("SINTETICA GRUESA",Inventario!B47)),"SG",
IF(ISNUMBER(SEARCH("ESTATICO",Inventario!B47)),"EST",
IF(ISNUMBER(SEARCH("FLOOR",Inventario!B47)),"FLO",
IF(ISNUMBER(SEARCH("REFLECTIVO",Inventario!B47)),"REF",
IF(ISNUMBER(SEARCH("MICROPERFORADO",Inventario!B47)),"MI",
IF(ISNUMBER(SEARCH("CEPILLADO",Inventario!B47)),"CEP",
IF(ISNUMBER(SEARCH("ESPEJO",Inventario!B47)),"ESP",
IF(OR(ISNUMBER(SEARCH("UNIDIODO",Inventario!B47)),ISNUMBER(SEARCH("1 DIODO",Inventario!B47))),"1D",
IF(ISNUMBER(SEARCH("2 DIODOS",Inventario!B47)),"2D",
IF(ISNUMBER(SEARCH("3 DIODOS",Inventario!B47)),"3D","")))))))))))))))))</f>
        <v>EST</v>
      </c>
      <c r="D48" t="str">
        <f>IF(ISNUMBER(SEARCH("LX700",Inventario!B47)),"LX7",
IF(ISNUMBER(SEARCH("GRANDO",Inventario!B47)),"GRA",
IF(OR(ISNUMBER(SEARCH("CAMA PLANA",Inventario!B47)),ISNUMBER(SEARCH("FB700",Inventario!B47))),"CP",
IF(ISNUMBER(SEARCH("LX360",Inventario!B47)),"LX3",
IF(ISNUMBER(SEARCH("XEROX",Inventario!B47)),"XER",
IF(ISNUMBER(SEARCH("18 OZ",Inventario!B47)),"18OZ",
IF(ISNUMBER(SEARCH("15 OZ",Inventario!B47)),"15OZ",
IF(OR(ISNUMBER(SEARCH("13 OZ",Inventario!B47)),ISNUMBER(SEARCH("13 ONZAS",Inventario!B47))),"13OZ",
IF(OR(ISNUMBER(SEARCH("9 OZ",Inventario!B47)),ISNUMBER(SEARCH("9 ONZAS",Inventario!B47))),"09OZ","")))))))))</f>
        <v/>
      </c>
      <c r="E48" t="str">
        <f>IF(OR(ISNUMBER(SEARCH("TRANSPARENTE",Inventario!B47)),ISNUMBER(SEARCH("TRANSPARENTES",Inventario!B47))),"TR",
IF(OR(ISNUMBER(SEARCH("BLANCO",Inventario!B47)),ISNUMBER(SEARCH("BCO",Inventario!B47))),"BL",
IF(ISNUMBER(SEARCH("VERDE",Inventario!B47)),"VR",
IF(ISNUMBER(SEARCH("MORADO",Inventario!B47)),"MR",
IF(ISNUMBER(SEARCH("PLATA",Inventario!B47)),"PL",
IF(ISNUMBER(SEARCH("ORO",Inventario!B47)),"OR",
IF(ISNUMBER(SEARCH("AMARILLO",Inventario!B47)),"AM",
IF(ISNUMBER(SEARCH("NARANJA",Inventario!B47)),"NR",
IF(ISNUMBER(SEARCH("NEGRO",Inventario!B47)),"NG",
IF(ISNUMBER(SEARCH("ROJO",Inventario!B47)),"RJ",
IF(ISNUMBER(SEARCH("AZUL",Inventario!B47)),"AZ","")))))))))))</f>
        <v>TR</v>
      </c>
      <c r="F48" t="str">
        <f>IF(ISNUMBER(SEARCH("1,2 MM",Inventario!B47)),"1MM2",
IF(OR(ISNUMBER(SEARCH("2 MM",Inventario!B47)),ISNUMBER(SEARCH("2MM",Inventario!B47))),"2MM",
IF(OR(ISNUMBER(SEARCH("3 MM",Inventario!B47)),ISNUMBER(SEARCH("3MM",Inventario!B47))),"3MM",
IF(OR(ISNUMBER(SEARCH("4 MM",Inventario!B47)),ISNUMBER(SEARCH("4MM",Inventario!B47)),ISNUMBER(SEARCH("4 mm",Inventario!B47))),"4MM",
IF(OR(ISNUMBER(SEARCH("5 MM",Inventario!B47)),ISNUMBER(SEARCH("5MM",Inventario!B47))),"5MM",
IF(OR(ISNUMBER(SEARCH("6 MM",Inventario!B47)),ISNUMBER(SEARCH("6MM",Inventario!B47))),"6MM",
IF(OR(ISNUMBER(SEARCH("10 MM",Inventario!B47)),ISNUMBER(SEARCH("10MM",Inventario!B47))),"10MM","")))))))</f>
        <v/>
      </c>
      <c r="G48" t="str">
        <f>IF(ISNUMBER(SEARCH("ALTA RESISTENCIA",Inventario!B47)),"AR",IF(ISNUMBER(SEARCH("CAMPAÑA",Inventario!B47)),"CA",
IF(OR(ISNUMBER(SEARCH("CALIDO",Inventario!B47)),ISNUMBER(SEARCH("CÁLIDO",Inventario!B47))),"C",
IF(OR(ISNUMBER(SEARCH("TRASLUCIDO",Inventario!B47)),ISNUMBER(SEARCH("TRANSLUCIDO",Inventario!B47))),"TL",
IF(ISNUMBER(SEARCH("NEUTRO",Inventario!B47)),"N",
IF(ISNUMBER(SEARCH("FRIO",Inventario!B47)),"F",""))))))</f>
        <v/>
      </c>
      <c r="H48" t="str">
        <f>IF(ISNUMBER(SEARCH("SILED",Inventario!B47)),"SI",
IF(ISNUMBER(SEARCH("SYDEMEX",Inventario!B47)),"SY",
IF(ISNUMBER(SEARCH("ROHS",Inventario!B47)),"RO",
IF(ISNUMBER(SEARCH("RISHANG",Inventario!B47)),"RS",
IF(ISNUMBER(SEARCH("VYG",Inventario!B47)),"VYG",
IF(ISNUMBER(SEARCH("COLED",Inventario!B47)),"CO",""))))))</f>
        <v/>
      </c>
    </row>
    <row r="49" spans="1:8">
      <c r="A49" t="str">
        <f>IF(ISNUMBER(SEARCH("LONA",Inventario!B48)),"LON",
IF(ISNUMBER(SEARCH("VINIL",Inventario!B48)),"VIN",
IF(ISNUMBER(SEARCH("PANEL DE ALUMINIO COMPUESTO",Inventario!B48)),"PAN-ALU-COM",
IF(ISNUMBER(SEARCH("PVC",Inventario!B48)),"PVC",
IF(ISNUMBER(SEARCH("PAPEL",Inventario!B48)),"PAP",
IF(ISNUMBER(SEARCH("TELA",Inventario!B48)),"TEL",
IF(ISNUMBER(SEARCH("CARTULINA",Inventario!B48)),"CAR",
IF(OR(ISNUMBER(SEARCH("LAMINA",Inventario!B48)),ISNUMBER(SEARCH("LÁMINA",Inventario!B48))),"LAM",
IF(ISNUMBER(SEARCH("ESTIRENO",Inventario!B48)),"EST",
IF(ISNUMBER(SEARCH("FOAMBOARD",Inventario!B48)),"FOA",
IF(ISNUMBER(SEARCH("SOLVENTE",Inventario!B48)),"SOL",
IF(ISNUMBER(SEARCH("TINTA",Inventario!B48)),"TIN",
IF(ISNUMBER(SEARCH("ACRILICO",Inventario!B48)),"ACR",
IF(ISNUMBER(SEARCH("LED",Inventario!B48)),"LED",
IF(ISNUMBER(SEARCH("FUENTE",Inventario!B48)),"FUE",
IF(ISNUMBER(SEARCH("PETG",Inventario!B48)),"PET",
IF(ISNUMBER(SEARCH("ALUMINIO",Inventario!B48)),"ALU",
IF(ISNUMBER(SEARCH("CANAL",Inventario!B48)),"CAN",
IF(ISNUMBER(SEARCH("ESCUADRA",Inventario!B48)),"ESC",
IF(ISNUMBER(SEARCH("SOPORTE",Inventario!B48)),"SOP","OTR")
)))))))))))))))))))</f>
        <v>VIN</v>
      </c>
      <c r="B49" t="str">
        <f>IF(ISNUMBER(SEARCH("CORTE",Inventario!B48)),"COR",
IF(ISNUMBER(SEARCH("CRISTAL",Inventario!B48)),"CR",
IF(OR(ISNUMBER(SEARCH("OPTICO",Inventario!B48)),ISNUMBER(SEARCH("OPTICOS",Inventario!B48)),ISNUMBER(SEARCH("OPTICA",Inventario!B48))),"OP",
IF(ISNUMBER(SEARCH("NANO",Inventario!B48)),"NA",
IF(ISNUMBER(SEARCH("5050",Inventario!B48)),"5050",
IF(ISNUMBER(SEARCH("MICRO",Inventario!B48)),"MI",""))))))</f>
        <v/>
      </c>
      <c r="C49" t="str">
        <f>IF(ISNUMBER(SEARCH("PARED",Inventario!B48)),"PAR",IF(ISNUMBER(SEARCH("MATE",Inventario!B48)),"MAT",
IF(ISNUMBER(SEARCH("FRONT",Inventario!B48)),"FRO",
IF(ISNUMBER(SEARCH("BACK",Inventario!B48)),"BAC",
IF(ISNUMBER(SEARCH("MESH",Inventario!B48)),"MES",
IF(OR(ISNUMBER(SEARCH("BRILLANTE",Inventario!B48)),ISNUMBER(SEARCH("BTE",Inventario!B48))),"BRI",
IF(ISNUMBER(SEARCH("SINTETICA DELGADA",Inventario!B48)),"SD",
IF(ISNUMBER(SEARCH("SINTETICA GRUESA",Inventario!B48)),"SG",
IF(ISNUMBER(SEARCH("ESTATICO",Inventario!B48)),"EST",
IF(ISNUMBER(SEARCH("FLOOR",Inventario!B48)),"FLO",
IF(ISNUMBER(SEARCH("REFLECTIVO",Inventario!B48)),"REF",
IF(ISNUMBER(SEARCH("MICROPERFORADO",Inventario!B48)),"MI",
IF(ISNUMBER(SEARCH("CEPILLADO",Inventario!B48)),"CEP",
IF(ISNUMBER(SEARCH("ESPEJO",Inventario!B48)),"ESP",
IF(OR(ISNUMBER(SEARCH("UNIDIODO",Inventario!B48)),ISNUMBER(SEARCH("1 DIODO",Inventario!B48))),"1D",
IF(ISNUMBER(SEARCH("2 DIODOS",Inventario!B48)),"2D",
IF(ISNUMBER(SEARCH("3 DIODOS",Inventario!B48)),"3D","")))))))))))))))))</f>
        <v>EST</v>
      </c>
      <c r="D49" t="str">
        <f>IF(ISNUMBER(SEARCH("LX700",Inventario!B48)),"LX7",
IF(ISNUMBER(SEARCH("GRANDO",Inventario!B48)),"GRA",
IF(OR(ISNUMBER(SEARCH("CAMA PLANA",Inventario!B48)),ISNUMBER(SEARCH("FB700",Inventario!B48))),"CP",
IF(ISNUMBER(SEARCH("LX360",Inventario!B48)),"LX3",
IF(ISNUMBER(SEARCH("XEROX",Inventario!B48)),"XER",
IF(ISNUMBER(SEARCH("18 OZ",Inventario!B48)),"18OZ",
IF(ISNUMBER(SEARCH("15 OZ",Inventario!B48)),"15OZ",
IF(OR(ISNUMBER(SEARCH("13 OZ",Inventario!B48)),ISNUMBER(SEARCH("13 ONZAS",Inventario!B48))),"13OZ",
IF(OR(ISNUMBER(SEARCH("9 OZ",Inventario!B48)),ISNUMBER(SEARCH("9 ONZAS",Inventario!B48))),"09OZ","")))))))))</f>
        <v/>
      </c>
      <c r="E49" t="str">
        <f>IF(OR(ISNUMBER(SEARCH("TRANSPARENTE",Inventario!B48)),ISNUMBER(SEARCH("TRANSPARENTES",Inventario!B48))),"TR",
IF(OR(ISNUMBER(SEARCH("BLANCO",Inventario!B48)),ISNUMBER(SEARCH("BCO",Inventario!B48))),"BL",
IF(ISNUMBER(SEARCH("VERDE",Inventario!B48)),"VR",
IF(ISNUMBER(SEARCH("MORADO",Inventario!B48)),"MR",
IF(ISNUMBER(SEARCH("PLATA",Inventario!B48)),"PL",
IF(ISNUMBER(SEARCH("ORO",Inventario!B48)),"OR",
IF(ISNUMBER(SEARCH("AMARILLO",Inventario!B48)),"AM",
IF(ISNUMBER(SEARCH("NARANJA",Inventario!B48)),"NR",
IF(ISNUMBER(SEARCH("NEGRO",Inventario!B48)),"NG",
IF(ISNUMBER(SEARCH("ROJO",Inventario!B48)),"RJ",
IF(ISNUMBER(SEARCH("AZUL",Inventario!B48)),"AZ","")))))))))))</f>
        <v>TR</v>
      </c>
      <c r="F49" t="str">
        <f>IF(ISNUMBER(SEARCH("1,2 MM",Inventario!B48)),"1MM2",
IF(OR(ISNUMBER(SEARCH("2 MM",Inventario!B48)),ISNUMBER(SEARCH("2MM",Inventario!B48))),"2MM",
IF(OR(ISNUMBER(SEARCH("3 MM",Inventario!B48)),ISNUMBER(SEARCH("3MM",Inventario!B48))),"3MM",
IF(OR(ISNUMBER(SEARCH("4 MM",Inventario!B48)),ISNUMBER(SEARCH("4MM",Inventario!B48)),ISNUMBER(SEARCH("4 mm",Inventario!B48))),"4MM",
IF(OR(ISNUMBER(SEARCH("5 MM",Inventario!B48)),ISNUMBER(SEARCH("5MM",Inventario!B48))),"5MM",
IF(OR(ISNUMBER(SEARCH("6 MM",Inventario!B48)),ISNUMBER(SEARCH("6MM",Inventario!B48))),"6MM",
IF(OR(ISNUMBER(SEARCH("10 MM",Inventario!B48)),ISNUMBER(SEARCH("10MM",Inventario!B48))),"10MM","")))))))</f>
        <v/>
      </c>
      <c r="G49" t="str">
        <f>IF(ISNUMBER(SEARCH("ALTA RESISTENCIA",Inventario!B48)),"AR",IF(ISNUMBER(SEARCH("CAMPAÑA",Inventario!B48)),"CA",
IF(OR(ISNUMBER(SEARCH("CALIDO",Inventario!B48)),ISNUMBER(SEARCH("CÁLIDO",Inventario!B48))),"C",
IF(OR(ISNUMBER(SEARCH("TRASLUCIDO",Inventario!B48)),ISNUMBER(SEARCH("TRANSLUCIDO",Inventario!B48))),"TL",
IF(ISNUMBER(SEARCH("NEUTRO",Inventario!B48)),"N",
IF(ISNUMBER(SEARCH("FRIO",Inventario!B48)),"F",""))))))</f>
        <v/>
      </c>
      <c r="H49" t="str">
        <f>IF(ISNUMBER(SEARCH("SILED",Inventario!B48)),"SI",
IF(ISNUMBER(SEARCH("SYDEMEX",Inventario!B48)),"SY",
IF(ISNUMBER(SEARCH("ROHS",Inventario!B48)),"RO",
IF(ISNUMBER(SEARCH("RISHANG",Inventario!B48)),"RS",
IF(ISNUMBER(SEARCH("VYG",Inventario!B48)),"VYG",
IF(ISNUMBER(SEARCH("COLED",Inventario!B48)),"CO",""))))))</f>
        <v/>
      </c>
    </row>
    <row r="50" spans="1:8">
      <c r="A50" t="str">
        <f>IF(ISNUMBER(SEARCH("LONA",Inventario!B49)),"LON",
IF(ISNUMBER(SEARCH("VINIL",Inventario!B49)),"VIN",
IF(ISNUMBER(SEARCH("PANEL DE ALUMINIO COMPUESTO",Inventario!B49)),"PAN-ALU-COM",
IF(ISNUMBER(SEARCH("PVC",Inventario!B49)),"PVC",
IF(ISNUMBER(SEARCH("PAPEL",Inventario!B49)),"PAP",
IF(ISNUMBER(SEARCH("TELA",Inventario!B49)),"TEL",
IF(ISNUMBER(SEARCH("CARTULINA",Inventario!B49)),"CAR",
IF(OR(ISNUMBER(SEARCH("LAMINA",Inventario!B49)),ISNUMBER(SEARCH("LÁMINA",Inventario!B49))),"LAM",
IF(ISNUMBER(SEARCH("ESTIRENO",Inventario!B49)),"EST",
IF(ISNUMBER(SEARCH("FOAMBOARD",Inventario!B49)),"FOA",
IF(ISNUMBER(SEARCH("SOLVENTE",Inventario!B49)),"SOL",
IF(ISNUMBER(SEARCH("TINTA",Inventario!B49)),"TIN",
IF(ISNUMBER(SEARCH("ACRILICO",Inventario!B49)),"ACR",
IF(ISNUMBER(SEARCH("LED",Inventario!B49)),"LED",
IF(ISNUMBER(SEARCH("FUENTE",Inventario!B49)),"FUE",
IF(ISNUMBER(SEARCH("PETG",Inventario!B49)),"PET",
IF(ISNUMBER(SEARCH("ALUMINIO",Inventario!B49)),"ALU",
IF(ISNUMBER(SEARCH("CANAL",Inventario!B49)),"CAN",
IF(ISNUMBER(SEARCH("ESCUADRA",Inventario!B49)),"ESC",
IF(ISNUMBER(SEARCH("SOPORTE",Inventario!B49)),"SOP","OTR")
)))))))))))))))))))</f>
        <v>VIN</v>
      </c>
      <c r="B50" t="str">
        <f>IF(ISNUMBER(SEARCH("CORTE",Inventario!B49)),"COR",
IF(ISNUMBER(SEARCH("CRISTAL",Inventario!B49)),"CR",
IF(OR(ISNUMBER(SEARCH("OPTICO",Inventario!B49)),ISNUMBER(SEARCH("OPTICOS",Inventario!B49)),ISNUMBER(SEARCH("OPTICA",Inventario!B49))),"OP",
IF(ISNUMBER(SEARCH("NANO",Inventario!B49)),"NA",
IF(ISNUMBER(SEARCH("5050",Inventario!B49)),"5050",
IF(ISNUMBER(SEARCH("MICRO",Inventario!B49)),"MI",""))))))</f>
        <v/>
      </c>
      <c r="C50" t="str">
        <f>IF(ISNUMBER(SEARCH("PARED",Inventario!B49)),"PAR",IF(ISNUMBER(SEARCH("MATE",Inventario!B49)),"MAT",
IF(ISNUMBER(SEARCH("FRONT",Inventario!B49)),"FRO",
IF(ISNUMBER(SEARCH("BACK",Inventario!B49)),"BAC",
IF(ISNUMBER(SEARCH("MESH",Inventario!B49)),"MES",
IF(OR(ISNUMBER(SEARCH("BRILLANTE",Inventario!B49)),ISNUMBER(SEARCH("BTE",Inventario!B49))),"BRI",
IF(ISNUMBER(SEARCH("SINTETICA DELGADA",Inventario!B49)),"SD",
IF(ISNUMBER(SEARCH("SINTETICA GRUESA",Inventario!B49)),"SG",
IF(ISNUMBER(SEARCH("ESTATICO",Inventario!B49)),"EST",
IF(ISNUMBER(SEARCH("FLOOR",Inventario!B49)),"FLO",
IF(ISNUMBER(SEARCH("REFLECTIVO",Inventario!B49)),"REF",
IF(ISNUMBER(SEARCH("MICROPERFORADO",Inventario!B49)),"MI",
IF(ISNUMBER(SEARCH("CEPILLADO",Inventario!B49)),"CEP",
IF(ISNUMBER(SEARCH("ESPEJO",Inventario!B49)),"ESP",
IF(OR(ISNUMBER(SEARCH("UNIDIODO",Inventario!B49)),ISNUMBER(SEARCH("1 DIODO",Inventario!B49))),"1D",
IF(ISNUMBER(SEARCH("2 DIODOS",Inventario!B49)),"2D",
IF(ISNUMBER(SEARCH("3 DIODOS",Inventario!B49)),"3D","")))))))))))))))))</f>
        <v>FLO</v>
      </c>
      <c r="D50" t="str">
        <f>IF(ISNUMBER(SEARCH("LX700",Inventario!B49)),"LX7",
IF(ISNUMBER(SEARCH("GRANDO",Inventario!B49)),"GRA",
IF(OR(ISNUMBER(SEARCH("CAMA PLANA",Inventario!B49)),ISNUMBER(SEARCH("FB700",Inventario!B49))),"CP",
IF(ISNUMBER(SEARCH("LX360",Inventario!B49)),"LX3",
IF(ISNUMBER(SEARCH("XEROX",Inventario!B49)),"XER",
IF(ISNUMBER(SEARCH("18 OZ",Inventario!B49)),"18OZ",
IF(ISNUMBER(SEARCH("15 OZ",Inventario!B49)),"15OZ",
IF(OR(ISNUMBER(SEARCH("13 OZ",Inventario!B49)),ISNUMBER(SEARCH("13 ONZAS",Inventario!B49))),"13OZ",
IF(OR(ISNUMBER(SEARCH("9 OZ",Inventario!B49)),ISNUMBER(SEARCH("9 ONZAS",Inventario!B49))),"09OZ","")))))))))</f>
        <v/>
      </c>
      <c r="E50" t="str">
        <f>IF(OR(ISNUMBER(SEARCH("TRANSPARENTE",Inventario!B49)),ISNUMBER(SEARCH("TRANSPARENTES",Inventario!B49))),"TR",
IF(OR(ISNUMBER(SEARCH("BLANCO",Inventario!B49)),ISNUMBER(SEARCH("BCO",Inventario!B49))),"BL",
IF(ISNUMBER(SEARCH("VERDE",Inventario!B49)),"VR",
IF(ISNUMBER(SEARCH("MORADO",Inventario!B49)),"MR",
IF(ISNUMBER(SEARCH("PLATA",Inventario!B49)),"PL",
IF(ISNUMBER(SEARCH("ORO",Inventario!B49)),"OR",
IF(ISNUMBER(SEARCH("AMARILLO",Inventario!B49)),"AM",
IF(ISNUMBER(SEARCH("NARANJA",Inventario!B49)),"NR",
IF(ISNUMBER(SEARCH("NEGRO",Inventario!B49)),"NG",
IF(ISNUMBER(SEARCH("ROJO",Inventario!B49)),"RJ",
IF(ISNUMBER(SEARCH("AZUL",Inventario!B49)),"AZ","")))))))))))</f>
        <v/>
      </c>
      <c r="F50" t="str">
        <f>IF(ISNUMBER(SEARCH("1,2 MM",Inventario!B49)),"1MM2",
IF(OR(ISNUMBER(SEARCH("2 MM",Inventario!B49)),ISNUMBER(SEARCH("2MM",Inventario!B49))),"2MM",
IF(OR(ISNUMBER(SEARCH("3 MM",Inventario!B49)),ISNUMBER(SEARCH("3MM",Inventario!B49))),"3MM",
IF(OR(ISNUMBER(SEARCH("4 MM",Inventario!B49)),ISNUMBER(SEARCH("4MM",Inventario!B49)),ISNUMBER(SEARCH("4 mm",Inventario!B49))),"4MM",
IF(OR(ISNUMBER(SEARCH("5 MM",Inventario!B49)),ISNUMBER(SEARCH("5MM",Inventario!B49))),"5MM",
IF(OR(ISNUMBER(SEARCH("6 MM",Inventario!B49)),ISNUMBER(SEARCH("6MM",Inventario!B49))),"6MM",
IF(OR(ISNUMBER(SEARCH("10 MM",Inventario!B49)),ISNUMBER(SEARCH("10MM",Inventario!B49))),"10MM","")))))))</f>
        <v/>
      </c>
      <c r="G50" t="str">
        <f>IF(ISNUMBER(SEARCH("ALTA RESISTENCIA",Inventario!B49)),"AR",IF(ISNUMBER(SEARCH("CAMPAÑA",Inventario!B49)),"CA",
IF(OR(ISNUMBER(SEARCH("CALIDO",Inventario!B49)),ISNUMBER(SEARCH("CÁLIDO",Inventario!B49))),"C",
IF(OR(ISNUMBER(SEARCH("TRASLUCIDO",Inventario!B49)),ISNUMBER(SEARCH("TRANSLUCIDO",Inventario!B49))),"TL",
IF(ISNUMBER(SEARCH("NEUTRO",Inventario!B49)),"N",
IF(ISNUMBER(SEARCH("FRIO",Inventario!B49)),"F",""))))))</f>
        <v/>
      </c>
      <c r="H50" t="str">
        <f>IF(ISNUMBER(SEARCH("SILED",Inventario!B49)),"SI",
IF(ISNUMBER(SEARCH("SYDEMEX",Inventario!B49)),"SY",
IF(ISNUMBER(SEARCH("ROHS",Inventario!B49)),"RO",
IF(ISNUMBER(SEARCH("RISHANG",Inventario!B49)),"RS",
IF(ISNUMBER(SEARCH("VYG",Inventario!B49)),"VYG",
IF(ISNUMBER(SEARCH("COLED",Inventario!B49)),"CO",""))))))</f>
        <v/>
      </c>
    </row>
    <row r="51" spans="1:8">
      <c r="A51" t="str">
        <f>IF(ISNUMBER(SEARCH("LONA",Inventario!B50)),"LON",
IF(ISNUMBER(SEARCH("VINIL",Inventario!B50)),"VIN",
IF(ISNUMBER(SEARCH("PANEL DE ALUMINIO COMPUESTO",Inventario!B50)),"PAN-ALU-COM",
IF(ISNUMBER(SEARCH("PVC",Inventario!B50)),"PVC",
IF(ISNUMBER(SEARCH("PAPEL",Inventario!B50)),"PAP",
IF(ISNUMBER(SEARCH("TELA",Inventario!B50)),"TEL",
IF(ISNUMBER(SEARCH("CARTULINA",Inventario!B50)),"CAR",
IF(OR(ISNUMBER(SEARCH("LAMINA",Inventario!B50)),ISNUMBER(SEARCH("LÁMINA",Inventario!B50))),"LAM",
IF(ISNUMBER(SEARCH("ESTIRENO",Inventario!B50)),"EST",
IF(ISNUMBER(SEARCH("FOAMBOARD",Inventario!B50)),"FOA",
IF(ISNUMBER(SEARCH("SOLVENTE",Inventario!B50)),"SOL",
IF(ISNUMBER(SEARCH("TINTA",Inventario!B50)),"TIN",
IF(ISNUMBER(SEARCH("ACRILICO",Inventario!B50)),"ACR",
IF(ISNUMBER(SEARCH("LED",Inventario!B50)),"LED",
IF(ISNUMBER(SEARCH("FUENTE",Inventario!B50)),"FUE",
IF(ISNUMBER(SEARCH("PETG",Inventario!B50)),"PET",
IF(ISNUMBER(SEARCH("ALUMINIO",Inventario!B50)),"ALU",
IF(ISNUMBER(SEARCH("CANAL",Inventario!B50)),"CAN",
IF(ISNUMBER(SEARCH("ESCUADRA",Inventario!B50)),"ESC",
IF(ISNUMBER(SEARCH("SOPORTE",Inventario!B50)),"SOP","OTR")
)))))))))))))))))))</f>
        <v>VIN</v>
      </c>
      <c r="B51" t="str">
        <f>IF(ISNUMBER(SEARCH("CORTE",Inventario!B50)),"COR",
IF(ISNUMBER(SEARCH("CRISTAL",Inventario!B50)),"CR",
IF(OR(ISNUMBER(SEARCH("OPTICO",Inventario!B50)),ISNUMBER(SEARCH("OPTICOS",Inventario!B50)),ISNUMBER(SEARCH("OPTICA",Inventario!B50))),"OP",
IF(ISNUMBER(SEARCH("NANO",Inventario!B50)),"NA",
IF(ISNUMBER(SEARCH("5050",Inventario!B50)),"5050",
IF(ISNUMBER(SEARCH("MICRO",Inventario!B50)),"MI",""))))))</f>
        <v/>
      </c>
      <c r="C51" t="str">
        <f>IF(ISNUMBER(SEARCH("PARED",Inventario!B50)),"PAR",IF(ISNUMBER(SEARCH("MATE",Inventario!B50)),"MAT",
IF(ISNUMBER(SEARCH("FRONT",Inventario!B50)),"FRO",
IF(ISNUMBER(SEARCH("BACK",Inventario!B50)),"BAC",
IF(ISNUMBER(SEARCH("MESH",Inventario!B50)),"MES",
IF(OR(ISNUMBER(SEARCH("BRILLANTE",Inventario!B50)),ISNUMBER(SEARCH("BTE",Inventario!B50))),"BRI",
IF(ISNUMBER(SEARCH("SINTETICA DELGADA",Inventario!B50)),"SD",
IF(ISNUMBER(SEARCH("SINTETICA GRUESA",Inventario!B50)),"SG",
IF(ISNUMBER(SEARCH("ESTATICO",Inventario!B50)),"EST",
IF(ISNUMBER(SEARCH("FLOOR",Inventario!B50)),"FLO",
IF(ISNUMBER(SEARCH("REFLECTIVO",Inventario!B50)),"REF",
IF(ISNUMBER(SEARCH("MICROPERFORADO",Inventario!B50)),"MI",
IF(ISNUMBER(SEARCH("CEPILLADO",Inventario!B50)),"CEP",
IF(ISNUMBER(SEARCH("ESPEJO",Inventario!B50)),"ESP",
IF(OR(ISNUMBER(SEARCH("UNIDIODO",Inventario!B50)),ISNUMBER(SEARCH("1 DIODO",Inventario!B50))),"1D",
IF(ISNUMBER(SEARCH("2 DIODOS",Inventario!B50)),"2D",
IF(ISNUMBER(SEARCH("3 DIODOS",Inventario!B50)),"3D","")))))))))))))))))</f>
        <v>FLO</v>
      </c>
      <c r="D51" t="str">
        <f>IF(ISNUMBER(SEARCH("LX700",Inventario!B50)),"LX7",
IF(ISNUMBER(SEARCH("GRANDO",Inventario!B50)),"GRA",
IF(OR(ISNUMBER(SEARCH("CAMA PLANA",Inventario!B50)),ISNUMBER(SEARCH("FB700",Inventario!B50))),"CP",
IF(ISNUMBER(SEARCH("LX360",Inventario!B50)),"LX3",
IF(ISNUMBER(SEARCH("XEROX",Inventario!B50)),"XER",
IF(ISNUMBER(SEARCH("18 OZ",Inventario!B50)),"18OZ",
IF(ISNUMBER(SEARCH("15 OZ",Inventario!B50)),"15OZ",
IF(OR(ISNUMBER(SEARCH("13 OZ",Inventario!B50)),ISNUMBER(SEARCH("13 ONZAS",Inventario!B50))),"13OZ",
IF(OR(ISNUMBER(SEARCH("9 OZ",Inventario!B50)),ISNUMBER(SEARCH("9 ONZAS",Inventario!B50))),"09OZ","")))))))))</f>
        <v/>
      </c>
      <c r="E51" t="str">
        <f>IF(OR(ISNUMBER(SEARCH("TRANSPARENTE",Inventario!B50)),ISNUMBER(SEARCH("TRANSPARENTES",Inventario!B50))),"TR",
IF(OR(ISNUMBER(SEARCH("BLANCO",Inventario!B50)),ISNUMBER(SEARCH("BCO",Inventario!B50))),"BL",
IF(ISNUMBER(SEARCH("VERDE",Inventario!B50)),"VR",
IF(ISNUMBER(SEARCH("MORADO",Inventario!B50)),"MR",
IF(ISNUMBER(SEARCH("PLATA",Inventario!B50)),"PL",
IF(ISNUMBER(SEARCH("ORO",Inventario!B50)),"OR",
IF(ISNUMBER(SEARCH("AMARILLO",Inventario!B50)),"AM",
IF(ISNUMBER(SEARCH("NARANJA",Inventario!B50)),"NR",
IF(ISNUMBER(SEARCH("NEGRO",Inventario!B50)),"NG",
IF(ISNUMBER(SEARCH("ROJO",Inventario!B50)),"RJ",
IF(ISNUMBER(SEARCH("AZUL",Inventario!B50)),"AZ","")))))))))))</f>
        <v/>
      </c>
      <c r="F51" t="str">
        <f>IF(ISNUMBER(SEARCH("1,2 MM",Inventario!B50)),"1MM2",
IF(OR(ISNUMBER(SEARCH("2 MM",Inventario!B50)),ISNUMBER(SEARCH("2MM",Inventario!B50))),"2MM",
IF(OR(ISNUMBER(SEARCH("3 MM",Inventario!B50)),ISNUMBER(SEARCH("3MM",Inventario!B50))),"3MM",
IF(OR(ISNUMBER(SEARCH("4 MM",Inventario!B50)),ISNUMBER(SEARCH("4MM",Inventario!B50)),ISNUMBER(SEARCH("4 mm",Inventario!B50))),"4MM",
IF(OR(ISNUMBER(SEARCH("5 MM",Inventario!B50)),ISNUMBER(SEARCH("5MM",Inventario!B50))),"5MM",
IF(OR(ISNUMBER(SEARCH("6 MM",Inventario!B50)),ISNUMBER(SEARCH("6MM",Inventario!B50))),"6MM",
IF(OR(ISNUMBER(SEARCH("10 MM",Inventario!B50)),ISNUMBER(SEARCH("10MM",Inventario!B50))),"10MM","")))))))</f>
        <v/>
      </c>
      <c r="G51" t="str">
        <f>IF(ISNUMBER(SEARCH("ALTA RESISTENCIA",Inventario!B50)),"AR",IF(ISNUMBER(SEARCH("CAMPAÑA",Inventario!B50)),"CA",
IF(OR(ISNUMBER(SEARCH("CALIDO",Inventario!B50)),ISNUMBER(SEARCH("CÁLIDO",Inventario!B50))),"C",
IF(OR(ISNUMBER(SEARCH("TRASLUCIDO",Inventario!B50)),ISNUMBER(SEARCH("TRANSLUCIDO",Inventario!B50))),"TL",
IF(ISNUMBER(SEARCH("NEUTRO",Inventario!B50)),"N",
IF(ISNUMBER(SEARCH("FRIO",Inventario!B50)),"F",""))))))</f>
        <v/>
      </c>
      <c r="H51" t="str">
        <f>IF(ISNUMBER(SEARCH("SILED",Inventario!B50)),"SI",
IF(ISNUMBER(SEARCH("SYDEMEX",Inventario!B50)),"SY",
IF(ISNUMBER(SEARCH("ROHS",Inventario!B50)),"RO",
IF(ISNUMBER(SEARCH("RISHANG",Inventario!B50)),"RS",
IF(ISNUMBER(SEARCH("VYG",Inventario!B50)),"VYG",
IF(ISNUMBER(SEARCH("COLED",Inventario!B50)),"CO",""))))))</f>
        <v/>
      </c>
    </row>
    <row r="52" spans="1:8">
      <c r="A52" t="str">
        <f>IF(ISNUMBER(SEARCH("LONA",Inventario!B51)),"LON",
IF(ISNUMBER(SEARCH("VINIL",Inventario!B51)),"VIN",
IF(ISNUMBER(SEARCH("PANEL DE ALUMINIO COMPUESTO",Inventario!B51)),"PAN-ALU-COM",
IF(ISNUMBER(SEARCH("PVC",Inventario!B51)),"PVC",
IF(ISNUMBER(SEARCH("PAPEL",Inventario!B51)),"PAP",
IF(ISNUMBER(SEARCH("TELA",Inventario!B51)),"TEL",
IF(ISNUMBER(SEARCH("CARTULINA",Inventario!B51)),"CAR",
IF(OR(ISNUMBER(SEARCH("LAMINA",Inventario!B51)),ISNUMBER(SEARCH("LÁMINA",Inventario!B51))),"LAM",
IF(ISNUMBER(SEARCH("ESTIRENO",Inventario!B51)),"EST",
IF(ISNUMBER(SEARCH("FOAMBOARD",Inventario!B51)),"FOA",
IF(ISNUMBER(SEARCH("SOLVENTE",Inventario!B51)),"SOL",
IF(ISNUMBER(SEARCH("TINTA",Inventario!B51)),"TIN",
IF(ISNUMBER(SEARCH("ACRILICO",Inventario!B51)),"ACR",
IF(ISNUMBER(SEARCH("LED",Inventario!B51)),"LED",
IF(ISNUMBER(SEARCH("FUENTE",Inventario!B51)),"FUE",
IF(ISNUMBER(SEARCH("PETG",Inventario!B51)),"PET",
IF(ISNUMBER(SEARCH("ALUMINIO",Inventario!B51)),"ALU",
IF(ISNUMBER(SEARCH("CANAL",Inventario!B51)),"CAN",
IF(ISNUMBER(SEARCH("ESCUADRA",Inventario!B51)),"ESC",
IF(ISNUMBER(SEARCH("SOPORTE",Inventario!B51)),"SOP","OTR")
)))))))))))))))))))</f>
        <v>VIN</v>
      </c>
      <c r="B52" t="str">
        <f>IF(ISNUMBER(SEARCH("CORTE",Inventario!B51)),"COR",
IF(ISNUMBER(SEARCH("CRISTAL",Inventario!B51)),"CR",
IF(OR(ISNUMBER(SEARCH("OPTICO",Inventario!B51)),ISNUMBER(SEARCH("OPTICOS",Inventario!B51)),ISNUMBER(SEARCH("OPTICA",Inventario!B51))),"OP",
IF(ISNUMBER(SEARCH("NANO",Inventario!B51)),"NA",
IF(ISNUMBER(SEARCH("5050",Inventario!B51)),"5050",
IF(ISNUMBER(SEARCH("MICRO",Inventario!B51)),"MI",""))))))</f>
        <v/>
      </c>
      <c r="C52" t="str">
        <f>IF(ISNUMBER(SEARCH("PARED",Inventario!B51)),"PAR",IF(ISNUMBER(SEARCH("MATE",Inventario!B51)),"MAT",
IF(ISNUMBER(SEARCH("FRONT",Inventario!B51)),"FRO",
IF(ISNUMBER(SEARCH("BACK",Inventario!B51)),"BAC",
IF(ISNUMBER(SEARCH("MESH",Inventario!B51)),"MES",
IF(OR(ISNUMBER(SEARCH("BRILLANTE",Inventario!B51)),ISNUMBER(SEARCH("BTE",Inventario!B51))),"BRI",
IF(ISNUMBER(SEARCH("SINTETICA DELGADA",Inventario!B51)),"SD",
IF(ISNUMBER(SEARCH("SINTETICA GRUESA",Inventario!B51)),"SG",
IF(ISNUMBER(SEARCH("ESTATICO",Inventario!B51)),"EST",
IF(ISNUMBER(SEARCH("FLOOR",Inventario!B51)),"FLO",
IF(ISNUMBER(SEARCH("REFLECTIVO",Inventario!B51)),"REF",
IF(ISNUMBER(SEARCH("MICROPERFORADO",Inventario!B51)),"MI",
IF(ISNUMBER(SEARCH("CEPILLADO",Inventario!B51)),"CEP",
IF(ISNUMBER(SEARCH("ESPEJO",Inventario!B51)),"ESP",
IF(OR(ISNUMBER(SEARCH("UNIDIODO",Inventario!B51)),ISNUMBER(SEARCH("1 DIODO",Inventario!B51))),"1D",
IF(ISNUMBER(SEARCH("2 DIODOS",Inventario!B51)),"2D",
IF(ISNUMBER(SEARCH("3 DIODOS",Inventario!B51)),"3D","")))))))))))))))))</f>
        <v>REF</v>
      </c>
      <c r="D52" t="str">
        <f>IF(ISNUMBER(SEARCH("LX700",Inventario!B51)),"LX7",
IF(ISNUMBER(SEARCH("GRANDO",Inventario!B51)),"GRA",
IF(OR(ISNUMBER(SEARCH("CAMA PLANA",Inventario!B51)),ISNUMBER(SEARCH("FB700",Inventario!B51))),"CP",
IF(ISNUMBER(SEARCH("LX360",Inventario!B51)),"LX3",
IF(ISNUMBER(SEARCH("XEROX",Inventario!B51)),"XER",
IF(ISNUMBER(SEARCH("18 OZ",Inventario!B51)),"18OZ",
IF(ISNUMBER(SEARCH("15 OZ",Inventario!B51)),"15OZ",
IF(OR(ISNUMBER(SEARCH("13 OZ",Inventario!B51)),ISNUMBER(SEARCH("13 ONZAS",Inventario!B51))),"13OZ",
IF(OR(ISNUMBER(SEARCH("9 OZ",Inventario!B51)),ISNUMBER(SEARCH("9 ONZAS",Inventario!B51))),"09OZ","")))))))))</f>
        <v/>
      </c>
      <c r="E52" t="str">
        <f>IF(OR(ISNUMBER(SEARCH("TRANSPARENTE",Inventario!B51)),ISNUMBER(SEARCH("TRANSPARENTES",Inventario!B51))),"TR",
IF(OR(ISNUMBER(SEARCH("BLANCO",Inventario!B51)),ISNUMBER(SEARCH("BCO",Inventario!B51))),"BL",
IF(ISNUMBER(SEARCH("VERDE",Inventario!B51)),"VR",
IF(ISNUMBER(SEARCH("MORADO",Inventario!B51)),"MR",
IF(ISNUMBER(SEARCH("PLATA",Inventario!B51)),"PL",
IF(ISNUMBER(SEARCH("ORO",Inventario!B51)),"OR",
IF(ISNUMBER(SEARCH("AMARILLO",Inventario!B51)),"AM",
IF(ISNUMBER(SEARCH("NARANJA",Inventario!B51)),"NR",
IF(ISNUMBER(SEARCH("NEGRO",Inventario!B51)),"NG",
IF(ISNUMBER(SEARCH("ROJO",Inventario!B51)),"RJ",
IF(ISNUMBER(SEARCH("AZUL",Inventario!B51)),"AZ","")))))))))))</f>
        <v/>
      </c>
      <c r="F52" t="str">
        <f>IF(ISNUMBER(SEARCH("1,2 MM",Inventario!B51)),"1MM2",
IF(OR(ISNUMBER(SEARCH("2 MM",Inventario!B51)),ISNUMBER(SEARCH("2MM",Inventario!B51))),"2MM",
IF(OR(ISNUMBER(SEARCH("3 MM",Inventario!B51)),ISNUMBER(SEARCH("3MM",Inventario!B51))),"3MM",
IF(OR(ISNUMBER(SEARCH("4 MM",Inventario!B51)),ISNUMBER(SEARCH("4MM",Inventario!B51)),ISNUMBER(SEARCH("4 mm",Inventario!B51))),"4MM",
IF(OR(ISNUMBER(SEARCH("5 MM",Inventario!B51)),ISNUMBER(SEARCH("5MM",Inventario!B51))),"5MM",
IF(OR(ISNUMBER(SEARCH("6 MM",Inventario!B51)),ISNUMBER(SEARCH("6MM",Inventario!B51))),"6MM",
IF(OR(ISNUMBER(SEARCH("10 MM",Inventario!B51)),ISNUMBER(SEARCH("10MM",Inventario!B51))),"10MM","")))))))</f>
        <v/>
      </c>
      <c r="G52" t="str">
        <f>IF(ISNUMBER(SEARCH("ALTA RESISTENCIA",Inventario!B51)),"AR",IF(ISNUMBER(SEARCH("CAMPAÑA",Inventario!B51)),"CA",
IF(OR(ISNUMBER(SEARCH("CALIDO",Inventario!B51)),ISNUMBER(SEARCH("CÁLIDO",Inventario!B51))),"C",
IF(OR(ISNUMBER(SEARCH("TRASLUCIDO",Inventario!B51)),ISNUMBER(SEARCH("TRANSLUCIDO",Inventario!B51))),"TL",
IF(ISNUMBER(SEARCH("NEUTRO",Inventario!B51)),"N",
IF(ISNUMBER(SEARCH("FRIO",Inventario!B51)),"F",""))))))</f>
        <v/>
      </c>
      <c r="H52" t="str">
        <f>IF(ISNUMBER(SEARCH("SILED",Inventario!B51)),"SI",
IF(ISNUMBER(SEARCH("SYDEMEX",Inventario!B51)),"SY",
IF(ISNUMBER(SEARCH("ROHS",Inventario!B51)),"RO",
IF(ISNUMBER(SEARCH("RISHANG",Inventario!B51)),"RS",
IF(ISNUMBER(SEARCH("VYG",Inventario!B51)),"VYG",
IF(ISNUMBER(SEARCH("COLED",Inventario!B51)),"CO",""))))))</f>
        <v/>
      </c>
    </row>
    <row r="53" spans="1:8">
      <c r="A53" t="str">
        <f>IF(ISNUMBER(SEARCH("LONA",Inventario!B52)),"LON",
IF(ISNUMBER(SEARCH("VINIL",Inventario!B52)),"VIN",
IF(ISNUMBER(SEARCH("PANEL DE ALUMINIO COMPUESTO",Inventario!B52)),"PAN-ALU-COM",
IF(ISNUMBER(SEARCH("PVC",Inventario!B52)),"PVC",
IF(ISNUMBER(SEARCH("PAPEL",Inventario!B52)),"PAP",
IF(ISNUMBER(SEARCH("TELA",Inventario!B52)),"TEL",
IF(ISNUMBER(SEARCH("CARTULINA",Inventario!B52)),"CAR",
IF(OR(ISNUMBER(SEARCH("LAMINA",Inventario!B52)),ISNUMBER(SEARCH("LÁMINA",Inventario!B52))),"LAM",
IF(ISNUMBER(SEARCH("ESTIRENO",Inventario!B52)),"EST",
IF(ISNUMBER(SEARCH("FOAMBOARD",Inventario!B52)),"FOA",
IF(ISNUMBER(SEARCH("SOLVENTE",Inventario!B52)),"SOL",
IF(ISNUMBER(SEARCH("TINTA",Inventario!B52)),"TIN",
IF(ISNUMBER(SEARCH("ACRILICO",Inventario!B52)),"ACR",
IF(ISNUMBER(SEARCH("LED",Inventario!B52)),"LED",
IF(ISNUMBER(SEARCH("FUENTE",Inventario!B52)),"FUE",
IF(ISNUMBER(SEARCH("PETG",Inventario!B52)),"PET",
IF(ISNUMBER(SEARCH("ALUMINIO",Inventario!B52)),"ALU",
IF(ISNUMBER(SEARCH("CANAL",Inventario!B52)),"CAN",
IF(ISNUMBER(SEARCH("ESCUADRA",Inventario!B52)),"ESC",
IF(ISNUMBER(SEARCH("SOPORTE",Inventario!B52)),"SOP","OTR")
)))))))))))))))))))</f>
        <v>VIN</v>
      </c>
      <c r="B53" t="str">
        <f>IF(ISNUMBER(SEARCH("CORTE",Inventario!B52)),"COR",
IF(ISNUMBER(SEARCH("CRISTAL",Inventario!B52)),"CR",
IF(OR(ISNUMBER(SEARCH("OPTICO",Inventario!B52)),ISNUMBER(SEARCH("OPTICOS",Inventario!B52)),ISNUMBER(SEARCH("OPTICA",Inventario!B52))),"OP",
IF(ISNUMBER(SEARCH("NANO",Inventario!B52)),"NA",
IF(ISNUMBER(SEARCH("5050",Inventario!B52)),"5050",
IF(ISNUMBER(SEARCH("MICRO",Inventario!B52)),"MI",""))))))</f>
        <v/>
      </c>
      <c r="C53" t="str">
        <f>IF(ISNUMBER(SEARCH("PARED",Inventario!B52)),"PAR",IF(ISNUMBER(SEARCH("MATE",Inventario!B52)),"MAT",
IF(ISNUMBER(SEARCH("FRONT",Inventario!B52)),"FRO",
IF(ISNUMBER(SEARCH("BACK",Inventario!B52)),"BAC",
IF(ISNUMBER(SEARCH("MESH",Inventario!B52)),"MES",
IF(OR(ISNUMBER(SEARCH("BRILLANTE",Inventario!B52)),ISNUMBER(SEARCH("BTE",Inventario!B52))),"BRI",
IF(ISNUMBER(SEARCH("SINTETICA DELGADA",Inventario!B52)),"SD",
IF(ISNUMBER(SEARCH("SINTETICA GRUESA",Inventario!B52)),"SG",
IF(ISNUMBER(SEARCH("ESTATICO",Inventario!B52)),"EST",
IF(ISNUMBER(SEARCH("FLOOR",Inventario!B52)),"FLO",
IF(ISNUMBER(SEARCH("REFLECTIVO",Inventario!B52)),"REF",
IF(ISNUMBER(SEARCH("MICROPERFORADO",Inventario!B52)),"MI",
IF(ISNUMBER(SEARCH("CEPILLADO",Inventario!B52)),"CEP",
IF(ISNUMBER(SEARCH("ESPEJO",Inventario!B52)),"ESP",
IF(OR(ISNUMBER(SEARCH("UNIDIODO",Inventario!B52)),ISNUMBER(SEARCH("1 DIODO",Inventario!B52))),"1D",
IF(ISNUMBER(SEARCH("2 DIODOS",Inventario!B52)),"2D",
IF(ISNUMBER(SEARCH("3 DIODOS",Inventario!B52)),"3D","")))))))))))))))))</f>
        <v/>
      </c>
      <c r="D53" t="str">
        <f>IF(ISNUMBER(SEARCH("LX700",Inventario!B52)),"LX7",
IF(ISNUMBER(SEARCH("GRANDO",Inventario!B52)),"GRA",
IF(OR(ISNUMBER(SEARCH("CAMA PLANA",Inventario!B52)),ISNUMBER(SEARCH("FB700",Inventario!B52))),"CP",
IF(ISNUMBER(SEARCH("LX360",Inventario!B52)),"LX3",
IF(ISNUMBER(SEARCH("XEROX",Inventario!B52)),"XER",
IF(ISNUMBER(SEARCH("18 OZ",Inventario!B52)),"18OZ",
IF(ISNUMBER(SEARCH("15 OZ",Inventario!B52)),"15OZ",
IF(OR(ISNUMBER(SEARCH("13 OZ",Inventario!B52)),ISNUMBER(SEARCH("13 ONZAS",Inventario!B52))),"13OZ",
IF(OR(ISNUMBER(SEARCH("9 OZ",Inventario!B52)),ISNUMBER(SEARCH("9 ONZAS",Inventario!B52))),"09OZ","")))))))))</f>
        <v/>
      </c>
      <c r="E53" t="str">
        <f>IF(OR(ISNUMBER(SEARCH("TRANSPARENTE",Inventario!B52)),ISNUMBER(SEARCH("TRANSPARENTES",Inventario!B52))),"TR",
IF(OR(ISNUMBER(SEARCH("BLANCO",Inventario!B52)),ISNUMBER(SEARCH("BCO",Inventario!B52))),"BL",
IF(ISNUMBER(SEARCH("VERDE",Inventario!B52)),"VR",
IF(ISNUMBER(SEARCH("MORADO",Inventario!B52)),"MR",
IF(ISNUMBER(SEARCH("PLATA",Inventario!B52)),"PL",
IF(ISNUMBER(SEARCH("ORO",Inventario!B52)),"OR",
IF(ISNUMBER(SEARCH("AMARILLO",Inventario!B52)),"AM",
IF(ISNUMBER(SEARCH("NARANJA",Inventario!B52)),"NR",
IF(ISNUMBER(SEARCH("NEGRO",Inventario!B52)),"NG",
IF(ISNUMBER(SEARCH("ROJO",Inventario!B52)),"RJ",
IF(ISNUMBER(SEARCH("AZUL",Inventario!B52)),"AZ","")))))))))))</f>
        <v/>
      </c>
      <c r="F53" t="str">
        <f>IF(ISNUMBER(SEARCH("1,2 MM",Inventario!B52)),"1MM2",
IF(OR(ISNUMBER(SEARCH("2 MM",Inventario!B52)),ISNUMBER(SEARCH("2MM",Inventario!B52))),"2MM",
IF(OR(ISNUMBER(SEARCH("3 MM",Inventario!B52)),ISNUMBER(SEARCH("3MM",Inventario!B52))),"3MM",
IF(OR(ISNUMBER(SEARCH("4 MM",Inventario!B52)),ISNUMBER(SEARCH("4MM",Inventario!B52)),ISNUMBER(SEARCH("4 mm",Inventario!B52))),"4MM",
IF(OR(ISNUMBER(SEARCH("5 MM",Inventario!B52)),ISNUMBER(SEARCH("5MM",Inventario!B52))),"5MM",
IF(OR(ISNUMBER(SEARCH("6 MM",Inventario!B52)),ISNUMBER(SEARCH("6MM",Inventario!B52))),"6MM",
IF(OR(ISNUMBER(SEARCH("10 MM",Inventario!B52)),ISNUMBER(SEARCH("10MM",Inventario!B52))),"10MM","")))))))</f>
        <v/>
      </c>
      <c r="G53" t="str">
        <f>IF(ISNUMBER(SEARCH("ALTA RESISTENCIA",Inventario!B52)),"AR",IF(ISNUMBER(SEARCH("CAMPAÑA",Inventario!B52)),"CA",
IF(OR(ISNUMBER(SEARCH("CALIDO",Inventario!B52)),ISNUMBER(SEARCH("CÁLIDO",Inventario!B52))),"C",
IF(OR(ISNUMBER(SEARCH("TRASLUCIDO",Inventario!B52)),ISNUMBER(SEARCH("TRANSLUCIDO",Inventario!B52))),"TL",
IF(ISNUMBER(SEARCH("NEUTRO",Inventario!B52)),"N",
IF(ISNUMBER(SEARCH("FRIO",Inventario!B52)),"F",""))))))</f>
        <v/>
      </c>
      <c r="H53" t="str">
        <f>IF(ISNUMBER(SEARCH("SILED",Inventario!B52)),"SI",
IF(ISNUMBER(SEARCH("SYDEMEX",Inventario!B52)),"SY",
IF(ISNUMBER(SEARCH("ROHS",Inventario!B52)),"RO",
IF(ISNUMBER(SEARCH("RISHANG",Inventario!B52)),"RS",
IF(ISNUMBER(SEARCH("VYG",Inventario!B52)),"VYG",
IF(ISNUMBER(SEARCH("COLED",Inventario!B52)),"CO",""))))))</f>
        <v/>
      </c>
    </row>
    <row r="54" spans="1:8">
      <c r="A54" t="str">
        <f>IF(ISNUMBER(SEARCH("LONA",Inventario!B53)),"LON",
IF(ISNUMBER(SEARCH("VINIL",Inventario!B53)),"VIN",
IF(ISNUMBER(SEARCH("PANEL DE ALUMINIO COMPUESTO",Inventario!B53)),"PAN-ALU-COM",
IF(ISNUMBER(SEARCH("PVC",Inventario!B53)),"PVC",
IF(ISNUMBER(SEARCH("PAPEL",Inventario!B53)),"PAP",
IF(ISNUMBER(SEARCH("TELA",Inventario!B53)),"TEL",
IF(ISNUMBER(SEARCH("CARTULINA",Inventario!B53)),"CAR",
IF(OR(ISNUMBER(SEARCH("LAMINA",Inventario!B53)),ISNUMBER(SEARCH("LÁMINA",Inventario!B53))),"LAM",
IF(ISNUMBER(SEARCH("ESTIRENO",Inventario!B53)),"EST",
IF(ISNUMBER(SEARCH("FOAMBOARD",Inventario!B53)),"FOA",
IF(ISNUMBER(SEARCH("SOLVENTE",Inventario!B53)),"SOL",
IF(ISNUMBER(SEARCH("TINTA",Inventario!B53)),"TIN",
IF(ISNUMBER(SEARCH("ACRILICO",Inventario!B53)),"ACR",
IF(ISNUMBER(SEARCH("LED",Inventario!B53)),"LED",
IF(ISNUMBER(SEARCH("FUENTE",Inventario!B53)),"FUE",
IF(ISNUMBER(SEARCH("PETG",Inventario!B53)),"PET",
IF(ISNUMBER(SEARCH("ALUMINIO",Inventario!B53)),"ALU",
IF(ISNUMBER(SEARCH("CANAL",Inventario!B53)),"CAN",
IF(ISNUMBER(SEARCH("ESCUADRA",Inventario!B53)),"ESC",
IF(ISNUMBER(SEARCH("SOPORTE",Inventario!B53)),"SOP","OTR")
)))))))))))))))))))</f>
        <v>OTR</v>
      </c>
      <c r="B54" t="str">
        <f>IF(ISNUMBER(SEARCH("CORTE",Inventario!B53)),"COR",
IF(ISNUMBER(SEARCH("CRISTAL",Inventario!B53)),"CR",
IF(OR(ISNUMBER(SEARCH("OPTICO",Inventario!B53)),ISNUMBER(SEARCH("OPTICOS",Inventario!B53)),ISNUMBER(SEARCH("OPTICA",Inventario!B53))),"OP",
IF(ISNUMBER(SEARCH("NANO",Inventario!B53)),"NA",
IF(ISNUMBER(SEARCH("5050",Inventario!B53)),"5050",
IF(ISNUMBER(SEARCH("MICRO",Inventario!B53)),"MI",""))))))</f>
        <v/>
      </c>
      <c r="C54" t="str">
        <f>IF(ISNUMBER(SEARCH("PARED",Inventario!B53)),"PAR",IF(ISNUMBER(SEARCH("MATE",Inventario!B53)),"MAT",
IF(ISNUMBER(SEARCH("FRONT",Inventario!B53)),"FRO",
IF(ISNUMBER(SEARCH("BACK",Inventario!B53)),"BAC",
IF(ISNUMBER(SEARCH("MESH",Inventario!B53)),"MES",
IF(OR(ISNUMBER(SEARCH("BRILLANTE",Inventario!B53)),ISNUMBER(SEARCH("BTE",Inventario!B53))),"BRI",
IF(ISNUMBER(SEARCH("SINTETICA DELGADA",Inventario!B53)),"SD",
IF(ISNUMBER(SEARCH("SINTETICA GRUESA",Inventario!B53)),"SG",
IF(ISNUMBER(SEARCH("ESTATICO",Inventario!B53)),"EST",
IF(ISNUMBER(SEARCH("FLOOR",Inventario!B53)),"FLO",
IF(ISNUMBER(SEARCH("REFLECTIVO",Inventario!B53)),"REF",
IF(ISNUMBER(SEARCH("MICROPERFORADO",Inventario!B53)),"MI",
IF(ISNUMBER(SEARCH("CEPILLADO",Inventario!B53)),"CEP",
IF(ISNUMBER(SEARCH("ESPEJO",Inventario!B53)),"ESP",
IF(OR(ISNUMBER(SEARCH("UNIDIODO",Inventario!B53)),ISNUMBER(SEARCH("1 DIODO",Inventario!B53))),"1D",
IF(ISNUMBER(SEARCH("2 DIODOS",Inventario!B53)),"2D",
IF(ISNUMBER(SEARCH("3 DIODOS",Inventario!B53)),"3D","")))))))))))))))))</f>
        <v/>
      </c>
      <c r="D54" t="str">
        <f>IF(ISNUMBER(SEARCH("LX700",Inventario!B53)),"LX7",
IF(ISNUMBER(SEARCH("GRANDO",Inventario!B53)),"GRA",
IF(OR(ISNUMBER(SEARCH("CAMA PLANA",Inventario!B53)),ISNUMBER(SEARCH("FB700",Inventario!B53))),"CP",
IF(ISNUMBER(SEARCH("LX360",Inventario!B53)),"LX3",
IF(ISNUMBER(SEARCH("XEROX",Inventario!B53)),"XER",
IF(ISNUMBER(SEARCH("18 OZ",Inventario!B53)),"18OZ",
IF(ISNUMBER(SEARCH("15 OZ",Inventario!B53)),"15OZ",
IF(OR(ISNUMBER(SEARCH("13 OZ",Inventario!B53)),ISNUMBER(SEARCH("13 ONZAS",Inventario!B53))),"13OZ",
IF(OR(ISNUMBER(SEARCH("9 OZ",Inventario!B53)),ISNUMBER(SEARCH("9 ONZAS",Inventario!B53))),"09OZ","")))))))))</f>
        <v/>
      </c>
      <c r="E54" t="str">
        <f>IF(OR(ISNUMBER(SEARCH("TRANSPARENTE",Inventario!B53)),ISNUMBER(SEARCH("TRANSPARENTES",Inventario!B53))),"TR",
IF(OR(ISNUMBER(SEARCH("BLANCO",Inventario!B53)),ISNUMBER(SEARCH("BCO",Inventario!B53))),"BL",
IF(ISNUMBER(SEARCH("VERDE",Inventario!B53)),"VR",
IF(ISNUMBER(SEARCH("MORADO",Inventario!B53)),"MR",
IF(ISNUMBER(SEARCH("PLATA",Inventario!B53)),"PL",
IF(ISNUMBER(SEARCH("ORO",Inventario!B53)),"OR",
IF(ISNUMBER(SEARCH("AMARILLO",Inventario!B53)),"AM",
IF(ISNUMBER(SEARCH("NARANJA",Inventario!B53)),"NR",
IF(ISNUMBER(SEARCH("NEGRO",Inventario!B53)),"NG",
IF(ISNUMBER(SEARCH("ROJO",Inventario!B53)),"RJ",
IF(ISNUMBER(SEARCH("AZUL",Inventario!B53)),"AZ","")))))))))))</f>
        <v/>
      </c>
      <c r="F54" t="str">
        <f>IF(ISNUMBER(SEARCH("1,2 MM",Inventario!B53)),"1MM2",
IF(OR(ISNUMBER(SEARCH("2 MM",Inventario!B53)),ISNUMBER(SEARCH("2MM",Inventario!B53))),"2MM",
IF(OR(ISNUMBER(SEARCH("3 MM",Inventario!B53)),ISNUMBER(SEARCH("3MM",Inventario!B53))),"3MM",
IF(OR(ISNUMBER(SEARCH("4 MM",Inventario!B53)),ISNUMBER(SEARCH("4MM",Inventario!B53)),ISNUMBER(SEARCH("4 mm",Inventario!B53))),"4MM",
IF(OR(ISNUMBER(SEARCH("5 MM",Inventario!B53)),ISNUMBER(SEARCH("5MM",Inventario!B53))),"5MM",
IF(OR(ISNUMBER(SEARCH("6 MM",Inventario!B53)),ISNUMBER(SEARCH("6MM",Inventario!B53))),"6MM",
IF(OR(ISNUMBER(SEARCH("10 MM",Inventario!B53)),ISNUMBER(SEARCH("10MM",Inventario!B53))),"10MM","")))))))</f>
        <v/>
      </c>
      <c r="G54" t="str">
        <f>IF(ISNUMBER(SEARCH("ALTA RESISTENCIA",Inventario!B53)),"AR",IF(ISNUMBER(SEARCH("CAMPAÑA",Inventario!B53)),"CA",
IF(OR(ISNUMBER(SEARCH("CALIDO",Inventario!B53)),ISNUMBER(SEARCH("CÁLIDO",Inventario!B53))),"C",
IF(OR(ISNUMBER(SEARCH("TRASLUCIDO",Inventario!B53)),ISNUMBER(SEARCH("TRANSLUCIDO",Inventario!B53))),"TL",
IF(ISNUMBER(SEARCH("NEUTRO",Inventario!B53)),"N",
IF(ISNUMBER(SEARCH("FRIO",Inventario!B53)),"F",""))))))</f>
        <v/>
      </c>
      <c r="H54" t="str">
        <f>IF(ISNUMBER(SEARCH("SILED",Inventario!B53)),"SI",
IF(ISNUMBER(SEARCH("SYDEMEX",Inventario!B53)),"SY",
IF(ISNUMBER(SEARCH("ROHS",Inventario!B53)),"RO",
IF(ISNUMBER(SEARCH("RISHANG",Inventario!B53)),"RS",
IF(ISNUMBER(SEARCH("VYG",Inventario!B53)),"VYG",
IF(ISNUMBER(SEARCH("COLED",Inventario!B53)),"CO",""))))))</f>
        <v/>
      </c>
    </row>
    <row r="55" spans="1:8">
      <c r="A55" t="str">
        <f>IF(ISNUMBER(SEARCH("LONA",Inventario!B54)),"LON",
IF(ISNUMBER(SEARCH("VINIL",Inventario!B54)),"VIN",
IF(ISNUMBER(SEARCH("PANEL DE ALUMINIO COMPUESTO",Inventario!B54)),"PAN-ALU-COM",
IF(ISNUMBER(SEARCH("PVC",Inventario!B54)),"PVC",
IF(ISNUMBER(SEARCH("PAPEL",Inventario!B54)),"PAP",
IF(ISNUMBER(SEARCH("TELA",Inventario!B54)),"TEL",
IF(ISNUMBER(SEARCH("CARTULINA",Inventario!B54)),"CAR",
IF(OR(ISNUMBER(SEARCH("LAMINA",Inventario!B54)),ISNUMBER(SEARCH("LÁMINA",Inventario!B54))),"LAM",
IF(ISNUMBER(SEARCH("ESTIRENO",Inventario!B54)),"EST",
IF(ISNUMBER(SEARCH("FOAMBOARD",Inventario!B54)),"FOA",
IF(ISNUMBER(SEARCH("SOLVENTE",Inventario!B54)),"SOL",
IF(ISNUMBER(SEARCH("TINTA",Inventario!B54)),"TIN",
IF(ISNUMBER(SEARCH("ACRILICO",Inventario!B54)),"ACR",
IF(ISNUMBER(SEARCH("LED",Inventario!B54)),"LED",
IF(ISNUMBER(SEARCH("FUENTE",Inventario!B54)),"FUE",
IF(ISNUMBER(SEARCH("PETG",Inventario!B54)),"PET",
IF(ISNUMBER(SEARCH("ALUMINIO",Inventario!B54)),"ALU",
IF(ISNUMBER(SEARCH("CANAL",Inventario!B54)),"CAN",
IF(ISNUMBER(SEARCH("ESCUADRA",Inventario!B54)),"ESC",
IF(ISNUMBER(SEARCH("SOPORTE",Inventario!B54)),"SOP","OTR")
)))))))))))))))))))</f>
        <v>VIN</v>
      </c>
      <c r="B55" t="str">
        <f>IF(ISNUMBER(SEARCH("CORTE",Inventario!B54)),"COR",
IF(ISNUMBER(SEARCH("CRISTAL",Inventario!B54)),"CR",
IF(OR(ISNUMBER(SEARCH("OPTICO",Inventario!B54)),ISNUMBER(SEARCH("OPTICOS",Inventario!B54)),ISNUMBER(SEARCH("OPTICA",Inventario!B54))),"OP",
IF(ISNUMBER(SEARCH("NANO",Inventario!B54)),"NA",
IF(ISNUMBER(SEARCH("5050",Inventario!B54)),"5050",
IF(ISNUMBER(SEARCH("MICRO",Inventario!B54)),"MI",""))))))</f>
        <v/>
      </c>
      <c r="C55" t="str">
        <f>IF(ISNUMBER(SEARCH("PARED",Inventario!B54)),"PAR",IF(ISNUMBER(SEARCH("MATE",Inventario!B54)),"MAT",
IF(ISNUMBER(SEARCH("FRONT",Inventario!B54)),"FRO",
IF(ISNUMBER(SEARCH("BACK",Inventario!B54)),"BAC",
IF(ISNUMBER(SEARCH("MESH",Inventario!B54)),"MES",
IF(OR(ISNUMBER(SEARCH("BRILLANTE",Inventario!B54)),ISNUMBER(SEARCH("BTE",Inventario!B54))),"BRI",
IF(ISNUMBER(SEARCH("SINTETICA DELGADA",Inventario!B54)),"SD",
IF(ISNUMBER(SEARCH("SINTETICA GRUESA",Inventario!B54)),"SG",
IF(ISNUMBER(SEARCH("ESTATICO",Inventario!B54)),"EST",
IF(ISNUMBER(SEARCH("FLOOR",Inventario!B54)),"FLO",
IF(ISNUMBER(SEARCH("REFLECTIVO",Inventario!B54)),"REF",
IF(ISNUMBER(SEARCH("MICROPERFORADO",Inventario!B54)),"MI",
IF(ISNUMBER(SEARCH("CEPILLADO",Inventario!B54)),"CEP",
IF(ISNUMBER(SEARCH("ESPEJO",Inventario!B54)),"ESP",
IF(OR(ISNUMBER(SEARCH("UNIDIODO",Inventario!B54)),ISNUMBER(SEARCH("1 DIODO",Inventario!B54))),"1D",
IF(ISNUMBER(SEARCH("2 DIODOS",Inventario!B54)),"2D",
IF(ISNUMBER(SEARCH("3 DIODOS",Inventario!B54)),"3D","")))))))))))))))))</f>
        <v>MAT</v>
      </c>
      <c r="D55" t="str">
        <f>IF(ISNUMBER(SEARCH("LX700",Inventario!B54)),"LX7",
IF(ISNUMBER(SEARCH("GRANDO",Inventario!B54)),"GRA",
IF(OR(ISNUMBER(SEARCH("CAMA PLANA",Inventario!B54)),ISNUMBER(SEARCH("FB700",Inventario!B54))),"CP",
IF(ISNUMBER(SEARCH("LX360",Inventario!B54)),"LX3",
IF(ISNUMBER(SEARCH("XEROX",Inventario!B54)),"XER",
IF(ISNUMBER(SEARCH("18 OZ",Inventario!B54)),"18OZ",
IF(ISNUMBER(SEARCH("15 OZ",Inventario!B54)),"15OZ",
IF(OR(ISNUMBER(SEARCH("13 OZ",Inventario!B54)),ISNUMBER(SEARCH("13 ONZAS",Inventario!B54))),"13OZ",
IF(OR(ISNUMBER(SEARCH("9 OZ",Inventario!B54)),ISNUMBER(SEARCH("9 ONZAS",Inventario!B54))),"09OZ","")))))))))</f>
        <v/>
      </c>
      <c r="E55" t="str">
        <f>IF(OR(ISNUMBER(SEARCH("TRANSPARENTE",Inventario!B54)),ISNUMBER(SEARCH("TRANSPARENTES",Inventario!B54))),"TR",
IF(OR(ISNUMBER(SEARCH("BLANCO",Inventario!B54)),ISNUMBER(SEARCH("BCO",Inventario!B54))),"BL",
IF(ISNUMBER(SEARCH("VERDE",Inventario!B54)),"VR",
IF(ISNUMBER(SEARCH("MORADO",Inventario!B54)),"MR",
IF(ISNUMBER(SEARCH("PLATA",Inventario!B54)),"PL",
IF(ISNUMBER(SEARCH("ORO",Inventario!B54)),"OR",
IF(ISNUMBER(SEARCH("AMARILLO",Inventario!B54)),"AM",
IF(ISNUMBER(SEARCH("NARANJA",Inventario!B54)),"NR",
IF(ISNUMBER(SEARCH("NEGRO",Inventario!B54)),"NG",
IF(ISNUMBER(SEARCH("ROJO",Inventario!B54)),"RJ",
IF(ISNUMBER(SEARCH("AZUL",Inventario!B54)),"AZ","")))))))))))</f>
        <v>BL</v>
      </c>
      <c r="F55" t="str">
        <f>IF(ISNUMBER(SEARCH("1,2 MM",Inventario!B54)),"1MM2",
IF(OR(ISNUMBER(SEARCH("2 MM",Inventario!B54)),ISNUMBER(SEARCH("2MM",Inventario!B54))),"2MM",
IF(OR(ISNUMBER(SEARCH("3 MM",Inventario!B54)),ISNUMBER(SEARCH("3MM",Inventario!B54))),"3MM",
IF(OR(ISNUMBER(SEARCH("4 MM",Inventario!B54)),ISNUMBER(SEARCH("4MM",Inventario!B54)),ISNUMBER(SEARCH("4 mm",Inventario!B54))),"4MM",
IF(OR(ISNUMBER(SEARCH("5 MM",Inventario!B54)),ISNUMBER(SEARCH("5MM",Inventario!B54))),"5MM",
IF(OR(ISNUMBER(SEARCH("6 MM",Inventario!B54)),ISNUMBER(SEARCH("6MM",Inventario!B54))),"6MM",
IF(OR(ISNUMBER(SEARCH("10 MM",Inventario!B54)),ISNUMBER(SEARCH("10MM",Inventario!B54))),"10MM","")))))))</f>
        <v/>
      </c>
      <c r="G55" t="str">
        <f>IF(ISNUMBER(SEARCH("ALTA RESISTENCIA",Inventario!B54)),"AR",IF(ISNUMBER(SEARCH("CAMPAÑA",Inventario!B54)),"CA",
IF(OR(ISNUMBER(SEARCH("CALIDO",Inventario!B54)),ISNUMBER(SEARCH("CÁLIDO",Inventario!B54))),"C",
IF(OR(ISNUMBER(SEARCH("TRASLUCIDO",Inventario!B54)),ISNUMBER(SEARCH("TRANSLUCIDO",Inventario!B54))),"TL",
IF(ISNUMBER(SEARCH("NEUTRO",Inventario!B54)),"N",
IF(ISNUMBER(SEARCH("FRIO",Inventario!B54)),"F",""))))))</f>
        <v/>
      </c>
      <c r="H55" t="str">
        <f>IF(ISNUMBER(SEARCH("SILED",Inventario!B54)),"SI",
IF(ISNUMBER(SEARCH("SYDEMEX",Inventario!B54)),"SY",
IF(ISNUMBER(SEARCH("ROHS",Inventario!B54)),"RO",
IF(ISNUMBER(SEARCH("RISHANG",Inventario!B54)),"RS",
IF(ISNUMBER(SEARCH("VYG",Inventario!B54)),"VYG",
IF(ISNUMBER(SEARCH("COLED",Inventario!B54)),"CO",""))))))</f>
        <v/>
      </c>
    </row>
    <row r="56" spans="1:8">
      <c r="A56" t="str">
        <f>IF(ISNUMBER(SEARCH("LONA",Inventario!B55)),"LON",
IF(ISNUMBER(SEARCH("VINIL",Inventario!B55)),"VIN",
IF(ISNUMBER(SEARCH("PANEL DE ALUMINIO COMPUESTO",Inventario!B55)),"PAN-ALU-COM",
IF(ISNUMBER(SEARCH("PVC",Inventario!B55)),"PVC",
IF(ISNUMBER(SEARCH("PAPEL",Inventario!B55)),"PAP",
IF(ISNUMBER(SEARCH("TELA",Inventario!B55)),"TEL",
IF(ISNUMBER(SEARCH("CARTULINA",Inventario!B55)),"CAR",
IF(OR(ISNUMBER(SEARCH("LAMINA",Inventario!B55)),ISNUMBER(SEARCH("LÁMINA",Inventario!B55))),"LAM",
IF(ISNUMBER(SEARCH("ESTIRENO",Inventario!B55)),"EST",
IF(ISNUMBER(SEARCH("FOAMBOARD",Inventario!B55)),"FOA",
IF(ISNUMBER(SEARCH("SOLVENTE",Inventario!B55)),"SOL",
IF(ISNUMBER(SEARCH("TINTA",Inventario!B55)),"TIN",
IF(ISNUMBER(SEARCH("ACRILICO",Inventario!B55)),"ACR",
IF(ISNUMBER(SEARCH("LED",Inventario!B55)),"LED",
IF(ISNUMBER(SEARCH("FUENTE",Inventario!B55)),"FUE",
IF(ISNUMBER(SEARCH("PETG",Inventario!B55)),"PET",
IF(ISNUMBER(SEARCH("ALUMINIO",Inventario!B55)),"ALU",
IF(ISNUMBER(SEARCH("CANAL",Inventario!B55)),"CAN",
IF(ISNUMBER(SEARCH("ESCUADRA",Inventario!B55)),"ESC",
IF(ISNUMBER(SEARCH("SOPORTE",Inventario!B55)),"SOP","OTR")
)))))))))))))))))))</f>
        <v>VIN</v>
      </c>
      <c r="B56" t="str">
        <f>IF(ISNUMBER(SEARCH("CORTE",Inventario!B55)),"COR",
IF(ISNUMBER(SEARCH("CRISTAL",Inventario!B55)),"CR",
IF(OR(ISNUMBER(SEARCH("OPTICO",Inventario!B55)),ISNUMBER(SEARCH("OPTICOS",Inventario!B55)),ISNUMBER(SEARCH("OPTICA",Inventario!B55))),"OP",
IF(ISNUMBER(SEARCH("NANO",Inventario!B55)),"NA",
IF(ISNUMBER(SEARCH("5050",Inventario!B55)),"5050",
IF(ISNUMBER(SEARCH("MICRO",Inventario!B55)),"MI",""))))))</f>
        <v/>
      </c>
      <c r="C56" t="str">
        <f>IF(ISNUMBER(SEARCH("PARED",Inventario!B55)),"PAR",IF(ISNUMBER(SEARCH("MATE",Inventario!B55)),"MAT",
IF(ISNUMBER(SEARCH("FRONT",Inventario!B55)),"FRO",
IF(ISNUMBER(SEARCH("BACK",Inventario!B55)),"BAC",
IF(ISNUMBER(SEARCH("MESH",Inventario!B55)),"MES",
IF(OR(ISNUMBER(SEARCH("BRILLANTE",Inventario!B55)),ISNUMBER(SEARCH("BTE",Inventario!B55))),"BRI",
IF(ISNUMBER(SEARCH("SINTETICA DELGADA",Inventario!B55)),"SD",
IF(ISNUMBER(SEARCH("SINTETICA GRUESA",Inventario!B55)),"SG",
IF(ISNUMBER(SEARCH("ESTATICO",Inventario!B55)),"EST",
IF(ISNUMBER(SEARCH("FLOOR",Inventario!B55)),"FLO",
IF(ISNUMBER(SEARCH("REFLECTIVO",Inventario!B55)),"REF",
IF(ISNUMBER(SEARCH("MICROPERFORADO",Inventario!B55)),"MI",
IF(ISNUMBER(SEARCH("CEPILLADO",Inventario!B55)),"CEP",
IF(ISNUMBER(SEARCH("ESPEJO",Inventario!B55)),"ESP",
IF(OR(ISNUMBER(SEARCH("UNIDIODO",Inventario!B55)),ISNUMBER(SEARCH("1 DIODO",Inventario!B55))),"1D",
IF(ISNUMBER(SEARCH("2 DIODOS",Inventario!B55)),"2D",
IF(ISNUMBER(SEARCH("3 DIODOS",Inventario!B55)),"3D","")))))))))))))))))</f>
        <v>MAT</v>
      </c>
      <c r="D56" t="str">
        <f>IF(ISNUMBER(SEARCH("LX700",Inventario!B55)),"LX7",
IF(ISNUMBER(SEARCH("GRANDO",Inventario!B55)),"GRA",
IF(OR(ISNUMBER(SEARCH("CAMA PLANA",Inventario!B55)),ISNUMBER(SEARCH("FB700",Inventario!B55))),"CP",
IF(ISNUMBER(SEARCH("LX360",Inventario!B55)),"LX3",
IF(ISNUMBER(SEARCH("XEROX",Inventario!B55)),"XER",
IF(ISNUMBER(SEARCH("18 OZ",Inventario!B55)),"18OZ",
IF(ISNUMBER(SEARCH("15 OZ",Inventario!B55)),"15OZ",
IF(OR(ISNUMBER(SEARCH("13 OZ",Inventario!B55)),ISNUMBER(SEARCH("13 ONZAS",Inventario!B55))),"13OZ",
IF(OR(ISNUMBER(SEARCH("9 OZ",Inventario!B55)),ISNUMBER(SEARCH("9 ONZAS",Inventario!B55))),"09OZ","")))))))))</f>
        <v/>
      </c>
      <c r="E56" t="str">
        <f>IF(OR(ISNUMBER(SEARCH("TRANSPARENTE",Inventario!B55)),ISNUMBER(SEARCH("TRANSPARENTES",Inventario!B55))),"TR",
IF(OR(ISNUMBER(SEARCH("BLANCO",Inventario!B55)),ISNUMBER(SEARCH("BCO",Inventario!B55))),"BL",
IF(ISNUMBER(SEARCH("VERDE",Inventario!B55)),"VR",
IF(ISNUMBER(SEARCH("MORADO",Inventario!B55)),"MR",
IF(ISNUMBER(SEARCH("PLATA",Inventario!B55)),"PL",
IF(ISNUMBER(SEARCH("ORO",Inventario!B55)),"OR",
IF(ISNUMBER(SEARCH("AMARILLO",Inventario!B55)),"AM",
IF(ISNUMBER(SEARCH("NARANJA",Inventario!B55)),"NR",
IF(ISNUMBER(SEARCH("NEGRO",Inventario!B55)),"NG",
IF(ISNUMBER(SEARCH("ROJO",Inventario!B55)),"RJ",
IF(ISNUMBER(SEARCH("AZUL",Inventario!B55)),"AZ","")))))))))))</f>
        <v>BL</v>
      </c>
      <c r="F56" t="str">
        <f>IF(ISNUMBER(SEARCH("1,2 MM",Inventario!B55)),"1MM2",
IF(OR(ISNUMBER(SEARCH("2 MM",Inventario!B55)),ISNUMBER(SEARCH("2MM",Inventario!B55))),"2MM",
IF(OR(ISNUMBER(SEARCH("3 MM",Inventario!B55)),ISNUMBER(SEARCH("3MM",Inventario!B55))),"3MM",
IF(OR(ISNUMBER(SEARCH("4 MM",Inventario!B55)),ISNUMBER(SEARCH("4MM",Inventario!B55)),ISNUMBER(SEARCH("4 mm",Inventario!B55))),"4MM",
IF(OR(ISNUMBER(SEARCH("5 MM",Inventario!B55)),ISNUMBER(SEARCH("5MM",Inventario!B55))),"5MM",
IF(OR(ISNUMBER(SEARCH("6 MM",Inventario!B55)),ISNUMBER(SEARCH("6MM",Inventario!B55))),"6MM",
IF(OR(ISNUMBER(SEARCH("10 MM",Inventario!B55)),ISNUMBER(SEARCH("10MM",Inventario!B55))),"10MM","")))))))</f>
        <v/>
      </c>
      <c r="G56" t="str">
        <f>IF(ISNUMBER(SEARCH("ALTA RESISTENCIA",Inventario!B55)),"AR",IF(ISNUMBER(SEARCH("CAMPAÑA",Inventario!B55)),"CA",
IF(OR(ISNUMBER(SEARCH("CALIDO",Inventario!B55)),ISNUMBER(SEARCH("CÁLIDO",Inventario!B55))),"C",
IF(OR(ISNUMBER(SEARCH("TRASLUCIDO",Inventario!B55)),ISNUMBER(SEARCH("TRANSLUCIDO",Inventario!B55))),"TL",
IF(ISNUMBER(SEARCH("NEUTRO",Inventario!B55)),"N",
IF(ISNUMBER(SEARCH("FRIO",Inventario!B55)),"F",""))))))</f>
        <v/>
      </c>
      <c r="H56" t="str">
        <f>IF(ISNUMBER(SEARCH("SILED",Inventario!B55)),"SI",
IF(ISNUMBER(SEARCH("SYDEMEX",Inventario!B55)),"SY",
IF(ISNUMBER(SEARCH("ROHS",Inventario!B55)),"RO",
IF(ISNUMBER(SEARCH("RISHANG",Inventario!B55)),"RS",
IF(ISNUMBER(SEARCH("VYG",Inventario!B55)),"VYG",
IF(ISNUMBER(SEARCH("COLED",Inventario!B55)),"CO",""))))))</f>
        <v/>
      </c>
    </row>
    <row r="57" spans="1:8">
      <c r="A57" t="str">
        <f>IF(ISNUMBER(SEARCH("LONA",Inventario!B56)),"LON",
IF(ISNUMBER(SEARCH("VINIL",Inventario!B56)),"VIN",
IF(ISNUMBER(SEARCH("PANEL DE ALUMINIO COMPUESTO",Inventario!B56)),"PAN-ALU-COM",
IF(ISNUMBER(SEARCH("PVC",Inventario!B56)),"PVC",
IF(ISNUMBER(SEARCH("PAPEL",Inventario!B56)),"PAP",
IF(ISNUMBER(SEARCH("TELA",Inventario!B56)),"TEL",
IF(ISNUMBER(SEARCH("CARTULINA",Inventario!B56)),"CAR",
IF(OR(ISNUMBER(SEARCH("LAMINA",Inventario!B56)),ISNUMBER(SEARCH("LÁMINA",Inventario!B56))),"LAM",
IF(ISNUMBER(SEARCH("ESTIRENO",Inventario!B56)),"EST",
IF(ISNUMBER(SEARCH("FOAMBOARD",Inventario!B56)),"FOA",
IF(ISNUMBER(SEARCH("SOLVENTE",Inventario!B56)),"SOL",
IF(ISNUMBER(SEARCH("TINTA",Inventario!B56)),"TIN",
IF(ISNUMBER(SEARCH("ACRILICO",Inventario!B56)),"ACR",
IF(ISNUMBER(SEARCH("LED",Inventario!B56)),"LED",
IF(ISNUMBER(SEARCH("FUENTE",Inventario!B56)),"FUE",
IF(ISNUMBER(SEARCH("PETG",Inventario!B56)),"PET",
IF(ISNUMBER(SEARCH("ALUMINIO",Inventario!B56)),"ALU",
IF(ISNUMBER(SEARCH("CANAL",Inventario!B56)),"CAN",
IF(ISNUMBER(SEARCH("ESCUADRA",Inventario!B56)),"ESC",
IF(ISNUMBER(SEARCH("SOPORTE",Inventario!B56)),"SOP","OTR")
)))))))))))))))))))</f>
        <v>VIN</v>
      </c>
      <c r="B57" t="str">
        <f>IF(ISNUMBER(SEARCH("CORTE",Inventario!B56)),"COR",
IF(ISNUMBER(SEARCH("CRISTAL",Inventario!B56)),"CR",
IF(OR(ISNUMBER(SEARCH("OPTICO",Inventario!B56)),ISNUMBER(SEARCH("OPTICOS",Inventario!B56)),ISNUMBER(SEARCH("OPTICA",Inventario!B56))),"OP",
IF(ISNUMBER(SEARCH("NANO",Inventario!B56)),"NA",
IF(ISNUMBER(SEARCH("5050",Inventario!B56)),"5050",
IF(ISNUMBER(SEARCH("MICRO",Inventario!B56)),"MI",""))))))</f>
        <v/>
      </c>
      <c r="C57" t="str">
        <f>IF(ISNUMBER(SEARCH("PARED",Inventario!B56)),"PAR",IF(ISNUMBER(SEARCH("MATE",Inventario!B56)),"MAT",
IF(ISNUMBER(SEARCH("FRONT",Inventario!B56)),"FRO",
IF(ISNUMBER(SEARCH("BACK",Inventario!B56)),"BAC",
IF(ISNUMBER(SEARCH("MESH",Inventario!B56)),"MES",
IF(OR(ISNUMBER(SEARCH("BRILLANTE",Inventario!B56)),ISNUMBER(SEARCH("BTE",Inventario!B56))),"BRI",
IF(ISNUMBER(SEARCH("SINTETICA DELGADA",Inventario!B56)),"SD",
IF(ISNUMBER(SEARCH("SINTETICA GRUESA",Inventario!B56)),"SG",
IF(ISNUMBER(SEARCH("ESTATICO",Inventario!B56)),"EST",
IF(ISNUMBER(SEARCH("FLOOR",Inventario!B56)),"FLO",
IF(ISNUMBER(SEARCH("REFLECTIVO",Inventario!B56)),"REF",
IF(ISNUMBER(SEARCH("MICROPERFORADO",Inventario!B56)),"MI",
IF(ISNUMBER(SEARCH("CEPILLADO",Inventario!B56)),"CEP",
IF(ISNUMBER(SEARCH("ESPEJO",Inventario!B56)),"ESP",
IF(OR(ISNUMBER(SEARCH("UNIDIODO",Inventario!B56)),ISNUMBER(SEARCH("1 DIODO",Inventario!B56))),"1D",
IF(ISNUMBER(SEARCH("2 DIODOS",Inventario!B56)),"2D",
IF(ISNUMBER(SEARCH("3 DIODOS",Inventario!B56)),"3D","")))))))))))))))))</f>
        <v>MAT</v>
      </c>
      <c r="D57" t="str">
        <f>IF(ISNUMBER(SEARCH("LX700",Inventario!B56)),"LX7",
IF(ISNUMBER(SEARCH("GRANDO",Inventario!B56)),"GRA",
IF(OR(ISNUMBER(SEARCH("CAMA PLANA",Inventario!B56)),ISNUMBER(SEARCH("FB700",Inventario!B56))),"CP",
IF(ISNUMBER(SEARCH("LX360",Inventario!B56)),"LX3",
IF(ISNUMBER(SEARCH("XEROX",Inventario!B56)),"XER",
IF(ISNUMBER(SEARCH("18 OZ",Inventario!B56)),"18OZ",
IF(ISNUMBER(SEARCH("15 OZ",Inventario!B56)),"15OZ",
IF(OR(ISNUMBER(SEARCH("13 OZ",Inventario!B56)),ISNUMBER(SEARCH("13 ONZAS",Inventario!B56))),"13OZ",
IF(OR(ISNUMBER(SEARCH("9 OZ",Inventario!B56)),ISNUMBER(SEARCH("9 ONZAS",Inventario!B56))),"09OZ","")))))))))</f>
        <v/>
      </c>
      <c r="E57" t="str">
        <f>IF(OR(ISNUMBER(SEARCH("TRANSPARENTE",Inventario!B56)),ISNUMBER(SEARCH("TRANSPARENTES",Inventario!B56))),"TR",
IF(OR(ISNUMBER(SEARCH("BLANCO",Inventario!B56)),ISNUMBER(SEARCH("BCO",Inventario!B56))),"BL",
IF(ISNUMBER(SEARCH("VERDE",Inventario!B56)),"VR",
IF(ISNUMBER(SEARCH("MORADO",Inventario!B56)),"MR",
IF(ISNUMBER(SEARCH("PLATA",Inventario!B56)),"PL",
IF(ISNUMBER(SEARCH("ORO",Inventario!B56)),"OR",
IF(ISNUMBER(SEARCH("AMARILLO",Inventario!B56)),"AM",
IF(ISNUMBER(SEARCH("NARANJA",Inventario!B56)),"NR",
IF(ISNUMBER(SEARCH("NEGRO",Inventario!B56)),"NG",
IF(ISNUMBER(SEARCH("ROJO",Inventario!B56)),"RJ",
IF(ISNUMBER(SEARCH("AZUL",Inventario!B56)),"AZ","")))))))))))</f>
        <v>BL</v>
      </c>
      <c r="F57" t="str">
        <f>IF(ISNUMBER(SEARCH("1,2 MM",Inventario!B56)),"1MM2",
IF(OR(ISNUMBER(SEARCH("2 MM",Inventario!B56)),ISNUMBER(SEARCH("2MM",Inventario!B56))),"2MM",
IF(OR(ISNUMBER(SEARCH("3 MM",Inventario!B56)),ISNUMBER(SEARCH("3MM",Inventario!B56))),"3MM",
IF(OR(ISNUMBER(SEARCH("4 MM",Inventario!B56)),ISNUMBER(SEARCH("4MM",Inventario!B56)),ISNUMBER(SEARCH("4 mm",Inventario!B56))),"4MM",
IF(OR(ISNUMBER(SEARCH("5 MM",Inventario!B56)),ISNUMBER(SEARCH("5MM",Inventario!B56))),"5MM",
IF(OR(ISNUMBER(SEARCH("6 MM",Inventario!B56)),ISNUMBER(SEARCH("6MM",Inventario!B56))),"6MM",
IF(OR(ISNUMBER(SEARCH("10 MM",Inventario!B56)),ISNUMBER(SEARCH("10MM",Inventario!B56))),"10MM","")))))))</f>
        <v/>
      </c>
      <c r="G57" t="str">
        <f>IF(ISNUMBER(SEARCH("ALTA RESISTENCIA",Inventario!B56)),"AR",IF(ISNUMBER(SEARCH("CAMPAÑA",Inventario!B56)),"CA",
IF(OR(ISNUMBER(SEARCH("CALIDO",Inventario!B56)),ISNUMBER(SEARCH("CÁLIDO",Inventario!B56))),"C",
IF(OR(ISNUMBER(SEARCH("TRASLUCIDO",Inventario!B56)),ISNUMBER(SEARCH("TRANSLUCIDO",Inventario!B56))),"TL",
IF(ISNUMBER(SEARCH("NEUTRO",Inventario!B56)),"N",
IF(ISNUMBER(SEARCH("FRIO",Inventario!B56)),"F",""))))))</f>
        <v/>
      </c>
      <c r="H57" t="str">
        <f>IF(ISNUMBER(SEARCH("SILED",Inventario!B56)),"SI",
IF(ISNUMBER(SEARCH("SYDEMEX",Inventario!B56)),"SY",
IF(ISNUMBER(SEARCH("ROHS",Inventario!B56)),"RO",
IF(ISNUMBER(SEARCH("RISHANG",Inventario!B56)),"RS",
IF(ISNUMBER(SEARCH("VYG",Inventario!B56)),"VYG",
IF(ISNUMBER(SEARCH("COLED",Inventario!B56)),"CO",""))))))</f>
        <v/>
      </c>
    </row>
    <row r="58" spans="1:8">
      <c r="A58" t="str">
        <f>IF(ISNUMBER(SEARCH("LONA",Inventario!B57)),"LON",
IF(ISNUMBER(SEARCH("VINIL",Inventario!B57)),"VIN",
IF(ISNUMBER(SEARCH("PANEL DE ALUMINIO COMPUESTO",Inventario!B57)),"PAN-ALU-COM",
IF(ISNUMBER(SEARCH("PVC",Inventario!B57)),"PVC",
IF(ISNUMBER(SEARCH("PAPEL",Inventario!B57)),"PAP",
IF(ISNUMBER(SEARCH("TELA",Inventario!B57)),"TEL",
IF(ISNUMBER(SEARCH("CARTULINA",Inventario!B57)),"CAR",
IF(OR(ISNUMBER(SEARCH("LAMINA",Inventario!B57)),ISNUMBER(SEARCH("LÁMINA",Inventario!B57))),"LAM",
IF(ISNUMBER(SEARCH("ESTIRENO",Inventario!B57)),"EST",
IF(ISNUMBER(SEARCH("FOAMBOARD",Inventario!B57)),"FOA",
IF(ISNUMBER(SEARCH("SOLVENTE",Inventario!B57)),"SOL",
IF(ISNUMBER(SEARCH("TINTA",Inventario!B57)),"TIN",
IF(ISNUMBER(SEARCH("ACRILICO",Inventario!B57)),"ACR",
IF(ISNUMBER(SEARCH("LED",Inventario!B57)),"LED",
IF(ISNUMBER(SEARCH("FUENTE",Inventario!B57)),"FUE",
IF(ISNUMBER(SEARCH("PETG",Inventario!B57)),"PET",
IF(ISNUMBER(SEARCH("ALUMINIO",Inventario!B57)),"ALU",
IF(ISNUMBER(SEARCH("CANAL",Inventario!B57)),"CAN",
IF(ISNUMBER(SEARCH("ESCUADRA",Inventario!B57)),"ESC",
IF(ISNUMBER(SEARCH("SOPORTE",Inventario!B57)),"SOP","OTR")
)))))))))))))))))))</f>
        <v>VIN</v>
      </c>
      <c r="B58" t="str">
        <f>IF(ISNUMBER(SEARCH("CORTE",Inventario!B57)),"COR",
IF(ISNUMBER(SEARCH("CRISTAL",Inventario!B57)),"CR",
IF(OR(ISNUMBER(SEARCH("OPTICO",Inventario!B57)),ISNUMBER(SEARCH("OPTICOS",Inventario!B57)),ISNUMBER(SEARCH("OPTICA",Inventario!B57))),"OP",
IF(ISNUMBER(SEARCH("NANO",Inventario!B57)),"NA",
IF(ISNUMBER(SEARCH("5050",Inventario!B57)),"5050",
IF(ISNUMBER(SEARCH("MICRO",Inventario!B57)),"MI",""))))))</f>
        <v/>
      </c>
      <c r="C58" t="str">
        <f>IF(ISNUMBER(SEARCH("PARED",Inventario!B57)),"PAR",IF(ISNUMBER(SEARCH("MATE",Inventario!B57)),"MAT",
IF(ISNUMBER(SEARCH("FRONT",Inventario!B57)),"FRO",
IF(ISNUMBER(SEARCH("BACK",Inventario!B57)),"BAC",
IF(ISNUMBER(SEARCH("MESH",Inventario!B57)),"MES",
IF(OR(ISNUMBER(SEARCH("BRILLANTE",Inventario!B57)),ISNUMBER(SEARCH("BTE",Inventario!B57))),"BRI",
IF(ISNUMBER(SEARCH("SINTETICA DELGADA",Inventario!B57)),"SD",
IF(ISNUMBER(SEARCH("SINTETICA GRUESA",Inventario!B57)),"SG",
IF(ISNUMBER(SEARCH("ESTATICO",Inventario!B57)),"EST",
IF(ISNUMBER(SEARCH("FLOOR",Inventario!B57)),"FLO",
IF(ISNUMBER(SEARCH("REFLECTIVO",Inventario!B57)),"REF",
IF(ISNUMBER(SEARCH("MICROPERFORADO",Inventario!B57)),"MI",
IF(ISNUMBER(SEARCH("CEPILLADO",Inventario!B57)),"CEP",
IF(ISNUMBER(SEARCH("ESPEJO",Inventario!B57)),"ESP",
IF(OR(ISNUMBER(SEARCH("UNIDIODO",Inventario!B57)),ISNUMBER(SEARCH("1 DIODO",Inventario!B57))),"1D",
IF(ISNUMBER(SEARCH("2 DIODOS",Inventario!B57)),"2D",
IF(ISNUMBER(SEARCH("3 DIODOS",Inventario!B57)),"3D","")))))))))))))))))</f>
        <v>MAT</v>
      </c>
      <c r="D58" t="str">
        <f>IF(ISNUMBER(SEARCH("LX700",Inventario!B57)),"LX7",
IF(ISNUMBER(SEARCH("GRANDO",Inventario!B57)),"GRA",
IF(OR(ISNUMBER(SEARCH("CAMA PLANA",Inventario!B57)),ISNUMBER(SEARCH("FB700",Inventario!B57))),"CP",
IF(ISNUMBER(SEARCH("LX360",Inventario!B57)),"LX3",
IF(ISNUMBER(SEARCH("XEROX",Inventario!B57)),"XER",
IF(ISNUMBER(SEARCH("18 OZ",Inventario!B57)),"18OZ",
IF(ISNUMBER(SEARCH("15 OZ",Inventario!B57)),"15OZ",
IF(OR(ISNUMBER(SEARCH("13 OZ",Inventario!B57)),ISNUMBER(SEARCH("13 ONZAS",Inventario!B57))),"13OZ",
IF(OR(ISNUMBER(SEARCH("9 OZ",Inventario!B57)),ISNUMBER(SEARCH("9 ONZAS",Inventario!B57))),"09OZ","")))))))))</f>
        <v/>
      </c>
      <c r="E58" t="str">
        <f>IF(OR(ISNUMBER(SEARCH("TRANSPARENTE",Inventario!B57)),ISNUMBER(SEARCH("TRANSPARENTES",Inventario!B57))),"TR",
IF(OR(ISNUMBER(SEARCH("BLANCO",Inventario!B57)),ISNUMBER(SEARCH("BCO",Inventario!B57))),"BL",
IF(ISNUMBER(SEARCH("VERDE",Inventario!B57)),"VR",
IF(ISNUMBER(SEARCH("MORADO",Inventario!B57)),"MR",
IF(ISNUMBER(SEARCH("PLATA",Inventario!B57)),"PL",
IF(ISNUMBER(SEARCH("ORO",Inventario!B57)),"OR",
IF(ISNUMBER(SEARCH("AMARILLO",Inventario!B57)),"AM",
IF(ISNUMBER(SEARCH("NARANJA",Inventario!B57)),"NR",
IF(ISNUMBER(SEARCH("NEGRO",Inventario!B57)),"NG",
IF(ISNUMBER(SEARCH("ROJO",Inventario!B57)),"RJ",
IF(ISNUMBER(SEARCH("AZUL",Inventario!B57)),"AZ","")))))))))))</f>
        <v>BL</v>
      </c>
      <c r="F58" t="str">
        <f>IF(ISNUMBER(SEARCH("1,2 MM",Inventario!B57)),"1MM2",
IF(OR(ISNUMBER(SEARCH("2 MM",Inventario!B57)),ISNUMBER(SEARCH("2MM",Inventario!B57))),"2MM",
IF(OR(ISNUMBER(SEARCH("3 MM",Inventario!B57)),ISNUMBER(SEARCH("3MM",Inventario!B57))),"3MM",
IF(OR(ISNUMBER(SEARCH("4 MM",Inventario!B57)),ISNUMBER(SEARCH("4MM",Inventario!B57)),ISNUMBER(SEARCH("4 mm",Inventario!B57))),"4MM",
IF(OR(ISNUMBER(SEARCH("5 MM",Inventario!B57)),ISNUMBER(SEARCH("5MM",Inventario!B57))),"5MM",
IF(OR(ISNUMBER(SEARCH("6 MM",Inventario!B57)),ISNUMBER(SEARCH("6MM",Inventario!B57))),"6MM",
IF(OR(ISNUMBER(SEARCH("10 MM",Inventario!B57)),ISNUMBER(SEARCH("10MM",Inventario!B57))),"10MM","")))))))</f>
        <v/>
      </c>
      <c r="G58" t="str">
        <f>IF(ISNUMBER(SEARCH("ALTA RESISTENCIA",Inventario!B57)),"AR",IF(ISNUMBER(SEARCH("CAMPAÑA",Inventario!B57)),"CA",
IF(OR(ISNUMBER(SEARCH("CALIDO",Inventario!B57)),ISNUMBER(SEARCH("CÁLIDO",Inventario!B57))),"C",
IF(OR(ISNUMBER(SEARCH("TRASLUCIDO",Inventario!B57)),ISNUMBER(SEARCH("TRANSLUCIDO",Inventario!B57))),"TL",
IF(ISNUMBER(SEARCH("NEUTRO",Inventario!B57)),"N",
IF(ISNUMBER(SEARCH("FRIO",Inventario!B57)),"F",""))))))</f>
        <v/>
      </c>
      <c r="H58" t="str">
        <f>IF(ISNUMBER(SEARCH("SILED",Inventario!B57)),"SI",
IF(ISNUMBER(SEARCH("SYDEMEX",Inventario!B57)),"SY",
IF(ISNUMBER(SEARCH("ROHS",Inventario!B57)),"RO",
IF(ISNUMBER(SEARCH("RISHANG",Inventario!B57)),"RS",
IF(ISNUMBER(SEARCH("VYG",Inventario!B57)),"VYG",
IF(ISNUMBER(SEARCH("COLED",Inventario!B57)),"CO",""))))))</f>
        <v/>
      </c>
    </row>
    <row r="59" spans="1:8">
      <c r="A59" t="str">
        <f>IF(ISNUMBER(SEARCH("LONA",Inventario!B58)),"LON",
IF(ISNUMBER(SEARCH("VINIL",Inventario!B58)),"VIN",
IF(ISNUMBER(SEARCH("PANEL DE ALUMINIO COMPUESTO",Inventario!B58)),"PAN-ALU-COM",
IF(ISNUMBER(SEARCH("PVC",Inventario!B58)),"PVC",
IF(ISNUMBER(SEARCH("PAPEL",Inventario!B58)),"PAP",
IF(ISNUMBER(SEARCH("TELA",Inventario!B58)),"TEL",
IF(ISNUMBER(SEARCH("CARTULINA",Inventario!B58)),"CAR",
IF(OR(ISNUMBER(SEARCH("LAMINA",Inventario!B58)),ISNUMBER(SEARCH("LÁMINA",Inventario!B58))),"LAM",
IF(ISNUMBER(SEARCH("ESTIRENO",Inventario!B58)),"EST",
IF(ISNUMBER(SEARCH("FOAMBOARD",Inventario!B58)),"FOA",
IF(ISNUMBER(SEARCH("SOLVENTE",Inventario!B58)),"SOL",
IF(ISNUMBER(SEARCH("TINTA",Inventario!B58)),"TIN",
IF(ISNUMBER(SEARCH("ACRILICO",Inventario!B58)),"ACR",
IF(ISNUMBER(SEARCH("LED",Inventario!B58)),"LED",
IF(ISNUMBER(SEARCH("FUENTE",Inventario!B58)),"FUE",
IF(ISNUMBER(SEARCH("PETG",Inventario!B58)),"PET",
IF(ISNUMBER(SEARCH("ALUMINIO",Inventario!B58)),"ALU",
IF(ISNUMBER(SEARCH("CANAL",Inventario!B58)),"CAN",
IF(ISNUMBER(SEARCH("ESCUADRA",Inventario!B58)),"ESC",
IF(ISNUMBER(SEARCH("SOPORTE",Inventario!B58)),"SOP","OTR")
)))))))))))))))))))</f>
        <v>VIN</v>
      </c>
      <c r="B59" t="str">
        <f>IF(ISNUMBER(SEARCH("CORTE",Inventario!B58)),"COR",
IF(ISNUMBER(SEARCH("CRISTAL",Inventario!B58)),"CR",
IF(OR(ISNUMBER(SEARCH("OPTICO",Inventario!B58)),ISNUMBER(SEARCH("OPTICOS",Inventario!B58)),ISNUMBER(SEARCH("OPTICA",Inventario!B58))),"OP",
IF(ISNUMBER(SEARCH("NANO",Inventario!B58)),"NA",
IF(ISNUMBER(SEARCH("5050",Inventario!B58)),"5050",
IF(ISNUMBER(SEARCH("MICRO",Inventario!B58)),"MI",""))))))</f>
        <v/>
      </c>
      <c r="C59" t="str">
        <f>IF(ISNUMBER(SEARCH("PARED",Inventario!B58)),"PAR",IF(ISNUMBER(SEARCH("MATE",Inventario!B58)),"MAT",
IF(ISNUMBER(SEARCH("FRONT",Inventario!B58)),"FRO",
IF(ISNUMBER(SEARCH("BACK",Inventario!B58)),"BAC",
IF(ISNUMBER(SEARCH("MESH",Inventario!B58)),"MES",
IF(OR(ISNUMBER(SEARCH("BRILLANTE",Inventario!B58)),ISNUMBER(SEARCH("BTE",Inventario!B58))),"BRI",
IF(ISNUMBER(SEARCH("SINTETICA DELGADA",Inventario!B58)),"SD",
IF(ISNUMBER(SEARCH("SINTETICA GRUESA",Inventario!B58)),"SG",
IF(ISNUMBER(SEARCH("ESTATICO",Inventario!B58)),"EST",
IF(ISNUMBER(SEARCH("FLOOR",Inventario!B58)),"FLO",
IF(ISNUMBER(SEARCH("REFLECTIVO",Inventario!B58)),"REF",
IF(ISNUMBER(SEARCH("MICROPERFORADO",Inventario!B58)),"MI",
IF(ISNUMBER(SEARCH("CEPILLADO",Inventario!B58)),"CEP",
IF(ISNUMBER(SEARCH("ESPEJO",Inventario!B58)),"ESP",
IF(OR(ISNUMBER(SEARCH("UNIDIODO",Inventario!B58)),ISNUMBER(SEARCH("1 DIODO",Inventario!B58))),"1D",
IF(ISNUMBER(SEARCH("2 DIODOS",Inventario!B58)),"2D",
IF(ISNUMBER(SEARCH("3 DIODOS",Inventario!B58)),"3D","")))))))))))))))))</f>
        <v>MAT</v>
      </c>
      <c r="D59" t="str">
        <f>IF(ISNUMBER(SEARCH("LX700",Inventario!B58)),"LX7",
IF(ISNUMBER(SEARCH("GRANDO",Inventario!B58)),"GRA",
IF(OR(ISNUMBER(SEARCH("CAMA PLANA",Inventario!B58)),ISNUMBER(SEARCH("FB700",Inventario!B58))),"CP",
IF(ISNUMBER(SEARCH("LX360",Inventario!B58)),"LX3",
IF(ISNUMBER(SEARCH("XEROX",Inventario!B58)),"XER",
IF(ISNUMBER(SEARCH("18 OZ",Inventario!B58)),"18OZ",
IF(ISNUMBER(SEARCH("15 OZ",Inventario!B58)),"15OZ",
IF(OR(ISNUMBER(SEARCH("13 OZ",Inventario!B58)),ISNUMBER(SEARCH("13 ONZAS",Inventario!B58))),"13OZ",
IF(OR(ISNUMBER(SEARCH("9 OZ",Inventario!B58)),ISNUMBER(SEARCH("9 ONZAS",Inventario!B58))),"09OZ","")))))))))</f>
        <v/>
      </c>
      <c r="E59" t="str">
        <f>IF(OR(ISNUMBER(SEARCH("TRANSPARENTE",Inventario!B58)),ISNUMBER(SEARCH("TRANSPARENTES",Inventario!B58))),"TR",
IF(OR(ISNUMBER(SEARCH("BLANCO",Inventario!B58)),ISNUMBER(SEARCH("BCO",Inventario!B58))),"BL",
IF(ISNUMBER(SEARCH("VERDE",Inventario!B58)),"VR",
IF(ISNUMBER(SEARCH("MORADO",Inventario!B58)),"MR",
IF(ISNUMBER(SEARCH("PLATA",Inventario!B58)),"PL",
IF(ISNUMBER(SEARCH("ORO",Inventario!B58)),"OR",
IF(ISNUMBER(SEARCH("AMARILLO",Inventario!B58)),"AM",
IF(ISNUMBER(SEARCH("NARANJA",Inventario!B58)),"NR",
IF(ISNUMBER(SEARCH("NEGRO",Inventario!B58)),"NG",
IF(ISNUMBER(SEARCH("ROJO",Inventario!B58)),"RJ",
IF(ISNUMBER(SEARCH("AZUL",Inventario!B58)),"AZ","")))))))))))</f>
        <v>BL</v>
      </c>
      <c r="F59" t="str">
        <f>IF(ISNUMBER(SEARCH("1,2 MM",Inventario!B58)),"1MM2",
IF(OR(ISNUMBER(SEARCH("2 MM",Inventario!B58)),ISNUMBER(SEARCH("2MM",Inventario!B58))),"2MM",
IF(OR(ISNUMBER(SEARCH("3 MM",Inventario!B58)),ISNUMBER(SEARCH("3MM",Inventario!B58))),"3MM",
IF(OR(ISNUMBER(SEARCH("4 MM",Inventario!B58)),ISNUMBER(SEARCH("4MM",Inventario!B58)),ISNUMBER(SEARCH("4 mm",Inventario!B58))),"4MM",
IF(OR(ISNUMBER(SEARCH("5 MM",Inventario!B58)),ISNUMBER(SEARCH("5MM",Inventario!B58))),"5MM",
IF(OR(ISNUMBER(SEARCH("6 MM",Inventario!B58)),ISNUMBER(SEARCH("6MM",Inventario!B58))),"6MM",
IF(OR(ISNUMBER(SEARCH("10 MM",Inventario!B58)),ISNUMBER(SEARCH("10MM",Inventario!B58))),"10MM","")))))))</f>
        <v/>
      </c>
      <c r="G59" t="str">
        <f>IF(ISNUMBER(SEARCH("ALTA RESISTENCIA",Inventario!B58)),"AR",IF(ISNUMBER(SEARCH("CAMPAÑA",Inventario!B58)),"CA",
IF(OR(ISNUMBER(SEARCH("CALIDO",Inventario!B58)),ISNUMBER(SEARCH("CÁLIDO",Inventario!B58))),"C",
IF(OR(ISNUMBER(SEARCH("TRASLUCIDO",Inventario!B58)),ISNUMBER(SEARCH("TRANSLUCIDO",Inventario!B58))),"TL",
IF(ISNUMBER(SEARCH("NEUTRO",Inventario!B58)),"N",
IF(ISNUMBER(SEARCH("FRIO",Inventario!B58)),"F",""))))))</f>
        <v/>
      </c>
      <c r="H59" t="str">
        <f>IF(ISNUMBER(SEARCH("SILED",Inventario!B58)),"SI",
IF(ISNUMBER(SEARCH("SYDEMEX",Inventario!B58)),"SY",
IF(ISNUMBER(SEARCH("ROHS",Inventario!B58)),"RO",
IF(ISNUMBER(SEARCH("RISHANG",Inventario!B58)),"RS",
IF(ISNUMBER(SEARCH("VYG",Inventario!B58)),"VYG",
IF(ISNUMBER(SEARCH("COLED",Inventario!B58)),"CO",""))))))</f>
        <v/>
      </c>
    </row>
    <row r="60" spans="1:8">
      <c r="A60" t="str">
        <f>IF(ISNUMBER(SEARCH("LONA",Inventario!B59)),"LON",
IF(ISNUMBER(SEARCH("VINIL",Inventario!B59)),"VIN",
IF(ISNUMBER(SEARCH("PANEL DE ALUMINIO COMPUESTO",Inventario!B59)),"PAN-ALU-COM",
IF(ISNUMBER(SEARCH("PVC",Inventario!B59)),"PVC",
IF(ISNUMBER(SEARCH("PAPEL",Inventario!B59)),"PAP",
IF(ISNUMBER(SEARCH("TELA",Inventario!B59)),"TEL",
IF(ISNUMBER(SEARCH("CARTULINA",Inventario!B59)),"CAR",
IF(OR(ISNUMBER(SEARCH("LAMINA",Inventario!B59)),ISNUMBER(SEARCH("LÁMINA",Inventario!B59))),"LAM",
IF(ISNUMBER(SEARCH("ESTIRENO",Inventario!B59)),"EST",
IF(ISNUMBER(SEARCH("FOAMBOARD",Inventario!B59)),"FOA",
IF(ISNUMBER(SEARCH("SOLVENTE",Inventario!B59)),"SOL",
IF(ISNUMBER(SEARCH("TINTA",Inventario!B59)),"TIN",
IF(ISNUMBER(SEARCH("ACRILICO",Inventario!B59)),"ACR",
IF(ISNUMBER(SEARCH("LED",Inventario!B59)),"LED",
IF(ISNUMBER(SEARCH("FUENTE",Inventario!B59)),"FUE",
IF(ISNUMBER(SEARCH("PETG",Inventario!B59)),"PET",
IF(ISNUMBER(SEARCH("ALUMINIO",Inventario!B59)),"ALU",
IF(ISNUMBER(SEARCH("CANAL",Inventario!B59)),"CAN",
IF(ISNUMBER(SEARCH("ESCUADRA",Inventario!B59)),"ESC",
IF(ISNUMBER(SEARCH("SOPORTE",Inventario!B59)),"SOP","OTR")
)))))))))))))))))))</f>
        <v>VIN</v>
      </c>
      <c r="B60" t="str">
        <f>IF(ISNUMBER(SEARCH("CORTE",Inventario!B59)),"COR",
IF(ISNUMBER(SEARCH("CRISTAL",Inventario!B59)),"CR",
IF(OR(ISNUMBER(SEARCH("OPTICO",Inventario!B59)),ISNUMBER(SEARCH("OPTICOS",Inventario!B59)),ISNUMBER(SEARCH("OPTICA",Inventario!B59))),"OP",
IF(ISNUMBER(SEARCH("NANO",Inventario!B59)),"NA",
IF(ISNUMBER(SEARCH("5050",Inventario!B59)),"5050",
IF(ISNUMBER(SEARCH("MICRO",Inventario!B59)),"MI",""))))))</f>
        <v/>
      </c>
      <c r="C60" t="str">
        <f>IF(ISNUMBER(SEARCH("PARED",Inventario!B59)),"PAR",IF(ISNUMBER(SEARCH("MATE",Inventario!B59)),"MAT",
IF(ISNUMBER(SEARCH("FRONT",Inventario!B59)),"FRO",
IF(ISNUMBER(SEARCH("BACK",Inventario!B59)),"BAC",
IF(ISNUMBER(SEARCH("MESH",Inventario!B59)),"MES",
IF(OR(ISNUMBER(SEARCH("BRILLANTE",Inventario!B59)),ISNUMBER(SEARCH("BTE",Inventario!B59))),"BRI",
IF(ISNUMBER(SEARCH("SINTETICA DELGADA",Inventario!B59)),"SD",
IF(ISNUMBER(SEARCH("SINTETICA GRUESA",Inventario!B59)),"SG",
IF(ISNUMBER(SEARCH("ESTATICO",Inventario!B59)),"EST",
IF(ISNUMBER(SEARCH("FLOOR",Inventario!B59)),"FLO",
IF(ISNUMBER(SEARCH("REFLECTIVO",Inventario!B59)),"REF",
IF(ISNUMBER(SEARCH("MICROPERFORADO",Inventario!B59)),"MI",
IF(ISNUMBER(SEARCH("CEPILLADO",Inventario!B59)),"CEP",
IF(ISNUMBER(SEARCH("ESPEJO",Inventario!B59)),"ESP",
IF(OR(ISNUMBER(SEARCH("UNIDIODO",Inventario!B59)),ISNUMBER(SEARCH("1 DIODO",Inventario!B59))),"1D",
IF(ISNUMBER(SEARCH("2 DIODOS",Inventario!B59)),"2D",
IF(ISNUMBER(SEARCH("3 DIODOS",Inventario!B59)),"3D","")))))))))))))))))</f>
        <v>BRI</v>
      </c>
      <c r="D60" t="str">
        <f>IF(ISNUMBER(SEARCH("LX700",Inventario!B59)),"LX7",
IF(ISNUMBER(SEARCH("GRANDO",Inventario!B59)),"GRA",
IF(OR(ISNUMBER(SEARCH("CAMA PLANA",Inventario!B59)),ISNUMBER(SEARCH("FB700",Inventario!B59))),"CP",
IF(ISNUMBER(SEARCH("LX360",Inventario!B59)),"LX3",
IF(ISNUMBER(SEARCH("XEROX",Inventario!B59)),"XER",
IF(ISNUMBER(SEARCH("18 OZ",Inventario!B59)),"18OZ",
IF(ISNUMBER(SEARCH("15 OZ",Inventario!B59)),"15OZ",
IF(OR(ISNUMBER(SEARCH("13 OZ",Inventario!B59)),ISNUMBER(SEARCH("13 ONZAS",Inventario!B59))),"13OZ",
IF(OR(ISNUMBER(SEARCH("9 OZ",Inventario!B59)),ISNUMBER(SEARCH("9 ONZAS",Inventario!B59))),"09OZ","")))))))))</f>
        <v/>
      </c>
      <c r="E60" t="str">
        <f>IF(OR(ISNUMBER(SEARCH("TRANSPARENTE",Inventario!B59)),ISNUMBER(SEARCH("TRANSPARENTES",Inventario!B59))),"TR",
IF(OR(ISNUMBER(SEARCH("BLANCO",Inventario!B59)),ISNUMBER(SEARCH("BCO",Inventario!B59))),"BL",
IF(ISNUMBER(SEARCH("VERDE",Inventario!B59)),"VR",
IF(ISNUMBER(SEARCH("MORADO",Inventario!B59)),"MR",
IF(ISNUMBER(SEARCH("PLATA",Inventario!B59)),"PL",
IF(ISNUMBER(SEARCH("ORO",Inventario!B59)),"OR",
IF(ISNUMBER(SEARCH("AMARILLO",Inventario!B59)),"AM",
IF(ISNUMBER(SEARCH("NARANJA",Inventario!B59)),"NR",
IF(ISNUMBER(SEARCH("NEGRO",Inventario!B59)),"NG",
IF(ISNUMBER(SEARCH("ROJO",Inventario!B59)),"RJ",
IF(ISNUMBER(SEARCH("AZUL",Inventario!B59)),"AZ","")))))))))))</f>
        <v/>
      </c>
      <c r="F60" t="str">
        <f>IF(ISNUMBER(SEARCH("1,2 MM",Inventario!B59)),"1MM2",
IF(OR(ISNUMBER(SEARCH("2 MM",Inventario!B59)),ISNUMBER(SEARCH("2MM",Inventario!B59))),"2MM",
IF(OR(ISNUMBER(SEARCH("3 MM",Inventario!B59)),ISNUMBER(SEARCH("3MM",Inventario!B59))),"3MM",
IF(OR(ISNUMBER(SEARCH("4 MM",Inventario!B59)),ISNUMBER(SEARCH("4MM",Inventario!B59)),ISNUMBER(SEARCH("4 mm",Inventario!B59))),"4MM",
IF(OR(ISNUMBER(SEARCH("5 MM",Inventario!B59)),ISNUMBER(SEARCH("5MM",Inventario!B59))),"5MM",
IF(OR(ISNUMBER(SEARCH("6 MM",Inventario!B59)),ISNUMBER(SEARCH("6MM",Inventario!B59))),"6MM",
IF(OR(ISNUMBER(SEARCH("10 MM",Inventario!B59)),ISNUMBER(SEARCH("10MM",Inventario!B59))),"10MM","")))))))</f>
        <v/>
      </c>
      <c r="G60" t="str">
        <f>IF(ISNUMBER(SEARCH("ALTA RESISTENCIA",Inventario!B59)),"AR",IF(ISNUMBER(SEARCH("CAMPAÑA",Inventario!B59)),"CA",
IF(OR(ISNUMBER(SEARCH("CALIDO",Inventario!B59)),ISNUMBER(SEARCH("CÁLIDO",Inventario!B59))),"C",
IF(OR(ISNUMBER(SEARCH("TRASLUCIDO",Inventario!B59)),ISNUMBER(SEARCH("TRANSLUCIDO",Inventario!B59))),"TL",
IF(ISNUMBER(SEARCH("NEUTRO",Inventario!B59)),"N",
IF(ISNUMBER(SEARCH("FRIO",Inventario!B59)),"F",""))))))</f>
        <v/>
      </c>
      <c r="H60" t="str">
        <f>IF(ISNUMBER(SEARCH("SILED",Inventario!B59)),"SI",
IF(ISNUMBER(SEARCH("SYDEMEX",Inventario!B59)),"SY",
IF(ISNUMBER(SEARCH("ROHS",Inventario!B59)),"RO",
IF(ISNUMBER(SEARCH("RISHANG",Inventario!B59)),"RS",
IF(ISNUMBER(SEARCH("VYG",Inventario!B59)),"VYG",
IF(ISNUMBER(SEARCH("COLED",Inventario!B59)),"CO",""))))))</f>
        <v/>
      </c>
    </row>
    <row r="61" spans="1:8">
      <c r="A61" t="str">
        <f>IF(ISNUMBER(SEARCH("LONA",Inventario!B60)),"LON",
IF(ISNUMBER(SEARCH("VINIL",Inventario!B60)),"VIN",
IF(ISNUMBER(SEARCH("PANEL DE ALUMINIO COMPUESTO",Inventario!B60)),"PAN-ALU-COM",
IF(ISNUMBER(SEARCH("PVC",Inventario!B60)),"PVC",
IF(ISNUMBER(SEARCH("PAPEL",Inventario!B60)),"PAP",
IF(ISNUMBER(SEARCH("TELA",Inventario!B60)),"TEL",
IF(ISNUMBER(SEARCH("CARTULINA",Inventario!B60)),"CAR",
IF(OR(ISNUMBER(SEARCH("LAMINA",Inventario!B60)),ISNUMBER(SEARCH("LÁMINA",Inventario!B60))),"LAM",
IF(ISNUMBER(SEARCH("ESTIRENO",Inventario!B60)),"EST",
IF(ISNUMBER(SEARCH("FOAMBOARD",Inventario!B60)),"FOA",
IF(ISNUMBER(SEARCH("SOLVENTE",Inventario!B60)),"SOL",
IF(ISNUMBER(SEARCH("TINTA",Inventario!B60)),"TIN",
IF(ISNUMBER(SEARCH("ACRILICO",Inventario!B60)),"ACR",
IF(ISNUMBER(SEARCH("LED",Inventario!B60)),"LED",
IF(ISNUMBER(SEARCH("FUENTE",Inventario!B60)),"FUE",
IF(ISNUMBER(SEARCH("PETG",Inventario!B60)),"PET",
IF(ISNUMBER(SEARCH("ALUMINIO",Inventario!B60)),"ALU",
IF(ISNUMBER(SEARCH("CANAL",Inventario!B60)),"CAN",
IF(ISNUMBER(SEARCH("ESCUADRA",Inventario!B60)),"ESC",
IF(ISNUMBER(SEARCH("SOPORTE",Inventario!B60)),"SOP","OTR")
)))))))))))))))))))</f>
        <v>VIN</v>
      </c>
      <c r="B61" t="str">
        <f>IF(ISNUMBER(SEARCH("CORTE",Inventario!B60)),"COR",
IF(ISNUMBER(SEARCH("CRISTAL",Inventario!B60)),"CR",
IF(OR(ISNUMBER(SEARCH("OPTICO",Inventario!B60)),ISNUMBER(SEARCH("OPTICOS",Inventario!B60)),ISNUMBER(SEARCH("OPTICA",Inventario!B60))),"OP",
IF(ISNUMBER(SEARCH("NANO",Inventario!B60)),"NA",
IF(ISNUMBER(SEARCH("5050",Inventario!B60)),"5050",
IF(ISNUMBER(SEARCH("MICRO",Inventario!B60)),"MI",""))))))</f>
        <v/>
      </c>
      <c r="C61" t="str">
        <f>IF(ISNUMBER(SEARCH("PARED",Inventario!B60)),"PAR",IF(ISNUMBER(SEARCH("MATE",Inventario!B60)),"MAT",
IF(ISNUMBER(SEARCH("FRONT",Inventario!B60)),"FRO",
IF(ISNUMBER(SEARCH("BACK",Inventario!B60)),"BAC",
IF(ISNUMBER(SEARCH("MESH",Inventario!B60)),"MES",
IF(OR(ISNUMBER(SEARCH("BRILLANTE",Inventario!B60)),ISNUMBER(SEARCH("BTE",Inventario!B60))),"BRI",
IF(ISNUMBER(SEARCH("SINTETICA DELGADA",Inventario!B60)),"SD",
IF(ISNUMBER(SEARCH("SINTETICA GRUESA",Inventario!B60)),"SG",
IF(ISNUMBER(SEARCH("ESTATICO",Inventario!B60)),"EST",
IF(ISNUMBER(SEARCH("FLOOR",Inventario!B60)),"FLO",
IF(ISNUMBER(SEARCH("REFLECTIVO",Inventario!B60)),"REF",
IF(ISNUMBER(SEARCH("MICROPERFORADO",Inventario!B60)),"MI",
IF(ISNUMBER(SEARCH("CEPILLADO",Inventario!B60)),"CEP",
IF(ISNUMBER(SEARCH("ESPEJO",Inventario!B60)),"ESP",
IF(OR(ISNUMBER(SEARCH("UNIDIODO",Inventario!B60)),ISNUMBER(SEARCH("1 DIODO",Inventario!B60))),"1D",
IF(ISNUMBER(SEARCH("2 DIODOS",Inventario!B60)),"2D",
IF(ISNUMBER(SEARCH("3 DIODOS",Inventario!B60)),"3D","")))))))))))))))))</f>
        <v/>
      </c>
      <c r="D61" t="str">
        <f>IF(ISNUMBER(SEARCH("LX700",Inventario!B60)),"LX7",
IF(ISNUMBER(SEARCH("GRANDO",Inventario!B60)),"GRA",
IF(OR(ISNUMBER(SEARCH("CAMA PLANA",Inventario!B60)),ISNUMBER(SEARCH("FB700",Inventario!B60))),"CP",
IF(ISNUMBER(SEARCH("LX360",Inventario!B60)),"LX3",
IF(ISNUMBER(SEARCH("XEROX",Inventario!B60)),"XER",
IF(ISNUMBER(SEARCH("18 OZ",Inventario!B60)),"18OZ",
IF(ISNUMBER(SEARCH("15 OZ",Inventario!B60)),"15OZ",
IF(OR(ISNUMBER(SEARCH("13 OZ",Inventario!B60)),ISNUMBER(SEARCH("13 ONZAS",Inventario!B60))),"13OZ",
IF(OR(ISNUMBER(SEARCH("9 OZ",Inventario!B60)),ISNUMBER(SEARCH("9 ONZAS",Inventario!B60))),"09OZ","")))))))))</f>
        <v/>
      </c>
      <c r="E61" t="str">
        <f>IF(OR(ISNUMBER(SEARCH("TRANSPARENTE",Inventario!B60)),ISNUMBER(SEARCH("TRANSPARENTES",Inventario!B60))),"TR",
IF(OR(ISNUMBER(SEARCH("BLANCO",Inventario!B60)),ISNUMBER(SEARCH("BCO",Inventario!B60))),"BL",
IF(ISNUMBER(SEARCH("VERDE",Inventario!B60)),"VR",
IF(ISNUMBER(SEARCH("MORADO",Inventario!B60)),"MR",
IF(ISNUMBER(SEARCH("PLATA",Inventario!B60)),"PL",
IF(ISNUMBER(SEARCH("ORO",Inventario!B60)),"OR",
IF(ISNUMBER(SEARCH("AMARILLO",Inventario!B60)),"AM",
IF(ISNUMBER(SEARCH("NARANJA",Inventario!B60)),"NR",
IF(ISNUMBER(SEARCH("NEGRO",Inventario!B60)),"NG",
IF(ISNUMBER(SEARCH("ROJO",Inventario!B60)),"RJ",
IF(ISNUMBER(SEARCH("AZUL",Inventario!B60)),"AZ","")))))))))))</f>
        <v>TR</v>
      </c>
      <c r="F61" t="str">
        <f>IF(ISNUMBER(SEARCH("1,2 MM",Inventario!B60)),"1MM2",
IF(OR(ISNUMBER(SEARCH("2 MM",Inventario!B60)),ISNUMBER(SEARCH("2MM",Inventario!B60))),"2MM",
IF(OR(ISNUMBER(SEARCH("3 MM",Inventario!B60)),ISNUMBER(SEARCH("3MM",Inventario!B60))),"3MM",
IF(OR(ISNUMBER(SEARCH("4 MM",Inventario!B60)),ISNUMBER(SEARCH("4MM",Inventario!B60)),ISNUMBER(SEARCH("4 mm",Inventario!B60))),"4MM",
IF(OR(ISNUMBER(SEARCH("5 MM",Inventario!B60)),ISNUMBER(SEARCH("5MM",Inventario!B60))),"5MM",
IF(OR(ISNUMBER(SEARCH("6 MM",Inventario!B60)),ISNUMBER(SEARCH("6MM",Inventario!B60))),"6MM",
IF(OR(ISNUMBER(SEARCH("10 MM",Inventario!B60)),ISNUMBER(SEARCH("10MM",Inventario!B60))),"10MM","")))))))</f>
        <v/>
      </c>
      <c r="G61" t="str">
        <f>IF(ISNUMBER(SEARCH("ALTA RESISTENCIA",Inventario!B60)),"AR",IF(ISNUMBER(SEARCH("CAMPAÑA",Inventario!B60)),"CA",
IF(OR(ISNUMBER(SEARCH("CALIDO",Inventario!B60)),ISNUMBER(SEARCH("CÁLIDO",Inventario!B60))),"C",
IF(OR(ISNUMBER(SEARCH("TRASLUCIDO",Inventario!B60)),ISNUMBER(SEARCH("TRANSLUCIDO",Inventario!B60))),"TL",
IF(ISNUMBER(SEARCH("NEUTRO",Inventario!B60)),"N",
IF(ISNUMBER(SEARCH("FRIO",Inventario!B60)),"F",""))))))</f>
        <v/>
      </c>
      <c r="H61" t="str">
        <f>IF(ISNUMBER(SEARCH("SILED",Inventario!B60)),"SI",
IF(ISNUMBER(SEARCH("SYDEMEX",Inventario!B60)),"SY",
IF(ISNUMBER(SEARCH("ROHS",Inventario!B60)),"RO",
IF(ISNUMBER(SEARCH("RISHANG",Inventario!B60)),"RS",
IF(ISNUMBER(SEARCH("VYG",Inventario!B60)),"VYG",
IF(ISNUMBER(SEARCH("COLED",Inventario!B60)),"CO",""))))))</f>
        <v/>
      </c>
    </row>
    <row r="62" spans="1:8">
      <c r="A62" t="str">
        <f>IF(ISNUMBER(SEARCH("LONA",Inventario!B61)),"LON",
IF(ISNUMBER(SEARCH("VINIL",Inventario!B61)),"VIN",
IF(ISNUMBER(SEARCH("PANEL DE ALUMINIO COMPUESTO",Inventario!B61)),"PAN-ALU-COM",
IF(ISNUMBER(SEARCH("PVC",Inventario!B61)),"PVC",
IF(ISNUMBER(SEARCH("PAPEL",Inventario!B61)),"PAP",
IF(ISNUMBER(SEARCH("TELA",Inventario!B61)),"TEL",
IF(ISNUMBER(SEARCH("CARTULINA",Inventario!B61)),"CAR",
IF(OR(ISNUMBER(SEARCH("LAMINA",Inventario!B61)),ISNUMBER(SEARCH("LÁMINA",Inventario!B61))),"LAM",
IF(ISNUMBER(SEARCH("ESTIRENO",Inventario!B61)),"EST",
IF(ISNUMBER(SEARCH("FOAMBOARD",Inventario!B61)),"FOA",
IF(ISNUMBER(SEARCH("SOLVENTE",Inventario!B61)),"SOL",
IF(ISNUMBER(SEARCH("TINTA",Inventario!B61)),"TIN",
IF(ISNUMBER(SEARCH("ACRILICO",Inventario!B61)),"ACR",
IF(ISNUMBER(SEARCH("LED",Inventario!B61)),"LED",
IF(ISNUMBER(SEARCH("FUENTE",Inventario!B61)),"FUE",
IF(ISNUMBER(SEARCH("PETG",Inventario!B61)),"PET",
IF(ISNUMBER(SEARCH("ALUMINIO",Inventario!B61)),"ALU",
IF(ISNUMBER(SEARCH("CANAL",Inventario!B61)),"CAN",
IF(ISNUMBER(SEARCH("ESCUADRA",Inventario!B61)),"ESC",
IF(ISNUMBER(SEARCH("SOPORTE",Inventario!B61)),"SOP","OTR")
)))))))))))))))))))</f>
        <v>VIN</v>
      </c>
      <c r="B62" t="str">
        <f>IF(ISNUMBER(SEARCH("CORTE",Inventario!B61)),"COR",
IF(ISNUMBER(SEARCH("CRISTAL",Inventario!B61)),"CR",
IF(OR(ISNUMBER(SEARCH("OPTICO",Inventario!B61)),ISNUMBER(SEARCH("OPTICOS",Inventario!B61)),ISNUMBER(SEARCH("OPTICA",Inventario!B61))),"OP",
IF(ISNUMBER(SEARCH("NANO",Inventario!B61)),"NA",
IF(ISNUMBER(SEARCH("5050",Inventario!B61)),"5050",
IF(ISNUMBER(SEARCH("MICRO",Inventario!B61)),"MI",""))))))</f>
        <v>MI</v>
      </c>
      <c r="C62" t="str">
        <f>IF(ISNUMBER(SEARCH("PARED",Inventario!B61)),"PAR",IF(ISNUMBER(SEARCH("MATE",Inventario!B61)),"MAT",
IF(ISNUMBER(SEARCH("FRONT",Inventario!B61)),"FRO",
IF(ISNUMBER(SEARCH("BACK",Inventario!B61)),"BAC",
IF(ISNUMBER(SEARCH("MESH",Inventario!B61)),"MES",
IF(OR(ISNUMBER(SEARCH("BRILLANTE",Inventario!B61)),ISNUMBER(SEARCH("BTE",Inventario!B61))),"BRI",
IF(ISNUMBER(SEARCH("SINTETICA DELGADA",Inventario!B61)),"SD",
IF(ISNUMBER(SEARCH("SINTETICA GRUESA",Inventario!B61)),"SG",
IF(ISNUMBER(SEARCH("ESTATICO",Inventario!B61)),"EST",
IF(ISNUMBER(SEARCH("FLOOR",Inventario!B61)),"FLO",
IF(ISNUMBER(SEARCH("REFLECTIVO",Inventario!B61)),"REF",
IF(ISNUMBER(SEARCH("MICROPERFORADO",Inventario!B61)),"MI",
IF(ISNUMBER(SEARCH("CEPILLADO",Inventario!B61)),"CEP",
IF(ISNUMBER(SEARCH("ESPEJO",Inventario!B61)),"ESP",
IF(OR(ISNUMBER(SEARCH("UNIDIODO",Inventario!B61)),ISNUMBER(SEARCH("1 DIODO",Inventario!B61))),"1D",
IF(ISNUMBER(SEARCH("2 DIODOS",Inventario!B61)),"2D",
IF(ISNUMBER(SEARCH("3 DIODOS",Inventario!B61)),"3D","")))))))))))))))))</f>
        <v>MI</v>
      </c>
      <c r="D62" t="str">
        <f>IF(ISNUMBER(SEARCH("LX700",Inventario!B61)),"LX7",
IF(ISNUMBER(SEARCH("GRANDO",Inventario!B61)),"GRA",
IF(OR(ISNUMBER(SEARCH("CAMA PLANA",Inventario!B61)),ISNUMBER(SEARCH("FB700",Inventario!B61))),"CP",
IF(ISNUMBER(SEARCH("LX360",Inventario!B61)),"LX3",
IF(ISNUMBER(SEARCH("XEROX",Inventario!B61)),"XER",
IF(ISNUMBER(SEARCH("18 OZ",Inventario!B61)),"18OZ",
IF(ISNUMBER(SEARCH("15 OZ",Inventario!B61)),"15OZ",
IF(OR(ISNUMBER(SEARCH("13 OZ",Inventario!B61)),ISNUMBER(SEARCH("13 ONZAS",Inventario!B61))),"13OZ",
IF(OR(ISNUMBER(SEARCH("9 OZ",Inventario!B61)),ISNUMBER(SEARCH("9 ONZAS",Inventario!B61))),"09OZ","")))))))))</f>
        <v/>
      </c>
      <c r="E62" t="str">
        <f>IF(OR(ISNUMBER(SEARCH("TRANSPARENTE",Inventario!B61)),ISNUMBER(SEARCH("TRANSPARENTES",Inventario!B61))),"TR",
IF(OR(ISNUMBER(SEARCH("BLANCO",Inventario!B61)),ISNUMBER(SEARCH("BCO",Inventario!B61))),"BL",
IF(ISNUMBER(SEARCH("VERDE",Inventario!B61)),"VR",
IF(ISNUMBER(SEARCH("MORADO",Inventario!B61)),"MR",
IF(ISNUMBER(SEARCH("PLATA",Inventario!B61)),"PL",
IF(ISNUMBER(SEARCH("ORO",Inventario!B61)),"OR",
IF(ISNUMBER(SEARCH("AMARILLO",Inventario!B61)),"AM",
IF(ISNUMBER(SEARCH("NARANJA",Inventario!B61)),"NR",
IF(ISNUMBER(SEARCH("NEGRO",Inventario!B61)),"NG",
IF(ISNUMBER(SEARCH("ROJO",Inventario!B61)),"RJ",
IF(ISNUMBER(SEARCH("AZUL",Inventario!B61)),"AZ","")))))))))))</f>
        <v/>
      </c>
      <c r="F62" t="str">
        <f>IF(ISNUMBER(SEARCH("1,2 MM",Inventario!B61)),"1MM2",
IF(OR(ISNUMBER(SEARCH("2 MM",Inventario!B61)),ISNUMBER(SEARCH("2MM",Inventario!B61))),"2MM",
IF(OR(ISNUMBER(SEARCH("3 MM",Inventario!B61)),ISNUMBER(SEARCH("3MM",Inventario!B61))),"3MM",
IF(OR(ISNUMBER(SEARCH("4 MM",Inventario!B61)),ISNUMBER(SEARCH("4MM",Inventario!B61)),ISNUMBER(SEARCH("4 mm",Inventario!B61))),"4MM",
IF(OR(ISNUMBER(SEARCH("5 MM",Inventario!B61)),ISNUMBER(SEARCH("5MM",Inventario!B61))),"5MM",
IF(OR(ISNUMBER(SEARCH("6 MM",Inventario!B61)),ISNUMBER(SEARCH("6MM",Inventario!B61))),"6MM",
IF(OR(ISNUMBER(SEARCH("10 MM",Inventario!B61)),ISNUMBER(SEARCH("10MM",Inventario!B61))),"10MM","")))))))</f>
        <v/>
      </c>
      <c r="G62" t="str">
        <f>IF(ISNUMBER(SEARCH("ALTA RESISTENCIA",Inventario!B61)),"AR",IF(ISNUMBER(SEARCH("CAMPAÑA",Inventario!B61)),"CA",
IF(OR(ISNUMBER(SEARCH("CALIDO",Inventario!B61)),ISNUMBER(SEARCH("CÁLIDO",Inventario!B61))),"C",
IF(OR(ISNUMBER(SEARCH("TRASLUCIDO",Inventario!B61)),ISNUMBER(SEARCH("TRANSLUCIDO",Inventario!B61))),"TL",
IF(ISNUMBER(SEARCH("NEUTRO",Inventario!B61)),"N",
IF(ISNUMBER(SEARCH("FRIO",Inventario!B61)),"F",""))))))</f>
        <v/>
      </c>
      <c r="H62" t="str">
        <f>IF(ISNUMBER(SEARCH("SILED",Inventario!B61)),"SI",
IF(ISNUMBER(SEARCH("SYDEMEX",Inventario!B61)),"SY",
IF(ISNUMBER(SEARCH("ROHS",Inventario!B61)),"RO",
IF(ISNUMBER(SEARCH("RISHANG",Inventario!B61)),"RS",
IF(ISNUMBER(SEARCH("VYG",Inventario!B61)),"VYG",
IF(ISNUMBER(SEARCH("COLED",Inventario!B61)),"CO",""))))))</f>
        <v/>
      </c>
    </row>
    <row r="63" spans="1:8">
      <c r="A63" t="str">
        <f>IF(ISNUMBER(SEARCH("LONA",Inventario!B62)),"LON",
IF(ISNUMBER(SEARCH("VINIL",Inventario!B62)),"VIN",
IF(ISNUMBER(SEARCH("PANEL DE ALUMINIO COMPUESTO",Inventario!B62)),"PAN-ALU-COM",
IF(ISNUMBER(SEARCH("PVC",Inventario!B62)),"PVC",
IF(ISNUMBER(SEARCH("PAPEL",Inventario!B62)),"PAP",
IF(ISNUMBER(SEARCH("TELA",Inventario!B62)),"TEL",
IF(ISNUMBER(SEARCH("CARTULINA",Inventario!B62)),"CAR",
IF(OR(ISNUMBER(SEARCH("LAMINA",Inventario!B62)),ISNUMBER(SEARCH("LÁMINA",Inventario!B62))),"LAM",
IF(ISNUMBER(SEARCH("ESTIRENO",Inventario!B62)),"EST",
IF(ISNUMBER(SEARCH("FOAMBOARD",Inventario!B62)),"FOA",
IF(ISNUMBER(SEARCH("SOLVENTE",Inventario!B62)),"SOL",
IF(ISNUMBER(SEARCH("TINTA",Inventario!B62)),"TIN",
IF(ISNUMBER(SEARCH("ACRILICO",Inventario!B62)),"ACR",
IF(ISNUMBER(SEARCH("LED",Inventario!B62)),"LED",
IF(ISNUMBER(SEARCH("FUENTE",Inventario!B62)),"FUE",
IF(ISNUMBER(SEARCH("PETG",Inventario!B62)),"PET",
IF(ISNUMBER(SEARCH("ALUMINIO",Inventario!B62)),"ALU",
IF(ISNUMBER(SEARCH("CANAL",Inventario!B62)),"CAN",
IF(ISNUMBER(SEARCH("ESCUADRA",Inventario!B62)),"ESC",
IF(ISNUMBER(SEARCH("SOPORTE",Inventario!B62)),"SOP","OTR")
)))))))))))))))))))</f>
        <v>VIN</v>
      </c>
      <c r="B63" t="str">
        <f>IF(ISNUMBER(SEARCH("CORTE",Inventario!B62)),"COR",
IF(ISNUMBER(SEARCH("CRISTAL",Inventario!B62)),"CR",
IF(OR(ISNUMBER(SEARCH("OPTICO",Inventario!B62)),ISNUMBER(SEARCH("OPTICOS",Inventario!B62)),ISNUMBER(SEARCH("OPTICA",Inventario!B62))),"OP",
IF(ISNUMBER(SEARCH("NANO",Inventario!B62)),"NA",
IF(ISNUMBER(SEARCH("5050",Inventario!B62)),"5050",
IF(ISNUMBER(SEARCH("MICRO",Inventario!B62)),"MI",""))))))</f>
        <v>MI</v>
      </c>
      <c r="C63" t="str">
        <f>IF(ISNUMBER(SEARCH("PARED",Inventario!B62)),"PAR",IF(ISNUMBER(SEARCH("MATE",Inventario!B62)),"MAT",
IF(ISNUMBER(SEARCH("FRONT",Inventario!B62)),"FRO",
IF(ISNUMBER(SEARCH("BACK",Inventario!B62)),"BAC",
IF(ISNUMBER(SEARCH("MESH",Inventario!B62)),"MES",
IF(OR(ISNUMBER(SEARCH("BRILLANTE",Inventario!B62)),ISNUMBER(SEARCH("BTE",Inventario!B62))),"BRI",
IF(ISNUMBER(SEARCH("SINTETICA DELGADA",Inventario!B62)),"SD",
IF(ISNUMBER(SEARCH("SINTETICA GRUESA",Inventario!B62)),"SG",
IF(ISNUMBER(SEARCH("ESTATICO",Inventario!B62)),"EST",
IF(ISNUMBER(SEARCH("FLOOR",Inventario!B62)),"FLO",
IF(ISNUMBER(SEARCH("REFLECTIVO",Inventario!B62)),"REF",
IF(ISNUMBER(SEARCH("MICROPERFORADO",Inventario!B62)),"MI",
IF(ISNUMBER(SEARCH("CEPILLADO",Inventario!B62)),"CEP",
IF(ISNUMBER(SEARCH("ESPEJO",Inventario!B62)),"ESP",
IF(OR(ISNUMBER(SEARCH("UNIDIODO",Inventario!B62)),ISNUMBER(SEARCH("1 DIODO",Inventario!B62))),"1D",
IF(ISNUMBER(SEARCH("2 DIODOS",Inventario!B62)),"2D",
IF(ISNUMBER(SEARCH("3 DIODOS",Inventario!B62)),"3D","")))))))))))))))))</f>
        <v>MI</v>
      </c>
      <c r="D63" t="str">
        <f>IF(ISNUMBER(SEARCH("LX700",Inventario!B62)),"LX7",
IF(ISNUMBER(SEARCH("GRANDO",Inventario!B62)),"GRA",
IF(OR(ISNUMBER(SEARCH("CAMA PLANA",Inventario!B62)),ISNUMBER(SEARCH("FB700",Inventario!B62))),"CP",
IF(ISNUMBER(SEARCH("LX360",Inventario!B62)),"LX3",
IF(ISNUMBER(SEARCH("XEROX",Inventario!B62)),"XER",
IF(ISNUMBER(SEARCH("18 OZ",Inventario!B62)),"18OZ",
IF(ISNUMBER(SEARCH("15 OZ",Inventario!B62)),"15OZ",
IF(OR(ISNUMBER(SEARCH("13 OZ",Inventario!B62)),ISNUMBER(SEARCH("13 ONZAS",Inventario!B62))),"13OZ",
IF(OR(ISNUMBER(SEARCH("9 OZ",Inventario!B62)),ISNUMBER(SEARCH("9 ONZAS",Inventario!B62))),"09OZ","")))))))))</f>
        <v/>
      </c>
      <c r="E63" t="str">
        <f>IF(OR(ISNUMBER(SEARCH("TRANSPARENTE",Inventario!B62)),ISNUMBER(SEARCH("TRANSPARENTES",Inventario!B62))),"TR",
IF(OR(ISNUMBER(SEARCH("BLANCO",Inventario!B62)),ISNUMBER(SEARCH("BCO",Inventario!B62))),"BL",
IF(ISNUMBER(SEARCH("VERDE",Inventario!B62)),"VR",
IF(ISNUMBER(SEARCH("MORADO",Inventario!B62)),"MR",
IF(ISNUMBER(SEARCH("PLATA",Inventario!B62)),"PL",
IF(ISNUMBER(SEARCH("ORO",Inventario!B62)),"OR",
IF(ISNUMBER(SEARCH("AMARILLO",Inventario!B62)),"AM",
IF(ISNUMBER(SEARCH("NARANJA",Inventario!B62)),"NR",
IF(ISNUMBER(SEARCH("NEGRO",Inventario!B62)),"NG",
IF(ISNUMBER(SEARCH("ROJO",Inventario!B62)),"RJ",
IF(ISNUMBER(SEARCH("AZUL",Inventario!B62)),"AZ","")))))))))))</f>
        <v/>
      </c>
      <c r="F63" t="str">
        <f>IF(ISNUMBER(SEARCH("1,2 MM",Inventario!B62)),"1MM2",
IF(OR(ISNUMBER(SEARCH("2 MM",Inventario!B62)),ISNUMBER(SEARCH("2MM",Inventario!B62))),"2MM",
IF(OR(ISNUMBER(SEARCH("3 MM",Inventario!B62)),ISNUMBER(SEARCH("3MM",Inventario!B62))),"3MM",
IF(OR(ISNUMBER(SEARCH("4 MM",Inventario!B62)),ISNUMBER(SEARCH("4MM",Inventario!B62)),ISNUMBER(SEARCH("4 mm",Inventario!B62))),"4MM",
IF(OR(ISNUMBER(SEARCH("5 MM",Inventario!B62)),ISNUMBER(SEARCH("5MM",Inventario!B62))),"5MM",
IF(OR(ISNUMBER(SEARCH("6 MM",Inventario!B62)),ISNUMBER(SEARCH("6MM",Inventario!B62))),"6MM",
IF(OR(ISNUMBER(SEARCH("10 MM",Inventario!B62)),ISNUMBER(SEARCH("10MM",Inventario!B62))),"10MM","")))))))</f>
        <v/>
      </c>
      <c r="G63" t="str">
        <f>IF(ISNUMBER(SEARCH("ALTA RESISTENCIA",Inventario!B62)),"AR",IF(ISNUMBER(SEARCH("CAMPAÑA",Inventario!B62)),"CA",
IF(OR(ISNUMBER(SEARCH("CALIDO",Inventario!B62)),ISNUMBER(SEARCH("CÁLIDO",Inventario!B62))),"C",
IF(OR(ISNUMBER(SEARCH("TRASLUCIDO",Inventario!B62)),ISNUMBER(SEARCH("TRANSLUCIDO",Inventario!B62))),"TL",
IF(ISNUMBER(SEARCH("NEUTRO",Inventario!B62)),"N",
IF(ISNUMBER(SEARCH("FRIO",Inventario!B62)),"F",""))))))</f>
        <v/>
      </c>
      <c r="H63" t="str">
        <f>IF(ISNUMBER(SEARCH("SILED",Inventario!B62)),"SI",
IF(ISNUMBER(SEARCH("SYDEMEX",Inventario!B62)),"SY",
IF(ISNUMBER(SEARCH("ROHS",Inventario!B62)),"RO",
IF(ISNUMBER(SEARCH("RISHANG",Inventario!B62)),"RS",
IF(ISNUMBER(SEARCH("VYG",Inventario!B62)),"VYG",
IF(ISNUMBER(SEARCH("COLED",Inventario!B62)),"CO",""))))))</f>
        <v/>
      </c>
    </row>
    <row r="64" spans="1:8">
      <c r="A64" t="str">
        <f>IF(ISNUMBER(SEARCH("LONA",Inventario!B63)),"LON",
IF(ISNUMBER(SEARCH("VINIL",Inventario!B63)),"VIN",
IF(ISNUMBER(SEARCH("PANEL DE ALUMINIO COMPUESTO",Inventario!B63)),"PAN-ALU-COM",
IF(ISNUMBER(SEARCH("PVC",Inventario!B63)),"PVC",
IF(ISNUMBER(SEARCH("PAPEL",Inventario!B63)),"PAP",
IF(ISNUMBER(SEARCH("TELA",Inventario!B63)),"TEL",
IF(ISNUMBER(SEARCH("CARTULINA",Inventario!B63)),"CAR",
IF(OR(ISNUMBER(SEARCH("LAMINA",Inventario!B63)),ISNUMBER(SEARCH("LÁMINA",Inventario!B63))),"LAM",
IF(ISNUMBER(SEARCH("ESTIRENO",Inventario!B63)),"EST",
IF(ISNUMBER(SEARCH("FOAMBOARD",Inventario!B63)),"FOA",
IF(ISNUMBER(SEARCH("SOLVENTE",Inventario!B63)),"SOL",
IF(ISNUMBER(SEARCH("TINTA",Inventario!B63)),"TIN",
IF(ISNUMBER(SEARCH("ACRILICO",Inventario!B63)),"ACR",
IF(ISNUMBER(SEARCH("LED",Inventario!B63)),"LED",
IF(ISNUMBER(SEARCH("FUENTE",Inventario!B63)),"FUE",
IF(ISNUMBER(SEARCH("PETG",Inventario!B63)),"PET",
IF(ISNUMBER(SEARCH("ALUMINIO",Inventario!B63)),"ALU",
IF(ISNUMBER(SEARCH("CANAL",Inventario!B63)),"CAN",
IF(ISNUMBER(SEARCH("ESCUADRA",Inventario!B63)),"ESC",
IF(ISNUMBER(SEARCH("SOPORTE",Inventario!B63)),"SOP","OTR")
)))))))))))))))))))</f>
        <v>VIN</v>
      </c>
      <c r="B64" t="str">
        <f>IF(ISNUMBER(SEARCH("CORTE",Inventario!B63)),"COR",
IF(ISNUMBER(SEARCH("CRISTAL",Inventario!B63)),"CR",
IF(OR(ISNUMBER(SEARCH("OPTICO",Inventario!B63)),ISNUMBER(SEARCH("OPTICOS",Inventario!B63)),ISNUMBER(SEARCH("OPTICA",Inventario!B63))),"OP",
IF(ISNUMBER(SEARCH("NANO",Inventario!B63)),"NA",
IF(ISNUMBER(SEARCH("5050",Inventario!B63)),"5050",
IF(ISNUMBER(SEARCH("MICRO",Inventario!B63)),"MI",""))))))</f>
        <v/>
      </c>
      <c r="C64" t="str">
        <f>IF(ISNUMBER(SEARCH("PARED",Inventario!B63)),"PAR",IF(ISNUMBER(SEARCH("MATE",Inventario!B63)),"MAT",
IF(ISNUMBER(SEARCH("FRONT",Inventario!B63)),"FRO",
IF(ISNUMBER(SEARCH("BACK",Inventario!B63)),"BAC",
IF(ISNUMBER(SEARCH("MESH",Inventario!B63)),"MES",
IF(OR(ISNUMBER(SEARCH("BRILLANTE",Inventario!B63)),ISNUMBER(SEARCH("BTE",Inventario!B63))),"BRI",
IF(ISNUMBER(SEARCH("SINTETICA DELGADA",Inventario!B63)),"SD",
IF(ISNUMBER(SEARCH("SINTETICA GRUESA",Inventario!B63)),"SG",
IF(ISNUMBER(SEARCH("ESTATICO",Inventario!B63)),"EST",
IF(ISNUMBER(SEARCH("FLOOR",Inventario!B63)),"FLO",
IF(ISNUMBER(SEARCH("REFLECTIVO",Inventario!B63)),"REF",
IF(ISNUMBER(SEARCH("MICROPERFORADO",Inventario!B63)),"MI",
IF(ISNUMBER(SEARCH("CEPILLADO",Inventario!B63)),"CEP",
IF(ISNUMBER(SEARCH("ESPEJO",Inventario!B63)),"ESP",
IF(OR(ISNUMBER(SEARCH("UNIDIODO",Inventario!B63)),ISNUMBER(SEARCH("1 DIODO",Inventario!B63))),"1D",
IF(ISNUMBER(SEARCH("2 DIODOS",Inventario!B63)),"2D",
IF(ISNUMBER(SEARCH("3 DIODOS",Inventario!B63)),"3D","")))))))))))))))))</f>
        <v>BRI</v>
      </c>
      <c r="D64" t="str">
        <f>IF(ISNUMBER(SEARCH("LX700",Inventario!B63)),"LX7",
IF(ISNUMBER(SEARCH("GRANDO",Inventario!B63)),"GRA",
IF(OR(ISNUMBER(SEARCH("CAMA PLANA",Inventario!B63)),ISNUMBER(SEARCH("FB700",Inventario!B63))),"CP",
IF(ISNUMBER(SEARCH("LX360",Inventario!B63)),"LX3",
IF(ISNUMBER(SEARCH("XEROX",Inventario!B63)),"XER",
IF(ISNUMBER(SEARCH("18 OZ",Inventario!B63)),"18OZ",
IF(ISNUMBER(SEARCH("15 OZ",Inventario!B63)),"15OZ",
IF(OR(ISNUMBER(SEARCH("13 OZ",Inventario!B63)),ISNUMBER(SEARCH("13 ONZAS",Inventario!B63))),"13OZ",
IF(OR(ISNUMBER(SEARCH("9 OZ",Inventario!B63)),ISNUMBER(SEARCH("9 ONZAS",Inventario!B63))),"09OZ","")))))))))</f>
        <v/>
      </c>
      <c r="E64" t="str">
        <f>IF(OR(ISNUMBER(SEARCH("TRANSPARENTE",Inventario!B63)),ISNUMBER(SEARCH("TRANSPARENTES",Inventario!B63))),"TR",
IF(OR(ISNUMBER(SEARCH("BLANCO",Inventario!B63)),ISNUMBER(SEARCH("BCO",Inventario!B63))),"BL",
IF(ISNUMBER(SEARCH("VERDE",Inventario!B63)),"VR",
IF(ISNUMBER(SEARCH("MORADO",Inventario!B63)),"MR",
IF(ISNUMBER(SEARCH("PLATA",Inventario!B63)),"PL",
IF(ISNUMBER(SEARCH("ORO",Inventario!B63)),"OR",
IF(ISNUMBER(SEARCH("AMARILLO",Inventario!B63)),"AM",
IF(ISNUMBER(SEARCH("NARANJA",Inventario!B63)),"NR",
IF(ISNUMBER(SEARCH("NEGRO",Inventario!B63)),"NG",
IF(ISNUMBER(SEARCH("ROJO",Inventario!B63)),"RJ",
IF(ISNUMBER(SEARCH("AZUL",Inventario!B63)),"AZ","")))))))))))</f>
        <v/>
      </c>
      <c r="F64" t="str">
        <f>IF(ISNUMBER(SEARCH("1,2 MM",Inventario!B63)),"1MM2",
IF(OR(ISNUMBER(SEARCH("2 MM",Inventario!B63)),ISNUMBER(SEARCH("2MM",Inventario!B63))),"2MM",
IF(OR(ISNUMBER(SEARCH("3 MM",Inventario!B63)),ISNUMBER(SEARCH("3MM",Inventario!B63))),"3MM",
IF(OR(ISNUMBER(SEARCH("4 MM",Inventario!B63)),ISNUMBER(SEARCH("4MM",Inventario!B63)),ISNUMBER(SEARCH("4 mm",Inventario!B63))),"4MM",
IF(OR(ISNUMBER(SEARCH("5 MM",Inventario!B63)),ISNUMBER(SEARCH("5MM",Inventario!B63))),"5MM",
IF(OR(ISNUMBER(SEARCH("6 MM",Inventario!B63)),ISNUMBER(SEARCH("6MM",Inventario!B63))),"6MM",
IF(OR(ISNUMBER(SEARCH("10 MM",Inventario!B63)),ISNUMBER(SEARCH("10MM",Inventario!B63))),"10MM","")))))))</f>
        <v/>
      </c>
      <c r="G64" t="str">
        <f>IF(ISNUMBER(SEARCH("ALTA RESISTENCIA",Inventario!B63)),"AR",IF(ISNUMBER(SEARCH("CAMPAÑA",Inventario!B63)),"CA",
IF(OR(ISNUMBER(SEARCH("CALIDO",Inventario!B63)),ISNUMBER(SEARCH("CÁLIDO",Inventario!B63))),"C",
IF(OR(ISNUMBER(SEARCH("TRASLUCIDO",Inventario!B63)),ISNUMBER(SEARCH("TRANSLUCIDO",Inventario!B63))),"TL",
IF(ISNUMBER(SEARCH("NEUTRO",Inventario!B63)),"N",
IF(ISNUMBER(SEARCH("FRIO",Inventario!B63)),"F",""))))))</f>
        <v/>
      </c>
      <c r="H64" t="str">
        <f>IF(ISNUMBER(SEARCH("SILED",Inventario!B63)),"SI",
IF(ISNUMBER(SEARCH("SYDEMEX",Inventario!B63)),"SY",
IF(ISNUMBER(SEARCH("ROHS",Inventario!B63)),"RO",
IF(ISNUMBER(SEARCH("RISHANG",Inventario!B63)),"RS",
IF(ISNUMBER(SEARCH("VYG",Inventario!B63)),"VYG",
IF(ISNUMBER(SEARCH("COLED",Inventario!B63)),"CO",""))))))</f>
        <v/>
      </c>
    </row>
    <row r="65" spans="1:8">
      <c r="A65" t="str">
        <f>IF(ISNUMBER(SEARCH("LONA",Inventario!B64)),"LON",
IF(ISNUMBER(SEARCH("VINIL",Inventario!B64)),"VIN",
IF(ISNUMBER(SEARCH("PANEL DE ALUMINIO COMPUESTO",Inventario!B64)),"PAN-ALU-COM",
IF(ISNUMBER(SEARCH("PVC",Inventario!B64)),"PVC",
IF(ISNUMBER(SEARCH("PAPEL",Inventario!B64)),"PAP",
IF(ISNUMBER(SEARCH("TELA",Inventario!B64)),"TEL",
IF(ISNUMBER(SEARCH("CARTULINA",Inventario!B64)),"CAR",
IF(OR(ISNUMBER(SEARCH("LAMINA",Inventario!B64)),ISNUMBER(SEARCH("LÁMINA",Inventario!B64))),"LAM",
IF(ISNUMBER(SEARCH("ESTIRENO",Inventario!B64)),"EST",
IF(ISNUMBER(SEARCH("FOAMBOARD",Inventario!B64)),"FOA",
IF(ISNUMBER(SEARCH("SOLVENTE",Inventario!B64)),"SOL",
IF(ISNUMBER(SEARCH("TINTA",Inventario!B64)),"TIN",
IF(ISNUMBER(SEARCH("ACRILICO",Inventario!B64)),"ACR",
IF(ISNUMBER(SEARCH("LED",Inventario!B64)),"LED",
IF(ISNUMBER(SEARCH("FUENTE",Inventario!B64)),"FUE",
IF(ISNUMBER(SEARCH("PETG",Inventario!B64)),"PET",
IF(ISNUMBER(SEARCH("ALUMINIO",Inventario!B64)),"ALU",
IF(ISNUMBER(SEARCH("CANAL",Inventario!B64)),"CAN",
IF(ISNUMBER(SEARCH("ESCUADRA",Inventario!B64)),"ESC",
IF(ISNUMBER(SEARCH("SOPORTE",Inventario!B64)),"SOP","OTR")
)))))))))))))))))))</f>
        <v>VIN</v>
      </c>
      <c r="B65" t="str">
        <f>IF(ISNUMBER(SEARCH("CORTE",Inventario!B64)),"COR",
IF(ISNUMBER(SEARCH("CRISTAL",Inventario!B64)),"CR",
IF(OR(ISNUMBER(SEARCH("OPTICO",Inventario!B64)),ISNUMBER(SEARCH("OPTICOS",Inventario!B64)),ISNUMBER(SEARCH("OPTICA",Inventario!B64))),"OP",
IF(ISNUMBER(SEARCH("NANO",Inventario!B64)),"NA",
IF(ISNUMBER(SEARCH("5050",Inventario!B64)),"5050",
IF(ISNUMBER(SEARCH("MICRO",Inventario!B64)),"MI",""))))))</f>
        <v/>
      </c>
      <c r="C65" t="str">
        <f>IF(ISNUMBER(SEARCH("PARED",Inventario!B64)),"PAR",IF(ISNUMBER(SEARCH("MATE",Inventario!B64)),"MAT",
IF(ISNUMBER(SEARCH("FRONT",Inventario!B64)),"FRO",
IF(ISNUMBER(SEARCH("BACK",Inventario!B64)),"BAC",
IF(ISNUMBER(SEARCH("MESH",Inventario!B64)),"MES",
IF(OR(ISNUMBER(SEARCH("BRILLANTE",Inventario!B64)),ISNUMBER(SEARCH("BTE",Inventario!B64))),"BRI",
IF(ISNUMBER(SEARCH("SINTETICA DELGADA",Inventario!B64)),"SD",
IF(ISNUMBER(SEARCH("SINTETICA GRUESA",Inventario!B64)),"SG",
IF(ISNUMBER(SEARCH("ESTATICO",Inventario!B64)),"EST",
IF(ISNUMBER(SEARCH("FLOOR",Inventario!B64)),"FLO",
IF(ISNUMBER(SEARCH("REFLECTIVO",Inventario!B64)),"REF",
IF(ISNUMBER(SEARCH("MICROPERFORADO",Inventario!B64)),"MI",
IF(ISNUMBER(SEARCH("CEPILLADO",Inventario!B64)),"CEP",
IF(ISNUMBER(SEARCH("ESPEJO",Inventario!B64)),"ESP",
IF(OR(ISNUMBER(SEARCH("UNIDIODO",Inventario!B64)),ISNUMBER(SEARCH("1 DIODO",Inventario!B64))),"1D",
IF(ISNUMBER(SEARCH("2 DIODOS",Inventario!B64)),"2D",
IF(ISNUMBER(SEARCH("3 DIODOS",Inventario!B64)),"3D","")))))))))))))))))</f>
        <v>BRI</v>
      </c>
      <c r="D65" t="str">
        <f>IF(ISNUMBER(SEARCH("LX700",Inventario!B64)),"LX7",
IF(ISNUMBER(SEARCH("GRANDO",Inventario!B64)),"GRA",
IF(OR(ISNUMBER(SEARCH("CAMA PLANA",Inventario!B64)),ISNUMBER(SEARCH("FB700",Inventario!B64))),"CP",
IF(ISNUMBER(SEARCH("LX360",Inventario!B64)),"LX3",
IF(ISNUMBER(SEARCH("XEROX",Inventario!B64)),"XER",
IF(ISNUMBER(SEARCH("18 OZ",Inventario!B64)),"18OZ",
IF(ISNUMBER(SEARCH("15 OZ",Inventario!B64)),"15OZ",
IF(OR(ISNUMBER(SEARCH("13 OZ",Inventario!B64)),ISNUMBER(SEARCH("13 ONZAS",Inventario!B64))),"13OZ",
IF(OR(ISNUMBER(SEARCH("9 OZ",Inventario!B64)),ISNUMBER(SEARCH("9 ONZAS",Inventario!B64))),"09OZ","")))))))))</f>
        <v/>
      </c>
      <c r="E65" t="str">
        <f>IF(OR(ISNUMBER(SEARCH("TRANSPARENTE",Inventario!B64)),ISNUMBER(SEARCH("TRANSPARENTES",Inventario!B64))),"TR",
IF(OR(ISNUMBER(SEARCH("BLANCO",Inventario!B64)),ISNUMBER(SEARCH("BCO",Inventario!B64))),"BL",
IF(ISNUMBER(SEARCH("VERDE",Inventario!B64)),"VR",
IF(ISNUMBER(SEARCH("MORADO",Inventario!B64)),"MR",
IF(ISNUMBER(SEARCH("PLATA",Inventario!B64)),"PL",
IF(ISNUMBER(SEARCH("ORO",Inventario!B64)),"OR",
IF(ISNUMBER(SEARCH("AMARILLO",Inventario!B64)),"AM",
IF(ISNUMBER(SEARCH("NARANJA",Inventario!B64)),"NR",
IF(ISNUMBER(SEARCH("NEGRO",Inventario!B64)),"NG",
IF(ISNUMBER(SEARCH("ROJO",Inventario!B64)),"RJ",
IF(ISNUMBER(SEARCH("AZUL",Inventario!B64)),"AZ","")))))))))))</f>
        <v>BL</v>
      </c>
      <c r="F65" t="str">
        <f>IF(ISNUMBER(SEARCH("1,2 MM",Inventario!B64)),"1MM2",
IF(OR(ISNUMBER(SEARCH("2 MM",Inventario!B64)),ISNUMBER(SEARCH("2MM",Inventario!B64))),"2MM",
IF(OR(ISNUMBER(SEARCH("3 MM",Inventario!B64)),ISNUMBER(SEARCH("3MM",Inventario!B64))),"3MM",
IF(OR(ISNUMBER(SEARCH("4 MM",Inventario!B64)),ISNUMBER(SEARCH("4MM",Inventario!B64)),ISNUMBER(SEARCH("4 mm",Inventario!B64))),"4MM",
IF(OR(ISNUMBER(SEARCH("5 MM",Inventario!B64)),ISNUMBER(SEARCH("5MM",Inventario!B64))),"5MM",
IF(OR(ISNUMBER(SEARCH("6 MM",Inventario!B64)),ISNUMBER(SEARCH("6MM",Inventario!B64))),"6MM",
IF(OR(ISNUMBER(SEARCH("10 MM",Inventario!B64)),ISNUMBER(SEARCH("10MM",Inventario!B64))),"10MM","")))))))</f>
        <v/>
      </c>
      <c r="G65" t="str">
        <f>IF(ISNUMBER(SEARCH("ALTA RESISTENCIA",Inventario!B64)),"AR",IF(ISNUMBER(SEARCH("CAMPAÑA",Inventario!B64)),"CA",
IF(OR(ISNUMBER(SEARCH("CALIDO",Inventario!B64)),ISNUMBER(SEARCH("CÁLIDO",Inventario!B64))),"C",
IF(OR(ISNUMBER(SEARCH("TRASLUCIDO",Inventario!B64)),ISNUMBER(SEARCH("TRANSLUCIDO",Inventario!B64))),"TL",
IF(ISNUMBER(SEARCH("NEUTRO",Inventario!B64)),"N",
IF(ISNUMBER(SEARCH("FRIO",Inventario!B64)),"F",""))))))</f>
        <v/>
      </c>
      <c r="H65" t="str">
        <f>IF(ISNUMBER(SEARCH("SILED",Inventario!B64)),"SI",
IF(ISNUMBER(SEARCH("SYDEMEX",Inventario!B64)),"SY",
IF(ISNUMBER(SEARCH("ROHS",Inventario!B64)),"RO",
IF(ISNUMBER(SEARCH("RISHANG",Inventario!B64)),"RS",
IF(ISNUMBER(SEARCH("VYG",Inventario!B64)),"VYG",
IF(ISNUMBER(SEARCH("COLED",Inventario!B64)),"CO",""))))))</f>
        <v/>
      </c>
    </row>
    <row r="66" spans="1:8">
      <c r="A66" t="str">
        <f>IF(ISNUMBER(SEARCH("LONA",Inventario!B65)),"LON",
IF(ISNUMBER(SEARCH("VINIL",Inventario!B65)),"VIN",
IF(ISNUMBER(SEARCH("PANEL DE ALUMINIO COMPUESTO",Inventario!B65)),"PAN-ALU-COM",
IF(ISNUMBER(SEARCH("PVC",Inventario!B65)),"PVC",
IF(ISNUMBER(SEARCH("PAPEL",Inventario!B65)),"PAP",
IF(ISNUMBER(SEARCH("TELA",Inventario!B65)),"TEL",
IF(ISNUMBER(SEARCH("CARTULINA",Inventario!B65)),"CAR",
IF(OR(ISNUMBER(SEARCH("LAMINA",Inventario!B65)),ISNUMBER(SEARCH("LÁMINA",Inventario!B65))),"LAM",
IF(ISNUMBER(SEARCH("ESTIRENO",Inventario!B65)),"EST",
IF(ISNUMBER(SEARCH("FOAMBOARD",Inventario!B65)),"FOA",
IF(ISNUMBER(SEARCH("SOLVENTE",Inventario!B65)),"SOL",
IF(ISNUMBER(SEARCH("TINTA",Inventario!B65)),"TIN",
IF(ISNUMBER(SEARCH("ACRILICO",Inventario!B65)),"ACR",
IF(ISNUMBER(SEARCH("LED",Inventario!B65)),"LED",
IF(ISNUMBER(SEARCH("FUENTE",Inventario!B65)),"FUE",
IF(ISNUMBER(SEARCH("PETG",Inventario!B65)),"PET",
IF(ISNUMBER(SEARCH("ALUMINIO",Inventario!B65)),"ALU",
IF(ISNUMBER(SEARCH("CANAL",Inventario!B65)),"CAN",
IF(ISNUMBER(SEARCH("ESCUADRA",Inventario!B65)),"ESC",
IF(ISNUMBER(SEARCH("SOPORTE",Inventario!B65)),"SOP","OTR")
)))))))))))))))))))</f>
        <v>VIN</v>
      </c>
      <c r="B66" t="str">
        <f>IF(ISNUMBER(SEARCH("CORTE",Inventario!B65)),"COR",
IF(ISNUMBER(SEARCH("CRISTAL",Inventario!B65)),"CR",
IF(OR(ISNUMBER(SEARCH("OPTICO",Inventario!B65)),ISNUMBER(SEARCH("OPTICOS",Inventario!B65)),ISNUMBER(SEARCH("OPTICA",Inventario!B65))),"OP",
IF(ISNUMBER(SEARCH("NANO",Inventario!B65)),"NA",
IF(ISNUMBER(SEARCH("5050",Inventario!B65)),"5050",
IF(ISNUMBER(SEARCH("MICRO",Inventario!B65)),"MI",""))))))</f>
        <v/>
      </c>
      <c r="C66" t="str">
        <f>IF(ISNUMBER(SEARCH("PARED",Inventario!B65)),"PAR",IF(ISNUMBER(SEARCH("MATE",Inventario!B65)),"MAT",
IF(ISNUMBER(SEARCH("FRONT",Inventario!B65)),"FRO",
IF(ISNUMBER(SEARCH("BACK",Inventario!B65)),"BAC",
IF(ISNUMBER(SEARCH("MESH",Inventario!B65)),"MES",
IF(OR(ISNUMBER(SEARCH("BRILLANTE",Inventario!B65)),ISNUMBER(SEARCH("BTE",Inventario!B65))),"BRI",
IF(ISNUMBER(SEARCH("SINTETICA DELGADA",Inventario!B65)),"SD",
IF(ISNUMBER(SEARCH("SINTETICA GRUESA",Inventario!B65)),"SG",
IF(ISNUMBER(SEARCH("ESTATICO",Inventario!B65)),"EST",
IF(ISNUMBER(SEARCH("FLOOR",Inventario!B65)),"FLO",
IF(ISNUMBER(SEARCH("REFLECTIVO",Inventario!B65)),"REF",
IF(ISNUMBER(SEARCH("MICROPERFORADO",Inventario!B65)),"MI",
IF(ISNUMBER(SEARCH("CEPILLADO",Inventario!B65)),"CEP",
IF(ISNUMBER(SEARCH("ESPEJO",Inventario!B65)),"ESP",
IF(OR(ISNUMBER(SEARCH("UNIDIODO",Inventario!B65)),ISNUMBER(SEARCH("1 DIODO",Inventario!B65))),"1D",
IF(ISNUMBER(SEARCH("2 DIODOS",Inventario!B65)),"2D",
IF(ISNUMBER(SEARCH("3 DIODOS",Inventario!B65)),"3D","")))))))))))))))))</f>
        <v>BRI</v>
      </c>
      <c r="D66" t="str">
        <f>IF(ISNUMBER(SEARCH("LX700",Inventario!B65)),"LX7",
IF(ISNUMBER(SEARCH("GRANDO",Inventario!B65)),"GRA",
IF(OR(ISNUMBER(SEARCH("CAMA PLANA",Inventario!B65)),ISNUMBER(SEARCH("FB700",Inventario!B65))),"CP",
IF(ISNUMBER(SEARCH("LX360",Inventario!B65)),"LX3",
IF(ISNUMBER(SEARCH("XEROX",Inventario!B65)),"XER",
IF(ISNUMBER(SEARCH("18 OZ",Inventario!B65)),"18OZ",
IF(ISNUMBER(SEARCH("15 OZ",Inventario!B65)),"15OZ",
IF(OR(ISNUMBER(SEARCH("13 OZ",Inventario!B65)),ISNUMBER(SEARCH("13 ONZAS",Inventario!B65))),"13OZ",
IF(OR(ISNUMBER(SEARCH("9 OZ",Inventario!B65)),ISNUMBER(SEARCH("9 ONZAS",Inventario!B65))),"09OZ","")))))))))</f>
        <v/>
      </c>
      <c r="E66" t="str">
        <f>IF(OR(ISNUMBER(SEARCH("TRANSPARENTE",Inventario!B65)),ISNUMBER(SEARCH("TRANSPARENTES",Inventario!B65))),"TR",
IF(OR(ISNUMBER(SEARCH("BLANCO",Inventario!B65)),ISNUMBER(SEARCH("BCO",Inventario!B65))),"BL",
IF(ISNUMBER(SEARCH("VERDE",Inventario!B65)),"VR",
IF(ISNUMBER(SEARCH("MORADO",Inventario!B65)),"MR",
IF(ISNUMBER(SEARCH("PLATA",Inventario!B65)),"PL",
IF(ISNUMBER(SEARCH("ORO",Inventario!B65)),"OR",
IF(ISNUMBER(SEARCH("AMARILLO",Inventario!B65)),"AM",
IF(ISNUMBER(SEARCH("NARANJA",Inventario!B65)),"NR",
IF(ISNUMBER(SEARCH("NEGRO",Inventario!B65)),"NG",
IF(ISNUMBER(SEARCH("ROJO",Inventario!B65)),"RJ",
IF(ISNUMBER(SEARCH("AZUL",Inventario!B65)),"AZ","")))))))))))</f>
        <v>BL</v>
      </c>
      <c r="F66" t="str">
        <f>IF(ISNUMBER(SEARCH("1,2 MM",Inventario!B65)),"1MM2",
IF(OR(ISNUMBER(SEARCH("2 MM",Inventario!B65)),ISNUMBER(SEARCH("2MM",Inventario!B65))),"2MM",
IF(OR(ISNUMBER(SEARCH("3 MM",Inventario!B65)),ISNUMBER(SEARCH("3MM",Inventario!B65))),"3MM",
IF(OR(ISNUMBER(SEARCH("4 MM",Inventario!B65)),ISNUMBER(SEARCH("4MM",Inventario!B65)),ISNUMBER(SEARCH("4 mm",Inventario!B65))),"4MM",
IF(OR(ISNUMBER(SEARCH("5 MM",Inventario!B65)),ISNUMBER(SEARCH("5MM",Inventario!B65))),"5MM",
IF(OR(ISNUMBER(SEARCH("6 MM",Inventario!B65)),ISNUMBER(SEARCH("6MM",Inventario!B65))),"6MM",
IF(OR(ISNUMBER(SEARCH("10 MM",Inventario!B65)),ISNUMBER(SEARCH("10MM",Inventario!B65))),"10MM","")))))))</f>
        <v/>
      </c>
      <c r="G66" t="str">
        <f>IF(ISNUMBER(SEARCH("ALTA RESISTENCIA",Inventario!B65)),"AR",IF(ISNUMBER(SEARCH("CAMPAÑA",Inventario!B65)),"CA",
IF(OR(ISNUMBER(SEARCH("CALIDO",Inventario!B65)),ISNUMBER(SEARCH("CÁLIDO",Inventario!B65))),"C",
IF(OR(ISNUMBER(SEARCH("TRASLUCIDO",Inventario!B65)),ISNUMBER(SEARCH("TRANSLUCIDO",Inventario!B65))),"TL",
IF(ISNUMBER(SEARCH("NEUTRO",Inventario!B65)),"N",
IF(ISNUMBER(SEARCH("FRIO",Inventario!B65)),"F",""))))))</f>
        <v/>
      </c>
      <c r="H66" t="str">
        <f>IF(ISNUMBER(SEARCH("SILED",Inventario!B65)),"SI",
IF(ISNUMBER(SEARCH("SYDEMEX",Inventario!B65)),"SY",
IF(ISNUMBER(SEARCH("ROHS",Inventario!B65)),"RO",
IF(ISNUMBER(SEARCH("RISHANG",Inventario!B65)),"RS",
IF(ISNUMBER(SEARCH("VYG",Inventario!B65)),"VYG",
IF(ISNUMBER(SEARCH("COLED",Inventario!B65)),"CO",""))))))</f>
        <v/>
      </c>
    </row>
    <row r="67" spans="1:8">
      <c r="A67" t="str">
        <f>IF(ISNUMBER(SEARCH("LONA",Inventario!B66)),"LON",
IF(ISNUMBER(SEARCH("VINIL",Inventario!B66)),"VIN",
IF(ISNUMBER(SEARCH("PANEL DE ALUMINIO COMPUESTO",Inventario!B66)),"PAN-ALU-COM",
IF(ISNUMBER(SEARCH("PVC",Inventario!B66)),"PVC",
IF(ISNUMBER(SEARCH("PAPEL",Inventario!B66)),"PAP",
IF(ISNUMBER(SEARCH("TELA",Inventario!B66)),"TEL",
IF(ISNUMBER(SEARCH("CARTULINA",Inventario!B66)),"CAR",
IF(OR(ISNUMBER(SEARCH("LAMINA",Inventario!B66)),ISNUMBER(SEARCH("LÁMINA",Inventario!B66))),"LAM",
IF(ISNUMBER(SEARCH("ESTIRENO",Inventario!B66)),"EST",
IF(ISNUMBER(SEARCH("FOAMBOARD",Inventario!B66)),"FOA",
IF(ISNUMBER(SEARCH("SOLVENTE",Inventario!B66)),"SOL",
IF(ISNUMBER(SEARCH("TINTA",Inventario!B66)),"TIN",
IF(ISNUMBER(SEARCH("ACRILICO",Inventario!B66)),"ACR",
IF(ISNUMBER(SEARCH("LED",Inventario!B66)),"LED",
IF(ISNUMBER(SEARCH("FUENTE",Inventario!B66)),"FUE",
IF(ISNUMBER(SEARCH("PETG",Inventario!B66)),"PET",
IF(ISNUMBER(SEARCH("ALUMINIO",Inventario!B66)),"ALU",
IF(ISNUMBER(SEARCH("CANAL",Inventario!B66)),"CAN",
IF(ISNUMBER(SEARCH("ESCUADRA",Inventario!B66)),"ESC",
IF(ISNUMBER(SEARCH("SOPORTE",Inventario!B66)),"SOP","OTR")
)))))))))))))))))))</f>
        <v>VIN</v>
      </c>
      <c r="B67" t="str">
        <f>IF(ISNUMBER(SEARCH("CORTE",Inventario!B66)),"COR",
IF(ISNUMBER(SEARCH("CRISTAL",Inventario!B66)),"CR",
IF(OR(ISNUMBER(SEARCH("OPTICO",Inventario!B66)),ISNUMBER(SEARCH("OPTICOS",Inventario!B66)),ISNUMBER(SEARCH("OPTICA",Inventario!B66))),"OP",
IF(ISNUMBER(SEARCH("NANO",Inventario!B66)),"NA",
IF(ISNUMBER(SEARCH("5050",Inventario!B66)),"5050",
IF(ISNUMBER(SEARCH("MICRO",Inventario!B66)),"MI",""))))))</f>
        <v/>
      </c>
      <c r="C67" t="str">
        <f>IF(ISNUMBER(SEARCH("PARED",Inventario!B66)),"PAR",IF(ISNUMBER(SEARCH("MATE",Inventario!B66)),"MAT",
IF(ISNUMBER(SEARCH("FRONT",Inventario!B66)),"FRO",
IF(ISNUMBER(SEARCH("BACK",Inventario!B66)),"BAC",
IF(ISNUMBER(SEARCH("MESH",Inventario!B66)),"MES",
IF(OR(ISNUMBER(SEARCH("BRILLANTE",Inventario!B66)),ISNUMBER(SEARCH("BTE",Inventario!B66))),"BRI",
IF(ISNUMBER(SEARCH("SINTETICA DELGADA",Inventario!B66)),"SD",
IF(ISNUMBER(SEARCH("SINTETICA GRUESA",Inventario!B66)),"SG",
IF(ISNUMBER(SEARCH("ESTATICO",Inventario!B66)),"EST",
IF(ISNUMBER(SEARCH("FLOOR",Inventario!B66)),"FLO",
IF(ISNUMBER(SEARCH("REFLECTIVO",Inventario!B66)),"REF",
IF(ISNUMBER(SEARCH("MICROPERFORADO",Inventario!B66)),"MI",
IF(ISNUMBER(SEARCH("CEPILLADO",Inventario!B66)),"CEP",
IF(ISNUMBER(SEARCH("ESPEJO",Inventario!B66)),"ESP",
IF(OR(ISNUMBER(SEARCH("UNIDIODO",Inventario!B66)),ISNUMBER(SEARCH("1 DIODO",Inventario!B66))),"1D",
IF(ISNUMBER(SEARCH("2 DIODOS",Inventario!B66)),"2D",
IF(ISNUMBER(SEARCH("3 DIODOS",Inventario!B66)),"3D","")))))))))))))))))</f>
        <v>MAT</v>
      </c>
      <c r="D67" t="str">
        <f>IF(ISNUMBER(SEARCH("LX700",Inventario!B66)),"LX7",
IF(ISNUMBER(SEARCH("GRANDO",Inventario!B66)),"GRA",
IF(OR(ISNUMBER(SEARCH("CAMA PLANA",Inventario!B66)),ISNUMBER(SEARCH("FB700",Inventario!B66))),"CP",
IF(ISNUMBER(SEARCH("LX360",Inventario!B66)),"LX3",
IF(ISNUMBER(SEARCH("XEROX",Inventario!B66)),"XER",
IF(ISNUMBER(SEARCH("18 OZ",Inventario!B66)),"18OZ",
IF(ISNUMBER(SEARCH("15 OZ",Inventario!B66)),"15OZ",
IF(OR(ISNUMBER(SEARCH("13 OZ",Inventario!B66)),ISNUMBER(SEARCH("13 ONZAS",Inventario!B66))),"13OZ",
IF(OR(ISNUMBER(SEARCH("9 OZ",Inventario!B66)),ISNUMBER(SEARCH("9 ONZAS",Inventario!B66))),"09OZ","")))))))))</f>
        <v/>
      </c>
      <c r="E67" t="str">
        <f>IF(OR(ISNUMBER(SEARCH("TRANSPARENTE",Inventario!B66)),ISNUMBER(SEARCH("TRANSPARENTES",Inventario!B66))),"TR",
IF(OR(ISNUMBER(SEARCH("BLANCO",Inventario!B66)),ISNUMBER(SEARCH("BCO",Inventario!B66))),"BL",
IF(ISNUMBER(SEARCH("VERDE",Inventario!B66)),"VR",
IF(ISNUMBER(SEARCH("MORADO",Inventario!B66)),"MR",
IF(ISNUMBER(SEARCH("PLATA",Inventario!B66)),"PL",
IF(ISNUMBER(SEARCH("ORO",Inventario!B66)),"OR",
IF(ISNUMBER(SEARCH("AMARILLO",Inventario!B66)),"AM",
IF(ISNUMBER(SEARCH("NARANJA",Inventario!B66)),"NR",
IF(ISNUMBER(SEARCH("NEGRO",Inventario!B66)),"NG",
IF(ISNUMBER(SEARCH("ROJO",Inventario!B66)),"RJ",
IF(ISNUMBER(SEARCH("AZUL",Inventario!B66)),"AZ","")))))))))))</f>
        <v/>
      </c>
      <c r="F67" t="str">
        <f>IF(ISNUMBER(SEARCH("1,2 MM",Inventario!B66)),"1MM2",
IF(OR(ISNUMBER(SEARCH("2 MM",Inventario!B66)),ISNUMBER(SEARCH("2MM",Inventario!B66))),"2MM",
IF(OR(ISNUMBER(SEARCH("3 MM",Inventario!B66)),ISNUMBER(SEARCH("3MM",Inventario!B66))),"3MM",
IF(OR(ISNUMBER(SEARCH("4 MM",Inventario!B66)),ISNUMBER(SEARCH("4MM",Inventario!B66)),ISNUMBER(SEARCH("4 mm",Inventario!B66))),"4MM",
IF(OR(ISNUMBER(SEARCH("5 MM",Inventario!B66)),ISNUMBER(SEARCH("5MM",Inventario!B66))),"5MM",
IF(OR(ISNUMBER(SEARCH("6 MM",Inventario!B66)),ISNUMBER(SEARCH("6MM",Inventario!B66))),"6MM",
IF(OR(ISNUMBER(SEARCH("10 MM",Inventario!B66)),ISNUMBER(SEARCH("10MM",Inventario!B66))),"10MM","")))))))</f>
        <v/>
      </c>
      <c r="G67" t="str">
        <f>IF(ISNUMBER(SEARCH("ALTA RESISTENCIA",Inventario!B66)),"AR",IF(ISNUMBER(SEARCH("CAMPAÑA",Inventario!B66)),"CA",
IF(OR(ISNUMBER(SEARCH("CALIDO",Inventario!B66)),ISNUMBER(SEARCH("CÁLIDO",Inventario!B66))),"C",
IF(OR(ISNUMBER(SEARCH("TRASLUCIDO",Inventario!B66)),ISNUMBER(SEARCH("TRANSLUCIDO",Inventario!B66))),"TL",
IF(ISNUMBER(SEARCH("NEUTRO",Inventario!B66)),"N",
IF(ISNUMBER(SEARCH("FRIO",Inventario!B66)),"F",""))))))</f>
        <v/>
      </c>
      <c r="H67" t="str">
        <f>IF(ISNUMBER(SEARCH("SILED",Inventario!B66)),"SI",
IF(ISNUMBER(SEARCH("SYDEMEX",Inventario!B66)),"SY",
IF(ISNUMBER(SEARCH("ROHS",Inventario!B66)),"RO",
IF(ISNUMBER(SEARCH("RISHANG",Inventario!B66)),"RS",
IF(ISNUMBER(SEARCH("VYG",Inventario!B66)),"VYG",
IF(ISNUMBER(SEARCH("COLED",Inventario!B66)),"CO",""))))))</f>
        <v/>
      </c>
    </row>
    <row r="68" spans="1:8">
      <c r="A68" t="str">
        <f>IF(ISNUMBER(SEARCH("LONA",Inventario!B67)),"LON",
IF(ISNUMBER(SEARCH("VINIL",Inventario!B67)),"VIN",
IF(ISNUMBER(SEARCH("PANEL DE ALUMINIO COMPUESTO",Inventario!B67)),"PAN-ALU-COM",
IF(ISNUMBER(SEARCH("PVC",Inventario!B67)),"PVC",
IF(ISNUMBER(SEARCH("PAPEL",Inventario!B67)),"PAP",
IF(ISNUMBER(SEARCH("TELA",Inventario!B67)),"TEL",
IF(ISNUMBER(SEARCH("CARTULINA",Inventario!B67)),"CAR",
IF(OR(ISNUMBER(SEARCH("LAMINA",Inventario!B67)),ISNUMBER(SEARCH("LÁMINA",Inventario!B67))),"LAM",
IF(ISNUMBER(SEARCH("ESTIRENO",Inventario!B67)),"EST",
IF(ISNUMBER(SEARCH("FOAMBOARD",Inventario!B67)),"FOA",
IF(ISNUMBER(SEARCH("SOLVENTE",Inventario!B67)),"SOL",
IF(ISNUMBER(SEARCH("TINTA",Inventario!B67)),"TIN",
IF(ISNUMBER(SEARCH("ACRILICO",Inventario!B67)),"ACR",
IF(ISNUMBER(SEARCH("LED",Inventario!B67)),"LED",
IF(ISNUMBER(SEARCH("FUENTE",Inventario!B67)),"FUE",
IF(ISNUMBER(SEARCH("PETG",Inventario!B67)),"PET",
IF(ISNUMBER(SEARCH("ALUMINIO",Inventario!B67)),"ALU",
IF(ISNUMBER(SEARCH("CANAL",Inventario!B67)),"CAN",
IF(ISNUMBER(SEARCH("ESCUADRA",Inventario!B67)),"ESC",
IF(ISNUMBER(SEARCH("SOPORTE",Inventario!B67)),"SOP","OTR")
)))))))))))))))))))</f>
        <v>VIN</v>
      </c>
      <c r="B68" t="str">
        <f>IF(ISNUMBER(SEARCH("CORTE",Inventario!B67)),"COR",
IF(ISNUMBER(SEARCH("CRISTAL",Inventario!B67)),"CR",
IF(OR(ISNUMBER(SEARCH("OPTICO",Inventario!B67)),ISNUMBER(SEARCH("OPTICOS",Inventario!B67)),ISNUMBER(SEARCH("OPTICA",Inventario!B67))),"OP",
IF(ISNUMBER(SEARCH("NANO",Inventario!B67)),"NA",
IF(ISNUMBER(SEARCH("5050",Inventario!B67)),"5050",
IF(ISNUMBER(SEARCH("MICRO",Inventario!B67)),"MI",""))))))</f>
        <v/>
      </c>
      <c r="C68" t="str">
        <f>IF(ISNUMBER(SEARCH("PARED",Inventario!B67)),"PAR",IF(ISNUMBER(SEARCH("MATE",Inventario!B67)),"MAT",
IF(ISNUMBER(SEARCH("FRONT",Inventario!B67)),"FRO",
IF(ISNUMBER(SEARCH("BACK",Inventario!B67)),"BAC",
IF(ISNUMBER(SEARCH("MESH",Inventario!B67)),"MES",
IF(OR(ISNUMBER(SEARCH("BRILLANTE",Inventario!B67)),ISNUMBER(SEARCH("BTE",Inventario!B67))),"BRI",
IF(ISNUMBER(SEARCH("SINTETICA DELGADA",Inventario!B67)),"SD",
IF(ISNUMBER(SEARCH("SINTETICA GRUESA",Inventario!B67)),"SG",
IF(ISNUMBER(SEARCH("ESTATICO",Inventario!B67)),"EST",
IF(ISNUMBER(SEARCH("FLOOR",Inventario!B67)),"FLO",
IF(ISNUMBER(SEARCH("REFLECTIVO",Inventario!B67)),"REF",
IF(ISNUMBER(SEARCH("MICROPERFORADO",Inventario!B67)),"MI",
IF(ISNUMBER(SEARCH("CEPILLADO",Inventario!B67)),"CEP",
IF(ISNUMBER(SEARCH("ESPEJO",Inventario!B67)),"ESP",
IF(OR(ISNUMBER(SEARCH("UNIDIODO",Inventario!B67)),ISNUMBER(SEARCH("1 DIODO",Inventario!B67))),"1D",
IF(ISNUMBER(SEARCH("2 DIODOS",Inventario!B67)),"2D",
IF(ISNUMBER(SEARCH("3 DIODOS",Inventario!B67)),"3D","")))))))))))))))))</f>
        <v>MAT</v>
      </c>
      <c r="D68" t="str">
        <f>IF(ISNUMBER(SEARCH("LX700",Inventario!B67)),"LX7",
IF(ISNUMBER(SEARCH("GRANDO",Inventario!B67)),"GRA",
IF(OR(ISNUMBER(SEARCH("CAMA PLANA",Inventario!B67)),ISNUMBER(SEARCH("FB700",Inventario!B67))),"CP",
IF(ISNUMBER(SEARCH("LX360",Inventario!B67)),"LX3",
IF(ISNUMBER(SEARCH("XEROX",Inventario!B67)),"XER",
IF(ISNUMBER(SEARCH("18 OZ",Inventario!B67)),"18OZ",
IF(ISNUMBER(SEARCH("15 OZ",Inventario!B67)),"15OZ",
IF(OR(ISNUMBER(SEARCH("13 OZ",Inventario!B67)),ISNUMBER(SEARCH("13 ONZAS",Inventario!B67))),"13OZ",
IF(OR(ISNUMBER(SEARCH("9 OZ",Inventario!B67)),ISNUMBER(SEARCH("9 ONZAS",Inventario!B67))),"09OZ","")))))))))</f>
        <v/>
      </c>
      <c r="E68" t="str">
        <f>IF(OR(ISNUMBER(SEARCH("TRANSPARENTE",Inventario!B67)),ISNUMBER(SEARCH("TRANSPARENTES",Inventario!B67))),"TR",
IF(OR(ISNUMBER(SEARCH("BLANCO",Inventario!B67)),ISNUMBER(SEARCH("BCO",Inventario!B67))),"BL",
IF(ISNUMBER(SEARCH("VERDE",Inventario!B67)),"VR",
IF(ISNUMBER(SEARCH("MORADO",Inventario!B67)),"MR",
IF(ISNUMBER(SEARCH("PLATA",Inventario!B67)),"PL",
IF(ISNUMBER(SEARCH("ORO",Inventario!B67)),"OR",
IF(ISNUMBER(SEARCH("AMARILLO",Inventario!B67)),"AM",
IF(ISNUMBER(SEARCH("NARANJA",Inventario!B67)),"NR",
IF(ISNUMBER(SEARCH("NEGRO",Inventario!B67)),"NG",
IF(ISNUMBER(SEARCH("ROJO",Inventario!B67)),"RJ",
IF(ISNUMBER(SEARCH("AZUL",Inventario!B67)),"AZ","")))))))))))</f>
        <v/>
      </c>
      <c r="F68" t="str">
        <f>IF(ISNUMBER(SEARCH("1,2 MM",Inventario!B67)),"1MM2",
IF(OR(ISNUMBER(SEARCH("2 MM",Inventario!B67)),ISNUMBER(SEARCH("2MM",Inventario!B67))),"2MM",
IF(OR(ISNUMBER(SEARCH("3 MM",Inventario!B67)),ISNUMBER(SEARCH("3MM",Inventario!B67))),"3MM",
IF(OR(ISNUMBER(SEARCH("4 MM",Inventario!B67)),ISNUMBER(SEARCH("4MM",Inventario!B67)),ISNUMBER(SEARCH("4 mm",Inventario!B67))),"4MM",
IF(OR(ISNUMBER(SEARCH("5 MM",Inventario!B67)),ISNUMBER(SEARCH("5MM",Inventario!B67))),"5MM",
IF(OR(ISNUMBER(SEARCH("6 MM",Inventario!B67)),ISNUMBER(SEARCH("6MM",Inventario!B67))),"6MM",
IF(OR(ISNUMBER(SEARCH("10 MM",Inventario!B67)),ISNUMBER(SEARCH("10MM",Inventario!B67))),"10MM","")))))))</f>
        <v/>
      </c>
      <c r="G68" t="str">
        <f>IF(ISNUMBER(SEARCH("ALTA RESISTENCIA",Inventario!B67)),"AR",IF(ISNUMBER(SEARCH("CAMPAÑA",Inventario!B67)),"CA",
IF(OR(ISNUMBER(SEARCH("CALIDO",Inventario!B67)),ISNUMBER(SEARCH("CÁLIDO",Inventario!B67))),"C",
IF(OR(ISNUMBER(SEARCH("TRASLUCIDO",Inventario!B67)),ISNUMBER(SEARCH("TRANSLUCIDO",Inventario!B67))),"TL",
IF(ISNUMBER(SEARCH("NEUTRO",Inventario!B67)),"N",
IF(ISNUMBER(SEARCH("FRIO",Inventario!B67)),"F",""))))))</f>
        <v/>
      </c>
      <c r="H68" t="str">
        <f>IF(ISNUMBER(SEARCH("SILED",Inventario!B67)),"SI",
IF(ISNUMBER(SEARCH("SYDEMEX",Inventario!B67)),"SY",
IF(ISNUMBER(SEARCH("ROHS",Inventario!B67)),"RO",
IF(ISNUMBER(SEARCH("RISHANG",Inventario!B67)),"RS",
IF(ISNUMBER(SEARCH("VYG",Inventario!B67)),"VYG",
IF(ISNUMBER(SEARCH("COLED",Inventario!B67)),"CO",""))))))</f>
        <v/>
      </c>
    </row>
    <row r="69" spans="1:8">
      <c r="A69" t="str">
        <f>IF(ISNUMBER(SEARCH("LONA",Inventario!B68)),"LON",
IF(ISNUMBER(SEARCH("VINIL",Inventario!B68)),"VIN",
IF(ISNUMBER(SEARCH("PANEL DE ALUMINIO COMPUESTO",Inventario!B68)),"PAN-ALU-COM",
IF(ISNUMBER(SEARCH("PVC",Inventario!B68)),"PVC",
IF(ISNUMBER(SEARCH("PAPEL",Inventario!B68)),"PAP",
IF(ISNUMBER(SEARCH("TELA",Inventario!B68)),"TEL",
IF(ISNUMBER(SEARCH("CARTULINA",Inventario!B68)),"CAR",
IF(OR(ISNUMBER(SEARCH("LAMINA",Inventario!B68)),ISNUMBER(SEARCH("LÁMINA",Inventario!B68))),"LAM",
IF(ISNUMBER(SEARCH("ESTIRENO",Inventario!B68)),"EST",
IF(ISNUMBER(SEARCH("FOAMBOARD",Inventario!B68)),"FOA",
IF(ISNUMBER(SEARCH("SOLVENTE",Inventario!B68)),"SOL",
IF(ISNUMBER(SEARCH("TINTA",Inventario!B68)),"TIN",
IF(ISNUMBER(SEARCH("ACRILICO",Inventario!B68)),"ACR",
IF(ISNUMBER(SEARCH("LED",Inventario!B68)),"LED",
IF(ISNUMBER(SEARCH("FUENTE",Inventario!B68)),"FUE",
IF(ISNUMBER(SEARCH("PETG",Inventario!B68)),"PET",
IF(ISNUMBER(SEARCH("ALUMINIO",Inventario!B68)),"ALU",
IF(ISNUMBER(SEARCH("CANAL",Inventario!B68)),"CAN",
IF(ISNUMBER(SEARCH("ESCUADRA",Inventario!B68)),"ESC",
IF(ISNUMBER(SEARCH("SOPORTE",Inventario!B68)),"SOP","OTR")
)))))))))))))))))))</f>
        <v>VIN</v>
      </c>
      <c r="B69" t="str">
        <f>IF(ISNUMBER(SEARCH("CORTE",Inventario!B68)),"COR",
IF(ISNUMBER(SEARCH("CRISTAL",Inventario!B68)),"CR",
IF(OR(ISNUMBER(SEARCH("OPTICO",Inventario!B68)),ISNUMBER(SEARCH("OPTICOS",Inventario!B68)),ISNUMBER(SEARCH("OPTICA",Inventario!B68))),"OP",
IF(ISNUMBER(SEARCH("NANO",Inventario!B68)),"NA",
IF(ISNUMBER(SEARCH("5050",Inventario!B68)),"5050",
IF(ISNUMBER(SEARCH("MICRO",Inventario!B68)),"MI",""))))))</f>
        <v/>
      </c>
      <c r="C69" t="str">
        <f>IF(ISNUMBER(SEARCH("PARED",Inventario!B68)),"PAR",IF(ISNUMBER(SEARCH("MATE",Inventario!B68)),"MAT",
IF(ISNUMBER(SEARCH("FRONT",Inventario!B68)),"FRO",
IF(ISNUMBER(SEARCH("BACK",Inventario!B68)),"BAC",
IF(ISNUMBER(SEARCH("MESH",Inventario!B68)),"MES",
IF(OR(ISNUMBER(SEARCH("BRILLANTE",Inventario!B68)),ISNUMBER(SEARCH("BTE",Inventario!B68))),"BRI",
IF(ISNUMBER(SEARCH("SINTETICA DELGADA",Inventario!B68)),"SD",
IF(ISNUMBER(SEARCH("SINTETICA GRUESA",Inventario!B68)),"SG",
IF(ISNUMBER(SEARCH("ESTATICO",Inventario!B68)),"EST",
IF(ISNUMBER(SEARCH("FLOOR",Inventario!B68)),"FLO",
IF(ISNUMBER(SEARCH("REFLECTIVO",Inventario!B68)),"REF",
IF(ISNUMBER(SEARCH("MICROPERFORADO",Inventario!B68)),"MI",
IF(ISNUMBER(SEARCH("CEPILLADO",Inventario!B68)),"CEP",
IF(ISNUMBER(SEARCH("ESPEJO",Inventario!B68)),"ESP",
IF(OR(ISNUMBER(SEARCH("UNIDIODO",Inventario!B68)),ISNUMBER(SEARCH("1 DIODO",Inventario!B68))),"1D",
IF(ISNUMBER(SEARCH("2 DIODOS",Inventario!B68)),"2D",
IF(ISNUMBER(SEARCH("3 DIODOS",Inventario!B68)),"3D","")))))))))))))))))</f>
        <v>MAT</v>
      </c>
      <c r="D69" t="str">
        <f>IF(ISNUMBER(SEARCH("LX700",Inventario!B68)),"LX7",
IF(ISNUMBER(SEARCH("GRANDO",Inventario!B68)),"GRA",
IF(OR(ISNUMBER(SEARCH("CAMA PLANA",Inventario!B68)),ISNUMBER(SEARCH("FB700",Inventario!B68))),"CP",
IF(ISNUMBER(SEARCH("LX360",Inventario!B68)),"LX3",
IF(ISNUMBER(SEARCH("XEROX",Inventario!B68)),"XER",
IF(ISNUMBER(SEARCH("18 OZ",Inventario!B68)),"18OZ",
IF(ISNUMBER(SEARCH("15 OZ",Inventario!B68)),"15OZ",
IF(OR(ISNUMBER(SEARCH("13 OZ",Inventario!B68)),ISNUMBER(SEARCH("13 ONZAS",Inventario!B68))),"13OZ",
IF(OR(ISNUMBER(SEARCH("9 OZ",Inventario!B68)),ISNUMBER(SEARCH("9 ONZAS",Inventario!B68))),"09OZ","")))))))))</f>
        <v/>
      </c>
      <c r="E69" t="str">
        <f>IF(OR(ISNUMBER(SEARCH("TRANSPARENTE",Inventario!B68)),ISNUMBER(SEARCH("TRANSPARENTES",Inventario!B68))),"TR",
IF(OR(ISNUMBER(SEARCH("BLANCO",Inventario!B68)),ISNUMBER(SEARCH("BCO",Inventario!B68))),"BL",
IF(ISNUMBER(SEARCH("VERDE",Inventario!B68)),"VR",
IF(ISNUMBER(SEARCH("MORADO",Inventario!B68)),"MR",
IF(ISNUMBER(SEARCH("PLATA",Inventario!B68)),"PL",
IF(ISNUMBER(SEARCH("ORO",Inventario!B68)),"OR",
IF(ISNUMBER(SEARCH("AMARILLO",Inventario!B68)),"AM",
IF(ISNUMBER(SEARCH("NARANJA",Inventario!B68)),"NR",
IF(ISNUMBER(SEARCH("NEGRO",Inventario!B68)),"NG",
IF(ISNUMBER(SEARCH("ROJO",Inventario!B68)),"RJ",
IF(ISNUMBER(SEARCH("AZUL",Inventario!B68)),"AZ","")))))))))))</f>
        <v/>
      </c>
      <c r="F69" t="str">
        <f>IF(ISNUMBER(SEARCH("1,2 MM",Inventario!B68)),"1MM2",
IF(OR(ISNUMBER(SEARCH("2 MM",Inventario!B68)),ISNUMBER(SEARCH("2MM",Inventario!B68))),"2MM",
IF(OR(ISNUMBER(SEARCH("3 MM",Inventario!B68)),ISNUMBER(SEARCH("3MM",Inventario!B68))),"3MM",
IF(OR(ISNUMBER(SEARCH("4 MM",Inventario!B68)),ISNUMBER(SEARCH("4MM",Inventario!B68)),ISNUMBER(SEARCH("4 mm",Inventario!B68))),"4MM",
IF(OR(ISNUMBER(SEARCH("5 MM",Inventario!B68)),ISNUMBER(SEARCH("5MM",Inventario!B68))),"5MM",
IF(OR(ISNUMBER(SEARCH("6 MM",Inventario!B68)),ISNUMBER(SEARCH("6MM",Inventario!B68))),"6MM",
IF(OR(ISNUMBER(SEARCH("10 MM",Inventario!B68)),ISNUMBER(SEARCH("10MM",Inventario!B68))),"10MM","")))))))</f>
        <v/>
      </c>
      <c r="G69" t="str">
        <f>IF(ISNUMBER(SEARCH("ALTA RESISTENCIA",Inventario!B68)),"AR",IF(ISNUMBER(SEARCH("CAMPAÑA",Inventario!B68)),"CA",
IF(OR(ISNUMBER(SEARCH("CALIDO",Inventario!B68)),ISNUMBER(SEARCH("CÁLIDO",Inventario!B68))),"C",
IF(OR(ISNUMBER(SEARCH("TRASLUCIDO",Inventario!B68)),ISNUMBER(SEARCH("TRANSLUCIDO",Inventario!B68))),"TL",
IF(ISNUMBER(SEARCH("NEUTRO",Inventario!B68)),"N",
IF(ISNUMBER(SEARCH("FRIO",Inventario!B68)),"F",""))))))</f>
        <v/>
      </c>
      <c r="H69" t="str">
        <f>IF(ISNUMBER(SEARCH("SILED",Inventario!B68)),"SI",
IF(ISNUMBER(SEARCH("SYDEMEX",Inventario!B68)),"SY",
IF(ISNUMBER(SEARCH("ROHS",Inventario!B68)),"RO",
IF(ISNUMBER(SEARCH("RISHANG",Inventario!B68)),"RS",
IF(ISNUMBER(SEARCH("VYG",Inventario!B68)),"VYG",
IF(ISNUMBER(SEARCH("COLED",Inventario!B68)),"CO",""))))))</f>
        <v/>
      </c>
    </row>
    <row r="70" spans="1:8">
      <c r="A70" t="str">
        <f>IF(ISNUMBER(SEARCH("LONA",Inventario!B69)),"LON",
IF(ISNUMBER(SEARCH("VINIL",Inventario!B69)),"VIN",
IF(ISNUMBER(SEARCH("PANEL DE ALUMINIO COMPUESTO",Inventario!B69)),"PAN-ALU-COM",
IF(ISNUMBER(SEARCH("PVC",Inventario!B69)),"PVC",
IF(ISNUMBER(SEARCH("PAPEL",Inventario!B69)),"PAP",
IF(ISNUMBER(SEARCH("TELA",Inventario!B69)),"TEL",
IF(ISNUMBER(SEARCH("CARTULINA",Inventario!B69)),"CAR",
IF(OR(ISNUMBER(SEARCH("LAMINA",Inventario!B69)),ISNUMBER(SEARCH("LÁMINA",Inventario!B69))),"LAM",
IF(ISNUMBER(SEARCH("ESTIRENO",Inventario!B69)),"EST",
IF(ISNUMBER(SEARCH("FOAMBOARD",Inventario!B69)),"FOA",
IF(ISNUMBER(SEARCH("SOLVENTE",Inventario!B69)),"SOL",
IF(ISNUMBER(SEARCH("TINTA",Inventario!B69)),"TIN",
IF(ISNUMBER(SEARCH("ACRILICO",Inventario!B69)),"ACR",
IF(ISNUMBER(SEARCH("LED",Inventario!B69)),"LED",
IF(ISNUMBER(SEARCH("FUENTE",Inventario!B69)),"FUE",
IF(ISNUMBER(SEARCH("PETG",Inventario!B69)),"PET",
IF(ISNUMBER(SEARCH("ALUMINIO",Inventario!B69)),"ALU",
IF(ISNUMBER(SEARCH("CANAL",Inventario!B69)),"CAN",
IF(ISNUMBER(SEARCH("ESCUADRA",Inventario!B69)),"ESC",
IF(ISNUMBER(SEARCH("SOPORTE",Inventario!B69)),"SOP","OTR")
)))))))))))))))))))</f>
        <v>VIN</v>
      </c>
      <c r="B70" t="str">
        <f>IF(ISNUMBER(SEARCH("CORTE",Inventario!B69)),"COR",
IF(ISNUMBER(SEARCH("CRISTAL",Inventario!B69)),"CR",
IF(OR(ISNUMBER(SEARCH("OPTICO",Inventario!B69)),ISNUMBER(SEARCH("OPTICOS",Inventario!B69)),ISNUMBER(SEARCH("OPTICA",Inventario!B69))),"OP",
IF(ISNUMBER(SEARCH("NANO",Inventario!B69)),"NA",
IF(ISNUMBER(SEARCH("5050",Inventario!B69)),"5050",
IF(ISNUMBER(SEARCH("MICRO",Inventario!B69)),"MI",""))))))</f>
        <v/>
      </c>
      <c r="C70" t="str">
        <f>IF(ISNUMBER(SEARCH("PARED",Inventario!B69)),"PAR",IF(ISNUMBER(SEARCH("MATE",Inventario!B69)),"MAT",
IF(ISNUMBER(SEARCH("FRONT",Inventario!B69)),"FRO",
IF(ISNUMBER(SEARCH("BACK",Inventario!B69)),"BAC",
IF(ISNUMBER(SEARCH("MESH",Inventario!B69)),"MES",
IF(OR(ISNUMBER(SEARCH("BRILLANTE",Inventario!B69)),ISNUMBER(SEARCH("BTE",Inventario!B69))),"BRI",
IF(ISNUMBER(SEARCH("SINTETICA DELGADA",Inventario!B69)),"SD",
IF(ISNUMBER(SEARCH("SINTETICA GRUESA",Inventario!B69)),"SG",
IF(ISNUMBER(SEARCH("ESTATICO",Inventario!B69)),"EST",
IF(ISNUMBER(SEARCH("FLOOR",Inventario!B69)),"FLO",
IF(ISNUMBER(SEARCH("REFLECTIVO",Inventario!B69)),"REF",
IF(ISNUMBER(SEARCH("MICROPERFORADO",Inventario!B69)),"MI",
IF(ISNUMBER(SEARCH("CEPILLADO",Inventario!B69)),"CEP",
IF(ISNUMBER(SEARCH("ESPEJO",Inventario!B69)),"ESP",
IF(OR(ISNUMBER(SEARCH("UNIDIODO",Inventario!B69)),ISNUMBER(SEARCH("1 DIODO",Inventario!B69))),"1D",
IF(ISNUMBER(SEARCH("2 DIODOS",Inventario!B69)),"2D",
IF(ISNUMBER(SEARCH("3 DIODOS",Inventario!B69)),"3D","")))))))))))))))))</f>
        <v>MAT</v>
      </c>
      <c r="D70" t="str">
        <f>IF(ISNUMBER(SEARCH("LX700",Inventario!B69)),"LX7",
IF(ISNUMBER(SEARCH("GRANDO",Inventario!B69)),"GRA",
IF(OR(ISNUMBER(SEARCH("CAMA PLANA",Inventario!B69)),ISNUMBER(SEARCH("FB700",Inventario!B69))),"CP",
IF(ISNUMBER(SEARCH("LX360",Inventario!B69)),"LX3",
IF(ISNUMBER(SEARCH("XEROX",Inventario!B69)),"XER",
IF(ISNUMBER(SEARCH("18 OZ",Inventario!B69)),"18OZ",
IF(ISNUMBER(SEARCH("15 OZ",Inventario!B69)),"15OZ",
IF(OR(ISNUMBER(SEARCH("13 OZ",Inventario!B69)),ISNUMBER(SEARCH("13 ONZAS",Inventario!B69))),"13OZ",
IF(OR(ISNUMBER(SEARCH("9 OZ",Inventario!B69)),ISNUMBER(SEARCH("9 ONZAS",Inventario!B69))),"09OZ","")))))))))</f>
        <v/>
      </c>
      <c r="E70" t="str">
        <f>IF(OR(ISNUMBER(SEARCH("TRANSPARENTE",Inventario!B69)),ISNUMBER(SEARCH("TRANSPARENTES",Inventario!B69))),"TR",
IF(OR(ISNUMBER(SEARCH("BLANCO",Inventario!B69)),ISNUMBER(SEARCH("BCO",Inventario!B69))),"BL",
IF(ISNUMBER(SEARCH("VERDE",Inventario!B69)),"VR",
IF(ISNUMBER(SEARCH("MORADO",Inventario!B69)),"MR",
IF(ISNUMBER(SEARCH("PLATA",Inventario!B69)),"PL",
IF(ISNUMBER(SEARCH("ORO",Inventario!B69)),"OR",
IF(ISNUMBER(SEARCH("AMARILLO",Inventario!B69)),"AM",
IF(ISNUMBER(SEARCH("NARANJA",Inventario!B69)),"NR",
IF(ISNUMBER(SEARCH("NEGRO",Inventario!B69)),"NG",
IF(ISNUMBER(SEARCH("ROJO",Inventario!B69)),"RJ",
IF(ISNUMBER(SEARCH("AZUL",Inventario!B69)),"AZ","")))))))))))</f>
        <v/>
      </c>
      <c r="F70" t="str">
        <f>IF(ISNUMBER(SEARCH("1,2 MM",Inventario!B69)),"1MM2",
IF(OR(ISNUMBER(SEARCH("2 MM",Inventario!B69)),ISNUMBER(SEARCH("2MM",Inventario!B69))),"2MM",
IF(OR(ISNUMBER(SEARCH("3 MM",Inventario!B69)),ISNUMBER(SEARCH("3MM",Inventario!B69))),"3MM",
IF(OR(ISNUMBER(SEARCH("4 MM",Inventario!B69)),ISNUMBER(SEARCH("4MM",Inventario!B69)),ISNUMBER(SEARCH("4 mm",Inventario!B69))),"4MM",
IF(OR(ISNUMBER(SEARCH("5 MM",Inventario!B69)),ISNUMBER(SEARCH("5MM",Inventario!B69))),"5MM",
IF(OR(ISNUMBER(SEARCH("6 MM",Inventario!B69)),ISNUMBER(SEARCH("6MM",Inventario!B69))),"6MM",
IF(OR(ISNUMBER(SEARCH("10 MM",Inventario!B69)),ISNUMBER(SEARCH("10MM",Inventario!B69))),"10MM","")))))))</f>
        <v/>
      </c>
      <c r="G70" t="str">
        <f>IF(ISNUMBER(SEARCH("ALTA RESISTENCIA",Inventario!B69)),"AR",IF(ISNUMBER(SEARCH("CAMPAÑA",Inventario!B69)),"CA",
IF(OR(ISNUMBER(SEARCH("CALIDO",Inventario!B69)),ISNUMBER(SEARCH("CÁLIDO",Inventario!B69))),"C",
IF(OR(ISNUMBER(SEARCH("TRASLUCIDO",Inventario!B69)),ISNUMBER(SEARCH("TRANSLUCIDO",Inventario!B69))),"TL",
IF(ISNUMBER(SEARCH("NEUTRO",Inventario!B69)),"N",
IF(ISNUMBER(SEARCH("FRIO",Inventario!B69)),"F",""))))))</f>
        <v/>
      </c>
      <c r="H70" t="str">
        <f>IF(ISNUMBER(SEARCH("SILED",Inventario!B69)),"SI",
IF(ISNUMBER(SEARCH("SYDEMEX",Inventario!B69)),"SY",
IF(ISNUMBER(SEARCH("ROHS",Inventario!B69)),"RO",
IF(ISNUMBER(SEARCH("RISHANG",Inventario!B69)),"RS",
IF(ISNUMBER(SEARCH("VYG",Inventario!B69)),"VYG",
IF(ISNUMBER(SEARCH("COLED",Inventario!B69)),"CO",""))))))</f>
        <v/>
      </c>
    </row>
    <row r="71" spans="1:8">
      <c r="A71" t="str">
        <f>IF(ISNUMBER(SEARCH("LONA",Inventario!B70)),"LON",
IF(ISNUMBER(SEARCH("VINIL",Inventario!B70)),"VIN",
IF(ISNUMBER(SEARCH("PANEL DE ALUMINIO COMPUESTO",Inventario!B70)),"PAN-ALU-COM",
IF(ISNUMBER(SEARCH("PVC",Inventario!B70)),"PVC",
IF(ISNUMBER(SEARCH("PAPEL",Inventario!B70)),"PAP",
IF(ISNUMBER(SEARCH("TELA",Inventario!B70)),"TEL",
IF(ISNUMBER(SEARCH("CARTULINA",Inventario!B70)),"CAR",
IF(OR(ISNUMBER(SEARCH("LAMINA",Inventario!B70)),ISNUMBER(SEARCH("LÁMINA",Inventario!B70))),"LAM",
IF(ISNUMBER(SEARCH("ESTIRENO",Inventario!B70)),"EST",
IF(ISNUMBER(SEARCH("FOAMBOARD",Inventario!B70)),"FOA",
IF(ISNUMBER(SEARCH("SOLVENTE",Inventario!B70)),"SOL",
IF(ISNUMBER(SEARCH("TINTA",Inventario!B70)),"TIN",
IF(ISNUMBER(SEARCH("ACRILICO",Inventario!B70)),"ACR",
IF(ISNUMBER(SEARCH("LED",Inventario!B70)),"LED",
IF(ISNUMBER(SEARCH("FUENTE",Inventario!B70)),"FUE",
IF(ISNUMBER(SEARCH("PETG",Inventario!B70)),"PET",
IF(ISNUMBER(SEARCH("ALUMINIO",Inventario!B70)),"ALU",
IF(ISNUMBER(SEARCH("CANAL",Inventario!B70)),"CAN",
IF(ISNUMBER(SEARCH("ESCUADRA",Inventario!B70)),"ESC",
IF(ISNUMBER(SEARCH("SOPORTE",Inventario!B70)),"SOP","OTR")
)))))))))))))))))))</f>
        <v>VIN</v>
      </c>
      <c r="B71" t="str">
        <f>IF(ISNUMBER(SEARCH("CORTE",Inventario!B70)),"COR",
IF(ISNUMBER(SEARCH("CRISTAL",Inventario!B70)),"CR",
IF(OR(ISNUMBER(SEARCH("OPTICO",Inventario!B70)),ISNUMBER(SEARCH("OPTICOS",Inventario!B70)),ISNUMBER(SEARCH("OPTICA",Inventario!B70))),"OP",
IF(ISNUMBER(SEARCH("NANO",Inventario!B70)),"NA",
IF(ISNUMBER(SEARCH("5050",Inventario!B70)),"5050",
IF(ISNUMBER(SEARCH("MICRO",Inventario!B70)),"MI",""))))))</f>
        <v/>
      </c>
      <c r="C71" t="str">
        <f>IF(ISNUMBER(SEARCH("PARED",Inventario!B70)),"PAR",IF(ISNUMBER(SEARCH("MATE",Inventario!B70)),"MAT",
IF(ISNUMBER(SEARCH("FRONT",Inventario!B70)),"FRO",
IF(ISNUMBER(SEARCH("BACK",Inventario!B70)),"BAC",
IF(ISNUMBER(SEARCH("MESH",Inventario!B70)),"MES",
IF(OR(ISNUMBER(SEARCH("BRILLANTE",Inventario!B70)),ISNUMBER(SEARCH("BTE",Inventario!B70))),"BRI",
IF(ISNUMBER(SEARCH("SINTETICA DELGADA",Inventario!B70)),"SD",
IF(ISNUMBER(SEARCH("SINTETICA GRUESA",Inventario!B70)),"SG",
IF(ISNUMBER(SEARCH("ESTATICO",Inventario!B70)),"EST",
IF(ISNUMBER(SEARCH("FLOOR",Inventario!B70)),"FLO",
IF(ISNUMBER(SEARCH("REFLECTIVO",Inventario!B70)),"REF",
IF(ISNUMBER(SEARCH("MICROPERFORADO",Inventario!B70)),"MI",
IF(ISNUMBER(SEARCH("CEPILLADO",Inventario!B70)),"CEP",
IF(ISNUMBER(SEARCH("ESPEJO",Inventario!B70)),"ESP",
IF(OR(ISNUMBER(SEARCH("UNIDIODO",Inventario!B70)),ISNUMBER(SEARCH("1 DIODO",Inventario!B70))),"1D",
IF(ISNUMBER(SEARCH("2 DIODOS",Inventario!B70)),"2D",
IF(ISNUMBER(SEARCH("3 DIODOS",Inventario!B70)),"3D","")))))))))))))))))</f>
        <v>MAT</v>
      </c>
      <c r="D71" t="str">
        <f>IF(ISNUMBER(SEARCH("LX700",Inventario!B70)),"LX7",
IF(ISNUMBER(SEARCH("GRANDO",Inventario!B70)),"GRA",
IF(OR(ISNUMBER(SEARCH("CAMA PLANA",Inventario!B70)),ISNUMBER(SEARCH("FB700",Inventario!B70))),"CP",
IF(ISNUMBER(SEARCH("LX360",Inventario!B70)),"LX3",
IF(ISNUMBER(SEARCH("XEROX",Inventario!B70)),"XER",
IF(ISNUMBER(SEARCH("18 OZ",Inventario!B70)),"18OZ",
IF(ISNUMBER(SEARCH("15 OZ",Inventario!B70)),"15OZ",
IF(OR(ISNUMBER(SEARCH("13 OZ",Inventario!B70)),ISNUMBER(SEARCH("13 ONZAS",Inventario!B70))),"13OZ",
IF(OR(ISNUMBER(SEARCH("9 OZ",Inventario!B70)),ISNUMBER(SEARCH("9 ONZAS",Inventario!B70))),"09OZ","")))))))))</f>
        <v/>
      </c>
      <c r="E71" t="str">
        <f>IF(OR(ISNUMBER(SEARCH("TRANSPARENTE",Inventario!B70)),ISNUMBER(SEARCH("TRANSPARENTES",Inventario!B70))),"TR",
IF(OR(ISNUMBER(SEARCH("BLANCO",Inventario!B70)),ISNUMBER(SEARCH("BCO",Inventario!B70))),"BL",
IF(ISNUMBER(SEARCH("VERDE",Inventario!B70)),"VR",
IF(ISNUMBER(SEARCH("MORADO",Inventario!B70)),"MR",
IF(ISNUMBER(SEARCH("PLATA",Inventario!B70)),"PL",
IF(ISNUMBER(SEARCH("ORO",Inventario!B70)),"OR",
IF(ISNUMBER(SEARCH("AMARILLO",Inventario!B70)),"AM",
IF(ISNUMBER(SEARCH("NARANJA",Inventario!B70)),"NR",
IF(ISNUMBER(SEARCH("NEGRO",Inventario!B70)),"NG",
IF(ISNUMBER(SEARCH("ROJO",Inventario!B70)),"RJ",
IF(ISNUMBER(SEARCH("AZUL",Inventario!B70)),"AZ","")))))))))))</f>
        <v/>
      </c>
      <c r="F71" t="str">
        <f>IF(ISNUMBER(SEARCH("1,2 MM",Inventario!B70)),"1MM2",
IF(OR(ISNUMBER(SEARCH("2 MM",Inventario!B70)),ISNUMBER(SEARCH("2MM",Inventario!B70))),"2MM",
IF(OR(ISNUMBER(SEARCH("3 MM",Inventario!B70)),ISNUMBER(SEARCH("3MM",Inventario!B70))),"3MM",
IF(OR(ISNUMBER(SEARCH("4 MM",Inventario!B70)),ISNUMBER(SEARCH("4MM",Inventario!B70)),ISNUMBER(SEARCH("4 mm",Inventario!B70))),"4MM",
IF(OR(ISNUMBER(SEARCH("5 MM",Inventario!B70)),ISNUMBER(SEARCH("5MM",Inventario!B70))),"5MM",
IF(OR(ISNUMBER(SEARCH("6 MM",Inventario!B70)),ISNUMBER(SEARCH("6MM",Inventario!B70))),"6MM",
IF(OR(ISNUMBER(SEARCH("10 MM",Inventario!B70)),ISNUMBER(SEARCH("10MM",Inventario!B70))),"10MM","")))))))</f>
        <v/>
      </c>
      <c r="G71" t="str">
        <f>IF(ISNUMBER(SEARCH("ALTA RESISTENCIA",Inventario!B70)),"AR",IF(ISNUMBER(SEARCH("CAMPAÑA",Inventario!B70)),"CA",
IF(OR(ISNUMBER(SEARCH("CALIDO",Inventario!B70)),ISNUMBER(SEARCH("CÁLIDO",Inventario!B70))),"C",
IF(OR(ISNUMBER(SEARCH("TRASLUCIDO",Inventario!B70)),ISNUMBER(SEARCH("TRANSLUCIDO",Inventario!B70))),"TL",
IF(ISNUMBER(SEARCH("NEUTRO",Inventario!B70)),"N",
IF(ISNUMBER(SEARCH("FRIO",Inventario!B70)),"F",""))))))</f>
        <v/>
      </c>
      <c r="H71" t="str">
        <f>IF(ISNUMBER(SEARCH("SILED",Inventario!B70)),"SI",
IF(ISNUMBER(SEARCH("SYDEMEX",Inventario!B70)),"SY",
IF(ISNUMBER(SEARCH("ROHS",Inventario!B70)),"RO",
IF(ISNUMBER(SEARCH("RISHANG",Inventario!B70)),"RS",
IF(ISNUMBER(SEARCH("VYG",Inventario!B70)),"VYG",
IF(ISNUMBER(SEARCH("COLED",Inventario!B70)),"CO",""))))))</f>
        <v/>
      </c>
    </row>
    <row r="72" spans="1:8">
      <c r="A72" t="str">
        <f>IF(ISNUMBER(SEARCH("LONA",Inventario!B71)),"LON",
IF(ISNUMBER(SEARCH("VINIL",Inventario!B71)),"VIN",
IF(ISNUMBER(SEARCH("PANEL DE ALUMINIO COMPUESTO",Inventario!B71)),"PAN-ALU-COM",
IF(ISNUMBER(SEARCH("PVC",Inventario!B71)),"PVC",
IF(ISNUMBER(SEARCH("PAPEL",Inventario!B71)),"PAP",
IF(ISNUMBER(SEARCH("TELA",Inventario!B71)),"TEL",
IF(ISNUMBER(SEARCH("CARTULINA",Inventario!B71)),"CAR",
IF(OR(ISNUMBER(SEARCH("LAMINA",Inventario!B71)),ISNUMBER(SEARCH("LÁMINA",Inventario!B71))),"LAM",
IF(ISNUMBER(SEARCH("ESTIRENO",Inventario!B71)),"EST",
IF(ISNUMBER(SEARCH("FOAMBOARD",Inventario!B71)),"FOA",
IF(ISNUMBER(SEARCH("SOLVENTE",Inventario!B71)),"SOL",
IF(ISNUMBER(SEARCH("TINTA",Inventario!B71)),"TIN",
IF(ISNUMBER(SEARCH("ACRILICO",Inventario!B71)),"ACR",
IF(ISNUMBER(SEARCH("LED",Inventario!B71)),"LED",
IF(ISNUMBER(SEARCH("FUENTE",Inventario!B71)),"FUE",
IF(ISNUMBER(SEARCH("PETG",Inventario!B71)),"PET",
IF(ISNUMBER(SEARCH("ALUMINIO",Inventario!B71)),"ALU",
IF(ISNUMBER(SEARCH("CANAL",Inventario!B71)),"CAN",
IF(ISNUMBER(SEARCH("ESCUADRA",Inventario!B71)),"ESC",
IF(ISNUMBER(SEARCH("SOPORTE",Inventario!B71)),"SOP","OTR")
)))))))))))))))))))</f>
        <v>VIN</v>
      </c>
      <c r="B72" t="str">
        <f>IF(ISNUMBER(SEARCH("CORTE",Inventario!B71)),"COR",
IF(ISNUMBER(SEARCH("CRISTAL",Inventario!B71)),"CR",
IF(OR(ISNUMBER(SEARCH("OPTICO",Inventario!B71)),ISNUMBER(SEARCH("OPTICOS",Inventario!B71)),ISNUMBER(SEARCH("OPTICA",Inventario!B71))),"OP",
IF(ISNUMBER(SEARCH("NANO",Inventario!B71)),"NA",
IF(ISNUMBER(SEARCH("5050",Inventario!B71)),"5050",
IF(ISNUMBER(SEARCH("MICRO",Inventario!B71)),"MI",""))))))</f>
        <v/>
      </c>
      <c r="C72" t="str">
        <f>IF(ISNUMBER(SEARCH("PARED",Inventario!B71)),"PAR",IF(ISNUMBER(SEARCH("MATE",Inventario!B71)),"MAT",
IF(ISNUMBER(SEARCH("FRONT",Inventario!B71)),"FRO",
IF(ISNUMBER(SEARCH("BACK",Inventario!B71)),"BAC",
IF(ISNUMBER(SEARCH("MESH",Inventario!B71)),"MES",
IF(OR(ISNUMBER(SEARCH("BRILLANTE",Inventario!B71)),ISNUMBER(SEARCH("BTE",Inventario!B71))),"BRI",
IF(ISNUMBER(SEARCH("SINTETICA DELGADA",Inventario!B71)),"SD",
IF(ISNUMBER(SEARCH("SINTETICA GRUESA",Inventario!B71)),"SG",
IF(ISNUMBER(SEARCH("ESTATICO",Inventario!B71)),"EST",
IF(ISNUMBER(SEARCH("FLOOR",Inventario!B71)),"FLO",
IF(ISNUMBER(SEARCH("REFLECTIVO",Inventario!B71)),"REF",
IF(ISNUMBER(SEARCH("MICROPERFORADO",Inventario!B71)),"MI",
IF(ISNUMBER(SEARCH("CEPILLADO",Inventario!B71)),"CEP",
IF(ISNUMBER(SEARCH("ESPEJO",Inventario!B71)),"ESP",
IF(OR(ISNUMBER(SEARCH("UNIDIODO",Inventario!B71)),ISNUMBER(SEARCH("1 DIODO",Inventario!B71))),"1D",
IF(ISNUMBER(SEARCH("2 DIODOS",Inventario!B71)),"2D",
IF(ISNUMBER(SEARCH("3 DIODOS",Inventario!B71)),"3D","")))))))))))))))))</f>
        <v>MAT</v>
      </c>
      <c r="D72" t="str">
        <f>IF(ISNUMBER(SEARCH("LX700",Inventario!B71)),"LX7",
IF(ISNUMBER(SEARCH("GRANDO",Inventario!B71)),"GRA",
IF(OR(ISNUMBER(SEARCH("CAMA PLANA",Inventario!B71)),ISNUMBER(SEARCH("FB700",Inventario!B71))),"CP",
IF(ISNUMBER(SEARCH("LX360",Inventario!B71)),"LX3",
IF(ISNUMBER(SEARCH("XEROX",Inventario!B71)),"XER",
IF(ISNUMBER(SEARCH("18 OZ",Inventario!B71)),"18OZ",
IF(ISNUMBER(SEARCH("15 OZ",Inventario!B71)),"15OZ",
IF(OR(ISNUMBER(SEARCH("13 OZ",Inventario!B71)),ISNUMBER(SEARCH("13 ONZAS",Inventario!B71))),"13OZ",
IF(OR(ISNUMBER(SEARCH("9 OZ",Inventario!B71)),ISNUMBER(SEARCH("9 ONZAS",Inventario!B71))),"09OZ","")))))))))</f>
        <v/>
      </c>
      <c r="E72" t="str">
        <f>IF(OR(ISNUMBER(SEARCH("TRANSPARENTE",Inventario!B71)),ISNUMBER(SEARCH("TRANSPARENTES",Inventario!B71))),"TR",
IF(OR(ISNUMBER(SEARCH("BLANCO",Inventario!B71)),ISNUMBER(SEARCH("BCO",Inventario!B71))),"BL",
IF(ISNUMBER(SEARCH("VERDE",Inventario!B71)),"VR",
IF(ISNUMBER(SEARCH("MORADO",Inventario!B71)),"MR",
IF(ISNUMBER(SEARCH("PLATA",Inventario!B71)),"PL",
IF(ISNUMBER(SEARCH("ORO",Inventario!B71)),"OR",
IF(ISNUMBER(SEARCH("AMARILLO",Inventario!B71)),"AM",
IF(ISNUMBER(SEARCH("NARANJA",Inventario!B71)),"NR",
IF(ISNUMBER(SEARCH("NEGRO",Inventario!B71)),"NG",
IF(ISNUMBER(SEARCH("ROJO",Inventario!B71)),"RJ",
IF(ISNUMBER(SEARCH("AZUL",Inventario!B71)),"AZ","")))))))))))</f>
        <v/>
      </c>
      <c r="F72" t="str">
        <f>IF(ISNUMBER(SEARCH("1,2 MM",Inventario!B71)),"1MM2",
IF(OR(ISNUMBER(SEARCH("2 MM",Inventario!B71)),ISNUMBER(SEARCH("2MM",Inventario!B71))),"2MM",
IF(OR(ISNUMBER(SEARCH("3 MM",Inventario!B71)),ISNUMBER(SEARCH("3MM",Inventario!B71))),"3MM",
IF(OR(ISNUMBER(SEARCH("4 MM",Inventario!B71)),ISNUMBER(SEARCH("4MM",Inventario!B71)),ISNUMBER(SEARCH("4 mm",Inventario!B71))),"4MM",
IF(OR(ISNUMBER(SEARCH("5 MM",Inventario!B71)),ISNUMBER(SEARCH("5MM",Inventario!B71))),"5MM",
IF(OR(ISNUMBER(SEARCH("6 MM",Inventario!B71)),ISNUMBER(SEARCH("6MM",Inventario!B71))),"6MM",
IF(OR(ISNUMBER(SEARCH("10 MM",Inventario!B71)),ISNUMBER(SEARCH("10MM",Inventario!B71))),"10MM","")))))))</f>
        <v/>
      </c>
      <c r="G72" t="str">
        <f>IF(ISNUMBER(SEARCH("ALTA RESISTENCIA",Inventario!B71)),"AR",IF(ISNUMBER(SEARCH("CAMPAÑA",Inventario!B71)),"CA",
IF(OR(ISNUMBER(SEARCH("CALIDO",Inventario!B71)),ISNUMBER(SEARCH("CÁLIDO",Inventario!B71))),"C",
IF(OR(ISNUMBER(SEARCH("TRASLUCIDO",Inventario!B71)),ISNUMBER(SEARCH("TRANSLUCIDO",Inventario!B71))),"TL",
IF(ISNUMBER(SEARCH("NEUTRO",Inventario!B71)),"N",
IF(ISNUMBER(SEARCH("FRIO",Inventario!B71)),"F",""))))))</f>
        <v/>
      </c>
      <c r="H72" t="str">
        <f>IF(ISNUMBER(SEARCH("SILED",Inventario!B71)),"SI",
IF(ISNUMBER(SEARCH("SYDEMEX",Inventario!B71)),"SY",
IF(ISNUMBER(SEARCH("ROHS",Inventario!B71)),"RO",
IF(ISNUMBER(SEARCH("RISHANG",Inventario!B71)),"RS",
IF(ISNUMBER(SEARCH("VYG",Inventario!B71)),"VYG",
IF(ISNUMBER(SEARCH("COLED",Inventario!B71)),"CO",""))))))</f>
        <v/>
      </c>
    </row>
    <row r="73" spans="1:8">
      <c r="A73" t="str">
        <f>IF(ISNUMBER(SEARCH("LONA",Inventario!B72)),"LON",
IF(ISNUMBER(SEARCH("VINIL",Inventario!B72)),"VIN",
IF(ISNUMBER(SEARCH("PANEL DE ALUMINIO COMPUESTO",Inventario!B72)),"PAN-ALU-COM",
IF(ISNUMBER(SEARCH("PVC",Inventario!B72)),"PVC",
IF(ISNUMBER(SEARCH("PAPEL",Inventario!B72)),"PAP",
IF(ISNUMBER(SEARCH("TELA",Inventario!B72)),"TEL",
IF(ISNUMBER(SEARCH("CARTULINA",Inventario!B72)),"CAR",
IF(OR(ISNUMBER(SEARCH("LAMINA",Inventario!B72)),ISNUMBER(SEARCH("LÁMINA",Inventario!B72))),"LAM",
IF(ISNUMBER(SEARCH("ESTIRENO",Inventario!B72)),"EST",
IF(ISNUMBER(SEARCH("FOAMBOARD",Inventario!B72)),"FOA",
IF(ISNUMBER(SEARCH("SOLVENTE",Inventario!B72)),"SOL",
IF(ISNUMBER(SEARCH("TINTA",Inventario!B72)),"TIN",
IF(ISNUMBER(SEARCH("ACRILICO",Inventario!B72)),"ACR",
IF(ISNUMBER(SEARCH("LED",Inventario!B72)),"LED",
IF(ISNUMBER(SEARCH("FUENTE",Inventario!B72)),"FUE",
IF(ISNUMBER(SEARCH("PETG",Inventario!B72)),"PET",
IF(ISNUMBER(SEARCH("ALUMINIO",Inventario!B72)),"ALU",
IF(ISNUMBER(SEARCH("CANAL",Inventario!B72)),"CAN",
IF(ISNUMBER(SEARCH("ESCUADRA",Inventario!B72)),"ESC",
IF(ISNUMBER(SEARCH("SOPORTE",Inventario!B72)),"SOP","OTR")
)))))))))))))))))))</f>
        <v>VIN</v>
      </c>
      <c r="B73" t="str">
        <f>IF(ISNUMBER(SEARCH("CORTE",Inventario!B72)),"COR",
IF(ISNUMBER(SEARCH("CRISTAL",Inventario!B72)),"CR",
IF(OR(ISNUMBER(SEARCH("OPTICO",Inventario!B72)),ISNUMBER(SEARCH("OPTICOS",Inventario!B72)),ISNUMBER(SEARCH("OPTICA",Inventario!B72))),"OP",
IF(ISNUMBER(SEARCH("NANO",Inventario!B72)),"NA",
IF(ISNUMBER(SEARCH("5050",Inventario!B72)),"5050",
IF(ISNUMBER(SEARCH("MICRO",Inventario!B72)),"MI",""))))))</f>
        <v/>
      </c>
      <c r="C73" t="str">
        <f>IF(ISNUMBER(SEARCH("PARED",Inventario!B72)),"PAR",IF(ISNUMBER(SEARCH("MATE",Inventario!B72)),"MAT",
IF(ISNUMBER(SEARCH("FRONT",Inventario!B72)),"FRO",
IF(ISNUMBER(SEARCH("BACK",Inventario!B72)),"BAC",
IF(ISNUMBER(SEARCH("MESH",Inventario!B72)),"MES",
IF(OR(ISNUMBER(SEARCH("BRILLANTE",Inventario!B72)),ISNUMBER(SEARCH("BTE",Inventario!B72))),"BRI",
IF(ISNUMBER(SEARCH("SINTETICA DELGADA",Inventario!B72)),"SD",
IF(ISNUMBER(SEARCH("SINTETICA GRUESA",Inventario!B72)),"SG",
IF(ISNUMBER(SEARCH("ESTATICO",Inventario!B72)),"EST",
IF(ISNUMBER(SEARCH("FLOOR",Inventario!B72)),"FLO",
IF(ISNUMBER(SEARCH("REFLECTIVO",Inventario!B72)),"REF",
IF(ISNUMBER(SEARCH("MICROPERFORADO",Inventario!B72)),"MI",
IF(ISNUMBER(SEARCH("CEPILLADO",Inventario!B72)),"CEP",
IF(ISNUMBER(SEARCH("ESPEJO",Inventario!B72)),"ESP",
IF(OR(ISNUMBER(SEARCH("UNIDIODO",Inventario!B72)),ISNUMBER(SEARCH("1 DIODO",Inventario!B72))),"1D",
IF(ISNUMBER(SEARCH("2 DIODOS",Inventario!B72)),"2D",
IF(ISNUMBER(SEARCH("3 DIODOS",Inventario!B72)),"3D","")))))))))))))))))</f>
        <v>PAR</v>
      </c>
      <c r="D73" t="str">
        <f>IF(ISNUMBER(SEARCH("LX700",Inventario!B72)),"LX7",
IF(ISNUMBER(SEARCH("GRANDO",Inventario!B72)),"GRA",
IF(OR(ISNUMBER(SEARCH("CAMA PLANA",Inventario!B72)),ISNUMBER(SEARCH("FB700",Inventario!B72))),"CP",
IF(ISNUMBER(SEARCH("LX360",Inventario!B72)),"LX3",
IF(ISNUMBER(SEARCH("XEROX",Inventario!B72)),"XER",
IF(ISNUMBER(SEARCH("18 OZ",Inventario!B72)),"18OZ",
IF(ISNUMBER(SEARCH("15 OZ",Inventario!B72)),"15OZ",
IF(OR(ISNUMBER(SEARCH("13 OZ",Inventario!B72)),ISNUMBER(SEARCH("13 ONZAS",Inventario!B72))),"13OZ",
IF(OR(ISNUMBER(SEARCH("9 OZ",Inventario!B72)),ISNUMBER(SEARCH("9 ONZAS",Inventario!B72))),"09OZ","")))))))))</f>
        <v/>
      </c>
      <c r="E73" t="str">
        <f>IF(OR(ISNUMBER(SEARCH("TRANSPARENTE",Inventario!B72)),ISNUMBER(SEARCH("TRANSPARENTES",Inventario!B72))),"TR",
IF(OR(ISNUMBER(SEARCH("BLANCO",Inventario!B72)),ISNUMBER(SEARCH("BCO",Inventario!B72))),"BL",
IF(ISNUMBER(SEARCH("VERDE",Inventario!B72)),"VR",
IF(ISNUMBER(SEARCH("MORADO",Inventario!B72)),"MR",
IF(ISNUMBER(SEARCH("PLATA",Inventario!B72)),"PL",
IF(ISNUMBER(SEARCH("ORO",Inventario!B72)),"OR",
IF(ISNUMBER(SEARCH("AMARILLO",Inventario!B72)),"AM",
IF(ISNUMBER(SEARCH("NARANJA",Inventario!B72)),"NR",
IF(ISNUMBER(SEARCH("NEGRO",Inventario!B72)),"NG",
IF(ISNUMBER(SEARCH("ROJO",Inventario!B72)),"RJ",
IF(ISNUMBER(SEARCH("AZUL",Inventario!B72)),"AZ","")))))))))))</f>
        <v/>
      </c>
      <c r="F73" t="str">
        <f>IF(ISNUMBER(SEARCH("1,2 MM",Inventario!B72)),"1MM2",
IF(OR(ISNUMBER(SEARCH("2 MM",Inventario!B72)),ISNUMBER(SEARCH("2MM",Inventario!B72))),"2MM",
IF(OR(ISNUMBER(SEARCH("3 MM",Inventario!B72)),ISNUMBER(SEARCH("3MM",Inventario!B72))),"3MM",
IF(OR(ISNUMBER(SEARCH("4 MM",Inventario!B72)),ISNUMBER(SEARCH("4MM",Inventario!B72)),ISNUMBER(SEARCH("4 mm",Inventario!B72))),"4MM",
IF(OR(ISNUMBER(SEARCH("5 MM",Inventario!B72)),ISNUMBER(SEARCH("5MM",Inventario!B72))),"5MM",
IF(OR(ISNUMBER(SEARCH("6 MM",Inventario!B72)),ISNUMBER(SEARCH("6MM",Inventario!B72))),"6MM",
IF(OR(ISNUMBER(SEARCH("10 MM",Inventario!B72)),ISNUMBER(SEARCH("10MM",Inventario!B72))),"10MM","")))))))</f>
        <v/>
      </c>
      <c r="G73" t="str">
        <f>IF(ISNUMBER(SEARCH("ALTA RESISTENCIA",Inventario!B72)),"AR",IF(ISNUMBER(SEARCH("CAMPAÑA",Inventario!B72)),"CA",
IF(OR(ISNUMBER(SEARCH("CALIDO",Inventario!B72)),ISNUMBER(SEARCH("CÁLIDO",Inventario!B72))),"C",
IF(OR(ISNUMBER(SEARCH("TRASLUCIDO",Inventario!B72)),ISNUMBER(SEARCH("TRANSLUCIDO",Inventario!B72))),"TL",
IF(ISNUMBER(SEARCH("NEUTRO",Inventario!B72)),"N",
IF(ISNUMBER(SEARCH("FRIO",Inventario!B72)),"F",""))))))</f>
        <v/>
      </c>
      <c r="H73" t="str">
        <f>IF(ISNUMBER(SEARCH("SILED",Inventario!B72)),"SI",
IF(ISNUMBER(SEARCH("SYDEMEX",Inventario!B72)),"SY",
IF(ISNUMBER(SEARCH("ROHS",Inventario!B72)),"RO",
IF(ISNUMBER(SEARCH("RISHANG",Inventario!B72)),"RS",
IF(ISNUMBER(SEARCH("VYG",Inventario!B72)),"VYG",
IF(ISNUMBER(SEARCH("COLED",Inventario!B72)),"CO",""))))))</f>
        <v/>
      </c>
    </row>
    <row r="74" spans="1:8">
      <c r="A74" t="str">
        <f>IF(ISNUMBER(SEARCH("LONA",Inventario!B73)),"LON",
IF(ISNUMBER(SEARCH("VINIL",Inventario!B73)),"VIN",
IF(ISNUMBER(SEARCH("PANEL DE ALUMINIO COMPUESTO",Inventario!B73)),"PAN-ALU-COM",
IF(ISNUMBER(SEARCH("PVC",Inventario!B73)),"PVC",
IF(ISNUMBER(SEARCH("PAPEL",Inventario!B73)),"PAP",
IF(ISNUMBER(SEARCH("TELA",Inventario!B73)),"TEL",
IF(ISNUMBER(SEARCH("CARTULINA",Inventario!B73)),"CAR",
IF(OR(ISNUMBER(SEARCH("LAMINA",Inventario!B73)),ISNUMBER(SEARCH("LÁMINA",Inventario!B73))),"LAM",
IF(ISNUMBER(SEARCH("ESTIRENO",Inventario!B73)),"EST",
IF(ISNUMBER(SEARCH("FOAMBOARD",Inventario!B73)),"FOA",
IF(ISNUMBER(SEARCH("SOLVENTE",Inventario!B73)),"SOL",
IF(ISNUMBER(SEARCH("TINTA",Inventario!B73)),"TIN",
IF(ISNUMBER(SEARCH("ACRILICO",Inventario!B73)),"ACR",
IF(ISNUMBER(SEARCH("LED",Inventario!B73)),"LED",
IF(ISNUMBER(SEARCH("FUENTE",Inventario!B73)),"FUE",
IF(ISNUMBER(SEARCH("PETG",Inventario!B73)),"PET",
IF(ISNUMBER(SEARCH("ALUMINIO",Inventario!B73)),"ALU",
IF(ISNUMBER(SEARCH("CANAL",Inventario!B73)),"CAN",
IF(ISNUMBER(SEARCH("ESCUADRA",Inventario!B73)),"ESC",
IF(ISNUMBER(SEARCH("SOPORTE",Inventario!B73)),"SOP","OTR")
)))))))))))))))))))</f>
        <v>VIN</v>
      </c>
      <c r="B74" t="str">
        <f>IF(ISNUMBER(SEARCH("CORTE",Inventario!B73)),"COR",
IF(ISNUMBER(SEARCH("CRISTAL",Inventario!B73)),"CR",
IF(OR(ISNUMBER(SEARCH("OPTICO",Inventario!B73)),ISNUMBER(SEARCH("OPTICOS",Inventario!B73)),ISNUMBER(SEARCH("OPTICA",Inventario!B73))),"OP",
IF(ISNUMBER(SEARCH("NANO",Inventario!B73)),"NA",
IF(ISNUMBER(SEARCH("5050",Inventario!B73)),"5050",
IF(ISNUMBER(SEARCH("MICRO",Inventario!B73)),"MI",""))))))</f>
        <v/>
      </c>
      <c r="C74" t="str">
        <f>IF(ISNUMBER(SEARCH("PARED",Inventario!B73)),"PAR",IF(ISNUMBER(SEARCH("MATE",Inventario!B73)),"MAT",
IF(ISNUMBER(SEARCH("FRONT",Inventario!B73)),"FRO",
IF(ISNUMBER(SEARCH("BACK",Inventario!B73)),"BAC",
IF(ISNUMBER(SEARCH("MESH",Inventario!B73)),"MES",
IF(OR(ISNUMBER(SEARCH("BRILLANTE",Inventario!B73)),ISNUMBER(SEARCH("BTE",Inventario!B73))),"BRI",
IF(ISNUMBER(SEARCH("SINTETICA DELGADA",Inventario!B73)),"SD",
IF(ISNUMBER(SEARCH("SINTETICA GRUESA",Inventario!B73)),"SG",
IF(ISNUMBER(SEARCH("ESTATICO",Inventario!B73)),"EST",
IF(ISNUMBER(SEARCH("FLOOR",Inventario!B73)),"FLO",
IF(ISNUMBER(SEARCH("REFLECTIVO",Inventario!B73)),"REF",
IF(ISNUMBER(SEARCH("MICROPERFORADO",Inventario!B73)),"MI",
IF(ISNUMBER(SEARCH("CEPILLADO",Inventario!B73)),"CEP",
IF(ISNUMBER(SEARCH("ESPEJO",Inventario!B73)),"ESP",
IF(OR(ISNUMBER(SEARCH("UNIDIODO",Inventario!B73)),ISNUMBER(SEARCH("1 DIODO",Inventario!B73))),"1D",
IF(ISNUMBER(SEARCH("2 DIODOS",Inventario!B73)),"2D",
IF(ISNUMBER(SEARCH("3 DIODOS",Inventario!B73)),"3D","")))))))))))))))))</f>
        <v>PAR</v>
      </c>
      <c r="D74" t="str">
        <f>IF(ISNUMBER(SEARCH("LX700",Inventario!B73)),"LX7",
IF(ISNUMBER(SEARCH("GRANDO",Inventario!B73)),"GRA",
IF(OR(ISNUMBER(SEARCH("CAMA PLANA",Inventario!B73)),ISNUMBER(SEARCH("FB700",Inventario!B73))),"CP",
IF(ISNUMBER(SEARCH("LX360",Inventario!B73)),"LX3",
IF(ISNUMBER(SEARCH("XEROX",Inventario!B73)),"XER",
IF(ISNUMBER(SEARCH("18 OZ",Inventario!B73)),"18OZ",
IF(ISNUMBER(SEARCH("15 OZ",Inventario!B73)),"15OZ",
IF(OR(ISNUMBER(SEARCH("13 OZ",Inventario!B73)),ISNUMBER(SEARCH("13 ONZAS",Inventario!B73))),"13OZ",
IF(OR(ISNUMBER(SEARCH("9 OZ",Inventario!B73)),ISNUMBER(SEARCH("9 ONZAS",Inventario!B73))),"09OZ","")))))))))</f>
        <v/>
      </c>
      <c r="E74" t="str">
        <f>IF(OR(ISNUMBER(SEARCH("TRANSPARENTE",Inventario!B73)),ISNUMBER(SEARCH("TRANSPARENTES",Inventario!B73))),"TR",
IF(OR(ISNUMBER(SEARCH("BLANCO",Inventario!B73)),ISNUMBER(SEARCH("BCO",Inventario!B73))),"BL",
IF(ISNUMBER(SEARCH("VERDE",Inventario!B73)),"VR",
IF(ISNUMBER(SEARCH("MORADO",Inventario!B73)),"MR",
IF(ISNUMBER(SEARCH("PLATA",Inventario!B73)),"PL",
IF(ISNUMBER(SEARCH("ORO",Inventario!B73)),"OR",
IF(ISNUMBER(SEARCH("AMARILLO",Inventario!B73)),"AM",
IF(ISNUMBER(SEARCH("NARANJA",Inventario!B73)),"NR",
IF(ISNUMBER(SEARCH("NEGRO",Inventario!B73)),"NG",
IF(ISNUMBER(SEARCH("ROJO",Inventario!B73)),"RJ",
IF(ISNUMBER(SEARCH("AZUL",Inventario!B73)),"AZ","")))))))))))</f>
        <v/>
      </c>
      <c r="F74" t="str">
        <f>IF(ISNUMBER(SEARCH("1,2 MM",Inventario!B73)),"1MM2",
IF(OR(ISNUMBER(SEARCH("2 MM",Inventario!B73)),ISNUMBER(SEARCH("2MM",Inventario!B73))),"2MM",
IF(OR(ISNUMBER(SEARCH("3 MM",Inventario!B73)),ISNUMBER(SEARCH("3MM",Inventario!B73))),"3MM",
IF(OR(ISNUMBER(SEARCH("4 MM",Inventario!B73)),ISNUMBER(SEARCH("4MM",Inventario!B73)),ISNUMBER(SEARCH("4 mm",Inventario!B73))),"4MM",
IF(OR(ISNUMBER(SEARCH("5 MM",Inventario!B73)),ISNUMBER(SEARCH("5MM",Inventario!B73))),"5MM",
IF(OR(ISNUMBER(SEARCH("6 MM",Inventario!B73)),ISNUMBER(SEARCH("6MM",Inventario!B73))),"6MM",
IF(OR(ISNUMBER(SEARCH("10 MM",Inventario!B73)),ISNUMBER(SEARCH("10MM",Inventario!B73))),"10MM","")))))))</f>
        <v/>
      </c>
      <c r="G74" t="str">
        <f>IF(ISNUMBER(SEARCH("ALTA RESISTENCIA",Inventario!B73)),"AR",IF(ISNUMBER(SEARCH("CAMPAÑA",Inventario!B73)),"CA",
IF(OR(ISNUMBER(SEARCH("CALIDO",Inventario!B73)),ISNUMBER(SEARCH("CÁLIDO",Inventario!B73))),"C",
IF(OR(ISNUMBER(SEARCH("TRASLUCIDO",Inventario!B73)),ISNUMBER(SEARCH("TRANSLUCIDO",Inventario!B73))),"TL",
IF(ISNUMBER(SEARCH("NEUTRO",Inventario!B73)),"N",
IF(ISNUMBER(SEARCH("FRIO",Inventario!B73)),"F",""))))))</f>
        <v/>
      </c>
      <c r="H74" t="str">
        <f>IF(ISNUMBER(SEARCH("SILED",Inventario!B73)),"SI",
IF(ISNUMBER(SEARCH("SYDEMEX",Inventario!B73)),"SY",
IF(ISNUMBER(SEARCH("ROHS",Inventario!B73)),"RO",
IF(ISNUMBER(SEARCH("RISHANG",Inventario!B73)),"RS",
IF(ISNUMBER(SEARCH("VYG",Inventario!B73)),"VYG",
IF(ISNUMBER(SEARCH("COLED",Inventario!B73)),"CO",""))))))</f>
        <v/>
      </c>
    </row>
    <row r="75" spans="1:8">
      <c r="A75" t="str">
        <f>IF(ISNUMBER(SEARCH("LONA",Inventario!B74)),"LON",
IF(ISNUMBER(SEARCH("VINIL",Inventario!B74)),"VIN",
IF(ISNUMBER(SEARCH("PANEL DE ALUMINIO COMPUESTO",Inventario!B74)),"PAN-ALU-COM",
IF(ISNUMBER(SEARCH("PVC",Inventario!B74)),"PVC",
IF(ISNUMBER(SEARCH("PAPEL",Inventario!B74)),"PAP",
IF(ISNUMBER(SEARCH("TELA",Inventario!B74)),"TEL",
IF(ISNUMBER(SEARCH("CARTULINA",Inventario!B74)),"CAR",
IF(OR(ISNUMBER(SEARCH("LAMINA",Inventario!B74)),ISNUMBER(SEARCH("LÁMINA",Inventario!B74))),"LAM",
IF(ISNUMBER(SEARCH("ESTIRENO",Inventario!B74)),"EST",
IF(ISNUMBER(SEARCH("FOAMBOARD",Inventario!B74)),"FOA",
IF(ISNUMBER(SEARCH("SOLVENTE",Inventario!B74)),"SOL",
IF(ISNUMBER(SEARCH("TINTA",Inventario!B74)),"TIN",
IF(ISNUMBER(SEARCH("ACRILICO",Inventario!B74)),"ACR",
IF(ISNUMBER(SEARCH("LED",Inventario!B74)),"LED",
IF(ISNUMBER(SEARCH("FUENTE",Inventario!B74)),"FUE",
IF(ISNUMBER(SEARCH("PETG",Inventario!B74)),"PET",
IF(ISNUMBER(SEARCH("ALUMINIO",Inventario!B74)),"ALU",
IF(ISNUMBER(SEARCH("CANAL",Inventario!B74)),"CAN",
IF(ISNUMBER(SEARCH("ESCUADRA",Inventario!B74)),"ESC",
IF(ISNUMBER(SEARCH("SOPORTE",Inventario!B74)),"SOP","OTR")
)))))))))))))))))))</f>
        <v>VIN</v>
      </c>
      <c r="B75" t="str">
        <f>IF(ISNUMBER(SEARCH("CORTE",Inventario!B74)),"COR",
IF(ISNUMBER(SEARCH("CRISTAL",Inventario!B74)),"CR",
IF(OR(ISNUMBER(SEARCH("OPTICO",Inventario!B74)),ISNUMBER(SEARCH("OPTICOS",Inventario!B74)),ISNUMBER(SEARCH("OPTICA",Inventario!B74))),"OP",
IF(ISNUMBER(SEARCH("NANO",Inventario!B74)),"NA",
IF(ISNUMBER(SEARCH("5050",Inventario!B74)),"5050",
IF(ISNUMBER(SEARCH("MICRO",Inventario!B74)),"MI",""))))))</f>
        <v/>
      </c>
      <c r="C75" t="str">
        <f>IF(ISNUMBER(SEARCH("PARED",Inventario!B74)),"PAR",IF(ISNUMBER(SEARCH("MATE",Inventario!B74)),"MAT",
IF(ISNUMBER(SEARCH("FRONT",Inventario!B74)),"FRO",
IF(ISNUMBER(SEARCH("BACK",Inventario!B74)),"BAC",
IF(ISNUMBER(SEARCH("MESH",Inventario!B74)),"MES",
IF(OR(ISNUMBER(SEARCH("BRILLANTE",Inventario!B74)),ISNUMBER(SEARCH("BTE",Inventario!B74))),"BRI",
IF(ISNUMBER(SEARCH("SINTETICA DELGADA",Inventario!B74)),"SD",
IF(ISNUMBER(SEARCH("SINTETICA GRUESA",Inventario!B74)),"SG",
IF(ISNUMBER(SEARCH("ESTATICO",Inventario!B74)),"EST",
IF(ISNUMBER(SEARCH("FLOOR",Inventario!B74)),"FLO",
IF(ISNUMBER(SEARCH("REFLECTIVO",Inventario!B74)),"REF",
IF(ISNUMBER(SEARCH("MICROPERFORADO",Inventario!B74)),"MI",
IF(ISNUMBER(SEARCH("CEPILLADO",Inventario!B74)),"CEP",
IF(ISNUMBER(SEARCH("ESPEJO",Inventario!B74)),"ESP",
IF(OR(ISNUMBER(SEARCH("UNIDIODO",Inventario!B74)),ISNUMBER(SEARCH("1 DIODO",Inventario!B74))),"1D",
IF(ISNUMBER(SEARCH("2 DIODOS",Inventario!B74)),"2D",
IF(ISNUMBER(SEARCH("3 DIODOS",Inventario!B74)),"3D","")))))))))))))))))</f>
        <v/>
      </c>
      <c r="D75" t="str">
        <f>IF(ISNUMBER(SEARCH("LX700",Inventario!B74)),"LX7",
IF(ISNUMBER(SEARCH("GRANDO",Inventario!B74)),"GRA",
IF(OR(ISNUMBER(SEARCH("CAMA PLANA",Inventario!B74)),ISNUMBER(SEARCH("FB700",Inventario!B74))),"CP",
IF(ISNUMBER(SEARCH("LX360",Inventario!B74)),"LX3",
IF(ISNUMBER(SEARCH("XEROX",Inventario!B74)),"XER",
IF(ISNUMBER(SEARCH("18 OZ",Inventario!B74)),"18OZ",
IF(ISNUMBER(SEARCH("15 OZ",Inventario!B74)),"15OZ",
IF(OR(ISNUMBER(SEARCH("13 OZ",Inventario!B74)),ISNUMBER(SEARCH("13 ONZAS",Inventario!B74))),"13OZ",
IF(OR(ISNUMBER(SEARCH("9 OZ",Inventario!B74)),ISNUMBER(SEARCH("9 ONZAS",Inventario!B74))),"09OZ","")))))))))</f>
        <v/>
      </c>
      <c r="E75" t="str">
        <f>IF(OR(ISNUMBER(SEARCH("TRANSPARENTE",Inventario!B74)),ISNUMBER(SEARCH("TRANSPARENTES",Inventario!B74))),"TR",
IF(OR(ISNUMBER(SEARCH("BLANCO",Inventario!B74)),ISNUMBER(SEARCH("BCO",Inventario!B74))),"BL",
IF(ISNUMBER(SEARCH("VERDE",Inventario!B74)),"VR",
IF(ISNUMBER(SEARCH("MORADO",Inventario!B74)),"MR",
IF(ISNUMBER(SEARCH("PLATA",Inventario!B74)),"PL",
IF(ISNUMBER(SEARCH("ORO",Inventario!B74)),"OR",
IF(ISNUMBER(SEARCH("AMARILLO",Inventario!B74)),"AM",
IF(ISNUMBER(SEARCH("NARANJA",Inventario!B74)),"NR",
IF(ISNUMBER(SEARCH("NEGRO",Inventario!B74)),"NG",
IF(ISNUMBER(SEARCH("ROJO",Inventario!B74)),"RJ",
IF(ISNUMBER(SEARCH("AZUL",Inventario!B74)),"AZ","")))))))))))</f>
        <v/>
      </c>
      <c r="F75" t="str">
        <f>IF(ISNUMBER(SEARCH("1,2 MM",Inventario!B74)),"1MM2",
IF(OR(ISNUMBER(SEARCH("2 MM",Inventario!B74)),ISNUMBER(SEARCH("2MM",Inventario!B74))),"2MM",
IF(OR(ISNUMBER(SEARCH("3 MM",Inventario!B74)),ISNUMBER(SEARCH("3MM",Inventario!B74))),"3MM",
IF(OR(ISNUMBER(SEARCH("4 MM",Inventario!B74)),ISNUMBER(SEARCH("4MM",Inventario!B74)),ISNUMBER(SEARCH("4 mm",Inventario!B74))),"4MM",
IF(OR(ISNUMBER(SEARCH("5 MM",Inventario!B74)),ISNUMBER(SEARCH("5MM",Inventario!B74))),"5MM",
IF(OR(ISNUMBER(SEARCH("6 MM",Inventario!B74)),ISNUMBER(SEARCH("6MM",Inventario!B74))),"6MM",
IF(OR(ISNUMBER(SEARCH("10 MM",Inventario!B74)),ISNUMBER(SEARCH("10MM",Inventario!B74))),"10MM","")))))))</f>
        <v/>
      </c>
      <c r="G75" t="str">
        <f>IF(ISNUMBER(SEARCH("ALTA RESISTENCIA",Inventario!B74)),"AR",IF(ISNUMBER(SEARCH("CAMPAÑA",Inventario!B74)),"CA",
IF(OR(ISNUMBER(SEARCH("CALIDO",Inventario!B74)),ISNUMBER(SEARCH("CÁLIDO",Inventario!B74))),"C",
IF(OR(ISNUMBER(SEARCH("TRASLUCIDO",Inventario!B74)),ISNUMBER(SEARCH("TRANSLUCIDO",Inventario!B74))),"TL",
IF(ISNUMBER(SEARCH("NEUTRO",Inventario!B74)),"N",
IF(ISNUMBER(SEARCH("FRIO",Inventario!B74)),"F",""))))))</f>
        <v/>
      </c>
      <c r="H75" t="str">
        <f>IF(ISNUMBER(SEARCH("SILED",Inventario!B74)),"SI",
IF(ISNUMBER(SEARCH("SYDEMEX",Inventario!B74)),"SY",
IF(ISNUMBER(SEARCH("ROHS",Inventario!B74)),"RO",
IF(ISNUMBER(SEARCH("RISHANG",Inventario!B74)),"RS",
IF(ISNUMBER(SEARCH("VYG",Inventario!B74)),"VYG",
IF(ISNUMBER(SEARCH("COLED",Inventario!B74)),"CO",""))))))</f>
        <v/>
      </c>
    </row>
    <row r="76" spans="1:8">
      <c r="A76" t="str">
        <f>IF(ISNUMBER(SEARCH("LONA",Inventario!B75)),"LON",
IF(ISNUMBER(SEARCH("VINIL",Inventario!B75)),"VIN",
IF(ISNUMBER(SEARCH("PANEL DE ALUMINIO COMPUESTO",Inventario!B75)),"PAN-ALU-COM",
IF(ISNUMBER(SEARCH("PVC",Inventario!B75)),"PVC",
IF(ISNUMBER(SEARCH("PAPEL",Inventario!B75)),"PAP",
IF(ISNUMBER(SEARCH("TELA",Inventario!B75)),"TEL",
IF(ISNUMBER(SEARCH("CARTULINA",Inventario!B75)),"CAR",
IF(OR(ISNUMBER(SEARCH("LAMINA",Inventario!B75)),ISNUMBER(SEARCH("LÁMINA",Inventario!B75))),"LAM",
IF(ISNUMBER(SEARCH("ESTIRENO",Inventario!B75)),"EST",
IF(ISNUMBER(SEARCH("FOAMBOARD",Inventario!B75)),"FOA",
IF(ISNUMBER(SEARCH("SOLVENTE",Inventario!B75)),"SOL",
IF(ISNUMBER(SEARCH("TINTA",Inventario!B75)),"TIN",
IF(ISNUMBER(SEARCH("ACRILICO",Inventario!B75)),"ACR",
IF(ISNUMBER(SEARCH("LED",Inventario!B75)),"LED",
IF(ISNUMBER(SEARCH("FUENTE",Inventario!B75)),"FUE",
IF(ISNUMBER(SEARCH("PETG",Inventario!B75)),"PET",
IF(ISNUMBER(SEARCH("ALUMINIO",Inventario!B75)),"ALU",
IF(ISNUMBER(SEARCH("CANAL",Inventario!B75)),"CAN",
IF(ISNUMBER(SEARCH("ESCUADRA",Inventario!B75)),"ESC",
IF(ISNUMBER(SEARCH("SOPORTE",Inventario!B75)),"SOP","OTR")
)))))))))))))))))))</f>
        <v>VIN</v>
      </c>
      <c r="B76" t="str">
        <f>IF(ISNUMBER(SEARCH("CORTE",Inventario!B75)),"COR",
IF(ISNUMBER(SEARCH("CRISTAL",Inventario!B75)),"CR",
IF(OR(ISNUMBER(SEARCH("OPTICO",Inventario!B75)),ISNUMBER(SEARCH("OPTICOS",Inventario!B75)),ISNUMBER(SEARCH("OPTICA",Inventario!B75))),"OP",
IF(ISNUMBER(SEARCH("NANO",Inventario!B75)),"NA",
IF(ISNUMBER(SEARCH("5050",Inventario!B75)),"5050",
IF(ISNUMBER(SEARCH("MICRO",Inventario!B75)),"MI",""))))))</f>
        <v/>
      </c>
      <c r="C76" t="str">
        <f>IF(ISNUMBER(SEARCH("PARED",Inventario!B75)),"PAR",IF(ISNUMBER(SEARCH("MATE",Inventario!B75)),"MAT",
IF(ISNUMBER(SEARCH("FRONT",Inventario!B75)),"FRO",
IF(ISNUMBER(SEARCH("BACK",Inventario!B75)),"BAC",
IF(ISNUMBER(SEARCH("MESH",Inventario!B75)),"MES",
IF(OR(ISNUMBER(SEARCH("BRILLANTE",Inventario!B75)),ISNUMBER(SEARCH("BTE",Inventario!B75))),"BRI",
IF(ISNUMBER(SEARCH("SINTETICA DELGADA",Inventario!B75)),"SD",
IF(ISNUMBER(SEARCH("SINTETICA GRUESA",Inventario!B75)),"SG",
IF(ISNUMBER(SEARCH("ESTATICO",Inventario!B75)),"EST",
IF(ISNUMBER(SEARCH("FLOOR",Inventario!B75)),"FLO",
IF(ISNUMBER(SEARCH("REFLECTIVO",Inventario!B75)),"REF",
IF(ISNUMBER(SEARCH("MICROPERFORADO",Inventario!B75)),"MI",
IF(ISNUMBER(SEARCH("CEPILLADO",Inventario!B75)),"CEP",
IF(ISNUMBER(SEARCH("ESPEJO",Inventario!B75)),"ESP",
IF(OR(ISNUMBER(SEARCH("UNIDIODO",Inventario!B75)),ISNUMBER(SEARCH("1 DIODO",Inventario!B75))),"1D",
IF(ISNUMBER(SEARCH("2 DIODOS",Inventario!B75)),"2D",
IF(ISNUMBER(SEARCH("3 DIODOS",Inventario!B75)),"3D","")))))))))))))))))</f>
        <v/>
      </c>
      <c r="D76" t="str">
        <f>IF(ISNUMBER(SEARCH("LX700",Inventario!B75)),"LX7",
IF(ISNUMBER(SEARCH("GRANDO",Inventario!B75)),"GRA",
IF(OR(ISNUMBER(SEARCH("CAMA PLANA",Inventario!B75)),ISNUMBER(SEARCH("FB700",Inventario!B75))),"CP",
IF(ISNUMBER(SEARCH("LX360",Inventario!B75)),"LX3",
IF(ISNUMBER(SEARCH("XEROX",Inventario!B75)),"XER",
IF(ISNUMBER(SEARCH("18 OZ",Inventario!B75)),"18OZ",
IF(ISNUMBER(SEARCH("15 OZ",Inventario!B75)),"15OZ",
IF(OR(ISNUMBER(SEARCH("13 OZ",Inventario!B75)),ISNUMBER(SEARCH("13 ONZAS",Inventario!B75))),"13OZ",
IF(OR(ISNUMBER(SEARCH("9 OZ",Inventario!B75)),ISNUMBER(SEARCH("9 ONZAS",Inventario!B75))),"09OZ","")))))))))</f>
        <v/>
      </c>
      <c r="E76" t="str">
        <f>IF(OR(ISNUMBER(SEARCH("TRANSPARENTE",Inventario!B75)),ISNUMBER(SEARCH("TRANSPARENTES",Inventario!B75))),"TR",
IF(OR(ISNUMBER(SEARCH("BLANCO",Inventario!B75)),ISNUMBER(SEARCH("BCO",Inventario!B75))),"BL",
IF(ISNUMBER(SEARCH("VERDE",Inventario!B75)),"VR",
IF(ISNUMBER(SEARCH("MORADO",Inventario!B75)),"MR",
IF(ISNUMBER(SEARCH("PLATA",Inventario!B75)),"PL",
IF(ISNUMBER(SEARCH("ORO",Inventario!B75)),"OR",
IF(ISNUMBER(SEARCH("AMARILLO",Inventario!B75)),"AM",
IF(ISNUMBER(SEARCH("NARANJA",Inventario!B75)),"NR",
IF(ISNUMBER(SEARCH("NEGRO",Inventario!B75)),"NG",
IF(ISNUMBER(SEARCH("ROJO",Inventario!B75)),"RJ",
IF(ISNUMBER(SEARCH("AZUL",Inventario!B75)),"AZ","")))))))))))</f>
        <v/>
      </c>
      <c r="F76" t="str">
        <f>IF(ISNUMBER(SEARCH("1,2 MM",Inventario!B75)),"1MM2",
IF(OR(ISNUMBER(SEARCH("2 MM",Inventario!B75)),ISNUMBER(SEARCH("2MM",Inventario!B75))),"2MM",
IF(OR(ISNUMBER(SEARCH("3 MM",Inventario!B75)),ISNUMBER(SEARCH("3MM",Inventario!B75))),"3MM",
IF(OR(ISNUMBER(SEARCH("4 MM",Inventario!B75)),ISNUMBER(SEARCH("4MM",Inventario!B75)),ISNUMBER(SEARCH("4 mm",Inventario!B75))),"4MM",
IF(OR(ISNUMBER(SEARCH("5 MM",Inventario!B75)),ISNUMBER(SEARCH("5MM",Inventario!B75))),"5MM",
IF(OR(ISNUMBER(SEARCH("6 MM",Inventario!B75)),ISNUMBER(SEARCH("6MM",Inventario!B75))),"6MM",
IF(OR(ISNUMBER(SEARCH("10 MM",Inventario!B75)),ISNUMBER(SEARCH("10MM",Inventario!B75))),"10MM","")))))))</f>
        <v/>
      </c>
      <c r="G76" t="str">
        <f>IF(ISNUMBER(SEARCH("ALTA RESISTENCIA",Inventario!B75)),"AR",IF(ISNUMBER(SEARCH("CAMPAÑA",Inventario!B75)),"CA",
IF(OR(ISNUMBER(SEARCH("CALIDO",Inventario!B75)),ISNUMBER(SEARCH("CÁLIDO",Inventario!B75))),"C",
IF(OR(ISNUMBER(SEARCH("TRASLUCIDO",Inventario!B75)),ISNUMBER(SEARCH("TRANSLUCIDO",Inventario!B75))),"TL",
IF(ISNUMBER(SEARCH("NEUTRO",Inventario!B75)),"N",
IF(ISNUMBER(SEARCH("FRIO",Inventario!B75)),"F",""))))))</f>
        <v/>
      </c>
      <c r="H76" t="str">
        <f>IF(ISNUMBER(SEARCH("SILED",Inventario!B75)),"SI",
IF(ISNUMBER(SEARCH("SYDEMEX",Inventario!B75)),"SY",
IF(ISNUMBER(SEARCH("ROHS",Inventario!B75)),"RO",
IF(ISNUMBER(SEARCH("RISHANG",Inventario!B75)),"RS",
IF(ISNUMBER(SEARCH("VYG",Inventario!B75)),"VYG",
IF(ISNUMBER(SEARCH("COLED",Inventario!B75)),"CO",""))))))</f>
        <v/>
      </c>
    </row>
    <row r="77" spans="1:8">
      <c r="A77" t="str">
        <f>IF(ISNUMBER(SEARCH("LONA",Inventario!B76)),"LON",
IF(ISNUMBER(SEARCH("VINIL",Inventario!B76)),"VIN",
IF(ISNUMBER(SEARCH("PANEL DE ALUMINIO COMPUESTO",Inventario!B76)),"PAN-ALU-COM",
IF(ISNUMBER(SEARCH("PVC",Inventario!B76)),"PVC",
IF(ISNUMBER(SEARCH("PAPEL",Inventario!B76)),"PAP",
IF(ISNUMBER(SEARCH("TELA",Inventario!B76)),"TEL",
IF(ISNUMBER(SEARCH("CARTULINA",Inventario!B76)),"CAR",
IF(OR(ISNUMBER(SEARCH("LAMINA",Inventario!B76)),ISNUMBER(SEARCH("LÁMINA",Inventario!B76))),"LAM",
IF(ISNUMBER(SEARCH("ESTIRENO",Inventario!B76)),"EST",
IF(ISNUMBER(SEARCH("FOAMBOARD",Inventario!B76)),"FOA",
IF(ISNUMBER(SEARCH("SOLVENTE",Inventario!B76)),"SOL",
IF(ISNUMBER(SEARCH("TINTA",Inventario!B76)),"TIN",
IF(ISNUMBER(SEARCH("ACRILICO",Inventario!B76)),"ACR",
IF(ISNUMBER(SEARCH("LED",Inventario!B76)),"LED",
IF(ISNUMBER(SEARCH("FUENTE",Inventario!B76)),"FUE",
IF(ISNUMBER(SEARCH("PETG",Inventario!B76)),"PET",
IF(ISNUMBER(SEARCH("ALUMINIO",Inventario!B76)),"ALU",
IF(ISNUMBER(SEARCH("CANAL",Inventario!B76)),"CAN",
IF(ISNUMBER(SEARCH("ESCUADRA",Inventario!B76)),"ESC",
IF(ISNUMBER(SEARCH("SOPORTE",Inventario!B76)),"SOP","OTR")
)))))))))))))))))))</f>
        <v>VIN</v>
      </c>
      <c r="B77" t="str">
        <f>IF(ISNUMBER(SEARCH("CORTE",Inventario!B76)),"COR",
IF(ISNUMBER(SEARCH("CRISTAL",Inventario!B76)),"CR",
IF(OR(ISNUMBER(SEARCH("OPTICO",Inventario!B76)),ISNUMBER(SEARCH("OPTICOS",Inventario!B76)),ISNUMBER(SEARCH("OPTICA",Inventario!B76))),"OP",
IF(ISNUMBER(SEARCH("NANO",Inventario!B76)),"NA",
IF(ISNUMBER(SEARCH("5050",Inventario!B76)),"5050",
IF(ISNUMBER(SEARCH("MICRO",Inventario!B76)),"MI",""))))))</f>
        <v/>
      </c>
      <c r="C77" t="str">
        <f>IF(ISNUMBER(SEARCH("PARED",Inventario!B76)),"PAR",IF(ISNUMBER(SEARCH("MATE",Inventario!B76)),"MAT",
IF(ISNUMBER(SEARCH("FRONT",Inventario!B76)),"FRO",
IF(ISNUMBER(SEARCH("BACK",Inventario!B76)),"BAC",
IF(ISNUMBER(SEARCH("MESH",Inventario!B76)),"MES",
IF(OR(ISNUMBER(SEARCH("BRILLANTE",Inventario!B76)),ISNUMBER(SEARCH("BTE",Inventario!B76))),"BRI",
IF(ISNUMBER(SEARCH("SINTETICA DELGADA",Inventario!B76)),"SD",
IF(ISNUMBER(SEARCH("SINTETICA GRUESA",Inventario!B76)),"SG",
IF(ISNUMBER(SEARCH("ESTATICO",Inventario!B76)),"EST",
IF(ISNUMBER(SEARCH("FLOOR",Inventario!B76)),"FLO",
IF(ISNUMBER(SEARCH("REFLECTIVO",Inventario!B76)),"REF",
IF(ISNUMBER(SEARCH("MICROPERFORADO",Inventario!B76)),"MI",
IF(ISNUMBER(SEARCH("CEPILLADO",Inventario!B76)),"CEP",
IF(ISNUMBER(SEARCH("ESPEJO",Inventario!B76)),"ESP",
IF(OR(ISNUMBER(SEARCH("UNIDIODO",Inventario!B76)),ISNUMBER(SEARCH("1 DIODO",Inventario!B76))),"1D",
IF(ISNUMBER(SEARCH("2 DIODOS",Inventario!B76)),"2D",
IF(ISNUMBER(SEARCH("3 DIODOS",Inventario!B76)),"3D","")))))))))))))))))</f>
        <v/>
      </c>
      <c r="D77" t="str">
        <f>IF(ISNUMBER(SEARCH("LX700",Inventario!B76)),"LX7",
IF(ISNUMBER(SEARCH("GRANDO",Inventario!B76)),"GRA",
IF(OR(ISNUMBER(SEARCH("CAMA PLANA",Inventario!B76)),ISNUMBER(SEARCH("FB700",Inventario!B76))),"CP",
IF(ISNUMBER(SEARCH("LX360",Inventario!B76)),"LX3",
IF(ISNUMBER(SEARCH("XEROX",Inventario!B76)),"XER",
IF(ISNUMBER(SEARCH("18 OZ",Inventario!B76)),"18OZ",
IF(ISNUMBER(SEARCH("15 OZ",Inventario!B76)),"15OZ",
IF(OR(ISNUMBER(SEARCH("13 OZ",Inventario!B76)),ISNUMBER(SEARCH("13 ONZAS",Inventario!B76))),"13OZ",
IF(OR(ISNUMBER(SEARCH("9 OZ",Inventario!B76)),ISNUMBER(SEARCH("9 ONZAS",Inventario!B76))),"09OZ","")))))))))</f>
        <v/>
      </c>
      <c r="E77" t="str">
        <f>IF(OR(ISNUMBER(SEARCH("TRANSPARENTE",Inventario!B76)),ISNUMBER(SEARCH("TRANSPARENTES",Inventario!B76))),"TR",
IF(OR(ISNUMBER(SEARCH("BLANCO",Inventario!B76)),ISNUMBER(SEARCH("BCO",Inventario!B76))),"BL",
IF(ISNUMBER(SEARCH("VERDE",Inventario!B76)),"VR",
IF(ISNUMBER(SEARCH("MORADO",Inventario!B76)),"MR",
IF(ISNUMBER(SEARCH("PLATA",Inventario!B76)),"PL",
IF(ISNUMBER(SEARCH("ORO",Inventario!B76)),"OR",
IF(ISNUMBER(SEARCH("AMARILLO",Inventario!B76)),"AM",
IF(ISNUMBER(SEARCH("NARANJA",Inventario!B76)),"NR",
IF(ISNUMBER(SEARCH("NEGRO",Inventario!B76)),"NG",
IF(ISNUMBER(SEARCH("ROJO",Inventario!B76)),"RJ",
IF(ISNUMBER(SEARCH("AZUL",Inventario!B76)),"AZ","")))))))))))</f>
        <v>BL</v>
      </c>
      <c r="F77" t="str">
        <f>IF(ISNUMBER(SEARCH("1,2 MM",Inventario!B76)),"1MM2",
IF(OR(ISNUMBER(SEARCH("2 MM",Inventario!B76)),ISNUMBER(SEARCH("2MM",Inventario!B76))),"2MM",
IF(OR(ISNUMBER(SEARCH("3 MM",Inventario!B76)),ISNUMBER(SEARCH("3MM",Inventario!B76))),"3MM",
IF(OR(ISNUMBER(SEARCH("4 MM",Inventario!B76)),ISNUMBER(SEARCH("4MM",Inventario!B76)),ISNUMBER(SEARCH("4 mm",Inventario!B76))),"4MM",
IF(OR(ISNUMBER(SEARCH("5 MM",Inventario!B76)),ISNUMBER(SEARCH("5MM",Inventario!B76))),"5MM",
IF(OR(ISNUMBER(SEARCH("6 MM",Inventario!B76)),ISNUMBER(SEARCH("6MM",Inventario!B76))),"6MM",
IF(OR(ISNUMBER(SEARCH("10 MM",Inventario!B76)),ISNUMBER(SEARCH("10MM",Inventario!B76))),"10MM","")))))))</f>
        <v/>
      </c>
      <c r="G77" t="str">
        <f>IF(ISNUMBER(SEARCH("ALTA RESISTENCIA",Inventario!B76)),"AR",IF(ISNUMBER(SEARCH("CAMPAÑA",Inventario!B76)),"CA",
IF(OR(ISNUMBER(SEARCH("CALIDO",Inventario!B76)),ISNUMBER(SEARCH("CÁLIDO",Inventario!B76))),"C",
IF(OR(ISNUMBER(SEARCH("TRASLUCIDO",Inventario!B76)),ISNUMBER(SEARCH("TRANSLUCIDO",Inventario!B76))),"TL",
IF(ISNUMBER(SEARCH("NEUTRO",Inventario!B76)),"N",
IF(ISNUMBER(SEARCH("FRIO",Inventario!B76)),"F",""))))))</f>
        <v>TL</v>
      </c>
      <c r="H77" t="str">
        <f>IF(ISNUMBER(SEARCH("SILED",Inventario!B76)),"SI",
IF(ISNUMBER(SEARCH("SYDEMEX",Inventario!B76)),"SY",
IF(ISNUMBER(SEARCH("ROHS",Inventario!B76)),"RO",
IF(ISNUMBER(SEARCH("RISHANG",Inventario!B76)),"RS",
IF(ISNUMBER(SEARCH("VYG",Inventario!B76)),"VYG",
IF(ISNUMBER(SEARCH("COLED",Inventario!B76)),"CO",""))))))</f>
        <v/>
      </c>
    </row>
    <row r="78" spans="1:8">
      <c r="A78" t="str">
        <f>IF(ISNUMBER(SEARCH("LONA",Inventario!B77)),"LON",
IF(ISNUMBER(SEARCH("VINIL",Inventario!B77)),"VIN",
IF(ISNUMBER(SEARCH("PANEL DE ALUMINIO COMPUESTO",Inventario!B77)),"PAN-ALU-COM",
IF(ISNUMBER(SEARCH("PVC",Inventario!B77)),"PVC",
IF(ISNUMBER(SEARCH("PAPEL",Inventario!B77)),"PAP",
IF(ISNUMBER(SEARCH("TELA",Inventario!B77)),"TEL",
IF(ISNUMBER(SEARCH("CARTULINA",Inventario!B77)),"CAR",
IF(OR(ISNUMBER(SEARCH("LAMINA",Inventario!B77)),ISNUMBER(SEARCH("LÁMINA",Inventario!B77))),"LAM",
IF(ISNUMBER(SEARCH("ESTIRENO",Inventario!B77)),"EST",
IF(ISNUMBER(SEARCH("FOAMBOARD",Inventario!B77)),"FOA",
IF(ISNUMBER(SEARCH("SOLVENTE",Inventario!B77)),"SOL",
IF(ISNUMBER(SEARCH("TINTA",Inventario!B77)),"TIN",
IF(ISNUMBER(SEARCH("ACRILICO",Inventario!B77)),"ACR",
IF(ISNUMBER(SEARCH("LED",Inventario!B77)),"LED",
IF(ISNUMBER(SEARCH("FUENTE",Inventario!B77)),"FUE",
IF(ISNUMBER(SEARCH("PETG",Inventario!B77)),"PET",
IF(ISNUMBER(SEARCH("ALUMINIO",Inventario!B77)),"ALU",
IF(ISNUMBER(SEARCH("CANAL",Inventario!B77)),"CAN",
IF(ISNUMBER(SEARCH("ESCUADRA",Inventario!B77)),"ESC",
IF(ISNUMBER(SEARCH("SOPORTE",Inventario!B77)),"SOP","OTR")
)))))))))))))))))))</f>
        <v>LAM</v>
      </c>
      <c r="B78" t="str">
        <f>IF(ISNUMBER(SEARCH("CORTE",Inventario!B77)),"COR",
IF(ISNUMBER(SEARCH("CRISTAL",Inventario!B77)),"CR",
IF(OR(ISNUMBER(SEARCH("OPTICO",Inventario!B77)),ISNUMBER(SEARCH("OPTICOS",Inventario!B77)),ISNUMBER(SEARCH("OPTICA",Inventario!B77))),"OP",
IF(ISNUMBER(SEARCH("NANO",Inventario!B77)),"NA",
IF(ISNUMBER(SEARCH("5050",Inventario!B77)),"5050",
IF(ISNUMBER(SEARCH("MICRO",Inventario!B77)),"MI",""))))))</f>
        <v/>
      </c>
      <c r="C78" t="str">
        <f>IF(ISNUMBER(SEARCH("PARED",Inventario!B77)),"PAR",IF(ISNUMBER(SEARCH("MATE",Inventario!B77)),"MAT",
IF(ISNUMBER(SEARCH("FRONT",Inventario!B77)),"FRO",
IF(ISNUMBER(SEARCH("BACK",Inventario!B77)),"BAC",
IF(ISNUMBER(SEARCH("MESH",Inventario!B77)),"MES",
IF(OR(ISNUMBER(SEARCH("BRILLANTE",Inventario!B77)),ISNUMBER(SEARCH("BTE",Inventario!B77))),"BRI",
IF(ISNUMBER(SEARCH("SINTETICA DELGADA",Inventario!B77)),"SD",
IF(ISNUMBER(SEARCH("SINTETICA GRUESA",Inventario!B77)),"SG",
IF(ISNUMBER(SEARCH("ESTATICO",Inventario!B77)),"EST",
IF(ISNUMBER(SEARCH("FLOOR",Inventario!B77)),"FLO",
IF(ISNUMBER(SEARCH("REFLECTIVO",Inventario!B77)),"REF",
IF(ISNUMBER(SEARCH("MICROPERFORADO",Inventario!B77)),"MI",
IF(ISNUMBER(SEARCH("CEPILLADO",Inventario!B77)),"CEP",
IF(ISNUMBER(SEARCH("ESPEJO",Inventario!B77)),"ESP",
IF(OR(ISNUMBER(SEARCH("UNIDIODO",Inventario!B77)),ISNUMBER(SEARCH("1 DIODO",Inventario!B77))),"1D",
IF(ISNUMBER(SEARCH("2 DIODOS",Inventario!B77)),"2D",
IF(ISNUMBER(SEARCH("3 DIODOS",Inventario!B77)),"3D","")))))))))))))))))</f>
        <v/>
      </c>
      <c r="D78" t="str">
        <f>IF(ISNUMBER(SEARCH("LX700",Inventario!B77)),"LX7",
IF(ISNUMBER(SEARCH("GRANDO",Inventario!B77)),"GRA",
IF(OR(ISNUMBER(SEARCH("CAMA PLANA",Inventario!B77)),ISNUMBER(SEARCH("FB700",Inventario!B77))),"CP",
IF(ISNUMBER(SEARCH("LX360",Inventario!B77)),"LX3",
IF(ISNUMBER(SEARCH("XEROX",Inventario!B77)),"XER",
IF(ISNUMBER(SEARCH("18 OZ",Inventario!B77)),"18OZ",
IF(ISNUMBER(SEARCH("15 OZ",Inventario!B77)),"15OZ",
IF(OR(ISNUMBER(SEARCH("13 OZ",Inventario!B77)),ISNUMBER(SEARCH("13 ONZAS",Inventario!B77))),"13OZ",
IF(OR(ISNUMBER(SEARCH("9 OZ",Inventario!B77)),ISNUMBER(SEARCH("9 ONZAS",Inventario!B77))),"09OZ","")))))))))</f>
        <v/>
      </c>
      <c r="E78" t="str">
        <f>IF(OR(ISNUMBER(SEARCH("TRANSPARENTE",Inventario!B77)),ISNUMBER(SEARCH("TRANSPARENTES",Inventario!B77))),"TR",
IF(OR(ISNUMBER(SEARCH("BLANCO",Inventario!B77)),ISNUMBER(SEARCH("BCO",Inventario!B77))),"BL",
IF(ISNUMBER(SEARCH("VERDE",Inventario!B77)),"VR",
IF(ISNUMBER(SEARCH("MORADO",Inventario!B77)),"MR",
IF(ISNUMBER(SEARCH("PLATA",Inventario!B77)),"PL",
IF(ISNUMBER(SEARCH("ORO",Inventario!B77)),"OR",
IF(ISNUMBER(SEARCH("AMARILLO",Inventario!B77)),"AM",
IF(ISNUMBER(SEARCH("NARANJA",Inventario!B77)),"NR",
IF(ISNUMBER(SEARCH("NEGRO",Inventario!B77)),"NG",
IF(ISNUMBER(SEARCH("ROJO",Inventario!B77)),"RJ",
IF(ISNUMBER(SEARCH("AZUL",Inventario!B77)),"AZ","")))))))))))</f>
        <v/>
      </c>
      <c r="F78" t="str">
        <f>IF(ISNUMBER(SEARCH("1,2 MM",Inventario!B77)),"1MM2",
IF(OR(ISNUMBER(SEARCH("2 MM",Inventario!B77)),ISNUMBER(SEARCH("2MM",Inventario!B77))),"2MM",
IF(OR(ISNUMBER(SEARCH("3 MM",Inventario!B77)),ISNUMBER(SEARCH("3MM",Inventario!B77))),"3MM",
IF(OR(ISNUMBER(SEARCH("4 MM",Inventario!B77)),ISNUMBER(SEARCH("4MM",Inventario!B77)),ISNUMBER(SEARCH("4 mm",Inventario!B77))),"4MM",
IF(OR(ISNUMBER(SEARCH("5 MM",Inventario!B77)),ISNUMBER(SEARCH("5MM",Inventario!B77))),"5MM",
IF(OR(ISNUMBER(SEARCH("6 MM",Inventario!B77)),ISNUMBER(SEARCH("6MM",Inventario!B77))),"6MM",
IF(OR(ISNUMBER(SEARCH("10 MM",Inventario!B77)),ISNUMBER(SEARCH("10MM",Inventario!B77))),"10MM","")))))))</f>
        <v/>
      </c>
      <c r="G78" t="str">
        <f>IF(ISNUMBER(SEARCH("ALTA RESISTENCIA",Inventario!B77)),"AR",IF(ISNUMBER(SEARCH("CAMPAÑA",Inventario!B77)),"CA",
IF(OR(ISNUMBER(SEARCH("CALIDO",Inventario!B77)),ISNUMBER(SEARCH("CÁLIDO",Inventario!B77))),"C",
IF(OR(ISNUMBER(SEARCH("TRASLUCIDO",Inventario!B77)),ISNUMBER(SEARCH("TRANSLUCIDO",Inventario!B77))),"TL",
IF(ISNUMBER(SEARCH("NEUTRO",Inventario!B77)),"N",
IF(ISNUMBER(SEARCH("FRIO",Inventario!B77)),"F",""))))))</f>
        <v/>
      </c>
      <c r="H78" t="str">
        <f>IF(ISNUMBER(SEARCH("SILED",Inventario!B77)),"SI",
IF(ISNUMBER(SEARCH("SYDEMEX",Inventario!B77)),"SY",
IF(ISNUMBER(SEARCH("ROHS",Inventario!B77)),"RO",
IF(ISNUMBER(SEARCH("RISHANG",Inventario!B77)),"RS",
IF(ISNUMBER(SEARCH("VYG",Inventario!B77)),"VYG",
IF(ISNUMBER(SEARCH("COLED",Inventario!B77)),"CO",""))))))</f>
        <v/>
      </c>
    </row>
    <row r="79" spans="1:8">
      <c r="A79" t="str">
        <f>IF(ISNUMBER(SEARCH("LONA",Inventario!B78)),"LON",
IF(ISNUMBER(SEARCH("VINIL",Inventario!B78)),"VIN",
IF(ISNUMBER(SEARCH("PANEL DE ALUMINIO COMPUESTO",Inventario!B78)),"PAN-ALU-COM",
IF(ISNUMBER(SEARCH("PVC",Inventario!B78)),"PVC",
IF(ISNUMBER(SEARCH("PAPEL",Inventario!B78)),"PAP",
IF(ISNUMBER(SEARCH("TELA",Inventario!B78)),"TEL",
IF(ISNUMBER(SEARCH("CARTULINA",Inventario!B78)),"CAR",
IF(OR(ISNUMBER(SEARCH("LAMINA",Inventario!B78)),ISNUMBER(SEARCH("LÁMINA",Inventario!B78))),"LAM",
IF(ISNUMBER(SEARCH("ESTIRENO",Inventario!B78)),"EST",
IF(ISNUMBER(SEARCH("FOAMBOARD",Inventario!B78)),"FOA",
IF(ISNUMBER(SEARCH("SOLVENTE",Inventario!B78)),"SOL",
IF(ISNUMBER(SEARCH("TINTA",Inventario!B78)),"TIN",
IF(ISNUMBER(SEARCH("ACRILICO",Inventario!B78)),"ACR",
IF(ISNUMBER(SEARCH("LED",Inventario!B78)),"LED",
IF(ISNUMBER(SEARCH("FUENTE",Inventario!B78)),"FUE",
IF(ISNUMBER(SEARCH("PETG",Inventario!B78)),"PET",
IF(ISNUMBER(SEARCH("ALUMINIO",Inventario!B78)),"ALU",
IF(ISNUMBER(SEARCH("CANAL",Inventario!B78)),"CAN",
IF(ISNUMBER(SEARCH("ESCUADRA",Inventario!B78)),"ESC",
IF(ISNUMBER(SEARCH("SOPORTE",Inventario!B78)),"SOP","OTR")
)))))))))))))))))))</f>
        <v>LAM</v>
      </c>
      <c r="B79" t="str">
        <f>IF(ISNUMBER(SEARCH("CORTE",Inventario!B78)),"COR",
IF(ISNUMBER(SEARCH("CRISTAL",Inventario!B78)),"CR",
IF(OR(ISNUMBER(SEARCH("OPTICO",Inventario!B78)),ISNUMBER(SEARCH("OPTICOS",Inventario!B78)),ISNUMBER(SEARCH("OPTICA",Inventario!B78))),"OP",
IF(ISNUMBER(SEARCH("NANO",Inventario!B78)),"NA",
IF(ISNUMBER(SEARCH("5050",Inventario!B78)),"5050",
IF(ISNUMBER(SEARCH("MICRO",Inventario!B78)),"MI",""))))))</f>
        <v/>
      </c>
      <c r="C79" t="str">
        <f>IF(ISNUMBER(SEARCH("PARED",Inventario!B78)),"PAR",IF(ISNUMBER(SEARCH("MATE",Inventario!B78)),"MAT",
IF(ISNUMBER(SEARCH("FRONT",Inventario!B78)),"FRO",
IF(ISNUMBER(SEARCH("BACK",Inventario!B78)),"BAC",
IF(ISNUMBER(SEARCH("MESH",Inventario!B78)),"MES",
IF(OR(ISNUMBER(SEARCH("BRILLANTE",Inventario!B78)),ISNUMBER(SEARCH("BTE",Inventario!B78))),"BRI",
IF(ISNUMBER(SEARCH("SINTETICA DELGADA",Inventario!B78)),"SD",
IF(ISNUMBER(SEARCH("SINTETICA GRUESA",Inventario!B78)),"SG",
IF(ISNUMBER(SEARCH("ESTATICO",Inventario!B78)),"EST",
IF(ISNUMBER(SEARCH("FLOOR",Inventario!B78)),"FLO",
IF(ISNUMBER(SEARCH("REFLECTIVO",Inventario!B78)),"REF",
IF(ISNUMBER(SEARCH("MICROPERFORADO",Inventario!B78)),"MI",
IF(ISNUMBER(SEARCH("CEPILLADO",Inventario!B78)),"CEP",
IF(ISNUMBER(SEARCH("ESPEJO",Inventario!B78)),"ESP",
IF(OR(ISNUMBER(SEARCH("UNIDIODO",Inventario!B78)),ISNUMBER(SEARCH("1 DIODO",Inventario!B78))),"1D",
IF(ISNUMBER(SEARCH("2 DIODOS",Inventario!B78)),"2D",
IF(ISNUMBER(SEARCH("3 DIODOS",Inventario!B78)),"3D","")))))))))))))))))</f>
        <v>BRI</v>
      </c>
      <c r="D79" t="str">
        <f>IF(ISNUMBER(SEARCH("LX700",Inventario!B78)),"LX7",
IF(ISNUMBER(SEARCH("GRANDO",Inventario!B78)),"GRA",
IF(OR(ISNUMBER(SEARCH("CAMA PLANA",Inventario!B78)),ISNUMBER(SEARCH("FB700",Inventario!B78))),"CP",
IF(ISNUMBER(SEARCH("LX360",Inventario!B78)),"LX3",
IF(ISNUMBER(SEARCH("XEROX",Inventario!B78)),"XER",
IF(ISNUMBER(SEARCH("18 OZ",Inventario!B78)),"18OZ",
IF(ISNUMBER(SEARCH("15 OZ",Inventario!B78)),"15OZ",
IF(OR(ISNUMBER(SEARCH("13 OZ",Inventario!B78)),ISNUMBER(SEARCH("13 ONZAS",Inventario!B78))),"13OZ",
IF(OR(ISNUMBER(SEARCH("9 OZ",Inventario!B78)),ISNUMBER(SEARCH("9 ONZAS",Inventario!B78))),"09OZ","")))))))))</f>
        <v/>
      </c>
      <c r="E79" t="str">
        <f>IF(OR(ISNUMBER(SEARCH("TRANSPARENTE",Inventario!B78)),ISNUMBER(SEARCH("TRANSPARENTES",Inventario!B78))),"TR",
IF(OR(ISNUMBER(SEARCH("BLANCO",Inventario!B78)),ISNUMBER(SEARCH("BCO",Inventario!B78))),"BL",
IF(ISNUMBER(SEARCH("VERDE",Inventario!B78)),"VR",
IF(ISNUMBER(SEARCH("MORADO",Inventario!B78)),"MR",
IF(ISNUMBER(SEARCH("PLATA",Inventario!B78)),"PL",
IF(ISNUMBER(SEARCH("ORO",Inventario!B78)),"OR",
IF(ISNUMBER(SEARCH("AMARILLO",Inventario!B78)),"AM",
IF(ISNUMBER(SEARCH("NARANJA",Inventario!B78)),"NR",
IF(ISNUMBER(SEARCH("NEGRO",Inventario!B78)),"NG",
IF(ISNUMBER(SEARCH("ROJO",Inventario!B78)),"RJ",
IF(ISNUMBER(SEARCH("AZUL",Inventario!B78)),"AZ","")))))))))))</f>
        <v/>
      </c>
      <c r="F79" t="str">
        <f>IF(ISNUMBER(SEARCH("1,2 MM",Inventario!B78)),"1MM2",
IF(OR(ISNUMBER(SEARCH("2 MM",Inventario!B78)),ISNUMBER(SEARCH("2MM",Inventario!B78))),"2MM",
IF(OR(ISNUMBER(SEARCH("3 MM",Inventario!B78)),ISNUMBER(SEARCH("3MM",Inventario!B78))),"3MM",
IF(OR(ISNUMBER(SEARCH("4 MM",Inventario!B78)),ISNUMBER(SEARCH("4MM",Inventario!B78)),ISNUMBER(SEARCH("4 mm",Inventario!B78))),"4MM",
IF(OR(ISNUMBER(SEARCH("5 MM",Inventario!B78)),ISNUMBER(SEARCH("5MM",Inventario!B78))),"5MM",
IF(OR(ISNUMBER(SEARCH("6 MM",Inventario!B78)),ISNUMBER(SEARCH("6MM",Inventario!B78))),"6MM",
IF(OR(ISNUMBER(SEARCH("10 MM",Inventario!B78)),ISNUMBER(SEARCH("10MM",Inventario!B78))),"10MM","")))))))</f>
        <v/>
      </c>
      <c r="G79" t="str">
        <f>IF(ISNUMBER(SEARCH("ALTA RESISTENCIA",Inventario!B78)),"AR",IF(ISNUMBER(SEARCH("CAMPAÑA",Inventario!B78)),"CA",
IF(OR(ISNUMBER(SEARCH("CALIDO",Inventario!B78)),ISNUMBER(SEARCH("CÁLIDO",Inventario!B78))),"C",
IF(OR(ISNUMBER(SEARCH("TRASLUCIDO",Inventario!B78)),ISNUMBER(SEARCH("TRANSLUCIDO",Inventario!B78))),"TL",
IF(ISNUMBER(SEARCH("NEUTRO",Inventario!B78)),"N",
IF(ISNUMBER(SEARCH("FRIO",Inventario!B78)),"F",""))))))</f>
        <v/>
      </c>
      <c r="H79" t="str">
        <f>IF(ISNUMBER(SEARCH("SILED",Inventario!B78)),"SI",
IF(ISNUMBER(SEARCH("SYDEMEX",Inventario!B78)),"SY",
IF(ISNUMBER(SEARCH("ROHS",Inventario!B78)),"RO",
IF(ISNUMBER(SEARCH("RISHANG",Inventario!B78)),"RS",
IF(ISNUMBER(SEARCH("VYG",Inventario!B78)),"VYG",
IF(ISNUMBER(SEARCH("COLED",Inventario!B78)),"CO",""))))))</f>
        <v/>
      </c>
    </row>
    <row r="80" spans="1:8">
      <c r="A80" t="str">
        <f>IF(ISNUMBER(SEARCH("LONA",Inventario!B79)),"LON",
IF(ISNUMBER(SEARCH("VINIL",Inventario!B79)),"VIN",
IF(ISNUMBER(SEARCH("PANEL DE ALUMINIO COMPUESTO",Inventario!B79)),"PAN-ALU-COM",
IF(ISNUMBER(SEARCH("PVC",Inventario!B79)),"PVC",
IF(ISNUMBER(SEARCH("PAPEL",Inventario!B79)),"PAP",
IF(ISNUMBER(SEARCH("TELA",Inventario!B79)),"TEL",
IF(ISNUMBER(SEARCH("CARTULINA",Inventario!B79)),"CAR",
IF(OR(ISNUMBER(SEARCH("LAMINA",Inventario!B79)),ISNUMBER(SEARCH("LÁMINA",Inventario!B79))),"LAM",
IF(ISNUMBER(SEARCH("ESTIRENO",Inventario!B79)),"EST",
IF(ISNUMBER(SEARCH("FOAMBOARD",Inventario!B79)),"FOA",
IF(ISNUMBER(SEARCH("SOLVENTE",Inventario!B79)),"SOL",
IF(ISNUMBER(SEARCH("TINTA",Inventario!B79)),"TIN",
IF(ISNUMBER(SEARCH("ACRILICO",Inventario!B79)),"ACR",
IF(ISNUMBER(SEARCH("LED",Inventario!B79)),"LED",
IF(ISNUMBER(SEARCH("FUENTE",Inventario!B79)),"FUE",
IF(ISNUMBER(SEARCH("PETG",Inventario!B79)),"PET",
IF(ISNUMBER(SEARCH("ALUMINIO",Inventario!B79)),"ALU",
IF(ISNUMBER(SEARCH("CANAL",Inventario!B79)),"CAN",
IF(ISNUMBER(SEARCH("ESCUADRA",Inventario!B79)),"ESC",
IF(ISNUMBER(SEARCH("SOPORTE",Inventario!B79)),"SOP","OTR")
)))))))))))))))))))</f>
        <v>PVC</v>
      </c>
      <c r="B80" t="str">
        <f>IF(ISNUMBER(SEARCH("CORTE",Inventario!B79)),"COR",
IF(ISNUMBER(SEARCH("CRISTAL",Inventario!B79)),"CR",
IF(OR(ISNUMBER(SEARCH("OPTICO",Inventario!B79)),ISNUMBER(SEARCH("OPTICOS",Inventario!B79)),ISNUMBER(SEARCH("OPTICA",Inventario!B79))),"OP",
IF(ISNUMBER(SEARCH("NANO",Inventario!B79)),"NA",
IF(ISNUMBER(SEARCH("5050",Inventario!B79)),"5050",
IF(ISNUMBER(SEARCH("MICRO",Inventario!B79)),"MI",""))))))</f>
        <v/>
      </c>
      <c r="C80" t="str">
        <f>IF(ISNUMBER(SEARCH("PARED",Inventario!B79)),"PAR",IF(ISNUMBER(SEARCH("MATE",Inventario!B79)),"MAT",
IF(ISNUMBER(SEARCH("FRONT",Inventario!B79)),"FRO",
IF(ISNUMBER(SEARCH("BACK",Inventario!B79)),"BAC",
IF(ISNUMBER(SEARCH("MESH",Inventario!B79)),"MES",
IF(OR(ISNUMBER(SEARCH("BRILLANTE",Inventario!B79)),ISNUMBER(SEARCH("BTE",Inventario!B79))),"BRI",
IF(ISNUMBER(SEARCH("SINTETICA DELGADA",Inventario!B79)),"SD",
IF(ISNUMBER(SEARCH("SINTETICA GRUESA",Inventario!B79)),"SG",
IF(ISNUMBER(SEARCH("ESTATICO",Inventario!B79)),"EST",
IF(ISNUMBER(SEARCH("FLOOR",Inventario!B79)),"FLO",
IF(ISNUMBER(SEARCH("REFLECTIVO",Inventario!B79)),"REF",
IF(ISNUMBER(SEARCH("MICROPERFORADO",Inventario!B79)),"MI",
IF(ISNUMBER(SEARCH("CEPILLADO",Inventario!B79)),"CEP",
IF(ISNUMBER(SEARCH("ESPEJO",Inventario!B79)),"ESP",
IF(OR(ISNUMBER(SEARCH("UNIDIODO",Inventario!B79)),ISNUMBER(SEARCH("1 DIODO",Inventario!B79))),"1D",
IF(ISNUMBER(SEARCH("2 DIODOS",Inventario!B79)),"2D",
IF(ISNUMBER(SEARCH("3 DIODOS",Inventario!B79)),"3D","")))))))))))))))))</f>
        <v/>
      </c>
      <c r="D80" t="str">
        <f>IF(ISNUMBER(SEARCH("LX700",Inventario!B79)),"LX7",
IF(ISNUMBER(SEARCH("GRANDO",Inventario!B79)),"GRA",
IF(OR(ISNUMBER(SEARCH("CAMA PLANA",Inventario!B79)),ISNUMBER(SEARCH("FB700",Inventario!B79))),"CP",
IF(ISNUMBER(SEARCH("LX360",Inventario!B79)),"LX3",
IF(ISNUMBER(SEARCH("XEROX",Inventario!B79)),"XER",
IF(ISNUMBER(SEARCH("18 OZ",Inventario!B79)),"18OZ",
IF(ISNUMBER(SEARCH("15 OZ",Inventario!B79)),"15OZ",
IF(OR(ISNUMBER(SEARCH("13 OZ",Inventario!B79)),ISNUMBER(SEARCH("13 ONZAS",Inventario!B79))),"13OZ",
IF(OR(ISNUMBER(SEARCH("9 OZ",Inventario!B79)),ISNUMBER(SEARCH("9 ONZAS",Inventario!B79))),"09OZ","")))))))))</f>
        <v/>
      </c>
      <c r="E80" t="str">
        <f>IF(OR(ISNUMBER(SEARCH("TRANSPARENTE",Inventario!B79)),ISNUMBER(SEARCH("TRANSPARENTES",Inventario!B79))),"TR",
IF(OR(ISNUMBER(SEARCH("BLANCO",Inventario!B79)),ISNUMBER(SEARCH("BCO",Inventario!B79))),"BL",
IF(ISNUMBER(SEARCH("VERDE",Inventario!B79)),"VR",
IF(ISNUMBER(SEARCH("MORADO",Inventario!B79)),"MR",
IF(ISNUMBER(SEARCH("PLATA",Inventario!B79)),"PL",
IF(ISNUMBER(SEARCH("ORO",Inventario!B79)),"OR",
IF(ISNUMBER(SEARCH("AMARILLO",Inventario!B79)),"AM",
IF(ISNUMBER(SEARCH("NARANJA",Inventario!B79)),"NR",
IF(ISNUMBER(SEARCH("NEGRO",Inventario!B79)),"NG",
IF(ISNUMBER(SEARCH("ROJO",Inventario!B79)),"RJ",
IF(ISNUMBER(SEARCH("AZUL",Inventario!B79)),"AZ","")))))))))))</f>
        <v>BL</v>
      </c>
      <c r="F80" t="str">
        <f>IF(ISNUMBER(SEARCH("1,2 MM",Inventario!B79)),"1MM2",
IF(OR(ISNUMBER(SEARCH("2 MM",Inventario!B79)),ISNUMBER(SEARCH("2MM",Inventario!B79))),"2MM",
IF(OR(ISNUMBER(SEARCH("3 MM",Inventario!B79)),ISNUMBER(SEARCH("3MM",Inventario!B79))),"3MM",
IF(OR(ISNUMBER(SEARCH("4 MM",Inventario!B79)),ISNUMBER(SEARCH("4MM",Inventario!B79)),ISNUMBER(SEARCH("4 mm",Inventario!B79))),"4MM",
IF(OR(ISNUMBER(SEARCH("5 MM",Inventario!B79)),ISNUMBER(SEARCH("5MM",Inventario!B79))),"5MM",
IF(OR(ISNUMBER(SEARCH("6 MM",Inventario!B79)),ISNUMBER(SEARCH("6MM",Inventario!B79))),"6MM",
IF(OR(ISNUMBER(SEARCH("10 MM",Inventario!B79)),ISNUMBER(SEARCH("10MM",Inventario!B79))),"10MM","")))))))</f>
        <v>3MM</v>
      </c>
      <c r="G80" t="str">
        <f>IF(ISNUMBER(SEARCH("ALTA RESISTENCIA",Inventario!B79)),"AR",IF(ISNUMBER(SEARCH("CAMPAÑA",Inventario!B79)),"CA",
IF(OR(ISNUMBER(SEARCH("CALIDO",Inventario!B79)),ISNUMBER(SEARCH("CÁLIDO",Inventario!B79))),"C",
IF(OR(ISNUMBER(SEARCH("TRASLUCIDO",Inventario!B79)),ISNUMBER(SEARCH("TRANSLUCIDO",Inventario!B79))),"TL",
IF(ISNUMBER(SEARCH("NEUTRO",Inventario!B79)),"N",
IF(ISNUMBER(SEARCH("FRIO",Inventario!B79)),"F",""))))))</f>
        <v/>
      </c>
      <c r="H80" t="str">
        <f>IF(ISNUMBER(SEARCH("SILED",Inventario!B79)),"SI",
IF(ISNUMBER(SEARCH("SYDEMEX",Inventario!B79)),"SY",
IF(ISNUMBER(SEARCH("ROHS",Inventario!B79)),"RO",
IF(ISNUMBER(SEARCH("RISHANG",Inventario!B79)),"RS",
IF(ISNUMBER(SEARCH("VYG",Inventario!B79)),"VYG",
IF(ISNUMBER(SEARCH("COLED",Inventario!B79)),"CO",""))))))</f>
        <v/>
      </c>
    </row>
    <row r="81" spans="1:8">
      <c r="A81" t="str">
        <f>IF(ISNUMBER(SEARCH("LONA",Inventario!B80)),"LON",
IF(ISNUMBER(SEARCH("VINIL",Inventario!B80)),"VIN",
IF(ISNUMBER(SEARCH("PANEL DE ALUMINIO COMPUESTO",Inventario!B80)),"PAN-ALU-COM",
IF(ISNUMBER(SEARCH("PVC",Inventario!B80)),"PVC",
IF(ISNUMBER(SEARCH("PAPEL",Inventario!B80)),"PAP",
IF(ISNUMBER(SEARCH("TELA",Inventario!B80)),"TEL",
IF(ISNUMBER(SEARCH("CARTULINA",Inventario!B80)),"CAR",
IF(OR(ISNUMBER(SEARCH("LAMINA",Inventario!B80)),ISNUMBER(SEARCH("LÁMINA",Inventario!B80))),"LAM",
IF(ISNUMBER(SEARCH("ESTIRENO",Inventario!B80)),"EST",
IF(ISNUMBER(SEARCH("FOAMBOARD",Inventario!B80)),"FOA",
IF(ISNUMBER(SEARCH("SOLVENTE",Inventario!B80)),"SOL",
IF(ISNUMBER(SEARCH("TINTA",Inventario!B80)),"TIN",
IF(ISNUMBER(SEARCH("ACRILICO",Inventario!B80)),"ACR",
IF(ISNUMBER(SEARCH("LED",Inventario!B80)),"LED",
IF(ISNUMBER(SEARCH("FUENTE",Inventario!B80)),"FUE",
IF(ISNUMBER(SEARCH("PETG",Inventario!B80)),"PET",
IF(ISNUMBER(SEARCH("ALUMINIO",Inventario!B80)),"ALU",
IF(ISNUMBER(SEARCH("CANAL",Inventario!B80)),"CAN",
IF(ISNUMBER(SEARCH("ESCUADRA",Inventario!B80)),"ESC",
IF(ISNUMBER(SEARCH("SOPORTE",Inventario!B80)),"SOP","OTR")
)))))))))))))))))))</f>
        <v>PVC</v>
      </c>
      <c r="B81" t="str">
        <f>IF(ISNUMBER(SEARCH("CORTE",Inventario!B80)),"COR",
IF(ISNUMBER(SEARCH("CRISTAL",Inventario!B80)),"CR",
IF(OR(ISNUMBER(SEARCH("OPTICO",Inventario!B80)),ISNUMBER(SEARCH("OPTICOS",Inventario!B80)),ISNUMBER(SEARCH("OPTICA",Inventario!B80))),"OP",
IF(ISNUMBER(SEARCH("NANO",Inventario!B80)),"NA",
IF(ISNUMBER(SEARCH("5050",Inventario!B80)),"5050",
IF(ISNUMBER(SEARCH("MICRO",Inventario!B80)),"MI",""))))))</f>
        <v/>
      </c>
      <c r="C81" t="str">
        <f>IF(ISNUMBER(SEARCH("PARED",Inventario!B80)),"PAR",IF(ISNUMBER(SEARCH("MATE",Inventario!B80)),"MAT",
IF(ISNUMBER(SEARCH("FRONT",Inventario!B80)),"FRO",
IF(ISNUMBER(SEARCH("BACK",Inventario!B80)),"BAC",
IF(ISNUMBER(SEARCH("MESH",Inventario!B80)),"MES",
IF(OR(ISNUMBER(SEARCH("BRILLANTE",Inventario!B80)),ISNUMBER(SEARCH("BTE",Inventario!B80))),"BRI",
IF(ISNUMBER(SEARCH("SINTETICA DELGADA",Inventario!B80)),"SD",
IF(ISNUMBER(SEARCH("SINTETICA GRUESA",Inventario!B80)),"SG",
IF(ISNUMBER(SEARCH("ESTATICO",Inventario!B80)),"EST",
IF(ISNUMBER(SEARCH("FLOOR",Inventario!B80)),"FLO",
IF(ISNUMBER(SEARCH("REFLECTIVO",Inventario!B80)),"REF",
IF(ISNUMBER(SEARCH("MICROPERFORADO",Inventario!B80)),"MI",
IF(ISNUMBER(SEARCH("CEPILLADO",Inventario!B80)),"CEP",
IF(ISNUMBER(SEARCH("ESPEJO",Inventario!B80)),"ESP",
IF(OR(ISNUMBER(SEARCH("UNIDIODO",Inventario!B80)),ISNUMBER(SEARCH("1 DIODO",Inventario!B80))),"1D",
IF(ISNUMBER(SEARCH("2 DIODOS",Inventario!B80)),"2D",
IF(ISNUMBER(SEARCH("3 DIODOS",Inventario!B80)),"3D","")))))))))))))))))</f>
        <v/>
      </c>
      <c r="D81" t="str">
        <f>IF(ISNUMBER(SEARCH("LX700",Inventario!B80)),"LX7",
IF(ISNUMBER(SEARCH("GRANDO",Inventario!B80)),"GRA",
IF(OR(ISNUMBER(SEARCH("CAMA PLANA",Inventario!B80)),ISNUMBER(SEARCH("FB700",Inventario!B80))),"CP",
IF(ISNUMBER(SEARCH("LX360",Inventario!B80)),"LX3",
IF(ISNUMBER(SEARCH("XEROX",Inventario!B80)),"XER",
IF(ISNUMBER(SEARCH("18 OZ",Inventario!B80)),"18OZ",
IF(ISNUMBER(SEARCH("15 OZ",Inventario!B80)),"15OZ",
IF(OR(ISNUMBER(SEARCH("13 OZ",Inventario!B80)),ISNUMBER(SEARCH("13 ONZAS",Inventario!B80))),"13OZ",
IF(OR(ISNUMBER(SEARCH("9 OZ",Inventario!B80)),ISNUMBER(SEARCH("9 ONZAS",Inventario!B80))),"09OZ","")))))))))</f>
        <v/>
      </c>
      <c r="E81" t="str">
        <f>IF(OR(ISNUMBER(SEARCH("TRANSPARENTE",Inventario!B80)),ISNUMBER(SEARCH("TRANSPARENTES",Inventario!B80))),"TR",
IF(OR(ISNUMBER(SEARCH("BLANCO",Inventario!B80)),ISNUMBER(SEARCH("BCO",Inventario!B80))),"BL",
IF(ISNUMBER(SEARCH("VERDE",Inventario!B80)),"VR",
IF(ISNUMBER(SEARCH("MORADO",Inventario!B80)),"MR",
IF(ISNUMBER(SEARCH("PLATA",Inventario!B80)),"PL",
IF(ISNUMBER(SEARCH("ORO",Inventario!B80)),"OR",
IF(ISNUMBER(SEARCH("AMARILLO",Inventario!B80)),"AM",
IF(ISNUMBER(SEARCH("NARANJA",Inventario!B80)),"NR",
IF(ISNUMBER(SEARCH("NEGRO",Inventario!B80)),"NG",
IF(ISNUMBER(SEARCH("ROJO",Inventario!B80)),"RJ",
IF(ISNUMBER(SEARCH("AZUL",Inventario!B80)),"AZ","")))))))))))</f>
        <v>BL</v>
      </c>
      <c r="F81" t="str">
        <f>IF(ISNUMBER(SEARCH("1,2 MM",Inventario!B80)),"1MM2",
IF(OR(ISNUMBER(SEARCH("2 MM",Inventario!B80)),ISNUMBER(SEARCH("2MM",Inventario!B80))),"2MM",
IF(OR(ISNUMBER(SEARCH("3 MM",Inventario!B80)),ISNUMBER(SEARCH("3MM",Inventario!B80))),"3MM",
IF(OR(ISNUMBER(SEARCH("4 MM",Inventario!B80)),ISNUMBER(SEARCH("4MM",Inventario!B80)),ISNUMBER(SEARCH("4 mm",Inventario!B80))),"4MM",
IF(OR(ISNUMBER(SEARCH("5 MM",Inventario!B80)),ISNUMBER(SEARCH("5MM",Inventario!B80))),"5MM",
IF(OR(ISNUMBER(SEARCH("6 MM",Inventario!B80)),ISNUMBER(SEARCH("6MM",Inventario!B80))),"6MM",
IF(OR(ISNUMBER(SEARCH("10 MM",Inventario!B80)),ISNUMBER(SEARCH("10MM",Inventario!B80))),"10MM","")))))))</f>
        <v>3MM</v>
      </c>
      <c r="G81" t="str">
        <f>IF(ISNUMBER(SEARCH("ALTA RESISTENCIA",Inventario!B80)),"AR",IF(ISNUMBER(SEARCH("CAMPAÑA",Inventario!B80)),"CA",
IF(OR(ISNUMBER(SEARCH("CALIDO",Inventario!B80)),ISNUMBER(SEARCH("CÁLIDO",Inventario!B80))),"C",
IF(OR(ISNUMBER(SEARCH("TRASLUCIDO",Inventario!B80)),ISNUMBER(SEARCH("TRANSLUCIDO",Inventario!B80))),"TL",
IF(ISNUMBER(SEARCH("NEUTRO",Inventario!B80)),"N",
IF(ISNUMBER(SEARCH("FRIO",Inventario!B80)),"F",""))))))</f>
        <v/>
      </c>
      <c r="H81" t="str">
        <f>IF(ISNUMBER(SEARCH("SILED",Inventario!B80)),"SI",
IF(ISNUMBER(SEARCH("SYDEMEX",Inventario!B80)),"SY",
IF(ISNUMBER(SEARCH("ROHS",Inventario!B80)),"RO",
IF(ISNUMBER(SEARCH("RISHANG",Inventario!B80)),"RS",
IF(ISNUMBER(SEARCH("VYG",Inventario!B80)),"VYG",
IF(ISNUMBER(SEARCH("COLED",Inventario!B80)),"CO",""))))))</f>
        <v/>
      </c>
    </row>
    <row r="82" spans="1:8">
      <c r="A82" t="str">
        <f>IF(ISNUMBER(SEARCH("LONA",Inventario!B81)),"LON",
IF(ISNUMBER(SEARCH("VINIL",Inventario!B81)),"VIN",
IF(ISNUMBER(SEARCH("PANEL DE ALUMINIO COMPUESTO",Inventario!B81)),"PAN-ALU-COM",
IF(ISNUMBER(SEARCH("PVC",Inventario!B81)),"PVC",
IF(ISNUMBER(SEARCH("PAPEL",Inventario!B81)),"PAP",
IF(ISNUMBER(SEARCH("TELA",Inventario!B81)),"TEL",
IF(ISNUMBER(SEARCH("CARTULINA",Inventario!B81)),"CAR",
IF(OR(ISNUMBER(SEARCH("LAMINA",Inventario!B81)),ISNUMBER(SEARCH("LÁMINA",Inventario!B81))),"LAM",
IF(ISNUMBER(SEARCH("ESTIRENO",Inventario!B81)),"EST",
IF(ISNUMBER(SEARCH("FOAMBOARD",Inventario!B81)),"FOA",
IF(ISNUMBER(SEARCH("SOLVENTE",Inventario!B81)),"SOL",
IF(ISNUMBER(SEARCH("TINTA",Inventario!B81)),"TIN",
IF(ISNUMBER(SEARCH("ACRILICO",Inventario!B81)),"ACR",
IF(ISNUMBER(SEARCH("LED",Inventario!B81)),"LED",
IF(ISNUMBER(SEARCH("FUENTE",Inventario!B81)),"FUE",
IF(ISNUMBER(SEARCH("PETG",Inventario!B81)),"PET",
IF(ISNUMBER(SEARCH("ALUMINIO",Inventario!B81)),"ALU",
IF(ISNUMBER(SEARCH("CANAL",Inventario!B81)),"CAN",
IF(ISNUMBER(SEARCH("ESCUADRA",Inventario!B81)),"ESC",
IF(ISNUMBER(SEARCH("SOPORTE",Inventario!B81)),"SOP","OTR")
)))))))))))))))))))</f>
        <v>PVC</v>
      </c>
      <c r="B82" t="str">
        <f>IF(ISNUMBER(SEARCH("CORTE",Inventario!B81)),"COR",
IF(ISNUMBER(SEARCH("CRISTAL",Inventario!B81)),"CR",
IF(OR(ISNUMBER(SEARCH("OPTICO",Inventario!B81)),ISNUMBER(SEARCH("OPTICOS",Inventario!B81)),ISNUMBER(SEARCH("OPTICA",Inventario!B81))),"OP",
IF(ISNUMBER(SEARCH("NANO",Inventario!B81)),"NA",
IF(ISNUMBER(SEARCH("5050",Inventario!B81)),"5050",
IF(ISNUMBER(SEARCH("MICRO",Inventario!B81)),"MI",""))))))</f>
        <v/>
      </c>
      <c r="C82" t="str">
        <f>IF(ISNUMBER(SEARCH("PARED",Inventario!B81)),"PAR",IF(ISNUMBER(SEARCH("MATE",Inventario!B81)),"MAT",
IF(ISNUMBER(SEARCH("FRONT",Inventario!B81)),"FRO",
IF(ISNUMBER(SEARCH("BACK",Inventario!B81)),"BAC",
IF(ISNUMBER(SEARCH("MESH",Inventario!B81)),"MES",
IF(OR(ISNUMBER(SEARCH("BRILLANTE",Inventario!B81)),ISNUMBER(SEARCH("BTE",Inventario!B81))),"BRI",
IF(ISNUMBER(SEARCH("SINTETICA DELGADA",Inventario!B81)),"SD",
IF(ISNUMBER(SEARCH("SINTETICA GRUESA",Inventario!B81)),"SG",
IF(ISNUMBER(SEARCH("ESTATICO",Inventario!B81)),"EST",
IF(ISNUMBER(SEARCH("FLOOR",Inventario!B81)),"FLO",
IF(ISNUMBER(SEARCH("REFLECTIVO",Inventario!B81)),"REF",
IF(ISNUMBER(SEARCH("MICROPERFORADO",Inventario!B81)),"MI",
IF(ISNUMBER(SEARCH("CEPILLADO",Inventario!B81)),"CEP",
IF(ISNUMBER(SEARCH("ESPEJO",Inventario!B81)),"ESP",
IF(OR(ISNUMBER(SEARCH("UNIDIODO",Inventario!B81)),ISNUMBER(SEARCH("1 DIODO",Inventario!B81))),"1D",
IF(ISNUMBER(SEARCH("2 DIODOS",Inventario!B81)),"2D",
IF(ISNUMBER(SEARCH("3 DIODOS",Inventario!B81)),"3D","")))))))))))))))))</f>
        <v/>
      </c>
      <c r="D82" t="str">
        <f>IF(ISNUMBER(SEARCH("LX700",Inventario!B81)),"LX7",
IF(ISNUMBER(SEARCH("GRANDO",Inventario!B81)),"GRA",
IF(OR(ISNUMBER(SEARCH("CAMA PLANA",Inventario!B81)),ISNUMBER(SEARCH("FB700",Inventario!B81))),"CP",
IF(ISNUMBER(SEARCH("LX360",Inventario!B81)),"LX3",
IF(ISNUMBER(SEARCH("XEROX",Inventario!B81)),"XER",
IF(ISNUMBER(SEARCH("18 OZ",Inventario!B81)),"18OZ",
IF(ISNUMBER(SEARCH("15 OZ",Inventario!B81)),"15OZ",
IF(OR(ISNUMBER(SEARCH("13 OZ",Inventario!B81)),ISNUMBER(SEARCH("13 ONZAS",Inventario!B81))),"13OZ",
IF(OR(ISNUMBER(SEARCH("9 OZ",Inventario!B81)),ISNUMBER(SEARCH("9 ONZAS",Inventario!B81))),"09OZ","")))))))))</f>
        <v/>
      </c>
      <c r="E82" t="str">
        <f>IF(OR(ISNUMBER(SEARCH("TRANSPARENTE",Inventario!B81)),ISNUMBER(SEARCH("TRANSPARENTES",Inventario!B81))),"TR",
IF(OR(ISNUMBER(SEARCH("BLANCO",Inventario!B81)),ISNUMBER(SEARCH("BCO",Inventario!B81))),"BL",
IF(ISNUMBER(SEARCH("VERDE",Inventario!B81)),"VR",
IF(ISNUMBER(SEARCH("MORADO",Inventario!B81)),"MR",
IF(ISNUMBER(SEARCH("PLATA",Inventario!B81)),"PL",
IF(ISNUMBER(SEARCH("ORO",Inventario!B81)),"OR",
IF(ISNUMBER(SEARCH("AMARILLO",Inventario!B81)),"AM",
IF(ISNUMBER(SEARCH("NARANJA",Inventario!B81)),"NR",
IF(ISNUMBER(SEARCH("NEGRO",Inventario!B81)),"NG",
IF(ISNUMBER(SEARCH("ROJO",Inventario!B81)),"RJ",
IF(ISNUMBER(SEARCH("AZUL",Inventario!B81)),"AZ","")))))))))))</f>
        <v>BL</v>
      </c>
      <c r="F82" t="str">
        <f>IF(ISNUMBER(SEARCH("1,2 MM",Inventario!B81)),"1MM2",
IF(OR(ISNUMBER(SEARCH("2 MM",Inventario!B81)),ISNUMBER(SEARCH("2MM",Inventario!B81))),"2MM",
IF(OR(ISNUMBER(SEARCH("3 MM",Inventario!B81)),ISNUMBER(SEARCH("3MM",Inventario!B81))),"3MM",
IF(OR(ISNUMBER(SEARCH("4 MM",Inventario!B81)),ISNUMBER(SEARCH("4MM",Inventario!B81)),ISNUMBER(SEARCH("4 mm",Inventario!B81))),"4MM",
IF(OR(ISNUMBER(SEARCH("5 MM",Inventario!B81)),ISNUMBER(SEARCH("5MM",Inventario!B81))),"5MM",
IF(OR(ISNUMBER(SEARCH("6 MM",Inventario!B81)),ISNUMBER(SEARCH("6MM",Inventario!B81))),"6MM",
IF(OR(ISNUMBER(SEARCH("10 MM",Inventario!B81)),ISNUMBER(SEARCH("10MM",Inventario!B81))),"10MM","")))))))</f>
        <v>2MM</v>
      </c>
      <c r="G82" t="str">
        <f>IF(ISNUMBER(SEARCH("ALTA RESISTENCIA",Inventario!B81)),"AR",IF(ISNUMBER(SEARCH("CAMPAÑA",Inventario!B81)),"CA",
IF(OR(ISNUMBER(SEARCH("CALIDO",Inventario!B81)),ISNUMBER(SEARCH("CÁLIDO",Inventario!B81))),"C",
IF(OR(ISNUMBER(SEARCH("TRASLUCIDO",Inventario!B81)),ISNUMBER(SEARCH("TRANSLUCIDO",Inventario!B81))),"TL",
IF(ISNUMBER(SEARCH("NEUTRO",Inventario!B81)),"N",
IF(ISNUMBER(SEARCH("FRIO",Inventario!B81)),"F",""))))))</f>
        <v/>
      </c>
      <c r="H82" t="str">
        <f>IF(ISNUMBER(SEARCH("SILED",Inventario!B81)),"SI",
IF(ISNUMBER(SEARCH("SYDEMEX",Inventario!B81)),"SY",
IF(ISNUMBER(SEARCH("ROHS",Inventario!B81)),"RO",
IF(ISNUMBER(SEARCH("RISHANG",Inventario!B81)),"RS",
IF(ISNUMBER(SEARCH("VYG",Inventario!B81)),"VYG",
IF(ISNUMBER(SEARCH("COLED",Inventario!B81)),"CO",""))))))</f>
        <v/>
      </c>
    </row>
    <row r="83" spans="1:8">
      <c r="A83" t="str">
        <f>IF(ISNUMBER(SEARCH("LONA",Inventario!B82)),"LON",
IF(ISNUMBER(SEARCH("VINIL",Inventario!B82)),"VIN",
IF(ISNUMBER(SEARCH("PANEL DE ALUMINIO COMPUESTO",Inventario!B82)),"PAN-ALU-COM",
IF(ISNUMBER(SEARCH("PVC",Inventario!B82)),"PVC",
IF(ISNUMBER(SEARCH("PAPEL",Inventario!B82)),"PAP",
IF(ISNUMBER(SEARCH("TELA",Inventario!B82)),"TEL",
IF(ISNUMBER(SEARCH("CARTULINA",Inventario!B82)),"CAR",
IF(OR(ISNUMBER(SEARCH("LAMINA",Inventario!B82)),ISNUMBER(SEARCH("LÁMINA",Inventario!B82))),"LAM",
IF(ISNUMBER(SEARCH("ESTIRENO",Inventario!B82)),"EST",
IF(ISNUMBER(SEARCH("FOAMBOARD",Inventario!B82)),"FOA",
IF(ISNUMBER(SEARCH("SOLVENTE",Inventario!B82)),"SOL",
IF(ISNUMBER(SEARCH("TINTA",Inventario!B82)),"TIN",
IF(ISNUMBER(SEARCH("ACRILICO",Inventario!B82)),"ACR",
IF(ISNUMBER(SEARCH("LED",Inventario!B82)),"LED",
IF(ISNUMBER(SEARCH("FUENTE",Inventario!B82)),"FUE",
IF(ISNUMBER(SEARCH("PETG",Inventario!B82)),"PET",
IF(ISNUMBER(SEARCH("ALUMINIO",Inventario!B82)),"ALU",
IF(ISNUMBER(SEARCH("CANAL",Inventario!B82)),"CAN",
IF(ISNUMBER(SEARCH("ESCUADRA",Inventario!B82)),"ESC",
IF(ISNUMBER(SEARCH("SOPORTE",Inventario!B82)),"SOP","OTR")
)))))))))))))))))))</f>
        <v>PVC</v>
      </c>
      <c r="B83" t="str">
        <f>IF(ISNUMBER(SEARCH("CORTE",Inventario!B82)),"COR",
IF(ISNUMBER(SEARCH("CRISTAL",Inventario!B82)),"CR",
IF(OR(ISNUMBER(SEARCH("OPTICO",Inventario!B82)),ISNUMBER(SEARCH("OPTICOS",Inventario!B82)),ISNUMBER(SEARCH("OPTICA",Inventario!B82))),"OP",
IF(ISNUMBER(SEARCH("NANO",Inventario!B82)),"NA",
IF(ISNUMBER(SEARCH("5050",Inventario!B82)),"5050",
IF(ISNUMBER(SEARCH("MICRO",Inventario!B82)),"MI",""))))))</f>
        <v/>
      </c>
      <c r="C83" t="str">
        <f>IF(ISNUMBER(SEARCH("PARED",Inventario!B82)),"PAR",IF(ISNUMBER(SEARCH("MATE",Inventario!B82)),"MAT",
IF(ISNUMBER(SEARCH("FRONT",Inventario!B82)),"FRO",
IF(ISNUMBER(SEARCH("BACK",Inventario!B82)),"BAC",
IF(ISNUMBER(SEARCH("MESH",Inventario!B82)),"MES",
IF(OR(ISNUMBER(SEARCH("BRILLANTE",Inventario!B82)),ISNUMBER(SEARCH("BTE",Inventario!B82))),"BRI",
IF(ISNUMBER(SEARCH("SINTETICA DELGADA",Inventario!B82)),"SD",
IF(ISNUMBER(SEARCH("SINTETICA GRUESA",Inventario!B82)),"SG",
IF(ISNUMBER(SEARCH("ESTATICO",Inventario!B82)),"EST",
IF(ISNUMBER(SEARCH("FLOOR",Inventario!B82)),"FLO",
IF(ISNUMBER(SEARCH("REFLECTIVO",Inventario!B82)),"REF",
IF(ISNUMBER(SEARCH("MICROPERFORADO",Inventario!B82)),"MI",
IF(ISNUMBER(SEARCH("CEPILLADO",Inventario!B82)),"CEP",
IF(ISNUMBER(SEARCH("ESPEJO",Inventario!B82)),"ESP",
IF(OR(ISNUMBER(SEARCH("UNIDIODO",Inventario!B82)),ISNUMBER(SEARCH("1 DIODO",Inventario!B82))),"1D",
IF(ISNUMBER(SEARCH("2 DIODOS",Inventario!B82)),"2D",
IF(ISNUMBER(SEARCH("3 DIODOS",Inventario!B82)),"3D","")))))))))))))))))</f>
        <v/>
      </c>
      <c r="D83" t="str">
        <f>IF(ISNUMBER(SEARCH("LX700",Inventario!B82)),"LX7",
IF(ISNUMBER(SEARCH("GRANDO",Inventario!B82)),"GRA",
IF(OR(ISNUMBER(SEARCH("CAMA PLANA",Inventario!B82)),ISNUMBER(SEARCH("FB700",Inventario!B82))),"CP",
IF(ISNUMBER(SEARCH("LX360",Inventario!B82)),"LX3",
IF(ISNUMBER(SEARCH("XEROX",Inventario!B82)),"XER",
IF(ISNUMBER(SEARCH("18 OZ",Inventario!B82)),"18OZ",
IF(ISNUMBER(SEARCH("15 OZ",Inventario!B82)),"15OZ",
IF(OR(ISNUMBER(SEARCH("13 OZ",Inventario!B82)),ISNUMBER(SEARCH("13 ONZAS",Inventario!B82))),"13OZ",
IF(OR(ISNUMBER(SEARCH("9 OZ",Inventario!B82)),ISNUMBER(SEARCH("9 ONZAS",Inventario!B82))),"09OZ","")))))))))</f>
        <v/>
      </c>
      <c r="E83" t="str">
        <f>IF(OR(ISNUMBER(SEARCH("TRANSPARENTE",Inventario!B82)),ISNUMBER(SEARCH("TRANSPARENTES",Inventario!B82))),"TR",
IF(OR(ISNUMBER(SEARCH("BLANCO",Inventario!B82)),ISNUMBER(SEARCH("BCO",Inventario!B82))),"BL",
IF(ISNUMBER(SEARCH("VERDE",Inventario!B82)),"VR",
IF(ISNUMBER(SEARCH("MORADO",Inventario!B82)),"MR",
IF(ISNUMBER(SEARCH("PLATA",Inventario!B82)),"PL",
IF(ISNUMBER(SEARCH("ORO",Inventario!B82)),"OR",
IF(ISNUMBER(SEARCH("AMARILLO",Inventario!B82)),"AM",
IF(ISNUMBER(SEARCH("NARANJA",Inventario!B82)),"NR",
IF(ISNUMBER(SEARCH("NEGRO",Inventario!B82)),"NG",
IF(ISNUMBER(SEARCH("ROJO",Inventario!B82)),"RJ",
IF(ISNUMBER(SEARCH("AZUL",Inventario!B82)),"AZ","")))))))))))</f>
        <v>BL</v>
      </c>
      <c r="F83" t="str">
        <f>IF(ISNUMBER(SEARCH("1,2 MM",Inventario!B82)),"1MM2",
IF(OR(ISNUMBER(SEARCH("2 MM",Inventario!B82)),ISNUMBER(SEARCH("2MM",Inventario!B82))),"2MM",
IF(OR(ISNUMBER(SEARCH("3 MM",Inventario!B82)),ISNUMBER(SEARCH("3MM",Inventario!B82))),"3MM",
IF(OR(ISNUMBER(SEARCH("4 MM",Inventario!B82)),ISNUMBER(SEARCH("4MM",Inventario!B82)),ISNUMBER(SEARCH("4 mm",Inventario!B82))),"4MM",
IF(OR(ISNUMBER(SEARCH("5 MM",Inventario!B82)),ISNUMBER(SEARCH("5MM",Inventario!B82))),"5MM",
IF(OR(ISNUMBER(SEARCH("6 MM",Inventario!B82)),ISNUMBER(SEARCH("6MM",Inventario!B82))),"6MM",
IF(OR(ISNUMBER(SEARCH("10 MM",Inventario!B82)),ISNUMBER(SEARCH("10MM",Inventario!B82))),"10MM","")))))))</f>
        <v>6MM</v>
      </c>
      <c r="G83" t="str">
        <f>IF(ISNUMBER(SEARCH("ALTA RESISTENCIA",Inventario!B82)),"AR",IF(ISNUMBER(SEARCH("CAMPAÑA",Inventario!B82)),"CA",
IF(OR(ISNUMBER(SEARCH("CALIDO",Inventario!B82)),ISNUMBER(SEARCH("CÁLIDO",Inventario!B82))),"C",
IF(OR(ISNUMBER(SEARCH("TRASLUCIDO",Inventario!B82)),ISNUMBER(SEARCH("TRANSLUCIDO",Inventario!B82))),"TL",
IF(ISNUMBER(SEARCH("NEUTRO",Inventario!B82)),"N",
IF(ISNUMBER(SEARCH("FRIO",Inventario!B82)),"F",""))))))</f>
        <v/>
      </c>
      <c r="H83" t="str">
        <f>IF(ISNUMBER(SEARCH("SILED",Inventario!B82)),"SI",
IF(ISNUMBER(SEARCH("SYDEMEX",Inventario!B82)),"SY",
IF(ISNUMBER(SEARCH("ROHS",Inventario!B82)),"RO",
IF(ISNUMBER(SEARCH("RISHANG",Inventario!B82)),"RS",
IF(ISNUMBER(SEARCH("VYG",Inventario!B82)),"VYG",
IF(ISNUMBER(SEARCH("COLED",Inventario!B82)),"CO",""))))))</f>
        <v/>
      </c>
    </row>
    <row r="84" spans="1:8">
      <c r="A84" t="str">
        <f>IF(ISNUMBER(SEARCH("LONA",Inventario!B83)),"LON",
IF(ISNUMBER(SEARCH("VINIL",Inventario!B83)),"VIN",
IF(ISNUMBER(SEARCH("PANEL DE ALUMINIO COMPUESTO",Inventario!B83)),"PAN-ALU-COM",
IF(ISNUMBER(SEARCH("PVC",Inventario!B83)),"PVC",
IF(ISNUMBER(SEARCH("PAPEL",Inventario!B83)),"PAP",
IF(ISNUMBER(SEARCH("TELA",Inventario!B83)),"TEL",
IF(ISNUMBER(SEARCH("CARTULINA",Inventario!B83)),"CAR",
IF(OR(ISNUMBER(SEARCH("LAMINA",Inventario!B83)),ISNUMBER(SEARCH("LÁMINA",Inventario!B83))),"LAM",
IF(ISNUMBER(SEARCH("ESTIRENO",Inventario!B83)),"EST",
IF(ISNUMBER(SEARCH("FOAMBOARD",Inventario!B83)),"FOA",
IF(ISNUMBER(SEARCH("SOLVENTE",Inventario!B83)),"SOL",
IF(ISNUMBER(SEARCH("TINTA",Inventario!B83)),"TIN",
IF(ISNUMBER(SEARCH("ACRILICO",Inventario!B83)),"ACR",
IF(ISNUMBER(SEARCH("LED",Inventario!B83)),"LED",
IF(ISNUMBER(SEARCH("FUENTE",Inventario!B83)),"FUE",
IF(ISNUMBER(SEARCH("PETG",Inventario!B83)),"PET",
IF(ISNUMBER(SEARCH("ALUMINIO",Inventario!B83)),"ALU",
IF(ISNUMBER(SEARCH("CANAL",Inventario!B83)),"CAN",
IF(ISNUMBER(SEARCH("ESCUADRA",Inventario!B83)),"ESC",
IF(ISNUMBER(SEARCH("SOPORTE",Inventario!B83)),"SOP","OTR")
)))))))))))))))))))</f>
        <v>PVC</v>
      </c>
      <c r="B84" t="str">
        <f>IF(ISNUMBER(SEARCH("CORTE",Inventario!B83)),"COR",
IF(ISNUMBER(SEARCH("CRISTAL",Inventario!B83)),"CR",
IF(OR(ISNUMBER(SEARCH("OPTICO",Inventario!B83)),ISNUMBER(SEARCH("OPTICOS",Inventario!B83)),ISNUMBER(SEARCH("OPTICA",Inventario!B83))),"OP",
IF(ISNUMBER(SEARCH("NANO",Inventario!B83)),"NA",
IF(ISNUMBER(SEARCH("5050",Inventario!B83)),"5050",
IF(ISNUMBER(SEARCH("MICRO",Inventario!B83)),"MI",""))))))</f>
        <v/>
      </c>
      <c r="C84" t="str">
        <f>IF(ISNUMBER(SEARCH("PARED",Inventario!B83)),"PAR",IF(ISNUMBER(SEARCH("MATE",Inventario!B83)),"MAT",
IF(ISNUMBER(SEARCH("FRONT",Inventario!B83)),"FRO",
IF(ISNUMBER(SEARCH("BACK",Inventario!B83)),"BAC",
IF(ISNUMBER(SEARCH("MESH",Inventario!B83)),"MES",
IF(OR(ISNUMBER(SEARCH("BRILLANTE",Inventario!B83)),ISNUMBER(SEARCH("BTE",Inventario!B83))),"BRI",
IF(ISNUMBER(SEARCH("SINTETICA DELGADA",Inventario!B83)),"SD",
IF(ISNUMBER(SEARCH("SINTETICA GRUESA",Inventario!B83)),"SG",
IF(ISNUMBER(SEARCH("ESTATICO",Inventario!B83)),"EST",
IF(ISNUMBER(SEARCH("FLOOR",Inventario!B83)),"FLO",
IF(ISNUMBER(SEARCH("REFLECTIVO",Inventario!B83)),"REF",
IF(ISNUMBER(SEARCH("MICROPERFORADO",Inventario!B83)),"MI",
IF(ISNUMBER(SEARCH("CEPILLADO",Inventario!B83)),"CEP",
IF(ISNUMBER(SEARCH("ESPEJO",Inventario!B83)),"ESP",
IF(OR(ISNUMBER(SEARCH("UNIDIODO",Inventario!B83)),ISNUMBER(SEARCH("1 DIODO",Inventario!B83))),"1D",
IF(ISNUMBER(SEARCH("2 DIODOS",Inventario!B83)),"2D",
IF(ISNUMBER(SEARCH("3 DIODOS",Inventario!B83)),"3D","")))))))))))))))))</f>
        <v/>
      </c>
      <c r="D84" t="str">
        <f>IF(ISNUMBER(SEARCH("LX700",Inventario!B83)),"LX7",
IF(ISNUMBER(SEARCH("GRANDO",Inventario!B83)),"GRA",
IF(OR(ISNUMBER(SEARCH("CAMA PLANA",Inventario!B83)),ISNUMBER(SEARCH("FB700",Inventario!B83))),"CP",
IF(ISNUMBER(SEARCH("LX360",Inventario!B83)),"LX3",
IF(ISNUMBER(SEARCH("XEROX",Inventario!B83)),"XER",
IF(ISNUMBER(SEARCH("18 OZ",Inventario!B83)),"18OZ",
IF(ISNUMBER(SEARCH("15 OZ",Inventario!B83)),"15OZ",
IF(OR(ISNUMBER(SEARCH("13 OZ",Inventario!B83)),ISNUMBER(SEARCH("13 ONZAS",Inventario!B83))),"13OZ",
IF(OR(ISNUMBER(SEARCH("9 OZ",Inventario!B83)),ISNUMBER(SEARCH("9 ONZAS",Inventario!B83))),"09OZ","")))))))))</f>
        <v/>
      </c>
      <c r="E84" t="str">
        <f>IF(OR(ISNUMBER(SEARCH("TRANSPARENTE",Inventario!B83)),ISNUMBER(SEARCH("TRANSPARENTES",Inventario!B83))),"TR",
IF(OR(ISNUMBER(SEARCH("BLANCO",Inventario!B83)),ISNUMBER(SEARCH("BCO",Inventario!B83))),"BL",
IF(ISNUMBER(SEARCH("VERDE",Inventario!B83)),"VR",
IF(ISNUMBER(SEARCH("MORADO",Inventario!B83)),"MR",
IF(ISNUMBER(SEARCH("PLATA",Inventario!B83)),"PL",
IF(ISNUMBER(SEARCH("ORO",Inventario!B83)),"OR",
IF(ISNUMBER(SEARCH("AMARILLO",Inventario!B83)),"AM",
IF(ISNUMBER(SEARCH("NARANJA",Inventario!B83)),"NR",
IF(ISNUMBER(SEARCH("NEGRO",Inventario!B83)),"NG",
IF(ISNUMBER(SEARCH("ROJO",Inventario!B83)),"RJ",
IF(ISNUMBER(SEARCH("AZUL",Inventario!B83)),"AZ","")))))))))))</f>
        <v>BL</v>
      </c>
      <c r="F84" t="str">
        <f>IF(ISNUMBER(SEARCH("1,2 MM",Inventario!B83)),"1MM2",
IF(OR(ISNUMBER(SEARCH("2 MM",Inventario!B83)),ISNUMBER(SEARCH("2MM",Inventario!B83))),"2MM",
IF(OR(ISNUMBER(SEARCH("3 MM",Inventario!B83)),ISNUMBER(SEARCH("3MM",Inventario!B83))),"3MM",
IF(OR(ISNUMBER(SEARCH("4 MM",Inventario!B83)),ISNUMBER(SEARCH("4MM",Inventario!B83)),ISNUMBER(SEARCH("4 mm",Inventario!B83))),"4MM",
IF(OR(ISNUMBER(SEARCH("5 MM",Inventario!B83)),ISNUMBER(SEARCH("5MM",Inventario!B83))),"5MM",
IF(OR(ISNUMBER(SEARCH("6 MM",Inventario!B83)),ISNUMBER(SEARCH("6MM",Inventario!B83))),"6MM",
IF(OR(ISNUMBER(SEARCH("10 MM",Inventario!B83)),ISNUMBER(SEARCH("10MM",Inventario!B83))),"10MM","")))))))</f>
        <v>6MM</v>
      </c>
      <c r="G84" t="str">
        <f>IF(ISNUMBER(SEARCH("ALTA RESISTENCIA",Inventario!B83)),"AR",IF(ISNUMBER(SEARCH("CAMPAÑA",Inventario!B83)),"CA",
IF(OR(ISNUMBER(SEARCH("CALIDO",Inventario!B83)),ISNUMBER(SEARCH("CÁLIDO",Inventario!B83))),"C",
IF(OR(ISNUMBER(SEARCH("TRASLUCIDO",Inventario!B83)),ISNUMBER(SEARCH("TRANSLUCIDO",Inventario!B83))),"TL",
IF(ISNUMBER(SEARCH("NEUTRO",Inventario!B83)),"N",
IF(ISNUMBER(SEARCH("FRIO",Inventario!B83)),"F",""))))))</f>
        <v/>
      </c>
      <c r="H84" t="str">
        <f>IF(ISNUMBER(SEARCH("SILED",Inventario!B83)),"SI",
IF(ISNUMBER(SEARCH("SYDEMEX",Inventario!B83)),"SY",
IF(ISNUMBER(SEARCH("ROHS",Inventario!B83)),"RO",
IF(ISNUMBER(SEARCH("RISHANG",Inventario!B83)),"RS",
IF(ISNUMBER(SEARCH("VYG",Inventario!B83)),"VYG",
IF(ISNUMBER(SEARCH("COLED",Inventario!B83)),"CO",""))))))</f>
        <v/>
      </c>
    </row>
    <row r="85" spans="1:8">
      <c r="A85" t="str">
        <f>IF(ISNUMBER(SEARCH("LONA",Inventario!B84)),"LON",
IF(ISNUMBER(SEARCH("VINIL",Inventario!B84)),"VIN",
IF(ISNUMBER(SEARCH("PANEL DE ALUMINIO COMPUESTO",Inventario!B84)),"PAN-ALU-COM",
IF(ISNUMBER(SEARCH("PVC",Inventario!B84)),"PVC",
IF(ISNUMBER(SEARCH("PAPEL",Inventario!B84)),"PAP",
IF(ISNUMBER(SEARCH("TELA",Inventario!B84)),"TEL",
IF(ISNUMBER(SEARCH("CARTULINA",Inventario!B84)),"CAR",
IF(OR(ISNUMBER(SEARCH("LAMINA",Inventario!B84)),ISNUMBER(SEARCH("LÁMINA",Inventario!B84))),"LAM",
IF(ISNUMBER(SEARCH("ESTIRENO",Inventario!B84)),"EST",
IF(ISNUMBER(SEARCH("FOAMBOARD",Inventario!B84)),"FOA",
IF(ISNUMBER(SEARCH("SOLVENTE",Inventario!B84)),"SOL",
IF(ISNUMBER(SEARCH("TINTA",Inventario!B84)),"TIN",
IF(ISNUMBER(SEARCH("ACRILICO",Inventario!B84)),"ACR",
IF(ISNUMBER(SEARCH("LED",Inventario!B84)),"LED",
IF(ISNUMBER(SEARCH("FUENTE",Inventario!B84)),"FUE",
IF(ISNUMBER(SEARCH("PETG",Inventario!B84)),"PET",
IF(ISNUMBER(SEARCH("ALUMINIO",Inventario!B84)),"ALU",
IF(ISNUMBER(SEARCH("CANAL",Inventario!B84)),"CAN",
IF(ISNUMBER(SEARCH("ESCUADRA",Inventario!B84)),"ESC",
IF(ISNUMBER(SEARCH("SOPORTE",Inventario!B84)),"SOP","OTR")
)))))))))))))))))))</f>
        <v>PVC</v>
      </c>
      <c r="B85" t="str">
        <f>IF(ISNUMBER(SEARCH("CORTE",Inventario!B84)),"COR",
IF(ISNUMBER(SEARCH("CRISTAL",Inventario!B84)),"CR",
IF(OR(ISNUMBER(SEARCH("OPTICO",Inventario!B84)),ISNUMBER(SEARCH("OPTICOS",Inventario!B84)),ISNUMBER(SEARCH("OPTICA",Inventario!B84))),"OP",
IF(ISNUMBER(SEARCH("NANO",Inventario!B84)),"NA",
IF(ISNUMBER(SEARCH("5050",Inventario!B84)),"5050",
IF(ISNUMBER(SEARCH("MICRO",Inventario!B84)),"MI",""))))))</f>
        <v/>
      </c>
      <c r="C85" t="str">
        <f>IF(ISNUMBER(SEARCH("PARED",Inventario!B84)),"PAR",IF(ISNUMBER(SEARCH("MATE",Inventario!B84)),"MAT",
IF(ISNUMBER(SEARCH("FRONT",Inventario!B84)),"FRO",
IF(ISNUMBER(SEARCH("BACK",Inventario!B84)),"BAC",
IF(ISNUMBER(SEARCH("MESH",Inventario!B84)),"MES",
IF(OR(ISNUMBER(SEARCH("BRILLANTE",Inventario!B84)),ISNUMBER(SEARCH("BTE",Inventario!B84))),"BRI",
IF(ISNUMBER(SEARCH("SINTETICA DELGADA",Inventario!B84)),"SD",
IF(ISNUMBER(SEARCH("SINTETICA GRUESA",Inventario!B84)),"SG",
IF(ISNUMBER(SEARCH("ESTATICO",Inventario!B84)),"EST",
IF(ISNUMBER(SEARCH("FLOOR",Inventario!B84)),"FLO",
IF(ISNUMBER(SEARCH("REFLECTIVO",Inventario!B84)),"REF",
IF(ISNUMBER(SEARCH("MICROPERFORADO",Inventario!B84)),"MI",
IF(ISNUMBER(SEARCH("CEPILLADO",Inventario!B84)),"CEP",
IF(ISNUMBER(SEARCH("ESPEJO",Inventario!B84)),"ESP",
IF(OR(ISNUMBER(SEARCH("UNIDIODO",Inventario!B84)),ISNUMBER(SEARCH("1 DIODO",Inventario!B84))),"1D",
IF(ISNUMBER(SEARCH("2 DIODOS",Inventario!B84)),"2D",
IF(ISNUMBER(SEARCH("3 DIODOS",Inventario!B84)),"3D","")))))))))))))))))</f>
        <v/>
      </c>
      <c r="D85" t="str">
        <f>IF(ISNUMBER(SEARCH("LX700",Inventario!B84)),"LX7",
IF(ISNUMBER(SEARCH("GRANDO",Inventario!B84)),"GRA",
IF(OR(ISNUMBER(SEARCH("CAMA PLANA",Inventario!B84)),ISNUMBER(SEARCH("FB700",Inventario!B84))),"CP",
IF(ISNUMBER(SEARCH("LX360",Inventario!B84)),"LX3",
IF(ISNUMBER(SEARCH("XEROX",Inventario!B84)),"XER",
IF(ISNUMBER(SEARCH("18 OZ",Inventario!B84)),"18OZ",
IF(ISNUMBER(SEARCH("15 OZ",Inventario!B84)),"15OZ",
IF(OR(ISNUMBER(SEARCH("13 OZ",Inventario!B84)),ISNUMBER(SEARCH("13 ONZAS",Inventario!B84))),"13OZ",
IF(OR(ISNUMBER(SEARCH("9 OZ",Inventario!B84)),ISNUMBER(SEARCH("9 ONZAS",Inventario!B84))),"09OZ","")))))))))</f>
        <v/>
      </c>
      <c r="E85" t="str">
        <f>IF(OR(ISNUMBER(SEARCH("TRANSPARENTE",Inventario!B84)),ISNUMBER(SEARCH("TRANSPARENTES",Inventario!B84))),"TR",
IF(OR(ISNUMBER(SEARCH("BLANCO",Inventario!B84)),ISNUMBER(SEARCH("BCO",Inventario!B84))),"BL",
IF(ISNUMBER(SEARCH("VERDE",Inventario!B84)),"VR",
IF(ISNUMBER(SEARCH("MORADO",Inventario!B84)),"MR",
IF(ISNUMBER(SEARCH("PLATA",Inventario!B84)),"PL",
IF(ISNUMBER(SEARCH("ORO",Inventario!B84)),"OR",
IF(ISNUMBER(SEARCH("AMARILLO",Inventario!B84)),"AM",
IF(ISNUMBER(SEARCH("NARANJA",Inventario!B84)),"NR",
IF(ISNUMBER(SEARCH("NEGRO",Inventario!B84)),"NG",
IF(ISNUMBER(SEARCH("ROJO",Inventario!B84)),"RJ",
IF(ISNUMBER(SEARCH("AZUL",Inventario!B84)),"AZ","")))))))))))</f>
        <v>BL</v>
      </c>
      <c r="F85" t="str">
        <f>IF(ISNUMBER(SEARCH("1,2 MM",Inventario!B84)),"1MM2",
IF(OR(ISNUMBER(SEARCH("2 MM",Inventario!B84)),ISNUMBER(SEARCH("2MM",Inventario!B84))),"2MM",
IF(OR(ISNUMBER(SEARCH("3 MM",Inventario!B84)),ISNUMBER(SEARCH("3MM",Inventario!B84))),"3MM",
IF(OR(ISNUMBER(SEARCH("4 MM",Inventario!B84)),ISNUMBER(SEARCH("4MM",Inventario!B84)),ISNUMBER(SEARCH("4 mm",Inventario!B84))),"4MM",
IF(OR(ISNUMBER(SEARCH("5 MM",Inventario!B84)),ISNUMBER(SEARCH("5MM",Inventario!B84))),"5MM",
IF(OR(ISNUMBER(SEARCH("6 MM",Inventario!B84)),ISNUMBER(SEARCH("6MM",Inventario!B84))),"6MM",
IF(OR(ISNUMBER(SEARCH("10 MM",Inventario!B84)),ISNUMBER(SEARCH("10MM",Inventario!B84))),"10MM","")))))))</f>
        <v>10MM</v>
      </c>
      <c r="G85" t="str">
        <f>IF(ISNUMBER(SEARCH("ALTA RESISTENCIA",Inventario!B84)),"AR",IF(ISNUMBER(SEARCH("CAMPAÑA",Inventario!B84)),"CA",
IF(OR(ISNUMBER(SEARCH("CALIDO",Inventario!B84)),ISNUMBER(SEARCH("CÁLIDO",Inventario!B84))),"C",
IF(OR(ISNUMBER(SEARCH("TRASLUCIDO",Inventario!B84)),ISNUMBER(SEARCH("TRANSLUCIDO",Inventario!B84))),"TL",
IF(ISNUMBER(SEARCH("NEUTRO",Inventario!B84)),"N",
IF(ISNUMBER(SEARCH("FRIO",Inventario!B84)),"F",""))))))</f>
        <v/>
      </c>
      <c r="H85" t="str">
        <f>IF(ISNUMBER(SEARCH("SILED",Inventario!B84)),"SI",
IF(ISNUMBER(SEARCH("SYDEMEX",Inventario!B84)),"SY",
IF(ISNUMBER(SEARCH("ROHS",Inventario!B84)),"RO",
IF(ISNUMBER(SEARCH("RISHANG",Inventario!B84)),"RS",
IF(ISNUMBER(SEARCH("VYG",Inventario!B84)),"VYG",
IF(ISNUMBER(SEARCH("COLED",Inventario!B84)),"CO",""))))))</f>
        <v/>
      </c>
    </row>
    <row r="86" spans="1:8">
      <c r="A86" t="str">
        <f>IF(ISNUMBER(SEARCH("LONA",Inventario!B85)),"LON",
IF(ISNUMBER(SEARCH("VINIL",Inventario!B85)),"VIN",
IF(ISNUMBER(SEARCH("PANEL DE ALUMINIO COMPUESTO",Inventario!B85)),"PAN-ALU-COM",
IF(ISNUMBER(SEARCH("PVC",Inventario!B85)),"PVC",
IF(ISNUMBER(SEARCH("PAPEL",Inventario!B85)),"PAP",
IF(ISNUMBER(SEARCH("TELA",Inventario!B85)),"TEL",
IF(ISNUMBER(SEARCH("CARTULINA",Inventario!B85)),"CAR",
IF(OR(ISNUMBER(SEARCH("LAMINA",Inventario!B85)),ISNUMBER(SEARCH("LÁMINA",Inventario!B85))),"LAM",
IF(ISNUMBER(SEARCH("ESTIRENO",Inventario!B85)),"EST",
IF(ISNUMBER(SEARCH("FOAMBOARD",Inventario!B85)),"FOA",
IF(ISNUMBER(SEARCH("SOLVENTE",Inventario!B85)),"SOL",
IF(ISNUMBER(SEARCH("TINTA",Inventario!B85)),"TIN",
IF(ISNUMBER(SEARCH("ACRILICO",Inventario!B85)),"ACR",
IF(ISNUMBER(SEARCH("LED",Inventario!B85)),"LED",
IF(ISNUMBER(SEARCH("FUENTE",Inventario!B85)),"FUE",
IF(ISNUMBER(SEARCH("PETG",Inventario!B85)),"PET",
IF(ISNUMBER(SEARCH("ALUMINIO",Inventario!B85)),"ALU",
IF(ISNUMBER(SEARCH("CANAL",Inventario!B85)),"CAN",
IF(ISNUMBER(SEARCH("ESCUADRA",Inventario!B85)),"ESC",
IF(ISNUMBER(SEARCH("SOPORTE",Inventario!B85)),"SOP","OTR")
)))))))))))))))))))</f>
        <v>OTR</v>
      </c>
      <c r="B86" t="str">
        <f>IF(ISNUMBER(SEARCH("CORTE",Inventario!B85)),"COR",
IF(ISNUMBER(SEARCH("CRISTAL",Inventario!B85)),"CR",
IF(OR(ISNUMBER(SEARCH("OPTICO",Inventario!B85)),ISNUMBER(SEARCH("OPTICOS",Inventario!B85)),ISNUMBER(SEARCH("OPTICA",Inventario!B85))),"OP",
IF(ISNUMBER(SEARCH("NANO",Inventario!B85)),"NA",
IF(ISNUMBER(SEARCH("5050",Inventario!B85)),"5050",
IF(ISNUMBER(SEARCH("MICRO",Inventario!B85)),"MI",""))))))</f>
        <v/>
      </c>
      <c r="C86" t="str">
        <f>IF(ISNUMBER(SEARCH("PARED",Inventario!B85)),"PAR",IF(ISNUMBER(SEARCH("MATE",Inventario!B85)),"MAT",
IF(ISNUMBER(SEARCH("FRONT",Inventario!B85)),"FRO",
IF(ISNUMBER(SEARCH("BACK",Inventario!B85)),"BAC",
IF(ISNUMBER(SEARCH("MESH",Inventario!B85)),"MES",
IF(OR(ISNUMBER(SEARCH("BRILLANTE",Inventario!B85)),ISNUMBER(SEARCH("BTE",Inventario!B85))),"BRI",
IF(ISNUMBER(SEARCH("SINTETICA DELGADA",Inventario!B85)),"SD",
IF(ISNUMBER(SEARCH("SINTETICA GRUESA",Inventario!B85)),"SG",
IF(ISNUMBER(SEARCH("ESTATICO",Inventario!B85)),"EST",
IF(ISNUMBER(SEARCH("FLOOR",Inventario!B85)),"FLO",
IF(ISNUMBER(SEARCH("REFLECTIVO",Inventario!B85)),"REF",
IF(ISNUMBER(SEARCH("MICROPERFORADO",Inventario!B85)),"MI",
IF(ISNUMBER(SEARCH("CEPILLADO",Inventario!B85)),"CEP",
IF(ISNUMBER(SEARCH("ESPEJO",Inventario!B85)),"ESP",
IF(OR(ISNUMBER(SEARCH("UNIDIODO",Inventario!B85)),ISNUMBER(SEARCH("1 DIODO",Inventario!B85))),"1D",
IF(ISNUMBER(SEARCH("2 DIODOS",Inventario!B85)),"2D",
IF(ISNUMBER(SEARCH("3 DIODOS",Inventario!B85)),"3D","")))))))))))))))))</f>
        <v/>
      </c>
      <c r="D86" t="str">
        <f>IF(ISNUMBER(SEARCH("LX700",Inventario!B85)),"LX7",
IF(ISNUMBER(SEARCH("GRANDO",Inventario!B85)),"GRA",
IF(OR(ISNUMBER(SEARCH("CAMA PLANA",Inventario!B85)),ISNUMBER(SEARCH("FB700",Inventario!B85))),"CP",
IF(ISNUMBER(SEARCH("LX360",Inventario!B85)),"LX3",
IF(ISNUMBER(SEARCH("XEROX",Inventario!B85)),"XER",
IF(ISNUMBER(SEARCH("18 OZ",Inventario!B85)),"18OZ",
IF(ISNUMBER(SEARCH("15 OZ",Inventario!B85)),"15OZ",
IF(OR(ISNUMBER(SEARCH("13 OZ",Inventario!B85)),ISNUMBER(SEARCH("13 ONZAS",Inventario!B85))),"13OZ",
IF(OR(ISNUMBER(SEARCH("9 OZ",Inventario!B85)),ISNUMBER(SEARCH("9 ONZAS",Inventario!B85))),"09OZ","")))))))))</f>
        <v/>
      </c>
      <c r="E86" t="str">
        <f>IF(OR(ISNUMBER(SEARCH("TRANSPARENTE",Inventario!B85)),ISNUMBER(SEARCH("TRANSPARENTES",Inventario!B85))),"TR",
IF(OR(ISNUMBER(SEARCH("BLANCO",Inventario!B85)),ISNUMBER(SEARCH("BCO",Inventario!B85))),"BL",
IF(ISNUMBER(SEARCH("VERDE",Inventario!B85)),"VR",
IF(ISNUMBER(SEARCH("MORADO",Inventario!B85)),"MR",
IF(ISNUMBER(SEARCH("PLATA",Inventario!B85)),"PL",
IF(ISNUMBER(SEARCH("ORO",Inventario!B85)),"OR",
IF(ISNUMBER(SEARCH("AMARILLO",Inventario!B85)),"AM",
IF(ISNUMBER(SEARCH("NARANJA",Inventario!B85)),"NR",
IF(ISNUMBER(SEARCH("NEGRO",Inventario!B85)),"NG",
IF(ISNUMBER(SEARCH("ROJO",Inventario!B85)),"RJ",
IF(ISNUMBER(SEARCH("AZUL",Inventario!B85)),"AZ","")))))))))))</f>
        <v/>
      </c>
      <c r="F86" t="str">
        <f>IF(ISNUMBER(SEARCH("1,2 MM",Inventario!B85)),"1MM2",
IF(OR(ISNUMBER(SEARCH("2 MM",Inventario!B85)),ISNUMBER(SEARCH("2MM",Inventario!B85))),"2MM",
IF(OR(ISNUMBER(SEARCH("3 MM",Inventario!B85)),ISNUMBER(SEARCH("3MM",Inventario!B85))),"3MM",
IF(OR(ISNUMBER(SEARCH("4 MM",Inventario!B85)),ISNUMBER(SEARCH("4MM",Inventario!B85)),ISNUMBER(SEARCH("4 mm",Inventario!B85))),"4MM",
IF(OR(ISNUMBER(SEARCH("5 MM",Inventario!B85)),ISNUMBER(SEARCH("5MM",Inventario!B85))),"5MM",
IF(OR(ISNUMBER(SEARCH("6 MM",Inventario!B85)),ISNUMBER(SEARCH("6MM",Inventario!B85))),"6MM",
IF(OR(ISNUMBER(SEARCH("10 MM",Inventario!B85)),ISNUMBER(SEARCH("10MM",Inventario!B85))),"10MM","")))))))</f>
        <v/>
      </c>
      <c r="G86" t="str">
        <f>IF(ISNUMBER(SEARCH("ALTA RESISTENCIA",Inventario!B85)),"AR",IF(ISNUMBER(SEARCH("CAMPAÑA",Inventario!B85)),"CA",
IF(OR(ISNUMBER(SEARCH("CALIDO",Inventario!B85)),ISNUMBER(SEARCH("CÁLIDO",Inventario!B85))),"C",
IF(OR(ISNUMBER(SEARCH("TRASLUCIDO",Inventario!B85)),ISNUMBER(SEARCH("TRANSLUCIDO",Inventario!B85))),"TL",
IF(ISNUMBER(SEARCH("NEUTRO",Inventario!B85)),"N",
IF(ISNUMBER(SEARCH("FRIO",Inventario!B85)),"F",""))))))</f>
        <v/>
      </c>
      <c r="H86" t="str">
        <f>IF(ISNUMBER(SEARCH("SILED",Inventario!B85)),"SI",
IF(ISNUMBER(SEARCH("SYDEMEX",Inventario!B85)),"SY",
IF(ISNUMBER(SEARCH("ROHS",Inventario!B85)),"RO",
IF(ISNUMBER(SEARCH("RISHANG",Inventario!B85)),"RS",
IF(ISNUMBER(SEARCH("VYG",Inventario!B85)),"VYG",
IF(ISNUMBER(SEARCH("COLED",Inventario!B85)),"CO",""))))))</f>
        <v/>
      </c>
    </row>
    <row r="87" spans="1:8">
      <c r="A87" t="str">
        <f>IF(ISNUMBER(SEARCH("LONA",Inventario!B86)),"LON",
IF(ISNUMBER(SEARCH("VINIL",Inventario!B86)),"VIN",
IF(ISNUMBER(SEARCH("PANEL DE ALUMINIO COMPUESTO",Inventario!B86)),"PAN-ALU-COM",
IF(ISNUMBER(SEARCH("PVC",Inventario!B86)),"PVC",
IF(ISNUMBER(SEARCH("PAPEL",Inventario!B86)),"PAP",
IF(ISNUMBER(SEARCH("TELA",Inventario!B86)),"TEL",
IF(ISNUMBER(SEARCH("CARTULINA",Inventario!B86)),"CAR",
IF(OR(ISNUMBER(SEARCH("LAMINA",Inventario!B86)),ISNUMBER(SEARCH("LÁMINA",Inventario!B86))),"LAM",
IF(ISNUMBER(SEARCH("ESTIRENO",Inventario!B86)),"EST",
IF(ISNUMBER(SEARCH("FOAMBOARD",Inventario!B86)),"FOA",
IF(ISNUMBER(SEARCH("SOLVENTE",Inventario!B86)),"SOL",
IF(ISNUMBER(SEARCH("TINTA",Inventario!B86)),"TIN",
IF(ISNUMBER(SEARCH("ACRILICO",Inventario!B86)),"ACR",
IF(ISNUMBER(SEARCH("LED",Inventario!B86)),"LED",
IF(ISNUMBER(SEARCH("FUENTE",Inventario!B86)),"FUE",
IF(ISNUMBER(SEARCH("PETG",Inventario!B86)),"PET",
IF(ISNUMBER(SEARCH("ALUMINIO",Inventario!B86)),"ALU",
IF(ISNUMBER(SEARCH("CANAL",Inventario!B86)),"CAN",
IF(ISNUMBER(SEARCH("ESCUADRA",Inventario!B86)),"ESC",
IF(ISNUMBER(SEARCH("SOPORTE",Inventario!B86)),"SOP","OTR")
)))))))))))))))))))</f>
        <v>OTR</v>
      </c>
      <c r="B87" t="str">
        <f>IF(ISNUMBER(SEARCH("CORTE",Inventario!B86)),"COR",
IF(ISNUMBER(SEARCH("CRISTAL",Inventario!B86)),"CR",
IF(OR(ISNUMBER(SEARCH("OPTICO",Inventario!B86)),ISNUMBER(SEARCH("OPTICOS",Inventario!B86)),ISNUMBER(SEARCH("OPTICA",Inventario!B86))),"OP",
IF(ISNUMBER(SEARCH("NANO",Inventario!B86)),"NA",
IF(ISNUMBER(SEARCH("5050",Inventario!B86)),"5050",
IF(ISNUMBER(SEARCH("MICRO",Inventario!B86)),"MI",""))))))</f>
        <v/>
      </c>
      <c r="C87" t="str">
        <f>IF(ISNUMBER(SEARCH("PARED",Inventario!B86)),"PAR",IF(ISNUMBER(SEARCH("MATE",Inventario!B86)),"MAT",
IF(ISNUMBER(SEARCH("FRONT",Inventario!B86)),"FRO",
IF(ISNUMBER(SEARCH("BACK",Inventario!B86)),"BAC",
IF(ISNUMBER(SEARCH("MESH",Inventario!B86)),"MES",
IF(OR(ISNUMBER(SEARCH("BRILLANTE",Inventario!B86)),ISNUMBER(SEARCH("BTE",Inventario!B86))),"BRI",
IF(ISNUMBER(SEARCH("SINTETICA DELGADA",Inventario!B86)),"SD",
IF(ISNUMBER(SEARCH("SINTETICA GRUESA",Inventario!B86)),"SG",
IF(ISNUMBER(SEARCH("ESTATICO",Inventario!B86)),"EST",
IF(ISNUMBER(SEARCH("FLOOR",Inventario!B86)),"FLO",
IF(ISNUMBER(SEARCH("REFLECTIVO",Inventario!B86)),"REF",
IF(ISNUMBER(SEARCH("MICROPERFORADO",Inventario!B86)),"MI",
IF(ISNUMBER(SEARCH("CEPILLADO",Inventario!B86)),"CEP",
IF(ISNUMBER(SEARCH("ESPEJO",Inventario!B86)),"ESP",
IF(OR(ISNUMBER(SEARCH("UNIDIODO",Inventario!B86)),ISNUMBER(SEARCH("1 DIODO",Inventario!B86))),"1D",
IF(ISNUMBER(SEARCH("2 DIODOS",Inventario!B86)),"2D",
IF(ISNUMBER(SEARCH("3 DIODOS",Inventario!B86)),"3D","")))))))))))))))))</f>
        <v/>
      </c>
      <c r="D87" t="str">
        <f>IF(ISNUMBER(SEARCH("LX700",Inventario!B86)),"LX7",
IF(ISNUMBER(SEARCH("GRANDO",Inventario!B86)),"GRA",
IF(OR(ISNUMBER(SEARCH("CAMA PLANA",Inventario!B86)),ISNUMBER(SEARCH("FB700",Inventario!B86))),"CP",
IF(ISNUMBER(SEARCH("LX360",Inventario!B86)),"LX3",
IF(ISNUMBER(SEARCH("XEROX",Inventario!B86)),"XER",
IF(ISNUMBER(SEARCH("18 OZ",Inventario!B86)),"18OZ",
IF(ISNUMBER(SEARCH("15 OZ",Inventario!B86)),"15OZ",
IF(OR(ISNUMBER(SEARCH("13 OZ",Inventario!B86)),ISNUMBER(SEARCH("13 ONZAS",Inventario!B86))),"13OZ",
IF(OR(ISNUMBER(SEARCH("9 OZ",Inventario!B86)),ISNUMBER(SEARCH("9 ONZAS",Inventario!B86))),"09OZ","")))))))))</f>
        <v/>
      </c>
      <c r="E87" t="str">
        <f>IF(OR(ISNUMBER(SEARCH("TRANSPARENTE",Inventario!B86)),ISNUMBER(SEARCH("TRANSPARENTES",Inventario!B86))),"TR",
IF(OR(ISNUMBER(SEARCH("BLANCO",Inventario!B86)),ISNUMBER(SEARCH("BCO",Inventario!B86))),"BL",
IF(ISNUMBER(SEARCH("VERDE",Inventario!B86)),"VR",
IF(ISNUMBER(SEARCH("MORADO",Inventario!B86)),"MR",
IF(ISNUMBER(SEARCH("PLATA",Inventario!B86)),"PL",
IF(ISNUMBER(SEARCH("ORO",Inventario!B86)),"OR",
IF(ISNUMBER(SEARCH("AMARILLO",Inventario!B86)),"AM",
IF(ISNUMBER(SEARCH("NARANJA",Inventario!B86)),"NR",
IF(ISNUMBER(SEARCH("NEGRO",Inventario!B86)),"NG",
IF(ISNUMBER(SEARCH("ROJO",Inventario!B86)),"RJ",
IF(ISNUMBER(SEARCH("AZUL",Inventario!B86)),"AZ","")))))))))))</f>
        <v>OR</v>
      </c>
      <c r="F87" t="str">
        <f>IF(ISNUMBER(SEARCH("1,2 MM",Inventario!B86)),"1MM2",
IF(OR(ISNUMBER(SEARCH("2 MM",Inventario!B86)),ISNUMBER(SEARCH("2MM",Inventario!B86))),"2MM",
IF(OR(ISNUMBER(SEARCH("3 MM",Inventario!B86)),ISNUMBER(SEARCH("3MM",Inventario!B86))),"3MM",
IF(OR(ISNUMBER(SEARCH("4 MM",Inventario!B86)),ISNUMBER(SEARCH("4MM",Inventario!B86)),ISNUMBER(SEARCH("4 mm",Inventario!B86))),"4MM",
IF(OR(ISNUMBER(SEARCH("5 MM",Inventario!B86)),ISNUMBER(SEARCH("5MM",Inventario!B86))),"5MM",
IF(OR(ISNUMBER(SEARCH("6 MM",Inventario!B86)),ISNUMBER(SEARCH("6MM",Inventario!B86))),"6MM",
IF(OR(ISNUMBER(SEARCH("10 MM",Inventario!B86)),ISNUMBER(SEARCH("10MM",Inventario!B86))),"10MM","")))))))</f>
        <v>4MM</v>
      </c>
      <c r="G87" t="str">
        <f>IF(ISNUMBER(SEARCH("ALTA RESISTENCIA",Inventario!B86)),"AR",IF(ISNUMBER(SEARCH("CAMPAÑA",Inventario!B86)),"CA",
IF(OR(ISNUMBER(SEARCH("CALIDO",Inventario!B86)),ISNUMBER(SEARCH("CÁLIDO",Inventario!B86))),"C",
IF(OR(ISNUMBER(SEARCH("TRASLUCIDO",Inventario!B86)),ISNUMBER(SEARCH("TRANSLUCIDO",Inventario!B86))),"TL",
IF(ISNUMBER(SEARCH("NEUTRO",Inventario!B86)),"N",
IF(ISNUMBER(SEARCH("FRIO",Inventario!B86)),"F",""))))))</f>
        <v/>
      </c>
      <c r="H87" t="str">
        <f>IF(ISNUMBER(SEARCH("SILED",Inventario!B86)),"SI",
IF(ISNUMBER(SEARCH("SYDEMEX",Inventario!B86)),"SY",
IF(ISNUMBER(SEARCH("ROHS",Inventario!B86)),"RO",
IF(ISNUMBER(SEARCH("RISHANG",Inventario!B86)),"RS",
IF(ISNUMBER(SEARCH("VYG",Inventario!B86)),"VYG",
IF(ISNUMBER(SEARCH("COLED",Inventario!B86)),"CO",""))))))</f>
        <v/>
      </c>
    </row>
    <row r="88" spans="1:8">
      <c r="A88" t="str">
        <f>IF(ISNUMBER(SEARCH("LONA",Inventario!B87)),"LON",
IF(ISNUMBER(SEARCH("VINIL",Inventario!B87)),"VIN",
IF(ISNUMBER(SEARCH("PANEL DE ALUMINIO COMPUESTO",Inventario!B87)),"PAN-ALU-COM",
IF(ISNUMBER(SEARCH("PVC",Inventario!B87)),"PVC",
IF(ISNUMBER(SEARCH("PAPEL",Inventario!B87)),"PAP",
IF(ISNUMBER(SEARCH("TELA",Inventario!B87)),"TEL",
IF(ISNUMBER(SEARCH("CARTULINA",Inventario!B87)),"CAR",
IF(OR(ISNUMBER(SEARCH("LAMINA",Inventario!B87)),ISNUMBER(SEARCH("LÁMINA",Inventario!B87))),"LAM",
IF(ISNUMBER(SEARCH("ESTIRENO",Inventario!B87)),"EST",
IF(ISNUMBER(SEARCH("FOAMBOARD",Inventario!B87)),"FOA",
IF(ISNUMBER(SEARCH("SOLVENTE",Inventario!B87)),"SOL",
IF(ISNUMBER(SEARCH("TINTA",Inventario!B87)),"TIN",
IF(ISNUMBER(SEARCH("ACRILICO",Inventario!B87)),"ACR",
IF(ISNUMBER(SEARCH("LED",Inventario!B87)),"LED",
IF(ISNUMBER(SEARCH("FUENTE",Inventario!B87)),"FUE",
IF(ISNUMBER(SEARCH("PETG",Inventario!B87)),"PET",
IF(ISNUMBER(SEARCH("ALUMINIO",Inventario!B87)),"ALU",
IF(ISNUMBER(SEARCH("CANAL",Inventario!B87)),"CAN",
IF(ISNUMBER(SEARCH("ESCUADRA",Inventario!B87)),"ESC",
IF(ISNUMBER(SEARCH("SOPORTE",Inventario!B87)),"SOP","OTR")
)))))))))))))))))))</f>
        <v>FOA</v>
      </c>
      <c r="B88" t="str">
        <f>IF(ISNUMBER(SEARCH("CORTE",Inventario!B87)),"COR",
IF(ISNUMBER(SEARCH("CRISTAL",Inventario!B87)),"CR",
IF(OR(ISNUMBER(SEARCH("OPTICO",Inventario!B87)),ISNUMBER(SEARCH("OPTICOS",Inventario!B87)),ISNUMBER(SEARCH("OPTICA",Inventario!B87))),"OP",
IF(ISNUMBER(SEARCH("NANO",Inventario!B87)),"NA",
IF(ISNUMBER(SEARCH("5050",Inventario!B87)),"5050",
IF(ISNUMBER(SEARCH("MICRO",Inventario!B87)),"MI",""))))))</f>
        <v/>
      </c>
      <c r="C88" t="str">
        <f>IF(ISNUMBER(SEARCH("PARED",Inventario!B87)),"PAR",IF(ISNUMBER(SEARCH("MATE",Inventario!B87)),"MAT",
IF(ISNUMBER(SEARCH("FRONT",Inventario!B87)),"FRO",
IF(ISNUMBER(SEARCH("BACK",Inventario!B87)),"BAC",
IF(ISNUMBER(SEARCH("MESH",Inventario!B87)),"MES",
IF(OR(ISNUMBER(SEARCH("BRILLANTE",Inventario!B87)),ISNUMBER(SEARCH("BTE",Inventario!B87))),"BRI",
IF(ISNUMBER(SEARCH("SINTETICA DELGADA",Inventario!B87)),"SD",
IF(ISNUMBER(SEARCH("SINTETICA GRUESA",Inventario!B87)),"SG",
IF(ISNUMBER(SEARCH("ESTATICO",Inventario!B87)),"EST",
IF(ISNUMBER(SEARCH("FLOOR",Inventario!B87)),"FLO",
IF(ISNUMBER(SEARCH("REFLECTIVO",Inventario!B87)),"REF",
IF(ISNUMBER(SEARCH("MICROPERFORADO",Inventario!B87)),"MI",
IF(ISNUMBER(SEARCH("CEPILLADO",Inventario!B87)),"CEP",
IF(ISNUMBER(SEARCH("ESPEJO",Inventario!B87)),"ESP",
IF(OR(ISNUMBER(SEARCH("UNIDIODO",Inventario!B87)),ISNUMBER(SEARCH("1 DIODO",Inventario!B87))),"1D",
IF(ISNUMBER(SEARCH("2 DIODOS",Inventario!B87)),"2D",
IF(ISNUMBER(SEARCH("3 DIODOS",Inventario!B87)),"3D","")))))))))))))))))</f>
        <v/>
      </c>
      <c r="D88" t="str">
        <f>IF(ISNUMBER(SEARCH("LX700",Inventario!B87)),"LX7",
IF(ISNUMBER(SEARCH("GRANDO",Inventario!B87)),"GRA",
IF(OR(ISNUMBER(SEARCH("CAMA PLANA",Inventario!B87)),ISNUMBER(SEARCH("FB700",Inventario!B87))),"CP",
IF(ISNUMBER(SEARCH("LX360",Inventario!B87)),"LX3",
IF(ISNUMBER(SEARCH("XEROX",Inventario!B87)),"XER",
IF(ISNUMBER(SEARCH("18 OZ",Inventario!B87)),"18OZ",
IF(ISNUMBER(SEARCH("15 OZ",Inventario!B87)),"15OZ",
IF(OR(ISNUMBER(SEARCH("13 OZ",Inventario!B87)),ISNUMBER(SEARCH("13 ONZAS",Inventario!B87))),"13OZ",
IF(OR(ISNUMBER(SEARCH("9 OZ",Inventario!B87)),ISNUMBER(SEARCH("9 ONZAS",Inventario!B87))),"09OZ","")))))))))</f>
        <v/>
      </c>
      <c r="E88" t="str">
        <f>IF(OR(ISNUMBER(SEARCH("TRANSPARENTE",Inventario!B87)),ISNUMBER(SEARCH("TRANSPARENTES",Inventario!B87))),"TR",
IF(OR(ISNUMBER(SEARCH("BLANCO",Inventario!B87)),ISNUMBER(SEARCH("BCO",Inventario!B87))),"BL",
IF(ISNUMBER(SEARCH("VERDE",Inventario!B87)),"VR",
IF(ISNUMBER(SEARCH("MORADO",Inventario!B87)),"MR",
IF(ISNUMBER(SEARCH("PLATA",Inventario!B87)),"PL",
IF(ISNUMBER(SEARCH("ORO",Inventario!B87)),"OR",
IF(ISNUMBER(SEARCH("AMARILLO",Inventario!B87)),"AM",
IF(ISNUMBER(SEARCH("NARANJA",Inventario!B87)),"NR",
IF(ISNUMBER(SEARCH("NEGRO",Inventario!B87)),"NG",
IF(ISNUMBER(SEARCH("ROJO",Inventario!B87)),"RJ",
IF(ISNUMBER(SEARCH("AZUL",Inventario!B87)),"AZ","")))))))))))</f>
        <v/>
      </c>
      <c r="F88" t="str">
        <f>IF(ISNUMBER(SEARCH("1,2 MM",Inventario!B87)),"1MM2",
IF(OR(ISNUMBER(SEARCH("2 MM",Inventario!B87)),ISNUMBER(SEARCH("2MM",Inventario!B87))),"2MM",
IF(OR(ISNUMBER(SEARCH("3 MM",Inventario!B87)),ISNUMBER(SEARCH("3MM",Inventario!B87))),"3MM",
IF(OR(ISNUMBER(SEARCH("4 MM",Inventario!B87)),ISNUMBER(SEARCH("4MM",Inventario!B87)),ISNUMBER(SEARCH("4 mm",Inventario!B87))),"4MM",
IF(OR(ISNUMBER(SEARCH("5 MM",Inventario!B87)),ISNUMBER(SEARCH("5MM",Inventario!B87))),"5MM",
IF(OR(ISNUMBER(SEARCH("6 MM",Inventario!B87)),ISNUMBER(SEARCH("6MM",Inventario!B87))),"6MM",
IF(OR(ISNUMBER(SEARCH("10 MM",Inventario!B87)),ISNUMBER(SEARCH("10MM",Inventario!B87))),"10MM","")))))))</f>
        <v>5MM</v>
      </c>
      <c r="G88" t="str">
        <f>IF(ISNUMBER(SEARCH("ALTA RESISTENCIA",Inventario!B87)),"AR",IF(ISNUMBER(SEARCH("CAMPAÑA",Inventario!B87)),"CA",
IF(OR(ISNUMBER(SEARCH("CALIDO",Inventario!B87)),ISNUMBER(SEARCH("CÁLIDO",Inventario!B87))),"C",
IF(OR(ISNUMBER(SEARCH("TRASLUCIDO",Inventario!B87)),ISNUMBER(SEARCH("TRANSLUCIDO",Inventario!B87))),"TL",
IF(ISNUMBER(SEARCH("NEUTRO",Inventario!B87)),"N",
IF(ISNUMBER(SEARCH("FRIO",Inventario!B87)),"F",""))))))</f>
        <v/>
      </c>
      <c r="H88" t="str">
        <f>IF(ISNUMBER(SEARCH("SILED",Inventario!B87)),"SI",
IF(ISNUMBER(SEARCH("SYDEMEX",Inventario!B87)),"SY",
IF(ISNUMBER(SEARCH("ROHS",Inventario!B87)),"RO",
IF(ISNUMBER(SEARCH("RISHANG",Inventario!B87)),"RS",
IF(ISNUMBER(SEARCH("VYG",Inventario!B87)),"VYG",
IF(ISNUMBER(SEARCH("COLED",Inventario!B87)),"CO",""))))))</f>
        <v/>
      </c>
    </row>
    <row r="89" spans="1:8">
      <c r="A89" t="str">
        <f>IF(ISNUMBER(SEARCH("LONA",Inventario!B88)),"LON",
IF(ISNUMBER(SEARCH("VINIL",Inventario!B88)),"VIN",
IF(ISNUMBER(SEARCH("PANEL DE ALUMINIO COMPUESTO",Inventario!B88)),"PAN-ALU-COM",
IF(ISNUMBER(SEARCH("PVC",Inventario!B88)),"PVC",
IF(ISNUMBER(SEARCH("PAPEL",Inventario!B88)),"PAP",
IF(ISNUMBER(SEARCH("TELA",Inventario!B88)),"TEL",
IF(ISNUMBER(SEARCH("CARTULINA",Inventario!B88)),"CAR",
IF(OR(ISNUMBER(SEARCH("LAMINA",Inventario!B88)),ISNUMBER(SEARCH("LÁMINA",Inventario!B88))),"LAM",
IF(ISNUMBER(SEARCH("ESTIRENO",Inventario!B88)),"EST",
IF(ISNUMBER(SEARCH("FOAMBOARD",Inventario!B88)),"FOA",
IF(ISNUMBER(SEARCH("SOLVENTE",Inventario!B88)),"SOL",
IF(ISNUMBER(SEARCH("TINTA",Inventario!B88)),"TIN",
IF(ISNUMBER(SEARCH("ACRILICO",Inventario!B88)),"ACR",
IF(ISNUMBER(SEARCH("LED",Inventario!B88)),"LED",
IF(ISNUMBER(SEARCH("FUENTE",Inventario!B88)),"FUE",
IF(ISNUMBER(SEARCH("PETG",Inventario!B88)),"PET",
IF(ISNUMBER(SEARCH("ALUMINIO",Inventario!B88)),"ALU",
IF(ISNUMBER(SEARCH("CANAL",Inventario!B88)),"CAN",
IF(ISNUMBER(SEARCH("ESCUADRA",Inventario!B88)),"ESC",
IF(ISNUMBER(SEARCH("SOPORTE",Inventario!B88)),"SOP","OTR")
)))))))))))))))))))</f>
        <v>FOA</v>
      </c>
      <c r="B89" t="str">
        <f>IF(ISNUMBER(SEARCH("CORTE",Inventario!B88)),"COR",
IF(ISNUMBER(SEARCH("CRISTAL",Inventario!B88)),"CR",
IF(OR(ISNUMBER(SEARCH("OPTICO",Inventario!B88)),ISNUMBER(SEARCH("OPTICOS",Inventario!B88)),ISNUMBER(SEARCH("OPTICA",Inventario!B88))),"OP",
IF(ISNUMBER(SEARCH("NANO",Inventario!B88)),"NA",
IF(ISNUMBER(SEARCH("5050",Inventario!B88)),"5050",
IF(ISNUMBER(SEARCH("MICRO",Inventario!B88)),"MI",""))))))</f>
        <v/>
      </c>
      <c r="C89" t="str">
        <f>IF(ISNUMBER(SEARCH("PARED",Inventario!B88)),"PAR",IF(ISNUMBER(SEARCH("MATE",Inventario!B88)),"MAT",
IF(ISNUMBER(SEARCH("FRONT",Inventario!B88)),"FRO",
IF(ISNUMBER(SEARCH("BACK",Inventario!B88)),"BAC",
IF(ISNUMBER(SEARCH("MESH",Inventario!B88)),"MES",
IF(OR(ISNUMBER(SEARCH("BRILLANTE",Inventario!B88)),ISNUMBER(SEARCH("BTE",Inventario!B88))),"BRI",
IF(ISNUMBER(SEARCH("SINTETICA DELGADA",Inventario!B88)),"SD",
IF(ISNUMBER(SEARCH("SINTETICA GRUESA",Inventario!B88)),"SG",
IF(ISNUMBER(SEARCH("ESTATICO",Inventario!B88)),"EST",
IF(ISNUMBER(SEARCH("FLOOR",Inventario!B88)),"FLO",
IF(ISNUMBER(SEARCH("REFLECTIVO",Inventario!B88)),"REF",
IF(ISNUMBER(SEARCH("MICROPERFORADO",Inventario!B88)),"MI",
IF(ISNUMBER(SEARCH("CEPILLADO",Inventario!B88)),"CEP",
IF(ISNUMBER(SEARCH("ESPEJO",Inventario!B88)),"ESP",
IF(OR(ISNUMBER(SEARCH("UNIDIODO",Inventario!B88)),ISNUMBER(SEARCH("1 DIODO",Inventario!B88))),"1D",
IF(ISNUMBER(SEARCH("2 DIODOS",Inventario!B88)),"2D",
IF(ISNUMBER(SEARCH("3 DIODOS",Inventario!B88)),"3D","")))))))))))))))))</f>
        <v/>
      </c>
      <c r="D89" t="str">
        <f>IF(ISNUMBER(SEARCH("LX700",Inventario!B88)),"LX7",
IF(ISNUMBER(SEARCH("GRANDO",Inventario!B88)),"GRA",
IF(OR(ISNUMBER(SEARCH("CAMA PLANA",Inventario!B88)),ISNUMBER(SEARCH("FB700",Inventario!B88))),"CP",
IF(ISNUMBER(SEARCH("LX360",Inventario!B88)),"LX3",
IF(ISNUMBER(SEARCH("XEROX",Inventario!B88)),"XER",
IF(ISNUMBER(SEARCH("18 OZ",Inventario!B88)),"18OZ",
IF(ISNUMBER(SEARCH("15 OZ",Inventario!B88)),"15OZ",
IF(OR(ISNUMBER(SEARCH("13 OZ",Inventario!B88)),ISNUMBER(SEARCH("13 ONZAS",Inventario!B88))),"13OZ",
IF(OR(ISNUMBER(SEARCH("9 OZ",Inventario!B88)),ISNUMBER(SEARCH("9 ONZAS",Inventario!B88))),"09OZ","")))))))))</f>
        <v/>
      </c>
      <c r="E89" t="str">
        <f>IF(OR(ISNUMBER(SEARCH("TRANSPARENTE",Inventario!B88)),ISNUMBER(SEARCH("TRANSPARENTES",Inventario!B88))),"TR",
IF(OR(ISNUMBER(SEARCH("BLANCO",Inventario!B88)),ISNUMBER(SEARCH("BCO",Inventario!B88))),"BL",
IF(ISNUMBER(SEARCH("VERDE",Inventario!B88)),"VR",
IF(ISNUMBER(SEARCH("MORADO",Inventario!B88)),"MR",
IF(ISNUMBER(SEARCH("PLATA",Inventario!B88)),"PL",
IF(ISNUMBER(SEARCH("ORO",Inventario!B88)),"OR",
IF(ISNUMBER(SEARCH("AMARILLO",Inventario!B88)),"AM",
IF(ISNUMBER(SEARCH("NARANJA",Inventario!B88)),"NR",
IF(ISNUMBER(SEARCH("NEGRO",Inventario!B88)),"NG",
IF(ISNUMBER(SEARCH("ROJO",Inventario!B88)),"RJ",
IF(ISNUMBER(SEARCH("AZUL",Inventario!B88)),"AZ","")))))))))))</f>
        <v/>
      </c>
      <c r="F89" t="str">
        <f>IF(ISNUMBER(SEARCH("1,2 MM",Inventario!B88)),"1MM2",
IF(OR(ISNUMBER(SEARCH("2 MM",Inventario!B88)),ISNUMBER(SEARCH("2MM",Inventario!B88))),"2MM",
IF(OR(ISNUMBER(SEARCH("3 MM",Inventario!B88)),ISNUMBER(SEARCH("3MM",Inventario!B88))),"3MM",
IF(OR(ISNUMBER(SEARCH("4 MM",Inventario!B88)),ISNUMBER(SEARCH("4MM",Inventario!B88)),ISNUMBER(SEARCH("4 mm",Inventario!B88))),"4MM",
IF(OR(ISNUMBER(SEARCH("5 MM",Inventario!B88)),ISNUMBER(SEARCH("5MM",Inventario!B88))),"5MM",
IF(OR(ISNUMBER(SEARCH("6 MM",Inventario!B88)),ISNUMBER(SEARCH("6MM",Inventario!B88))),"6MM",
IF(OR(ISNUMBER(SEARCH("10 MM",Inventario!B88)),ISNUMBER(SEARCH("10MM",Inventario!B88))),"10MM","")))))))</f>
        <v>10MM</v>
      </c>
      <c r="G89" t="str">
        <f>IF(ISNUMBER(SEARCH("ALTA RESISTENCIA",Inventario!B88)),"AR",IF(ISNUMBER(SEARCH("CAMPAÑA",Inventario!B88)),"CA",
IF(OR(ISNUMBER(SEARCH("CALIDO",Inventario!B88)),ISNUMBER(SEARCH("CÁLIDO",Inventario!B88))),"C",
IF(OR(ISNUMBER(SEARCH("TRASLUCIDO",Inventario!B88)),ISNUMBER(SEARCH("TRANSLUCIDO",Inventario!B88))),"TL",
IF(ISNUMBER(SEARCH("NEUTRO",Inventario!B88)),"N",
IF(ISNUMBER(SEARCH("FRIO",Inventario!B88)),"F",""))))))</f>
        <v/>
      </c>
      <c r="H89" t="str">
        <f>IF(ISNUMBER(SEARCH("SILED",Inventario!B88)),"SI",
IF(ISNUMBER(SEARCH("SYDEMEX",Inventario!B88)),"SY",
IF(ISNUMBER(SEARCH("ROHS",Inventario!B88)),"RO",
IF(ISNUMBER(SEARCH("RISHANG",Inventario!B88)),"RS",
IF(ISNUMBER(SEARCH("VYG",Inventario!B88)),"VYG",
IF(ISNUMBER(SEARCH("COLED",Inventario!B88)),"CO",""))))))</f>
        <v/>
      </c>
    </row>
    <row r="90" spans="1:8">
      <c r="A90" t="str">
        <f>IF(ISNUMBER(SEARCH("LONA",Inventario!B89)),"LON",
IF(ISNUMBER(SEARCH("VINIL",Inventario!B89)),"VIN",
IF(ISNUMBER(SEARCH("PANEL DE ALUMINIO COMPUESTO",Inventario!B89)),"PAN-ALU-COM",
IF(ISNUMBER(SEARCH("PVC",Inventario!B89)),"PVC",
IF(ISNUMBER(SEARCH("PAPEL",Inventario!B89)),"PAP",
IF(ISNUMBER(SEARCH("TELA",Inventario!B89)),"TEL",
IF(ISNUMBER(SEARCH("CARTULINA",Inventario!B89)),"CAR",
IF(OR(ISNUMBER(SEARCH("LAMINA",Inventario!B89)),ISNUMBER(SEARCH("LÁMINA",Inventario!B89))),"LAM",
IF(ISNUMBER(SEARCH("ESTIRENO",Inventario!B89)),"EST",
IF(ISNUMBER(SEARCH("FOAMBOARD",Inventario!B89)),"FOA",
IF(ISNUMBER(SEARCH("SOLVENTE",Inventario!B89)),"SOL",
IF(ISNUMBER(SEARCH("TINTA",Inventario!B89)),"TIN",
IF(ISNUMBER(SEARCH("ACRILICO",Inventario!B89)),"ACR",
IF(ISNUMBER(SEARCH("LED",Inventario!B89)),"LED",
IF(ISNUMBER(SEARCH("FUENTE",Inventario!B89)),"FUE",
IF(ISNUMBER(SEARCH("PETG",Inventario!B89)),"PET",
IF(ISNUMBER(SEARCH("ALUMINIO",Inventario!B89)),"ALU",
IF(ISNUMBER(SEARCH("CANAL",Inventario!B89)),"CAN",
IF(ISNUMBER(SEARCH("ESCUADRA",Inventario!B89)),"ESC",
IF(ISNUMBER(SEARCH("SOPORTE",Inventario!B89)),"SOP","OTR")
)))))))))))))))))))</f>
        <v>EST</v>
      </c>
      <c r="B90" t="str">
        <f>IF(ISNUMBER(SEARCH("CORTE",Inventario!B89)),"COR",
IF(ISNUMBER(SEARCH("CRISTAL",Inventario!B89)),"CR",
IF(OR(ISNUMBER(SEARCH("OPTICO",Inventario!B89)),ISNUMBER(SEARCH("OPTICOS",Inventario!B89)),ISNUMBER(SEARCH("OPTICA",Inventario!B89))),"OP",
IF(ISNUMBER(SEARCH("NANO",Inventario!B89)),"NA",
IF(ISNUMBER(SEARCH("5050",Inventario!B89)),"5050",
IF(ISNUMBER(SEARCH("MICRO",Inventario!B89)),"MI",""))))))</f>
        <v/>
      </c>
      <c r="C90" t="str">
        <f>IF(ISNUMBER(SEARCH("PARED",Inventario!B89)),"PAR",IF(ISNUMBER(SEARCH("MATE",Inventario!B89)),"MAT",
IF(ISNUMBER(SEARCH("FRONT",Inventario!B89)),"FRO",
IF(ISNUMBER(SEARCH("BACK",Inventario!B89)),"BAC",
IF(ISNUMBER(SEARCH("MESH",Inventario!B89)),"MES",
IF(OR(ISNUMBER(SEARCH("BRILLANTE",Inventario!B89)),ISNUMBER(SEARCH("BTE",Inventario!B89))),"BRI",
IF(ISNUMBER(SEARCH("SINTETICA DELGADA",Inventario!B89)),"SD",
IF(ISNUMBER(SEARCH("SINTETICA GRUESA",Inventario!B89)),"SG",
IF(ISNUMBER(SEARCH("ESTATICO",Inventario!B89)),"EST",
IF(ISNUMBER(SEARCH("FLOOR",Inventario!B89)),"FLO",
IF(ISNUMBER(SEARCH("REFLECTIVO",Inventario!B89)),"REF",
IF(ISNUMBER(SEARCH("MICROPERFORADO",Inventario!B89)),"MI",
IF(ISNUMBER(SEARCH("CEPILLADO",Inventario!B89)),"CEP",
IF(ISNUMBER(SEARCH("ESPEJO",Inventario!B89)),"ESP",
IF(OR(ISNUMBER(SEARCH("UNIDIODO",Inventario!B89)),ISNUMBER(SEARCH("1 DIODO",Inventario!B89))),"1D",
IF(ISNUMBER(SEARCH("2 DIODOS",Inventario!B89)),"2D",
IF(ISNUMBER(SEARCH("3 DIODOS",Inventario!B89)),"3D","")))))))))))))))))</f>
        <v/>
      </c>
      <c r="D90" t="str">
        <f>IF(ISNUMBER(SEARCH("LX700",Inventario!B89)),"LX7",
IF(ISNUMBER(SEARCH("GRANDO",Inventario!B89)),"GRA",
IF(OR(ISNUMBER(SEARCH("CAMA PLANA",Inventario!B89)),ISNUMBER(SEARCH("FB700",Inventario!B89))),"CP",
IF(ISNUMBER(SEARCH("LX360",Inventario!B89)),"LX3",
IF(ISNUMBER(SEARCH("XEROX",Inventario!B89)),"XER",
IF(ISNUMBER(SEARCH("18 OZ",Inventario!B89)),"18OZ",
IF(ISNUMBER(SEARCH("15 OZ",Inventario!B89)),"15OZ",
IF(OR(ISNUMBER(SEARCH("13 OZ",Inventario!B89)),ISNUMBER(SEARCH("13 ONZAS",Inventario!B89))),"13OZ",
IF(OR(ISNUMBER(SEARCH("9 OZ",Inventario!B89)),ISNUMBER(SEARCH("9 ONZAS",Inventario!B89))),"09OZ","")))))))))</f>
        <v/>
      </c>
      <c r="E90" t="str">
        <f>IF(OR(ISNUMBER(SEARCH("TRANSPARENTE",Inventario!B89)),ISNUMBER(SEARCH("TRANSPARENTES",Inventario!B89))),"TR",
IF(OR(ISNUMBER(SEARCH("BLANCO",Inventario!B89)),ISNUMBER(SEARCH("BCO",Inventario!B89))),"BL",
IF(ISNUMBER(SEARCH("VERDE",Inventario!B89)),"VR",
IF(ISNUMBER(SEARCH("MORADO",Inventario!B89)),"MR",
IF(ISNUMBER(SEARCH("PLATA",Inventario!B89)),"PL",
IF(ISNUMBER(SEARCH("ORO",Inventario!B89)),"OR",
IF(ISNUMBER(SEARCH("AMARILLO",Inventario!B89)),"AM",
IF(ISNUMBER(SEARCH("NARANJA",Inventario!B89)),"NR",
IF(ISNUMBER(SEARCH("NEGRO",Inventario!B89)),"NG",
IF(ISNUMBER(SEARCH("ROJO",Inventario!B89)),"RJ",
IF(ISNUMBER(SEARCH("AZUL",Inventario!B89)),"AZ","")))))))))))</f>
        <v/>
      </c>
      <c r="F90" t="str">
        <f>IF(ISNUMBER(SEARCH("1,2 MM",Inventario!B89)),"1MM2",
IF(OR(ISNUMBER(SEARCH("2 MM",Inventario!B89)),ISNUMBER(SEARCH("2MM",Inventario!B89))),"2MM",
IF(OR(ISNUMBER(SEARCH("3 MM",Inventario!B89)),ISNUMBER(SEARCH("3MM",Inventario!B89))),"3MM",
IF(OR(ISNUMBER(SEARCH("4 MM",Inventario!B89)),ISNUMBER(SEARCH("4MM",Inventario!B89)),ISNUMBER(SEARCH("4 mm",Inventario!B89))),"4MM",
IF(OR(ISNUMBER(SEARCH("5 MM",Inventario!B89)),ISNUMBER(SEARCH("5MM",Inventario!B89))),"5MM",
IF(OR(ISNUMBER(SEARCH("6 MM",Inventario!B89)),ISNUMBER(SEARCH("6MM",Inventario!B89))),"6MM",
IF(OR(ISNUMBER(SEARCH("10 MM",Inventario!B89)),ISNUMBER(SEARCH("10MM",Inventario!B89))),"10MM","")))))))</f>
        <v/>
      </c>
      <c r="G90" t="str">
        <f>IF(ISNUMBER(SEARCH("ALTA RESISTENCIA",Inventario!B89)),"AR",IF(ISNUMBER(SEARCH("CAMPAÑA",Inventario!B89)),"CA",
IF(OR(ISNUMBER(SEARCH("CALIDO",Inventario!B89)),ISNUMBER(SEARCH("CÁLIDO",Inventario!B89))),"C",
IF(OR(ISNUMBER(SEARCH("TRASLUCIDO",Inventario!B89)),ISNUMBER(SEARCH("TRANSLUCIDO",Inventario!B89))),"TL",
IF(ISNUMBER(SEARCH("NEUTRO",Inventario!B89)),"N",
IF(ISNUMBER(SEARCH("FRIO",Inventario!B89)),"F",""))))))</f>
        <v/>
      </c>
      <c r="H90" t="str">
        <f>IF(ISNUMBER(SEARCH("SILED",Inventario!B89)),"SI",
IF(ISNUMBER(SEARCH("SYDEMEX",Inventario!B89)),"SY",
IF(ISNUMBER(SEARCH("ROHS",Inventario!B89)),"RO",
IF(ISNUMBER(SEARCH("RISHANG",Inventario!B89)),"RS",
IF(ISNUMBER(SEARCH("VYG",Inventario!B89)),"VYG",
IF(ISNUMBER(SEARCH("COLED",Inventario!B89)),"CO",""))))))</f>
        <v/>
      </c>
    </row>
    <row r="91" spans="1:8">
      <c r="A91" t="str">
        <f>IF(ISNUMBER(SEARCH("LONA",Inventario!B90)),"LON",
IF(ISNUMBER(SEARCH("VINIL",Inventario!B90)),"VIN",
IF(ISNUMBER(SEARCH("PANEL DE ALUMINIO COMPUESTO",Inventario!B90)),"PAN-ALU-COM",
IF(ISNUMBER(SEARCH("PVC",Inventario!B90)),"PVC",
IF(ISNUMBER(SEARCH("PAPEL",Inventario!B90)),"PAP",
IF(ISNUMBER(SEARCH("TELA",Inventario!B90)),"TEL",
IF(ISNUMBER(SEARCH("CARTULINA",Inventario!B90)),"CAR",
IF(OR(ISNUMBER(SEARCH("LAMINA",Inventario!B90)),ISNUMBER(SEARCH("LÁMINA",Inventario!B90))),"LAM",
IF(ISNUMBER(SEARCH("ESTIRENO",Inventario!B90)),"EST",
IF(ISNUMBER(SEARCH("FOAMBOARD",Inventario!B90)),"FOA",
IF(ISNUMBER(SEARCH("SOLVENTE",Inventario!B90)),"SOL",
IF(ISNUMBER(SEARCH("TINTA",Inventario!B90)),"TIN",
IF(ISNUMBER(SEARCH("ACRILICO",Inventario!B90)),"ACR",
IF(ISNUMBER(SEARCH("LED",Inventario!B90)),"LED",
IF(ISNUMBER(SEARCH("FUENTE",Inventario!B90)),"FUE",
IF(ISNUMBER(SEARCH("PETG",Inventario!B90)),"PET",
IF(ISNUMBER(SEARCH("ALUMINIO",Inventario!B90)),"ALU",
IF(ISNUMBER(SEARCH("CANAL",Inventario!B90)),"CAN",
IF(ISNUMBER(SEARCH("ESCUADRA",Inventario!B90)),"ESC",
IF(ISNUMBER(SEARCH("SOPORTE",Inventario!B90)),"SOP","OTR")
)))))))))))))))))))</f>
        <v>EST</v>
      </c>
      <c r="B91" t="str">
        <f>IF(ISNUMBER(SEARCH("CORTE",Inventario!B90)),"COR",
IF(ISNUMBER(SEARCH("CRISTAL",Inventario!B90)),"CR",
IF(OR(ISNUMBER(SEARCH("OPTICO",Inventario!B90)),ISNUMBER(SEARCH("OPTICOS",Inventario!B90)),ISNUMBER(SEARCH("OPTICA",Inventario!B90))),"OP",
IF(ISNUMBER(SEARCH("NANO",Inventario!B90)),"NA",
IF(ISNUMBER(SEARCH("5050",Inventario!B90)),"5050",
IF(ISNUMBER(SEARCH("MICRO",Inventario!B90)),"MI",""))))))</f>
        <v/>
      </c>
      <c r="C91" t="str">
        <f>IF(ISNUMBER(SEARCH("PARED",Inventario!B90)),"PAR",IF(ISNUMBER(SEARCH("MATE",Inventario!B90)),"MAT",
IF(ISNUMBER(SEARCH("FRONT",Inventario!B90)),"FRO",
IF(ISNUMBER(SEARCH("BACK",Inventario!B90)),"BAC",
IF(ISNUMBER(SEARCH("MESH",Inventario!B90)),"MES",
IF(OR(ISNUMBER(SEARCH("BRILLANTE",Inventario!B90)),ISNUMBER(SEARCH("BTE",Inventario!B90))),"BRI",
IF(ISNUMBER(SEARCH("SINTETICA DELGADA",Inventario!B90)),"SD",
IF(ISNUMBER(SEARCH("SINTETICA GRUESA",Inventario!B90)),"SG",
IF(ISNUMBER(SEARCH("ESTATICO",Inventario!B90)),"EST",
IF(ISNUMBER(SEARCH("FLOOR",Inventario!B90)),"FLO",
IF(ISNUMBER(SEARCH("REFLECTIVO",Inventario!B90)),"REF",
IF(ISNUMBER(SEARCH("MICROPERFORADO",Inventario!B90)),"MI",
IF(ISNUMBER(SEARCH("CEPILLADO",Inventario!B90)),"CEP",
IF(ISNUMBER(SEARCH("ESPEJO",Inventario!B90)),"ESP",
IF(OR(ISNUMBER(SEARCH("UNIDIODO",Inventario!B90)),ISNUMBER(SEARCH("1 DIODO",Inventario!B90))),"1D",
IF(ISNUMBER(SEARCH("2 DIODOS",Inventario!B90)),"2D",
IF(ISNUMBER(SEARCH("3 DIODOS",Inventario!B90)),"3D","")))))))))))))))))</f>
        <v/>
      </c>
      <c r="D91" t="str">
        <f>IF(ISNUMBER(SEARCH("LX700",Inventario!B90)),"LX7",
IF(ISNUMBER(SEARCH("GRANDO",Inventario!B90)),"GRA",
IF(OR(ISNUMBER(SEARCH("CAMA PLANA",Inventario!B90)),ISNUMBER(SEARCH("FB700",Inventario!B90))),"CP",
IF(ISNUMBER(SEARCH("LX360",Inventario!B90)),"LX3",
IF(ISNUMBER(SEARCH("XEROX",Inventario!B90)),"XER",
IF(ISNUMBER(SEARCH("18 OZ",Inventario!B90)),"18OZ",
IF(ISNUMBER(SEARCH("15 OZ",Inventario!B90)),"15OZ",
IF(OR(ISNUMBER(SEARCH("13 OZ",Inventario!B90)),ISNUMBER(SEARCH("13 ONZAS",Inventario!B90))),"13OZ",
IF(OR(ISNUMBER(SEARCH("9 OZ",Inventario!B90)),ISNUMBER(SEARCH("9 ONZAS",Inventario!B90))),"09OZ","")))))))))</f>
        <v/>
      </c>
      <c r="E91" t="str">
        <f>IF(OR(ISNUMBER(SEARCH("TRANSPARENTE",Inventario!B90)),ISNUMBER(SEARCH("TRANSPARENTES",Inventario!B90))),"TR",
IF(OR(ISNUMBER(SEARCH("BLANCO",Inventario!B90)),ISNUMBER(SEARCH("BCO",Inventario!B90))),"BL",
IF(ISNUMBER(SEARCH("VERDE",Inventario!B90)),"VR",
IF(ISNUMBER(SEARCH("MORADO",Inventario!B90)),"MR",
IF(ISNUMBER(SEARCH("PLATA",Inventario!B90)),"PL",
IF(ISNUMBER(SEARCH("ORO",Inventario!B90)),"OR",
IF(ISNUMBER(SEARCH("AMARILLO",Inventario!B90)),"AM",
IF(ISNUMBER(SEARCH("NARANJA",Inventario!B90)),"NR",
IF(ISNUMBER(SEARCH("NEGRO",Inventario!B90)),"NG",
IF(ISNUMBER(SEARCH("ROJO",Inventario!B90)),"RJ",
IF(ISNUMBER(SEARCH("AZUL",Inventario!B90)),"AZ","")))))))))))</f>
        <v/>
      </c>
      <c r="F91" t="str">
        <f>IF(ISNUMBER(SEARCH("1,2 MM",Inventario!B90)),"1MM2",
IF(OR(ISNUMBER(SEARCH("2 MM",Inventario!B90)),ISNUMBER(SEARCH("2MM",Inventario!B90))),"2MM",
IF(OR(ISNUMBER(SEARCH("3 MM",Inventario!B90)),ISNUMBER(SEARCH("3MM",Inventario!B90))),"3MM",
IF(OR(ISNUMBER(SEARCH("4 MM",Inventario!B90)),ISNUMBER(SEARCH("4MM",Inventario!B90)),ISNUMBER(SEARCH("4 mm",Inventario!B90))),"4MM",
IF(OR(ISNUMBER(SEARCH("5 MM",Inventario!B90)),ISNUMBER(SEARCH("5MM",Inventario!B90))),"5MM",
IF(OR(ISNUMBER(SEARCH("6 MM",Inventario!B90)),ISNUMBER(SEARCH("6MM",Inventario!B90))),"6MM",
IF(OR(ISNUMBER(SEARCH("10 MM",Inventario!B90)),ISNUMBER(SEARCH("10MM",Inventario!B90))),"10MM","")))))))</f>
        <v/>
      </c>
      <c r="G91" t="str">
        <f>IF(ISNUMBER(SEARCH("ALTA RESISTENCIA",Inventario!B90)),"AR",IF(ISNUMBER(SEARCH("CAMPAÑA",Inventario!B90)),"CA",
IF(OR(ISNUMBER(SEARCH("CALIDO",Inventario!B90)),ISNUMBER(SEARCH("CÁLIDO",Inventario!B90))),"C",
IF(OR(ISNUMBER(SEARCH("TRASLUCIDO",Inventario!B90)),ISNUMBER(SEARCH("TRANSLUCIDO",Inventario!B90))),"TL",
IF(ISNUMBER(SEARCH("NEUTRO",Inventario!B90)),"N",
IF(ISNUMBER(SEARCH("FRIO",Inventario!B90)),"F",""))))))</f>
        <v/>
      </c>
      <c r="H91" t="str">
        <f>IF(ISNUMBER(SEARCH("SILED",Inventario!B90)),"SI",
IF(ISNUMBER(SEARCH("SYDEMEX",Inventario!B90)),"SY",
IF(ISNUMBER(SEARCH("ROHS",Inventario!B90)),"RO",
IF(ISNUMBER(SEARCH("RISHANG",Inventario!B90)),"RS",
IF(ISNUMBER(SEARCH("VYG",Inventario!B90)),"VYG",
IF(ISNUMBER(SEARCH("COLED",Inventario!B90)),"CO",""))))))</f>
        <v/>
      </c>
    </row>
    <row r="92" spans="1:8">
      <c r="A92" t="str">
        <f>IF(ISNUMBER(SEARCH("LONA",Inventario!B91)),"LON",
IF(ISNUMBER(SEARCH("VINIL",Inventario!B91)),"VIN",
IF(ISNUMBER(SEARCH("PANEL DE ALUMINIO COMPUESTO",Inventario!B91)),"PAN-ALU-COM",
IF(ISNUMBER(SEARCH("PVC",Inventario!B91)),"PVC",
IF(ISNUMBER(SEARCH("PAPEL",Inventario!B91)),"PAP",
IF(ISNUMBER(SEARCH("TELA",Inventario!B91)),"TEL",
IF(ISNUMBER(SEARCH("CARTULINA",Inventario!B91)),"CAR",
IF(OR(ISNUMBER(SEARCH("LAMINA",Inventario!B91)),ISNUMBER(SEARCH("LÁMINA",Inventario!B91))),"LAM",
IF(ISNUMBER(SEARCH("ESTIRENO",Inventario!B91)),"EST",
IF(ISNUMBER(SEARCH("FOAMBOARD",Inventario!B91)),"FOA",
IF(ISNUMBER(SEARCH("SOLVENTE",Inventario!B91)),"SOL",
IF(ISNUMBER(SEARCH("TINTA",Inventario!B91)),"TIN",
IF(ISNUMBER(SEARCH("ACRILICO",Inventario!B91)),"ACR",
IF(ISNUMBER(SEARCH("LED",Inventario!B91)),"LED",
IF(ISNUMBER(SEARCH("FUENTE",Inventario!B91)),"FUE",
IF(ISNUMBER(SEARCH("PETG",Inventario!B91)),"PET",
IF(ISNUMBER(SEARCH("ALUMINIO",Inventario!B91)),"ALU",
IF(ISNUMBER(SEARCH("CANAL",Inventario!B91)),"CAN",
IF(ISNUMBER(SEARCH("ESCUADRA",Inventario!B91)),"ESC",
IF(ISNUMBER(SEARCH("SOPORTE",Inventario!B91)),"SOP","OTR")
)))))))))))))))))))</f>
        <v>EST</v>
      </c>
      <c r="B92" t="str">
        <f>IF(ISNUMBER(SEARCH("CORTE",Inventario!B91)),"COR",
IF(ISNUMBER(SEARCH("CRISTAL",Inventario!B91)),"CR",
IF(OR(ISNUMBER(SEARCH("OPTICO",Inventario!B91)),ISNUMBER(SEARCH("OPTICOS",Inventario!B91)),ISNUMBER(SEARCH("OPTICA",Inventario!B91))),"OP",
IF(ISNUMBER(SEARCH("NANO",Inventario!B91)),"NA",
IF(ISNUMBER(SEARCH("5050",Inventario!B91)),"5050",
IF(ISNUMBER(SEARCH("MICRO",Inventario!B91)),"MI",""))))))</f>
        <v/>
      </c>
      <c r="C92" t="str">
        <f>IF(ISNUMBER(SEARCH("PARED",Inventario!B91)),"PAR",IF(ISNUMBER(SEARCH("MATE",Inventario!B91)),"MAT",
IF(ISNUMBER(SEARCH("FRONT",Inventario!B91)),"FRO",
IF(ISNUMBER(SEARCH("BACK",Inventario!B91)),"BAC",
IF(ISNUMBER(SEARCH("MESH",Inventario!B91)),"MES",
IF(OR(ISNUMBER(SEARCH("BRILLANTE",Inventario!B91)),ISNUMBER(SEARCH("BTE",Inventario!B91))),"BRI",
IF(ISNUMBER(SEARCH("SINTETICA DELGADA",Inventario!B91)),"SD",
IF(ISNUMBER(SEARCH("SINTETICA GRUESA",Inventario!B91)),"SG",
IF(ISNUMBER(SEARCH("ESTATICO",Inventario!B91)),"EST",
IF(ISNUMBER(SEARCH("FLOOR",Inventario!B91)),"FLO",
IF(ISNUMBER(SEARCH("REFLECTIVO",Inventario!B91)),"REF",
IF(ISNUMBER(SEARCH("MICROPERFORADO",Inventario!B91)),"MI",
IF(ISNUMBER(SEARCH("CEPILLADO",Inventario!B91)),"CEP",
IF(ISNUMBER(SEARCH("ESPEJO",Inventario!B91)),"ESP",
IF(OR(ISNUMBER(SEARCH("UNIDIODO",Inventario!B91)),ISNUMBER(SEARCH("1 DIODO",Inventario!B91))),"1D",
IF(ISNUMBER(SEARCH("2 DIODOS",Inventario!B91)),"2D",
IF(ISNUMBER(SEARCH("3 DIODOS",Inventario!B91)),"3D","")))))))))))))))))</f>
        <v/>
      </c>
      <c r="D92" t="str">
        <f>IF(ISNUMBER(SEARCH("LX700",Inventario!B91)),"LX7",
IF(ISNUMBER(SEARCH("GRANDO",Inventario!B91)),"GRA",
IF(OR(ISNUMBER(SEARCH("CAMA PLANA",Inventario!B91)),ISNUMBER(SEARCH("FB700",Inventario!B91))),"CP",
IF(ISNUMBER(SEARCH("LX360",Inventario!B91)),"LX3",
IF(ISNUMBER(SEARCH("XEROX",Inventario!B91)),"XER",
IF(ISNUMBER(SEARCH("18 OZ",Inventario!B91)),"18OZ",
IF(ISNUMBER(SEARCH("15 OZ",Inventario!B91)),"15OZ",
IF(OR(ISNUMBER(SEARCH("13 OZ",Inventario!B91)),ISNUMBER(SEARCH("13 ONZAS",Inventario!B91))),"13OZ",
IF(OR(ISNUMBER(SEARCH("9 OZ",Inventario!B91)),ISNUMBER(SEARCH("9 ONZAS",Inventario!B91))),"09OZ","")))))))))</f>
        <v/>
      </c>
      <c r="E92" t="str">
        <f>IF(OR(ISNUMBER(SEARCH("TRANSPARENTE",Inventario!B91)),ISNUMBER(SEARCH("TRANSPARENTES",Inventario!B91))),"TR",
IF(OR(ISNUMBER(SEARCH("BLANCO",Inventario!B91)),ISNUMBER(SEARCH("BCO",Inventario!B91))),"BL",
IF(ISNUMBER(SEARCH("VERDE",Inventario!B91)),"VR",
IF(ISNUMBER(SEARCH("MORADO",Inventario!B91)),"MR",
IF(ISNUMBER(SEARCH("PLATA",Inventario!B91)),"PL",
IF(ISNUMBER(SEARCH("ORO",Inventario!B91)),"OR",
IF(ISNUMBER(SEARCH("AMARILLO",Inventario!B91)),"AM",
IF(ISNUMBER(SEARCH("NARANJA",Inventario!B91)),"NR",
IF(ISNUMBER(SEARCH("NEGRO",Inventario!B91)),"NG",
IF(ISNUMBER(SEARCH("ROJO",Inventario!B91)),"RJ",
IF(ISNUMBER(SEARCH("AZUL",Inventario!B91)),"AZ","")))))))))))</f>
        <v/>
      </c>
      <c r="F92" t="str">
        <f>IF(ISNUMBER(SEARCH("1,2 MM",Inventario!B91)),"1MM2",
IF(OR(ISNUMBER(SEARCH("2 MM",Inventario!B91)),ISNUMBER(SEARCH("2MM",Inventario!B91))),"2MM",
IF(OR(ISNUMBER(SEARCH("3 MM",Inventario!B91)),ISNUMBER(SEARCH("3MM",Inventario!B91))),"3MM",
IF(OR(ISNUMBER(SEARCH("4 MM",Inventario!B91)),ISNUMBER(SEARCH("4MM",Inventario!B91)),ISNUMBER(SEARCH("4 mm",Inventario!B91))),"4MM",
IF(OR(ISNUMBER(SEARCH("5 MM",Inventario!B91)),ISNUMBER(SEARCH("5MM",Inventario!B91))),"5MM",
IF(OR(ISNUMBER(SEARCH("6 MM",Inventario!B91)),ISNUMBER(SEARCH("6MM",Inventario!B91))),"6MM",
IF(OR(ISNUMBER(SEARCH("10 MM",Inventario!B91)),ISNUMBER(SEARCH("10MM",Inventario!B91))),"10MM","")))))))</f>
        <v/>
      </c>
      <c r="G92" t="str">
        <f>IF(ISNUMBER(SEARCH("ALTA RESISTENCIA",Inventario!B91)),"AR",IF(ISNUMBER(SEARCH("CAMPAÑA",Inventario!B91)),"CA",
IF(OR(ISNUMBER(SEARCH("CALIDO",Inventario!B91)),ISNUMBER(SEARCH("CÁLIDO",Inventario!B91))),"C",
IF(OR(ISNUMBER(SEARCH("TRASLUCIDO",Inventario!B91)),ISNUMBER(SEARCH("TRANSLUCIDO",Inventario!B91))),"TL",
IF(ISNUMBER(SEARCH("NEUTRO",Inventario!B91)),"N",
IF(ISNUMBER(SEARCH("FRIO",Inventario!B91)),"F",""))))))</f>
        <v/>
      </c>
      <c r="H92" t="str">
        <f>IF(ISNUMBER(SEARCH("SILED",Inventario!B91)),"SI",
IF(ISNUMBER(SEARCH("SYDEMEX",Inventario!B91)),"SY",
IF(ISNUMBER(SEARCH("ROHS",Inventario!B91)),"RO",
IF(ISNUMBER(SEARCH("RISHANG",Inventario!B91)),"RS",
IF(ISNUMBER(SEARCH("VYG",Inventario!B91)),"VYG",
IF(ISNUMBER(SEARCH("COLED",Inventario!B91)),"CO",""))))))</f>
        <v/>
      </c>
    </row>
    <row r="93" spans="1:8">
      <c r="A93" t="str">
        <f>IF(ISNUMBER(SEARCH("LONA",Inventario!B92)),"LON",
IF(ISNUMBER(SEARCH("VINIL",Inventario!B92)),"VIN",
IF(ISNUMBER(SEARCH("PANEL DE ALUMINIO COMPUESTO",Inventario!B92)),"PAN-ALU-COM",
IF(ISNUMBER(SEARCH("PVC",Inventario!B92)),"PVC",
IF(ISNUMBER(SEARCH("PAPEL",Inventario!B92)),"PAP",
IF(ISNUMBER(SEARCH("TELA",Inventario!B92)),"TEL",
IF(ISNUMBER(SEARCH("CARTULINA",Inventario!B92)),"CAR",
IF(OR(ISNUMBER(SEARCH("LAMINA",Inventario!B92)),ISNUMBER(SEARCH("LÁMINA",Inventario!B92))),"LAM",
IF(ISNUMBER(SEARCH("ESTIRENO",Inventario!B92)),"EST",
IF(ISNUMBER(SEARCH("FOAMBOARD",Inventario!B92)),"FOA",
IF(ISNUMBER(SEARCH("SOLVENTE",Inventario!B92)),"SOL",
IF(ISNUMBER(SEARCH("TINTA",Inventario!B92)),"TIN",
IF(ISNUMBER(SEARCH("ACRILICO",Inventario!B92)),"ACR",
IF(ISNUMBER(SEARCH("LED",Inventario!B92)),"LED",
IF(ISNUMBER(SEARCH("FUENTE",Inventario!B92)),"FUE",
IF(ISNUMBER(SEARCH("PETG",Inventario!B92)),"PET",
IF(ISNUMBER(SEARCH("ALUMINIO",Inventario!B92)),"ALU",
IF(ISNUMBER(SEARCH("CANAL",Inventario!B92)),"CAN",
IF(ISNUMBER(SEARCH("ESCUADRA",Inventario!B92)),"ESC",
IF(ISNUMBER(SEARCH("SOPORTE",Inventario!B92)),"SOP","OTR")
)))))))))))))))))))</f>
        <v>EST</v>
      </c>
      <c r="B93" t="str">
        <f>IF(ISNUMBER(SEARCH("CORTE",Inventario!B92)),"COR",
IF(ISNUMBER(SEARCH("CRISTAL",Inventario!B92)),"CR",
IF(OR(ISNUMBER(SEARCH("OPTICO",Inventario!B92)),ISNUMBER(SEARCH("OPTICOS",Inventario!B92)),ISNUMBER(SEARCH("OPTICA",Inventario!B92))),"OP",
IF(ISNUMBER(SEARCH("NANO",Inventario!B92)),"NA",
IF(ISNUMBER(SEARCH("5050",Inventario!B92)),"5050",
IF(ISNUMBER(SEARCH("MICRO",Inventario!B92)),"MI",""))))))</f>
        <v/>
      </c>
      <c r="C93" t="str">
        <f>IF(ISNUMBER(SEARCH("PARED",Inventario!B92)),"PAR",IF(ISNUMBER(SEARCH("MATE",Inventario!B92)),"MAT",
IF(ISNUMBER(SEARCH("FRONT",Inventario!B92)),"FRO",
IF(ISNUMBER(SEARCH("BACK",Inventario!B92)),"BAC",
IF(ISNUMBER(SEARCH("MESH",Inventario!B92)),"MES",
IF(OR(ISNUMBER(SEARCH("BRILLANTE",Inventario!B92)),ISNUMBER(SEARCH("BTE",Inventario!B92))),"BRI",
IF(ISNUMBER(SEARCH("SINTETICA DELGADA",Inventario!B92)),"SD",
IF(ISNUMBER(SEARCH("SINTETICA GRUESA",Inventario!B92)),"SG",
IF(ISNUMBER(SEARCH("ESTATICO",Inventario!B92)),"EST",
IF(ISNUMBER(SEARCH("FLOOR",Inventario!B92)),"FLO",
IF(ISNUMBER(SEARCH("REFLECTIVO",Inventario!B92)),"REF",
IF(ISNUMBER(SEARCH("MICROPERFORADO",Inventario!B92)),"MI",
IF(ISNUMBER(SEARCH("CEPILLADO",Inventario!B92)),"CEP",
IF(ISNUMBER(SEARCH("ESPEJO",Inventario!B92)),"ESP",
IF(OR(ISNUMBER(SEARCH("UNIDIODO",Inventario!B92)),ISNUMBER(SEARCH("1 DIODO",Inventario!B92))),"1D",
IF(ISNUMBER(SEARCH("2 DIODOS",Inventario!B92)),"2D",
IF(ISNUMBER(SEARCH("3 DIODOS",Inventario!B92)),"3D","")))))))))))))))))</f>
        <v/>
      </c>
      <c r="D93" t="str">
        <f>IF(ISNUMBER(SEARCH("LX700",Inventario!B92)),"LX7",
IF(ISNUMBER(SEARCH("GRANDO",Inventario!B92)),"GRA",
IF(OR(ISNUMBER(SEARCH("CAMA PLANA",Inventario!B92)),ISNUMBER(SEARCH("FB700",Inventario!B92))),"CP",
IF(ISNUMBER(SEARCH("LX360",Inventario!B92)),"LX3",
IF(ISNUMBER(SEARCH("XEROX",Inventario!B92)),"XER",
IF(ISNUMBER(SEARCH("18 OZ",Inventario!B92)),"18OZ",
IF(ISNUMBER(SEARCH("15 OZ",Inventario!B92)),"15OZ",
IF(OR(ISNUMBER(SEARCH("13 OZ",Inventario!B92)),ISNUMBER(SEARCH("13 ONZAS",Inventario!B92))),"13OZ",
IF(OR(ISNUMBER(SEARCH("9 OZ",Inventario!B92)),ISNUMBER(SEARCH("9 ONZAS",Inventario!B92))),"09OZ","")))))))))</f>
        <v/>
      </c>
      <c r="E93" t="str">
        <f>IF(OR(ISNUMBER(SEARCH("TRANSPARENTE",Inventario!B92)),ISNUMBER(SEARCH("TRANSPARENTES",Inventario!B92))),"TR",
IF(OR(ISNUMBER(SEARCH("BLANCO",Inventario!B92)),ISNUMBER(SEARCH("BCO",Inventario!B92))),"BL",
IF(ISNUMBER(SEARCH("VERDE",Inventario!B92)),"VR",
IF(ISNUMBER(SEARCH("MORADO",Inventario!B92)),"MR",
IF(ISNUMBER(SEARCH("PLATA",Inventario!B92)),"PL",
IF(ISNUMBER(SEARCH("ORO",Inventario!B92)),"OR",
IF(ISNUMBER(SEARCH("AMARILLO",Inventario!B92)),"AM",
IF(ISNUMBER(SEARCH("NARANJA",Inventario!B92)),"NR",
IF(ISNUMBER(SEARCH("NEGRO",Inventario!B92)),"NG",
IF(ISNUMBER(SEARCH("ROJO",Inventario!B92)),"RJ",
IF(ISNUMBER(SEARCH("AZUL",Inventario!B92)),"AZ","")))))))))))</f>
        <v/>
      </c>
      <c r="F93" t="str">
        <f>IF(ISNUMBER(SEARCH("1,2 MM",Inventario!B92)),"1MM2",
IF(OR(ISNUMBER(SEARCH("2 MM",Inventario!B92)),ISNUMBER(SEARCH("2MM",Inventario!B92))),"2MM",
IF(OR(ISNUMBER(SEARCH("3 MM",Inventario!B92)),ISNUMBER(SEARCH("3MM",Inventario!B92))),"3MM",
IF(OR(ISNUMBER(SEARCH("4 MM",Inventario!B92)),ISNUMBER(SEARCH("4MM",Inventario!B92)),ISNUMBER(SEARCH("4 mm",Inventario!B92))),"4MM",
IF(OR(ISNUMBER(SEARCH("5 MM",Inventario!B92)),ISNUMBER(SEARCH("5MM",Inventario!B92))),"5MM",
IF(OR(ISNUMBER(SEARCH("6 MM",Inventario!B92)),ISNUMBER(SEARCH("6MM",Inventario!B92))),"6MM",
IF(OR(ISNUMBER(SEARCH("10 MM",Inventario!B92)),ISNUMBER(SEARCH("10MM",Inventario!B92))),"10MM","")))))))</f>
        <v/>
      </c>
      <c r="G93" t="str">
        <f>IF(ISNUMBER(SEARCH("ALTA RESISTENCIA",Inventario!B92)),"AR",IF(ISNUMBER(SEARCH("CAMPAÑA",Inventario!B92)),"CA",
IF(OR(ISNUMBER(SEARCH("CALIDO",Inventario!B92)),ISNUMBER(SEARCH("CÁLIDO",Inventario!B92))),"C",
IF(OR(ISNUMBER(SEARCH("TRASLUCIDO",Inventario!B92)),ISNUMBER(SEARCH("TRANSLUCIDO",Inventario!B92))),"TL",
IF(ISNUMBER(SEARCH("NEUTRO",Inventario!B92)),"N",
IF(ISNUMBER(SEARCH("FRIO",Inventario!B92)),"F",""))))))</f>
        <v/>
      </c>
      <c r="H93" t="str">
        <f>IF(ISNUMBER(SEARCH("SILED",Inventario!B92)),"SI",
IF(ISNUMBER(SEARCH("SYDEMEX",Inventario!B92)),"SY",
IF(ISNUMBER(SEARCH("ROHS",Inventario!B92)),"RO",
IF(ISNUMBER(SEARCH("RISHANG",Inventario!B92)),"RS",
IF(ISNUMBER(SEARCH("VYG",Inventario!B92)),"VYG",
IF(ISNUMBER(SEARCH("COLED",Inventario!B92)),"CO",""))))))</f>
        <v/>
      </c>
    </row>
    <row r="94" spans="1:8">
      <c r="A94" t="str">
        <f>IF(ISNUMBER(SEARCH("LONA",Inventario!B93)),"LON",
IF(ISNUMBER(SEARCH("VINIL",Inventario!B93)),"VIN",
IF(ISNUMBER(SEARCH("PANEL DE ALUMINIO COMPUESTO",Inventario!B93)),"PAN-ALU-COM",
IF(ISNUMBER(SEARCH("PVC",Inventario!B93)),"PVC",
IF(ISNUMBER(SEARCH("PAPEL",Inventario!B93)),"PAP",
IF(ISNUMBER(SEARCH("TELA",Inventario!B93)),"TEL",
IF(ISNUMBER(SEARCH("CARTULINA",Inventario!B93)),"CAR",
IF(OR(ISNUMBER(SEARCH("LAMINA",Inventario!B93)),ISNUMBER(SEARCH("LÁMINA",Inventario!B93))),"LAM",
IF(ISNUMBER(SEARCH("ESTIRENO",Inventario!B93)),"EST",
IF(ISNUMBER(SEARCH("FOAMBOARD",Inventario!B93)),"FOA",
IF(ISNUMBER(SEARCH("SOLVENTE",Inventario!B93)),"SOL",
IF(ISNUMBER(SEARCH("TINTA",Inventario!B93)),"TIN",
IF(ISNUMBER(SEARCH("ACRILICO",Inventario!B93)),"ACR",
IF(ISNUMBER(SEARCH("LED",Inventario!B93)),"LED",
IF(ISNUMBER(SEARCH("FUENTE",Inventario!B93)),"FUE",
IF(ISNUMBER(SEARCH("PETG",Inventario!B93)),"PET",
IF(ISNUMBER(SEARCH("ALUMINIO",Inventario!B93)),"ALU",
IF(ISNUMBER(SEARCH("CANAL",Inventario!B93)),"CAN",
IF(ISNUMBER(SEARCH("ESCUADRA",Inventario!B93)),"ESC",
IF(ISNUMBER(SEARCH("SOPORTE",Inventario!B93)),"SOP","OTR")
)))))))))))))))))))</f>
        <v>EST</v>
      </c>
      <c r="B94" t="str">
        <f>IF(ISNUMBER(SEARCH("CORTE",Inventario!B93)),"COR",
IF(ISNUMBER(SEARCH("CRISTAL",Inventario!B93)),"CR",
IF(OR(ISNUMBER(SEARCH("OPTICO",Inventario!B93)),ISNUMBER(SEARCH("OPTICOS",Inventario!B93)),ISNUMBER(SEARCH("OPTICA",Inventario!B93))),"OP",
IF(ISNUMBER(SEARCH("NANO",Inventario!B93)),"NA",
IF(ISNUMBER(SEARCH("5050",Inventario!B93)),"5050",
IF(ISNUMBER(SEARCH("MICRO",Inventario!B93)),"MI",""))))))</f>
        <v/>
      </c>
      <c r="C94" t="str">
        <f>IF(ISNUMBER(SEARCH("PARED",Inventario!B93)),"PAR",IF(ISNUMBER(SEARCH("MATE",Inventario!B93)),"MAT",
IF(ISNUMBER(SEARCH("FRONT",Inventario!B93)),"FRO",
IF(ISNUMBER(SEARCH("BACK",Inventario!B93)),"BAC",
IF(ISNUMBER(SEARCH("MESH",Inventario!B93)),"MES",
IF(OR(ISNUMBER(SEARCH("BRILLANTE",Inventario!B93)),ISNUMBER(SEARCH("BTE",Inventario!B93))),"BRI",
IF(ISNUMBER(SEARCH("SINTETICA DELGADA",Inventario!B93)),"SD",
IF(ISNUMBER(SEARCH("SINTETICA GRUESA",Inventario!B93)),"SG",
IF(ISNUMBER(SEARCH("ESTATICO",Inventario!B93)),"EST",
IF(ISNUMBER(SEARCH("FLOOR",Inventario!B93)),"FLO",
IF(ISNUMBER(SEARCH("REFLECTIVO",Inventario!B93)),"REF",
IF(ISNUMBER(SEARCH("MICROPERFORADO",Inventario!B93)),"MI",
IF(ISNUMBER(SEARCH("CEPILLADO",Inventario!B93)),"CEP",
IF(ISNUMBER(SEARCH("ESPEJO",Inventario!B93)),"ESP",
IF(OR(ISNUMBER(SEARCH("UNIDIODO",Inventario!B93)),ISNUMBER(SEARCH("1 DIODO",Inventario!B93))),"1D",
IF(ISNUMBER(SEARCH("2 DIODOS",Inventario!B93)),"2D",
IF(ISNUMBER(SEARCH("3 DIODOS",Inventario!B93)),"3D","")))))))))))))))))</f>
        <v/>
      </c>
      <c r="D94" t="str">
        <f>IF(ISNUMBER(SEARCH("LX700",Inventario!B93)),"LX7",
IF(ISNUMBER(SEARCH("GRANDO",Inventario!B93)),"GRA",
IF(OR(ISNUMBER(SEARCH("CAMA PLANA",Inventario!B93)),ISNUMBER(SEARCH("FB700",Inventario!B93))),"CP",
IF(ISNUMBER(SEARCH("LX360",Inventario!B93)),"LX3",
IF(ISNUMBER(SEARCH("XEROX",Inventario!B93)),"XER",
IF(ISNUMBER(SEARCH("18 OZ",Inventario!B93)),"18OZ",
IF(ISNUMBER(SEARCH("15 OZ",Inventario!B93)),"15OZ",
IF(OR(ISNUMBER(SEARCH("13 OZ",Inventario!B93)),ISNUMBER(SEARCH("13 ONZAS",Inventario!B93))),"13OZ",
IF(OR(ISNUMBER(SEARCH("9 OZ",Inventario!B93)),ISNUMBER(SEARCH("9 ONZAS",Inventario!B93))),"09OZ","")))))))))</f>
        <v/>
      </c>
      <c r="E94" t="str">
        <f>IF(OR(ISNUMBER(SEARCH("TRANSPARENTE",Inventario!B93)),ISNUMBER(SEARCH("TRANSPARENTES",Inventario!B93))),"TR",
IF(OR(ISNUMBER(SEARCH("BLANCO",Inventario!B93)),ISNUMBER(SEARCH("BCO",Inventario!B93))),"BL",
IF(ISNUMBER(SEARCH("VERDE",Inventario!B93)),"VR",
IF(ISNUMBER(SEARCH("MORADO",Inventario!B93)),"MR",
IF(ISNUMBER(SEARCH("PLATA",Inventario!B93)),"PL",
IF(ISNUMBER(SEARCH("ORO",Inventario!B93)),"OR",
IF(ISNUMBER(SEARCH("AMARILLO",Inventario!B93)),"AM",
IF(ISNUMBER(SEARCH("NARANJA",Inventario!B93)),"NR",
IF(ISNUMBER(SEARCH("NEGRO",Inventario!B93)),"NG",
IF(ISNUMBER(SEARCH("ROJO",Inventario!B93)),"RJ",
IF(ISNUMBER(SEARCH("AZUL",Inventario!B93)),"AZ","")))))))))))</f>
        <v/>
      </c>
      <c r="F94" t="str">
        <f>IF(ISNUMBER(SEARCH("1,2 MM",Inventario!B93)),"1MM2",
IF(OR(ISNUMBER(SEARCH("2 MM",Inventario!B93)),ISNUMBER(SEARCH("2MM",Inventario!B93))),"2MM",
IF(OR(ISNUMBER(SEARCH("3 MM",Inventario!B93)),ISNUMBER(SEARCH("3MM",Inventario!B93))),"3MM",
IF(OR(ISNUMBER(SEARCH("4 MM",Inventario!B93)),ISNUMBER(SEARCH("4MM",Inventario!B93)),ISNUMBER(SEARCH("4 mm",Inventario!B93))),"4MM",
IF(OR(ISNUMBER(SEARCH("5 MM",Inventario!B93)),ISNUMBER(SEARCH("5MM",Inventario!B93))),"5MM",
IF(OR(ISNUMBER(SEARCH("6 MM",Inventario!B93)),ISNUMBER(SEARCH("6MM",Inventario!B93))),"6MM",
IF(OR(ISNUMBER(SEARCH("10 MM",Inventario!B93)),ISNUMBER(SEARCH("10MM",Inventario!B93))),"10MM","")))))))</f>
        <v/>
      </c>
      <c r="G94" t="str">
        <f>IF(ISNUMBER(SEARCH("ALTA RESISTENCIA",Inventario!B93)),"AR",IF(ISNUMBER(SEARCH("CAMPAÑA",Inventario!B93)),"CA",
IF(OR(ISNUMBER(SEARCH("CALIDO",Inventario!B93)),ISNUMBER(SEARCH("CÁLIDO",Inventario!B93))),"C",
IF(OR(ISNUMBER(SEARCH("TRASLUCIDO",Inventario!B93)),ISNUMBER(SEARCH("TRANSLUCIDO",Inventario!B93))),"TL",
IF(ISNUMBER(SEARCH("NEUTRO",Inventario!B93)),"N",
IF(ISNUMBER(SEARCH("FRIO",Inventario!B93)),"F",""))))))</f>
        <v/>
      </c>
      <c r="H94" t="str">
        <f>IF(ISNUMBER(SEARCH("SILED",Inventario!B93)),"SI",
IF(ISNUMBER(SEARCH("SYDEMEX",Inventario!B93)),"SY",
IF(ISNUMBER(SEARCH("ROHS",Inventario!B93)),"RO",
IF(ISNUMBER(SEARCH("RISHANG",Inventario!B93)),"RS",
IF(ISNUMBER(SEARCH("VYG",Inventario!B93)),"VYG",
IF(ISNUMBER(SEARCH("COLED",Inventario!B93)),"CO",""))))))</f>
        <v/>
      </c>
    </row>
    <row r="95" spans="1:8">
      <c r="A95" t="str">
        <f>IF(ISNUMBER(SEARCH("LONA",Inventario!B94)),"LON",
IF(ISNUMBER(SEARCH("VINIL",Inventario!B94)),"VIN",
IF(ISNUMBER(SEARCH("PANEL DE ALUMINIO COMPUESTO",Inventario!B94)),"PAN-ALU-COM",
IF(ISNUMBER(SEARCH("PVC",Inventario!B94)),"PVC",
IF(ISNUMBER(SEARCH("PAPEL",Inventario!B94)),"PAP",
IF(ISNUMBER(SEARCH("TELA",Inventario!B94)),"TEL",
IF(ISNUMBER(SEARCH("CARTULINA",Inventario!B94)),"CAR",
IF(OR(ISNUMBER(SEARCH("LAMINA",Inventario!B94)),ISNUMBER(SEARCH("LÁMINA",Inventario!B94))),"LAM",
IF(ISNUMBER(SEARCH("ESTIRENO",Inventario!B94)),"EST",
IF(ISNUMBER(SEARCH("FOAMBOARD",Inventario!B94)),"FOA",
IF(ISNUMBER(SEARCH("SOLVENTE",Inventario!B94)),"SOL",
IF(ISNUMBER(SEARCH("TINTA",Inventario!B94)),"TIN",
IF(ISNUMBER(SEARCH("ACRILICO",Inventario!B94)),"ACR",
IF(ISNUMBER(SEARCH("LED",Inventario!B94)),"LED",
IF(ISNUMBER(SEARCH("FUENTE",Inventario!B94)),"FUE",
IF(ISNUMBER(SEARCH("PETG",Inventario!B94)),"PET",
IF(ISNUMBER(SEARCH("ALUMINIO",Inventario!B94)),"ALU",
IF(ISNUMBER(SEARCH("CANAL",Inventario!B94)),"CAN",
IF(ISNUMBER(SEARCH("ESCUADRA",Inventario!B94)),"ESC",
IF(ISNUMBER(SEARCH("SOPORTE",Inventario!B94)),"SOP","OTR")
)))))))))))))))))))</f>
        <v>EST</v>
      </c>
      <c r="B95" t="str">
        <f>IF(ISNUMBER(SEARCH("CORTE",Inventario!B94)),"COR",
IF(ISNUMBER(SEARCH("CRISTAL",Inventario!B94)),"CR",
IF(OR(ISNUMBER(SEARCH("OPTICO",Inventario!B94)),ISNUMBER(SEARCH("OPTICOS",Inventario!B94)),ISNUMBER(SEARCH("OPTICA",Inventario!B94))),"OP",
IF(ISNUMBER(SEARCH("NANO",Inventario!B94)),"NA",
IF(ISNUMBER(SEARCH("5050",Inventario!B94)),"5050",
IF(ISNUMBER(SEARCH("MICRO",Inventario!B94)),"MI",""))))))</f>
        <v/>
      </c>
      <c r="C95" t="str">
        <f>IF(ISNUMBER(SEARCH("PARED",Inventario!B94)),"PAR",IF(ISNUMBER(SEARCH("MATE",Inventario!B94)),"MAT",
IF(ISNUMBER(SEARCH("FRONT",Inventario!B94)),"FRO",
IF(ISNUMBER(SEARCH("BACK",Inventario!B94)),"BAC",
IF(ISNUMBER(SEARCH("MESH",Inventario!B94)),"MES",
IF(OR(ISNUMBER(SEARCH("BRILLANTE",Inventario!B94)),ISNUMBER(SEARCH("BTE",Inventario!B94))),"BRI",
IF(ISNUMBER(SEARCH("SINTETICA DELGADA",Inventario!B94)),"SD",
IF(ISNUMBER(SEARCH("SINTETICA GRUESA",Inventario!B94)),"SG",
IF(ISNUMBER(SEARCH("ESTATICO",Inventario!B94)),"EST",
IF(ISNUMBER(SEARCH("FLOOR",Inventario!B94)),"FLO",
IF(ISNUMBER(SEARCH("REFLECTIVO",Inventario!B94)),"REF",
IF(ISNUMBER(SEARCH("MICROPERFORADO",Inventario!B94)),"MI",
IF(ISNUMBER(SEARCH("CEPILLADO",Inventario!B94)),"CEP",
IF(ISNUMBER(SEARCH("ESPEJO",Inventario!B94)),"ESP",
IF(OR(ISNUMBER(SEARCH("UNIDIODO",Inventario!B94)),ISNUMBER(SEARCH("1 DIODO",Inventario!B94))),"1D",
IF(ISNUMBER(SEARCH("2 DIODOS",Inventario!B94)),"2D",
IF(ISNUMBER(SEARCH("3 DIODOS",Inventario!B94)),"3D","")))))))))))))))))</f>
        <v/>
      </c>
      <c r="D95" t="str">
        <f>IF(ISNUMBER(SEARCH("LX700",Inventario!B94)),"LX7",
IF(ISNUMBER(SEARCH("GRANDO",Inventario!B94)),"GRA",
IF(OR(ISNUMBER(SEARCH("CAMA PLANA",Inventario!B94)),ISNUMBER(SEARCH("FB700",Inventario!B94))),"CP",
IF(ISNUMBER(SEARCH("LX360",Inventario!B94)),"LX3",
IF(ISNUMBER(SEARCH("XEROX",Inventario!B94)),"XER",
IF(ISNUMBER(SEARCH("18 OZ",Inventario!B94)),"18OZ",
IF(ISNUMBER(SEARCH("15 OZ",Inventario!B94)),"15OZ",
IF(OR(ISNUMBER(SEARCH("13 OZ",Inventario!B94)),ISNUMBER(SEARCH("13 ONZAS",Inventario!B94))),"13OZ",
IF(OR(ISNUMBER(SEARCH("9 OZ",Inventario!B94)),ISNUMBER(SEARCH("9 ONZAS",Inventario!B94))),"09OZ","")))))))))</f>
        <v/>
      </c>
      <c r="E95" t="str">
        <f>IF(OR(ISNUMBER(SEARCH("TRANSPARENTE",Inventario!B94)),ISNUMBER(SEARCH("TRANSPARENTES",Inventario!B94))),"TR",
IF(OR(ISNUMBER(SEARCH("BLANCO",Inventario!B94)),ISNUMBER(SEARCH("BCO",Inventario!B94))),"BL",
IF(ISNUMBER(SEARCH("VERDE",Inventario!B94)),"VR",
IF(ISNUMBER(SEARCH("MORADO",Inventario!B94)),"MR",
IF(ISNUMBER(SEARCH("PLATA",Inventario!B94)),"PL",
IF(ISNUMBER(SEARCH("ORO",Inventario!B94)),"OR",
IF(ISNUMBER(SEARCH("AMARILLO",Inventario!B94)),"AM",
IF(ISNUMBER(SEARCH("NARANJA",Inventario!B94)),"NR",
IF(ISNUMBER(SEARCH("NEGRO",Inventario!B94)),"NG",
IF(ISNUMBER(SEARCH("ROJO",Inventario!B94)),"RJ",
IF(ISNUMBER(SEARCH("AZUL",Inventario!B94)),"AZ","")))))))))))</f>
        <v/>
      </c>
      <c r="F95" t="str">
        <f>IF(ISNUMBER(SEARCH("1,2 MM",Inventario!B94)),"1MM2",
IF(OR(ISNUMBER(SEARCH("2 MM",Inventario!B94)),ISNUMBER(SEARCH("2MM",Inventario!B94))),"2MM",
IF(OR(ISNUMBER(SEARCH("3 MM",Inventario!B94)),ISNUMBER(SEARCH("3MM",Inventario!B94))),"3MM",
IF(OR(ISNUMBER(SEARCH("4 MM",Inventario!B94)),ISNUMBER(SEARCH("4MM",Inventario!B94)),ISNUMBER(SEARCH("4 mm",Inventario!B94))),"4MM",
IF(OR(ISNUMBER(SEARCH("5 MM",Inventario!B94)),ISNUMBER(SEARCH("5MM",Inventario!B94))),"5MM",
IF(OR(ISNUMBER(SEARCH("6 MM",Inventario!B94)),ISNUMBER(SEARCH("6MM",Inventario!B94))),"6MM",
IF(OR(ISNUMBER(SEARCH("10 MM",Inventario!B94)),ISNUMBER(SEARCH("10MM",Inventario!B94))),"10MM","")))))))</f>
        <v/>
      </c>
      <c r="G95" t="str">
        <f>IF(ISNUMBER(SEARCH("ALTA RESISTENCIA",Inventario!B94)),"AR",IF(ISNUMBER(SEARCH("CAMPAÑA",Inventario!B94)),"CA",
IF(OR(ISNUMBER(SEARCH("CALIDO",Inventario!B94)),ISNUMBER(SEARCH("CÁLIDO",Inventario!B94))),"C",
IF(OR(ISNUMBER(SEARCH("TRASLUCIDO",Inventario!B94)),ISNUMBER(SEARCH("TRANSLUCIDO",Inventario!B94))),"TL",
IF(ISNUMBER(SEARCH("NEUTRO",Inventario!B94)),"N",
IF(ISNUMBER(SEARCH("FRIO",Inventario!B94)),"F",""))))))</f>
        <v/>
      </c>
      <c r="H95" t="str">
        <f>IF(ISNUMBER(SEARCH("SILED",Inventario!B94)),"SI",
IF(ISNUMBER(SEARCH("SYDEMEX",Inventario!B94)),"SY",
IF(ISNUMBER(SEARCH("ROHS",Inventario!B94)),"RO",
IF(ISNUMBER(SEARCH("RISHANG",Inventario!B94)),"RS",
IF(ISNUMBER(SEARCH("VYG",Inventario!B94)),"VYG",
IF(ISNUMBER(SEARCH("COLED",Inventario!B94)),"CO",""))))))</f>
        <v/>
      </c>
    </row>
    <row r="96" spans="1:8">
      <c r="A96" t="str">
        <f>IF(ISNUMBER(SEARCH("LONA",Inventario!B95)),"LON",
IF(ISNUMBER(SEARCH("VINIL",Inventario!B95)),"VIN",
IF(ISNUMBER(SEARCH("PANEL DE ALUMINIO COMPUESTO",Inventario!B95)),"PAN-ALU-COM",
IF(ISNUMBER(SEARCH("PVC",Inventario!B95)),"PVC",
IF(ISNUMBER(SEARCH("PAPEL",Inventario!B95)),"PAP",
IF(ISNUMBER(SEARCH("TELA",Inventario!B95)),"TEL",
IF(ISNUMBER(SEARCH("CARTULINA",Inventario!B95)),"CAR",
IF(OR(ISNUMBER(SEARCH("LAMINA",Inventario!B95)),ISNUMBER(SEARCH("LÁMINA",Inventario!B95))),"LAM",
IF(ISNUMBER(SEARCH("ESTIRENO",Inventario!B95)),"EST",
IF(ISNUMBER(SEARCH("FOAMBOARD",Inventario!B95)),"FOA",
IF(ISNUMBER(SEARCH("SOLVENTE",Inventario!B95)),"SOL",
IF(ISNUMBER(SEARCH("TINTA",Inventario!B95)),"TIN",
IF(ISNUMBER(SEARCH("ACRILICO",Inventario!B95)),"ACR",
IF(ISNUMBER(SEARCH("LED",Inventario!B95)),"LED",
IF(ISNUMBER(SEARCH("FUENTE",Inventario!B95)),"FUE",
IF(ISNUMBER(SEARCH("PETG",Inventario!B95)),"PET",
IF(ISNUMBER(SEARCH("ALUMINIO",Inventario!B95)),"ALU",
IF(ISNUMBER(SEARCH("CANAL",Inventario!B95)),"CAN",
IF(ISNUMBER(SEARCH("ESCUADRA",Inventario!B95)),"ESC",
IF(ISNUMBER(SEARCH("SOPORTE",Inventario!B95)),"SOP","OTR")
)))))))))))))))))))</f>
        <v>OTR</v>
      </c>
      <c r="B96" t="str">
        <f>IF(ISNUMBER(SEARCH("CORTE",Inventario!B95)),"COR",
IF(ISNUMBER(SEARCH("CRISTAL",Inventario!B95)),"CR",
IF(OR(ISNUMBER(SEARCH("OPTICO",Inventario!B95)),ISNUMBER(SEARCH("OPTICOS",Inventario!B95)),ISNUMBER(SEARCH("OPTICA",Inventario!B95))),"OP",
IF(ISNUMBER(SEARCH("NANO",Inventario!B95)),"NA",
IF(ISNUMBER(SEARCH("5050",Inventario!B95)),"5050",
IF(ISNUMBER(SEARCH("MICRO",Inventario!B95)),"MI",""))))))</f>
        <v/>
      </c>
      <c r="C96" t="str">
        <f>IF(ISNUMBER(SEARCH("PARED",Inventario!B95)),"PAR",IF(ISNUMBER(SEARCH("MATE",Inventario!B95)),"MAT",
IF(ISNUMBER(SEARCH("FRONT",Inventario!B95)),"FRO",
IF(ISNUMBER(SEARCH("BACK",Inventario!B95)),"BAC",
IF(ISNUMBER(SEARCH("MESH",Inventario!B95)),"MES",
IF(OR(ISNUMBER(SEARCH("BRILLANTE",Inventario!B95)),ISNUMBER(SEARCH("BTE",Inventario!B95))),"BRI",
IF(ISNUMBER(SEARCH("SINTETICA DELGADA",Inventario!B95)),"SD",
IF(ISNUMBER(SEARCH("SINTETICA GRUESA",Inventario!B95)),"SG",
IF(ISNUMBER(SEARCH("ESTATICO",Inventario!B95)),"EST",
IF(ISNUMBER(SEARCH("FLOOR",Inventario!B95)),"FLO",
IF(ISNUMBER(SEARCH("REFLECTIVO",Inventario!B95)),"REF",
IF(ISNUMBER(SEARCH("MICROPERFORADO",Inventario!B95)),"MI",
IF(ISNUMBER(SEARCH("CEPILLADO",Inventario!B95)),"CEP",
IF(ISNUMBER(SEARCH("ESPEJO",Inventario!B95)),"ESP",
IF(OR(ISNUMBER(SEARCH("UNIDIODO",Inventario!B95)),ISNUMBER(SEARCH("1 DIODO",Inventario!B95))),"1D",
IF(ISNUMBER(SEARCH("2 DIODOS",Inventario!B95)),"2D",
IF(ISNUMBER(SEARCH("3 DIODOS",Inventario!B95)),"3D","")))))))))))))))))</f>
        <v/>
      </c>
      <c r="D96" t="str">
        <f>IF(ISNUMBER(SEARCH("LX700",Inventario!B95)),"LX7",
IF(ISNUMBER(SEARCH("GRANDO",Inventario!B95)),"GRA",
IF(OR(ISNUMBER(SEARCH("CAMA PLANA",Inventario!B95)),ISNUMBER(SEARCH("FB700",Inventario!B95))),"CP",
IF(ISNUMBER(SEARCH("LX360",Inventario!B95)),"LX3",
IF(ISNUMBER(SEARCH("XEROX",Inventario!B95)),"XER",
IF(ISNUMBER(SEARCH("18 OZ",Inventario!B95)),"18OZ",
IF(ISNUMBER(SEARCH("15 OZ",Inventario!B95)),"15OZ",
IF(OR(ISNUMBER(SEARCH("13 OZ",Inventario!B95)),ISNUMBER(SEARCH("13 ONZAS",Inventario!B95))),"13OZ",
IF(OR(ISNUMBER(SEARCH("9 OZ",Inventario!B95)),ISNUMBER(SEARCH("9 ONZAS",Inventario!B95))),"09OZ","")))))))))</f>
        <v/>
      </c>
      <c r="E96" t="str">
        <f>IF(OR(ISNUMBER(SEARCH("TRANSPARENTE",Inventario!B95)),ISNUMBER(SEARCH("TRANSPARENTES",Inventario!B95))),"TR",
IF(OR(ISNUMBER(SEARCH("BLANCO",Inventario!B95)),ISNUMBER(SEARCH("BCO",Inventario!B95))),"BL",
IF(ISNUMBER(SEARCH("VERDE",Inventario!B95)),"VR",
IF(ISNUMBER(SEARCH("MORADO",Inventario!B95)),"MR",
IF(ISNUMBER(SEARCH("PLATA",Inventario!B95)),"PL",
IF(ISNUMBER(SEARCH("ORO",Inventario!B95)),"OR",
IF(ISNUMBER(SEARCH("AMARILLO",Inventario!B95)),"AM",
IF(ISNUMBER(SEARCH("NARANJA",Inventario!B95)),"NR",
IF(ISNUMBER(SEARCH("NEGRO",Inventario!B95)),"NG",
IF(ISNUMBER(SEARCH("ROJO",Inventario!B95)),"RJ",
IF(ISNUMBER(SEARCH("AZUL",Inventario!B95)),"AZ","")))))))))))</f>
        <v/>
      </c>
      <c r="F96" t="str">
        <f>IF(ISNUMBER(SEARCH("1,2 MM",Inventario!B95)),"1MM2",
IF(OR(ISNUMBER(SEARCH("2 MM",Inventario!B95)),ISNUMBER(SEARCH("2MM",Inventario!B95))),"2MM",
IF(OR(ISNUMBER(SEARCH("3 MM",Inventario!B95)),ISNUMBER(SEARCH("3MM",Inventario!B95))),"3MM",
IF(OR(ISNUMBER(SEARCH("4 MM",Inventario!B95)),ISNUMBER(SEARCH("4MM",Inventario!B95)),ISNUMBER(SEARCH("4 mm",Inventario!B95))),"4MM",
IF(OR(ISNUMBER(SEARCH("5 MM",Inventario!B95)),ISNUMBER(SEARCH("5MM",Inventario!B95))),"5MM",
IF(OR(ISNUMBER(SEARCH("6 MM",Inventario!B95)),ISNUMBER(SEARCH("6MM",Inventario!B95))),"6MM",
IF(OR(ISNUMBER(SEARCH("10 MM",Inventario!B95)),ISNUMBER(SEARCH("10MM",Inventario!B95))),"10MM","")))))))</f>
        <v/>
      </c>
      <c r="G96" t="str">
        <f>IF(ISNUMBER(SEARCH("ALTA RESISTENCIA",Inventario!B95)),"AR",IF(ISNUMBER(SEARCH("CAMPAÑA",Inventario!B95)),"CA",
IF(OR(ISNUMBER(SEARCH("CALIDO",Inventario!B95)),ISNUMBER(SEARCH("CÁLIDO",Inventario!B95))),"C",
IF(OR(ISNUMBER(SEARCH("TRASLUCIDO",Inventario!B95)),ISNUMBER(SEARCH("TRANSLUCIDO",Inventario!B95))),"TL",
IF(ISNUMBER(SEARCH("NEUTRO",Inventario!B95)),"N",
IF(ISNUMBER(SEARCH("FRIO",Inventario!B95)),"F",""))))))</f>
        <v/>
      </c>
      <c r="H96" t="str">
        <f>IF(ISNUMBER(SEARCH("SILED",Inventario!B95)),"SI",
IF(ISNUMBER(SEARCH("SYDEMEX",Inventario!B95)),"SY",
IF(ISNUMBER(SEARCH("ROHS",Inventario!B95)),"RO",
IF(ISNUMBER(SEARCH("RISHANG",Inventario!B95)),"RS",
IF(ISNUMBER(SEARCH("VYG",Inventario!B95)),"VYG",
IF(ISNUMBER(SEARCH("COLED",Inventario!B95)),"CO",""))))))</f>
        <v/>
      </c>
    </row>
    <row r="97" spans="1:8">
      <c r="A97" t="str">
        <f>IF(ISNUMBER(SEARCH("LONA",Inventario!B96)),"LON",
IF(ISNUMBER(SEARCH("VINIL",Inventario!B96)),"VIN",
IF(ISNUMBER(SEARCH("PANEL DE ALUMINIO COMPUESTO",Inventario!B96)),"PAN-ALU-COM",
IF(ISNUMBER(SEARCH("PVC",Inventario!B96)),"PVC",
IF(ISNUMBER(SEARCH("PAPEL",Inventario!B96)),"PAP",
IF(ISNUMBER(SEARCH("TELA",Inventario!B96)),"TEL",
IF(ISNUMBER(SEARCH("CARTULINA",Inventario!B96)),"CAR",
IF(OR(ISNUMBER(SEARCH("LAMINA",Inventario!B96)),ISNUMBER(SEARCH("LÁMINA",Inventario!B96))),"LAM",
IF(ISNUMBER(SEARCH("ESTIRENO",Inventario!B96)),"EST",
IF(ISNUMBER(SEARCH("FOAMBOARD",Inventario!B96)),"FOA",
IF(ISNUMBER(SEARCH("SOLVENTE",Inventario!B96)),"SOL",
IF(ISNUMBER(SEARCH("TINTA",Inventario!B96)),"TIN",
IF(ISNUMBER(SEARCH("ACRILICO",Inventario!B96)),"ACR",
IF(ISNUMBER(SEARCH("LED",Inventario!B96)),"LED",
IF(ISNUMBER(SEARCH("FUENTE",Inventario!B96)),"FUE",
IF(ISNUMBER(SEARCH("PETG",Inventario!B96)),"PET",
IF(ISNUMBER(SEARCH("ALUMINIO",Inventario!B96)),"ALU",
IF(ISNUMBER(SEARCH("CANAL",Inventario!B96)),"CAN",
IF(ISNUMBER(SEARCH("ESCUADRA",Inventario!B96)),"ESC",
IF(ISNUMBER(SEARCH("SOPORTE",Inventario!B96)),"SOP","OTR")
)))))))))))))))))))</f>
        <v>OTR</v>
      </c>
      <c r="B97" t="str">
        <f>IF(ISNUMBER(SEARCH("CORTE",Inventario!B96)),"COR",
IF(ISNUMBER(SEARCH("CRISTAL",Inventario!B96)),"CR",
IF(OR(ISNUMBER(SEARCH("OPTICO",Inventario!B96)),ISNUMBER(SEARCH("OPTICOS",Inventario!B96)),ISNUMBER(SEARCH("OPTICA",Inventario!B96))),"OP",
IF(ISNUMBER(SEARCH("NANO",Inventario!B96)),"NA",
IF(ISNUMBER(SEARCH("5050",Inventario!B96)),"5050",
IF(ISNUMBER(SEARCH("MICRO",Inventario!B96)),"MI",""))))))</f>
        <v/>
      </c>
      <c r="C97" t="str">
        <f>IF(ISNUMBER(SEARCH("PARED",Inventario!B96)),"PAR",IF(ISNUMBER(SEARCH("MATE",Inventario!B96)),"MAT",
IF(ISNUMBER(SEARCH("FRONT",Inventario!B96)),"FRO",
IF(ISNUMBER(SEARCH("BACK",Inventario!B96)),"BAC",
IF(ISNUMBER(SEARCH("MESH",Inventario!B96)),"MES",
IF(OR(ISNUMBER(SEARCH("BRILLANTE",Inventario!B96)),ISNUMBER(SEARCH("BTE",Inventario!B96))),"BRI",
IF(ISNUMBER(SEARCH("SINTETICA DELGADA",Inventario!B96)),"SD",
IF(ISNUMBER(SEARCH("SINTETICA GRUESA",Inventario!B96)),"SG",
IF(ISNUMBER(SEARCH("ESTATICO",Inventario!B96)),"EST",
IF(ISNUMBER(SEARCH("FLOOR",Inventario!B96)),"FLO",
IF(ISNUMBER(SEARCH("REFLECTIVO",Inventario!B96)),"REF",
IF(ISNUMBER(SEARCH("MICROPERFORADO",Inventario!B96)),"MI",
IF(ISNUMBER(SEARCH("CEPILLADO",Inventario!B96)),"CEP",
IF(ISNUMBER(SEARCH("ESPEJO",Inventario!B96)),"ESP",
IF(OR(ISNUMBER(SEARCH("UNIDIODO",Inventario!B96)),ISNUMBER(SEARCH("1 DIODO",Inventario!B96))),"1D",
IF(ISNUMBER(SEARCH("2 DIODOS",Inventario!B96)),"2D",
IF(ISNUMBER(SEARCH("3 DIODOS",Inventario!B96)),"3D","")))))))))))))))))</f>
        <v/>
      </c>
      <c r="D97" t="str">
        <f>IF(ISNUMBER(SEARCH("LX700",Inventario!B96)),"LX7",
IF(ISNUMBER(SEARCH("GRANDO",Inventario!B96)),"GRA",
IF(OR(ISNUMBER(SEARCH("CAMA PLANA",Inventario!B96)),ISNUMBER(SEARCH("FB700",Inventario!B96))),"CP",
IF(ISNUMBER(SEARCH("LX360",Inventario!B96)),"LX3",
IF(ISNUMBER(SEARCH("XEROX",Inventario!B96)),"XER",
IF(ISNUMBER(SEARCH("18 OZ",Inventario!B96)),"18OZ",
IF(ISNUMBER(SEARCH("15 OZ",Inventario!B96)),"15OZ",
IF(OR(ISNUMBER(SEARCH("13 OZ",Inventario!B96)),ISNUMBER(SEARCH("13 ONZAS",Inventario!B96))),"13OZ",
IF(OR(ISNUMBER(SEARCH("9 OZ",Inventario!B96)),ISNUMBER(SEARCH("9 ONZAS",Inventario!B96))),"09OZ","")))))))))</f>
        <v/>
      </c>
      <c r="E97" t="str">
        <f>IF(OR(ISNUMBER(SEARCH("TRANSPARENTE",Inventario!B96)),ISNUMBER(SEARCH("TRANSPARENTES",Inventario!B96))),"TR",
IF(OR(ISNUMBER(SEARCH("BLANCO",Inventario!B96)),ISNUMBER(SEARCH("BCO",Inventario!B96))),"BL",
IF(ISNUMBER(SEARCH("VERDE",Inventario!B96)),"VR",
IF(ISNUMBER(SEARCH("MORADO",Inventario!B96)),"MR",
IF(ISNUMBER(SEARCH("PLATA",Inventario!B96)),"PL",
IF(ISNUMBER(SEARCH("ORO",Inventario!B96)),"OR",
IF(ISNUMBER(SEARCH("AMARILLO",Inventario!B96)),"AM",
IF(ISNUMBER(SEARCH("NARANJA",Inventario!B96)),"NR",
IF(ISNUMBER(SEARCH("NEGRO",Inventario!B96)),"NG",
IF(ISNUMBER(SEARCH("ROJO",Inventario!B96)),"RJ",
IF(ISNUMBER(SEARCH("AZUL",Inventario!B96)),"AZ","")))))))))))</f>
        <v/>
      </c>
      <c r="F97" t="str">
        <f>IF(ISNUMBER(SEARCH("1,2 MM",Inventario!B96)),"1MM2",
IF(OR(ISNUMBER(SEARCH("2 MM",Inventario!B96)),ISNUMBER(SEARCH("2MM",Inventario!B96))),"2MM",
IF(OR(ISNUMBER(SEARCH("3 MM",Inventario!B96)),ISNUMBER(SEARCH("3MM",Inventario!B96))),"3MM",
IF(OR(ISNUMBER(SEARCH("4 MM",Inventario!B96)),ISNUMBER(SEARCH("4MM",Inventario!B96)),ISNUMBER(SEARCH("4 mm",Inventario!B96))),"4MM",
IF(OR(ISNUMBER(SEARCH("5 MM",Inventario!B96)),ISNUMBER(SEARCH("5MM",Inventario!B96))),"5MM",
IF(OR(ISNUMBER(SEARCH("6 MM",Inventario!B96)),ISNUMBER(SEARCH("6MM",Inventario!B96))),"6MM",
IF(OR(ISNUMBER(SEARCH("10 MM",Inventario!B96)),ISNUMBER(SEARCH("10MM",Inventario!B96))),"10MM","")))))))</f>
        <v/>
      </c>
      <c r="G97" t="str">
        <f>IF(ISNUMBER(SEARCH("ALTA RESISTENCIA",Inventario!B96)),"AR",IF(ISNUMBER(SEARCH("CAMPAÑA",Inventario!B96)),"CA",
IF(OR(ISNUMBER(SEARCH("CALIDO",Inventario!B96)),ISNUMBER(SEARCH("CÁLIDO",Inventario!B96))),"C",
IF(OR(ISNUMBER(SEARCH("TRASLUCIDO",Inventario!B96)),ISNUMBER(SEARCH("TRANSLUCIDO",Inventario!B96))),"TL",
IF(ISNUMBER(SEARCH("NEUTRO",Inventario!B96)),"N",
IF(ISNUMBER(SEARCH("FRIO",Inventario!B96)),"F",""))))))</f>
        <v/>
      </c>
      <c r="H97" t="str">
        <f>IF(ISNUMBER(SEARCH("SILED",Inventario!B96)),"SI",
IF(ISNUMBER(SEARCH("SYDEMEX",Inventario!B96)),"SY",
IF(ISNUMBER(SEARCH("ROHS",Inventario!B96)),"RO",
IF(ISNUMBER(SEARCH("RISHANG",Inventario!B96)),"RS",
IF(ISNUMBER(SEARCH("VYG",Inventario!B96)),"VYG",
IF(ISNUMBER(SEARCH("COLED",Inventario!B96)),"CO",""))))))</f>
        <v/>
      </c>
    </row>
    <row r="98" spans="1:8">
      <c r="A98" t="str">
        <f>IF(ISNUMBER(SEARCH("LONA",Inventario!B97)),"LON",
IF(ISNUMBER(SEARCH("VINIL",Inventario!B97)),"VIN",
IF(ISNUMBER(SEARCH("PANEL DE ALUMINIO COMPUESTO",Inventario!B97)),"PAN-ALU-COM",
IF(ISNUMBER(SEARCH("PVC",Inventario!B97)),"PVC",
IF(ISNUMBER(SEARCH("PAPEL",Inventario!B97)),"PAP",
IF(ISNUMBER(SEARCH("TELA",Inventario!B97)),"TEL",
IF(ISNUMBER(SEARCH("CARTULINA",Inventario!B97)),"CAR",
IF(OR(ISNUMBER(SEARCH("LAMINA",Inventario!B97)),ISNUMBER(SEARCH("LÁMINA",Inventario!B97))),"LAM",
IF(ISNUMBER(SEARCH("ESTIRENO",Inventario!B97)),"EST",
IF(ISNUMBER(SEARCH("FOAMBOARD",Inventario!B97)),"FOA",
IF(ISNUMBER(SEARCH("SOLVENTE",Inventario!B97)),"SOL",
IF(ISNUMBER(SEARCH("TINTA",Inventario!B97)),"TIN",
IF(ISNUMBER(SEARCH("ACRILICO",Inventario!B97)),"ACR",
IF(ISNUMBER(SEARCH("LED",Inventario!B97)),"LED",
IF(ISNUMBER(SEARCH("FUENTE",Inventario!B97)),"FUE",
IF(ISNUMBER(SEARCH("PETG",Inventario!B97)),"PET",
IF(ISNUMBER(SEARCH("ALUMINIO",Inventario!B97)),"ALU",
IF(ISNUMBER(SEARCH("CANAL",Inventario!B97)),"CAN",
IF(ISNUMBER(SEARCH("ESCUADRA",Inventario!B97)),"ESC",
IF(ISNUMBER(SEARCH("SOPORTE",Inventario!B97)),"SOP","OTR")
)))))))))))))))))))</f>
        <v>OTR</v>
      </c>
      <c r="B98" t="str">
        <f>IF(ISNUMBER(SEARCH("CORTE",Inventario!B97)),"COR",
IF(ISNUMBER(SEARCH("CRISTAL",Inventario!B97)),"CR",
IF(OR(ISNUMBER(SEARCH("OPTICO",Inventario!B97)),ISNUMBER(SEARCH("OPTICOS",Inventario!B97)),ISNUMBER(SEARCH("OPTICA",Inventario!B97))),"OP",
IF(ISNUMBER(SEARCH("NANO",Inventario!B97)),"NA",
IF(ISNUMBER(SEARCH("5050",Inventario!B97)),"5050",
IF(ISNUMBER(SEARCH("MICRO",Inventario!B97)),"MI",""))))))</f>
        <v/>
      </c>
      <c r="C98" t="str">
        <f>IF(ISNUMBER(SEARCH("PARED",Inventario!B97)),"PAR",IF(ISNUMBER(SEARCH("MATE",Inventario!B97)),"MAT",
IF(ISNUMBER(SEARCH("FRONT",Inventario!B97)),"FRO",
IF(ISNUMBER(SEARCH("BACK",Inventario!B97)),"BAC",
IF(ISNUMBER(SEARCH("MESH",Inventario!B97)),"MES",
IF(OR(ISNUMBER(SEARCH("BRILLANTE",Inventario!B97)),ISNUMBER(SEARCH("BTE",Inventario!B97))),"BRI",
IF(ISNUMBER(SEARCH("SINTETICA DELGADA",Inventario!B97)),"SD",
IF(ISNUMBER(SEARCH("SINTETICA GRUESA",Inventario!B97)),"SG",
IF(ISNUMBER(SEARCH("ESTATICO",Inventario!B97)),"EST",
IF(ISNUMBER(SEARCH("FLOOR",Inventario!B97)),"FLO",
IF(ISNUMBER(SEARCH("REFLECTIVO",Inventario!B97)),"REF",
IF(ISNUMBER(SEARCH("MICROPERFORADO",Inventario!B97)),"MI",
IF(ISNUMBER(SEARCH("CEPILLADO",Inventario!B97)),"CEP",
IF(ISNUMBER(SEARCH("ESPEJO",Inventario!B97)),"ESP",
IF(OR(ISNUMBER(SEARCH("UNIDIODO",Inventario!B97)),ISNUMBER(SEARCH("1 DIODO",Inventario!B97))),"1D",
IF(ISNUMBER(SEARCH("2 DIODOS",Inventario!B97)),"2D",
IF(ISNUMBER(SEARCH("3 DIODOS",Inventario!B97)),"3D","")))))))))))))))))</f>
        <v/>
      </c>
      <c r="D98" t="str">
        <f>IF(ISNUMBER(SEARCH("LX700",Inventario!B97)),"LX7",
IF(ISNUMBER(SEARCH("GRANDO",Inventario!B97)),"GRA",
IF(OR(ISNUMBER(SEARCH("CAMA PLANA",Inventario!B97)),ISNUMBER(SEARCH("FB700",Inventario!B97))),"CP",
IF(ISNUMBER(SEARCH("LX360",Inventario!B97)),"LX3",
IF(ISNUMBER(SEARCH("XEROX",Inventario!B97)),"XER",
IF(ISNUMBER(SEARCH("18 OZ",Inventario!B97)),"18OZ",
IF(ISNUMBER(SEARCH("15 OZ",Inventario!B97)),"15OZ",
IF(OR(ISNUMBER(SEARCH("13 OZ",Inventario!B97)),ISNUMBER(SEARCH("13 ONZAS",Inventario!B97))),"13OZ",
IF(OR(ISNUMBER(SEARCH("9 OZ",Inventario!B97)),ISNUMBER(SEARCH("9 ONZAS",Inventario!B97))),"09OZ","")))))))))</f>
        <v/>
      </c>
      <c r="E98" t="str">
        <f>IF(OR(ISNUMBER(SEARCH("TRANSPARENTE",Inventario!B97)),ISNUMBER(SEARCH("TRANSPARENTES",Inventario!B97))),"TR",
IF(OR(ISNUMBER(SEARCH("BLANCO",Inventario!B97)),ISNUMBER(SEARCH("BCO",Inventario!B97))),"BL",
IF(ISNUMBER(SEARCH("VERDE",Inventario!B97)),"VR",
IF(ISNUMBER(SEARCH("MORADO",Inventario!B97)),"MR",
IF(ISNUMBER(SEARCH("PLATA",Inventario!B97)),"PL",
IF(ISNUMBER(SEARCH("ORO",Inventario!B97)),"OR",
IF(ISNUMBER(SEARCH("AMARILLO",Inventario!B97)),"AM",
IF(ISNUMBER(SEARCH("NARANJA",Inventario!B97)),"NR",
IF(ISNUMBER(SEARCH("NEGRO",Inventario!B97)),"NG",
IF(ISNUMBER(SEARCH("ROJO",Inventario!B97)),"RJ",
IF(ISNUMBER(SEARCH("AZUL",Inventario!B97)),"AZ","")))))))))))</f>
        <v/>
      </c>
      <c r="F98" t="str">
        <f>IF(ISNUMBER(SEARCH("1,2 MM",Inventario!B97)),"1MM2",
IF(OR(ISNUMBER(SEARCH("2 MM",Inventario!B97)),ISNUMBER(SEARCH("2MM",Inventario!B97))),"2MM",
IF(OR(ISNUMBER(SEARCH("3 MM",Inventario!B97)),ISNUMBER(SEARCH("3MM",Inventario!B97))),"3MM",
IF(OR(ISNUMBER(SEARCH("4 MM",Inventario!B97)),ISNUMBER(SEARCH("4MM",Inventario!B97)),ISNUMBER(SEARCH("4 mm",Inventario!B97))),"4MM",
IF(OR(ISNUMBER(SEARCH("5 MM",Inventario!B97)),ISNUMBER(SEARCH("5MM",Inventario!B97))),"5MM",
IF(OR(ISNUMBER(SEARCH("6 MM",Inventario!B97)),ISNUMBER(SEARCH("6MM",Inventario!B97))),"6MM",
IF(OR(ISNUMBER(SEARCH("10 MM",Inventario!B97)),ISNUMBER(SEARCH("10MM",Inventario!B97))),"10MM","")))))))</f>
        <v/>
      </c>
      <c r="G98" t="str">
        <f>IF(ISNUMBER(SEARCH("ALTA RESISTENCIA",Inventario!B97)),"AR",IF(ISNUMBER(SEARCH("CAMPAÑA",Inventario!B97)),"CA",
IF(OR(ISNUMBER(SEARCH("CALIDO",Inventario!B97)),ISNUMBER(SEARCH("CÁLIDO",Inventario!B97))),"C",
IF(OR(ISNUMBER(SEARCH("TRASLUCIDO",Inventario!B97)),ISNUMBER(SEARCH("TRANSLUCIDO",Inventario!B97))),"TL",
IF(ISNUMBER(SEARCH("NEUTRO",Inventario!B97)),"N",
IF(ISNUMBER(SEARCH("FRIO",Inventario!B97)),"F",""))))))</f>
        <v/>
      </c>
      <c r="H98" t="str">
        <f>IF(ISNUMBER(SEARCH("SILED",Inventario!B97)),"SI",
IF(ISNUMBER(SEARCH("SYDEMEX",Inventario!B97)),"SY",
IF(ISNUMBER(SEARCH("ROHS",Inventario!B97)),"RO",
IF(ISNUMBER(SEARCH("RISHANG",Inventario!B97)),"RS",
IF(ISNUMBER(SEARCH("VYG",Inventario!B97)),"VYG",
IF(ISNUMBER(SEARCH("COLED",Inventario!B97)),"CO",""))))))</f>
        <v/>
      </c>
    </row>
    <row r="99" spans="1:8">
      <c r="A99" t="str">
        <f>IF(ISNUMBER(SEARCH("LONA",Inventario!B98)),"LON",
IF(ISNUMBER(SEARCH("VINIL",Inventario!B98)),"VIN",
IF(ISNUMBER(SEARCH("PANEL DE ALUMINIO COMPUESTO",Inventario!B98)),"PAN-ALU-COM",
IF(ISNUMBER(SEARCH("PVC",Inventario!B98)),"PVC",
IF(ISNUMBER(SEARCH("PAPEL",Inventario!B98)),"PAP",
IF(ISNUMBER(SEARCH("TELA",Inventario!B98)),"TEL",
IF(ISNUMBER(SEARCH("CARTULINA",Inventario!B98)),"CAR",
IF(OR(ISNUMBER(SEARCH("LAMINA",Inventario!B98)),ISNUMBER(SEARCH("LÁMINA",Inventario!B98))),"LAM",
IF(ISNUMBER(SEARCH("ESTIRENO",Inventario!B98)),"EST",
IF(ISNUMBER(SEARCH("FOAMBOARD",Inventario!B98)),"FOA",
IF(ISNUMBER(SEARCH("SOLVENTE",Inventario!B98)),"SOL",
IF(ISNUMBER(SEARCH("TINTA",Inventario!B98)),"TIN",
IF(ISNUMBER(SEARCH("ACRILICO",Inventario!B98)),"ACR",
IF(ISNUMBER(SEARCH("LED",Inventario!B98)),"LED",
IF(ISNUMBER(SEARCH("FUENTE",Inventario!B98)),"FUE",
IF(ISNUMBER(SEARCH("PETG",Inventario!B98)),"PET",
IF(ISNUMBER(SEARCH("ALUMINIO",Inventario!B98)),"ALU",
IF(ISNUMBER(SEARCH("CANAL",Inventario!B98)),"CAN",
IF(ISNUMBER(SEARCH("ESCUADRA",Inventario!B98)),"ESC",
IF(ISNUMBER(SEARCH("SOPORTE",Inventario!B98)),"SOP","OTR")
)))))))))))))))))))</f>
        <v>OTR</v>
      </c>
      <c r="B99" t="str">
        <f>IF(ISNUMBER(SEARCH("CORTE",Inventario!B98)),"COR",
IF(ISNUMBER(SEARCH("CRISTAL",Inventario!B98)),"CR",
IF(OR(ISNUMBER(SEARCH("OPTICO",Inventario!B98)),ISNUMBER(SEARCH("OPTICOS",Inventario!B98)),ISNUMBER(SEARCH("OPTICA",Inventario!B98))),"OP",
IF(ISNUMBER(SEARCH("NANO",Inventario!B98)),"NA",
IF(ISNUMBER(SEARCH("5050",Inventario!B98)),"5050",
IF(ISNUMBER(SEARCH("MICRO",Inventario!B98)),"MI",""))))))</f>
        <v/>
      </c>
      <c r="C99" t="str">
        <f>IF(ISNUMBER(SEARCH("PARED",Inventario!B98)),"PAR",IF(ISNUMBER(SEARCH("MATE",Inventario!B98)),"MAT",
IF(ISNUMBER(SEARCH("FRONT",Inventario!B98)),"FRO",
IF(ISNUMBER(SEARCH("BACK",Inventario!B98)),"BAC",
IF(ISNUMBER(SEARCH("MESH",Inventario!B98)),"MES",
IF(OR(ISNUMBER(SEARCH("BRILLANTE",Inventario!B98)),ISNUMBER(SEARCH("BTE",Inventario!B98))),"BRI",
IF(ISNUMBER(SEARCH("SINTETICA DELGADA",Inventario!B98)),"SD",
IF(ISNUMBER(SEARCH("SINTETICA GRUESA",Inventario!B98)),"SG",
IF(ISNUMBER(SEARCH("ESTATICO",Inventario!B98)),"EST",
IF(ISNUMBER(SEARCH("FLOOR",Inventario!B98)),"FLO",
IF(ISNUMBER(SEARCH("REFLECTIVO",Inventario!B98)),"REF",
IF(ISNUMBER(SEARCH("MICROPERFORADO",Inventario!B98)),"MI",
IF(ISNUMBER(SEARCH("CEPILLADO",Inventario!B98)),"CEP",
IF(ISNUMBER(SEARCH("ESPEJO",Inventario!B98)),"ESP",
IF(OR(ISNUMBER(SEARCH("UNIDIODO",Inventario!B98)),ISNUMBER(SEARCH("1 DIODO",Inventario!B98))),"1D",
IF(ISNUMBER(SEARCH("2 DIODOS",Inventario!B98)),"2D",
IF(ISNUMBER(SEARCH("3 DIODOS",Inventario!B98)),"3D","")))))))))))))))))</f>
        <v/>
      </c>
      <c r="D99" t="str">
        <f>IF(ISNUMBER(SEARCH("LX700",Inventario!B98)),"LX7",
IF(ISNUMBER(SEARCH("GRANDO",Inventario!B98)),"GRA",
IF(OR(ISNUMBER(SEARCH("CAMA PLANA",Inventario!B98)),ISNUMBER(SEARCH("FB700",Inventario!B98))),"CP",
IF(ISNUMBER(SEARCH("LX360",Inventario!B98)),"LX3",
IF(ISNUMBER(SEARCH("XEROX",Inventario!B98)),"XER",
IF(ISNUMBER(SEARCH("18 OZ",Inventario!B98)),"18OZ",
IF(ISNUMBER(SEARCH("15 OZ",Inventario!B98)),"15OZ",
IF(OR(ISNUMBER(SEARCH("13 OZ",Inventario!B98)),ISNUMBER(SEARCH("13 ONZAS",Inventario!B98))),"13OZ",
IF(OR(ISNUMBER(SEARCH("9 OZ",Inventario!B98)),ISNUMBER(SEARCH("9 ONZAS",Inventario!B98))),"09OZ","")))))))))</f>
        <v/>
      </c>
      <c r="E99" t="str">
        <f>IF(OR(ISNUMBER(SEARCH("TRANSPARENTE",Inventario!B98)),ISNUMBER(SEARCH("TRANSPARENTES",Inventario!B98))),"TR",
IF(OR(ISNUMBER(SEARCH("BLANCO",Inventario!B98)),ISNUMBER(SEARCH("BCO",Inventario!B98))),"BL",
IF(ISNUMBER(SEARCH("VERDE",Inventario!B98)),"VR",
IF(ISNUMBER(SEARCH("MORADO",Inventario!B98)),"MR",
IF(ISNUMBER(SEARCH("PLATA",Inventario!B98)),"PL",
IF(ISNUMBER(SEARCH("ORO",Inventario!B98)),"OR",
IF(ISNUMBER(SEARCH("AMARILLO",Inventario!B98)),"AM",
IF(ISNUMBER(SEARCH("NARANJA",Inventario!B98)),"NR",
IF(ISNUMBER(SEARCH("NEGRO",Inventario!B98)),"NG",
IF(ISNUMBER(SEARCH("ROJO",Inventario!B98)),"RJ",
IF(ISNUMBER(SEARCH("AZUL",Inventario!B98)),"AZ","")))))))))))</f>
        <v/>
      </c>
      <c r="F99" t="str">
        <f>IF(ISNUMBER(SEARCH("1,2 MM",Inventario!B98)),"1MM2",
IF(OR(ISNUMBER(SEARCH("2 MM",Inventario!B98)),ISNUMBER(SEARCH("2MM",Inventario!B98))),"2MM",
IF(OR(ISNUMBER(SEARCH("3 MM",Inventario!B98)),ISNUMBER(SEARCH("3MM",Inventario!B98))),"3MM",
IF(OR(ISNUMBER(SEARCH("4 MM",Inventario!B98)),ISNUMBER(SEARCH("4MM",Inventario!B98)),ISNUMBER(SEARCH("4 mm",Inventario!B98))),"4MM",
IF(OR(ISNUMBER(SEARCH("5 MM",Inventario!B98)),ISNUMBER(SEARCH("5MM",Inventario!B98))),"5MM",
IF(OR(ISNUMBER(SEARCH("6 MM",Inventario!B98)),ISNUMBER(SEARCH("6MM",Inventario!B98))),"6MM",
IF(OR(ISNUMBER(SEARCH("10 MM",Inventario!B98)),ISNUMBER(SEARCH("10MM",Inventario!B98))),"10MM","")))))))</f>
        <v/>
      </c>
      <c r="G99" t="str">
        <f>IF(ISNUMBER(SEARCH("ALTA RESISTENCIA",Inventario!B98)),"AR",IF(ISNUMBER(SEARCH("CAMPAÑA",Inventario!B98)),"CA",
IF(OR(ISNUMBER(SEARCH("CALIDO",Inventario!B98)),ISNUMBER(SEARCH("CÁLIDO",Inventario!B98))),"C",
IF(OR(ISNUMBER(SEARCH("TRASLUCIDO",Inventario!B98)),ISNUMBER(SEARCH("TRANSLUCIDO",Inventario!B98))),"TL",
IF(ISNUMBER(SEARCH("NEUTRO",Inventario!B98)),"N",
IF(ISNUMBER(SEARCH("FRIO",Inventario!B98)),"F",""))))))</f>
        <v/>
      </c>
      <c r="H99" t="str">
        <f>IF(ISNUMBER(SEARCH("SILED",Inventario!B98)),"SI",
IF(ISNUMBER(SEARCH("SYDEMEX",Inventario!B98)),"SY",
IF(ISNUMBER(SEARCH("ROHS",Inventario!B98)),"RO",
IF(ISNUMBER(SEARCH("RISHANG",Inventario!B98)),"RS",
IF(ISNUMBER(SEARCH("VYG",Inventario!B98)),"VYG",
IF(ISNUMBER(SEARCH("COLED",Inventario!B98)),"CO",""))))))</f>
        <v/>
      </c>
    </row>
    <row r="100" spans="1:8">
      <c r="A100" t="str">
        <f>IF(ISNUMBER(SEARCH("LONA",Inventario!B99)),"LON",
IF(ISNUMBER(SEARCH("VINIL",Inventario!B99)),"VIN",
IF(ISNUMBER(SEARCH("PANEL DE ALUMINIO COMPUESTO",Inventario!B99)),"PAN-ALU-COM",
IF(ISNUMBER(SEARCH("PVC",Inventario!B99)),"PVC",
IF(ISNUMBER(SEARCH("PAPEL",Inventario!B99)),"PAP",
IF(ISNUMBER(SEARCH("TELA",Inventario!B99)),"TEL",
IF(ISNUMBER(SEARCH("CARTULINA",Inventario!B99)),"CAR",
IF(OR(ISNUMBER(SEARCH("LAMINA",Inventario!B99)),ISNUMBER(SEARCH("LÁMINA",Inventario!B99))),"LAM",
IF(ISNUMBER(SEARCH("ESTIRENO",Inventario!B99)),"EST",
IF(ISNUMBER(SEARCH("FOAMBOARD",Inventario!B99)),"FOA",
IF(ISNUMBER(SEARCH("SOLVENTE",Inventario!B99)),"SOL",
IF(ISNUMBER(SEARCH("TINTA",Inventario!B99)),"TIN",
IF(ISNUMBER(SEARCH("ACRILICO",Inventario!B99)),"ACR",
IF(ISNUMBER(SEARCH("LED",Inventario!B99)),"LED",
IF(ISNUMBER(SEARCH("FUENTE",Inventario!B99)),"FUE",
IF(ISNUMBER(SEARCH("PETG",Inventario!B99)),"PET",
IF(ISNUMBER(SEARCH("ALUMINIO",Inventario!B99)),"ALU",
IF(ISNUMBER(SEARCH("CANAL",Inventario!B99)),"CAN",
IF(ISNUMBER(SEARCH("ESCUADRA",Inventario!B99)),"ESC",
IF(ISNUMBER(SEARCH("SOPORTE",Inventario!B99)),"SOP","OTR")
)))))))))))))))))))</f>
        <v>SOL</v>
      </c>
      <c r="B100" t="str">
        <f>IF(ISNUMBER(SEARCH("CORTE",Inventario!B99)),"COR",
IF(ISNUMBER(SEARCH("CRISTAL",Inventario!B99)),"CR",
IF(OR(ISNUMBER(SEARCH("OPTICO",Inventario!B99)),ISNUMBER(SEARCH("OPTICOS",Inventario!B99)),ISNUMBER(SEARCH("OPTICA",Inventario!B99))),"OP",
IF(ISNUMBER(SEARCH("NANO",Inventario!B99)),"NA",
IF(ISNUMBER(SEARCH("5050",Inventario!B99)),"5050",
IF(ISNUMBER(SEARCH("MICRO",Inventario!B99)),"MI",""))))))</f>
        <v/>
      </c>
      <c r="C100" t="str">
        <f>IF(ISNUMBER(SEARCH("PARED",Inventario!B99)),"PAR",IF(ISNUMBER(SEARCH("MATE",Inventario!B99)),"MAT",
IF(ISNUMBER(SEARCH("FRONT",Inventario!B99)),"FRO",
IF(ISNUMBER(SEARCH("BACK",Inventario!B99)),"BAC",
IF(ISNUMBER(SEARCH("MESH",Inventario!B99)),"MES",
IF(OR(ISNUMBER(SEARCH("BRILLANTE",Inventario!B99)),ISNUMBER(SEARCH("BTE",Inventario!B99))),"BRI",
IF(ISNUMBER(SEARCH("SINTETICA DELGADA",Inventario!B99)),"SD",
IF(ISNUMBER(SEARCH("SINTETICA GRUESA",Inventario!B99)),"SG",
IF(ISNUMBER(SEARCH("ESTATICO",Inventario!B99)),"EST",
IF(ISNUMBER(SEARCH("FLOOR",Inventario!B99)),"FLO",
IF(ISNUMBER(SEARCH("REFLECTIVO",Inventario!B99)),"REF",
IF(ISNUMBER(SEARCH("MICROPERFORADO",Inventario!B99)),"MI",
IF(ISNUMBER(SEARCH("CEPILLADO",Inventario!B99)),"CEP",
IF(ISNUMBER(SEARCH("ESPEJO",Inventario!B99)),"ESP",
IF(OR(ISNUMBER(SEARCH("UNIDIODO",Inventario!B99)),ISNUMBER(SEARCH("1 DIODO",Inventario!B99))),"1D",
IF(ISNUMBER(SEARCH("2 DIODOS",Inventario!B99)),"2D",
IF(ISNUMBER(SEARCH("3 DIODOS",Inventario!B99)),"3D","")))))))))))))))))</f>
        <v/>
      </c>
      <c r="D100" t="str">
        <f>IF(ISNUMBER(SEARCH("LX700",Inventario!B99)),"LX7",
IF(ISNUMBER(SEARCH("GRANDO",Inventario!B99)),"GRA",
IF(OR(ISNUMBER(SEARCH("CAMA PLANA",Inventario!B99)),ISNUMBER(SEARCH("FB700",Inventario!B99))),"CP",
IF(ISNUMBER(SEARCH("LX360",Inventario!B99)),"LX3",
IF(ISNUMBER(SEARCH("XEROX",Inventario!B99)),"XER",
IF(ISNUMBER(SEARCH("18 OZ",Inventario!B99)),"18OZ",
IF(ISNUMBER(SEARCH("15 OZ",Inventario!B99)),"15OZ",
IF(OR(ISNUMBER(SEARCH("13 OZ",Inventario!B99)),ISNUMBER(SEARCH("13 ONZAS",Inventario!B99))),"13OZ",
IF(OR(ISNUMBER(SEARCH("9 OZ",Inventario!B99)),ISNUMBER(SEARCH("9 ONZAS",Inventario!B99))),"09OZ","")))))))))</f>
        <v/>
      </c>
      <c r="E100" t="str">
        <f>IF(OR(ISNUMBER(SEARCH("TRANSPARENTE",Inventario!B99)),ISNUMBER(SEARCH("TRANSPARENTES",Inventario!B99))),"TR",
IF(OR(ISNUMBER(SEARCH("BLANCO",Inventario!B99)),ISNUMBER(SEARCH("BCO",Inventario!B99))),"BL",
IF(ISNUMBER(SEARCH("VERDE",Inventario!B99)),"VR",
IF(ISNUMBER(SEARCH("MORADO",Inventario!B99)),"MR",
IF(ISNUMBER(SEARCH("PLATA",Inventario!B99)),"PL",
IF(ISNUMBER(SEARCH("ORO",Inventario!B99)),"OR",
IF(ISNUMBER(SEARCH("AMARILLO",Inventario!B99)),"AM",
IF(ISNUMBER(SEARCH("NARANJA",Inventario!B99)),"NR",
IF(ISNUMBER(SEARCH("NEGRO",Inventario!B99)),"NG",
IF(ISNUMBER(SEARCH("ROJO",Inventario!B99)),"RJ",
IF(ISNUMBER(SEARCH("AZUL",Inventario!B99)),"AZ","")))))))))))</f>
        <v/>
      </c>
      <c r="F100" t="str">
        <f>IF(ISNUMBER(SEARCH("1,2 MM",Inventario!B99)),"1MM2",
IF(OR(ISNUMBER(SEARCH("2 MM",Inventario!B99)),ISNUMBER(SEARCH("2MM",Inventario!B99))),"2MM",
IF(OR(ISNUMBER(SEARCH("3 MM",Inventario!B99)),ISNUMBER(SEARCH("3MM",Inventario!B99))),"3MM",
IF(OR(ISNUMBER(SEARCH("4 MM",Inventario!B99)),ISNUMBER(SEARCH("4MM",Inventario!B99)),ISNUMBER(SEARCH("4 mm",Inventario!B99))),"4MM",
IF(OR(ISNUMBER(SEARCH("5 MM",Inventario!B99)),ISNUMBER(SEARCH("5MM",Inventario!B99))),"5MM",
IF(OR(ISNUMBER(SEARCH("6 MM",Inventario!B99)),ISNUMBER(SEARCH("6MM",Inventario!B99))),"6MM",
IF(OR(ISNUMBER(SEARCH("10 MM",Inventario!B99)),ISNUMBER(SEARCH("10MM",Inventario!B99))),"10MM","")))))))</f>
        <v/>
      </c>
      <c r="G100" t="str">
        <f>IF(ISNUMBER(SEARCH("ALTA RESISTENCIA",Inventario!B99)),"AR",IF(ISNUMBER(SEARCH("CAMPAÑA",Inventario!B99)),"CA",
IF(OR(ISNUMBER(SEARCH("CALIDO",Inventario!B99)),ISNUMBER(SEARCH("CÁLIDO",Inventario!B99))),"C",
IF(OR(ISNUMBER(SEARCH("TRASLUCIDO",Inventario!B99)),ISNUMBER(SEARCH("TRANSLUCIDO",Inventario!B99))),"TL",
IF(ISNUMBER(SEARCH("NEUTRO",Inventario!B99)),"N",
IF(ISNUMBER(SEARCH("FRIO",Inventario!B99)),"F",""))))))</f>
        <v/>
      </c>
      <c r="H100" t="str">
        <f>IF(ISNUMBER(SEARCH("SILED",Inventario!B99)),"SI",
IF(ISNUMBER(SEARCH("SYDEMEX",Inventario!B99)),"SY",
IF(ISNUMBER(SEARCH("ROHS",Inventario!B99)),"RO",
IF(ISNUMBER(SEARCH("RISHANG",Inventario!B99)),"RS",
IF(ISNUMBER(SEARCH("VYG",Inventario!B99)),"VYG",
IF(ISNUMBER(SEARCH("COLED",Inventario!B99)),"CO",""))))))</f>
        <v/>
      </c>
    </row>
    <row r="101" spans="1:8">
      <c r="A101" t="str">
        <f>IF(ISNUMBER(SEARCH("LONA",Inventario!B100)),"LON",
IF(ISNUMBER(SEARCH("VINIL",Inventario!B100)),"VIN",
IF(ISNUMBER(SEARCH("PANEL DE ALUMINIO COMPUESTO",Inventario!B100)),"PAN-ALU-COM",
IF(ISNUMBER(SEARCH("PVC",Inventario!B100)),"PVC",
IF(ISNUMBER(SEARCH("PAPEL",Inventario!B100)),"PAP",
IF(ISNUMBER(SEARCH("TELA",Inventario!B100)),"TEL",
IF(ISNUMBER(SEARCH("CARTULINA",Inventario!B100)),"CAR",
IF(OR(ISNUMBER(SEARCH("LAMINA",Inventario!B100)),ISNUMBER(SEARCH("LÁMINA",Inventario!B100))),"LAM",
IF(ISNUMBER(SEARCH("ESTIRENO",Inventario!B100)),"EST",
IF(ISNUMBER(SEARCH("FOAMBOARD",Inventario!B100)),"FOA",
IF(ISNUMBER(SEARCH("SOLVENTE",Inventario!B100)),"SOL",
IF(ISNUMBER(SEARCH("TINTA",Inventario!B100)),"TIN",
IF(ISNUMBER(SEARCH("ACRILICO",Inventario!B100)),"ACR",
IF(ISNUMBER(SEARCH("LED",Inventario!B100)),"LED",
IF(ISNUMBER(SEARCH("FUENTE",Inventario!B100)),"FUE",
IF(ISNUMBER(SEARCH("PETG",Inventario!B100)),"PET",
IF(ISNUMBER(SEARCH("ALUMINIO",Inventario!B100)),"ALU",
IF(ISNUMBER(SEARCH("CANAL",Inventario!B100)),"CAN",
IF(ISNUMBER(SEARCH("ESCUADRA",Inventario!B100)),"ESC",
IF(ISNUMBER(SEARCH("SOPORTE",Inventario!B100)),"SOP","OTR")
)))))))))))))))))))</f>
        <v>SOL</v>
      </c>
      <c r="B101" t="str">
        <f>IF(ISNUMBER(SEARCH("CORTE",Inventario!B100)),"COR",
IF(ISNUMBER(SEARCH("CRISTAL",Inventario!B100)),"CR",
IF(OR(ISNUMBER(SEARCH("OPTICO",Inventario!B100)),ISNUMBER(SEARCH("OPTICOS",Inventario!B100)),ISNUMBER(SEARCH("OPTICA",Inventario!B100))),"OP",
IF(ISNUMBER(SEARCH("NANO",Inventario!B100)),"NA",
IF(ISNUMBER(SEARCH("5050",Inventario!B100)),"5050",
IF(ISNUMBER(SEARCH("MICRO",Inventario!B100)),"MI",""))))))</f>
        <v/>
      </c>
      <c r="C101" t="str">
        <f>IF(ISNUMBER(SEARCH("PARED",Inventario!B100)),"PAR",IF(ISNUMBER(SEARCH("MATE",Inventario!B100)),"MAT",
IF(ISNUMBER(SEARCH("FRONT",Inventario!B100)),"FRO",
IF(ISNUMBER(SEARCH("BACK",Inventario!B100)),"BAC",
IF(ISNUMBER(SEARCH("MESH",Inventario!B100)),"MES",
IF(OR(ISNUMBER(SEARCH("BRILLANTE",Inventario!B100)),ISNUMBER(SEARCH("BTE",Inventario!B100))),"BRI",
IF(ISNUMBER(SEARCH("SINTETICA DELGADA",Inventario!B100)),"SD",
IF(ISNUMBER(SEARCH("SINTETICA GRUESA",Inventario!B100)),"SG",
IF(ISNUMBER(SEARCH("ESTATICO",Inventario!B100)),"EST",
IF(ISNUMBER(SEARCH("FLOOR",Inventario!B100)),"FLO",
IF(ISNUMBER(SEARCH("REFLECTIVO",Inventario!B100)),"REF",
IF(ISNUMBER(SEARCH("MICROPERFORADO",Inventario!B100)),"MI",
IF(ISNUMBER(SEARCH("CEPILLADO",Inventario!B100)),"CEP",
IF(ISNUMBER(SEARCH("ESPEJO",Inventario!B100)),"ESP",
IF(OR(ISNUMBER(SEARCH("UNIDIODO",Inventario!B100)),ISNUMBER(SEARCH("1 DIODO",Inventario!B100))),"1D",
IF(ISNUMBER(SEARCH("2 DIODOS",Inventario!B100)),"2D",
IF(ISNUMBER(SEARCH("3 DIODOS",Inventario!B100)),"3D","")))))))))))))))))</f>
        <v/>
      </c>
      <c r="D101" t="str">
        <f>IF(ISNUMBER(SEARCH("LX700",Inventario!B100)),"LX7",
IF(ISNUMBER(SEARCH("GRANDO",Inventario!B100)),"GRA",
IF(OR(ISNUMBER(SEARCH("CAMA PLANA",Inventario!B100)),ISNUMBER(SEARCH("FB700",Inventario!B100))),"CP",
IF(ISNUMBER(SEARCH("LX360",Inventario!B100)),"LX3",
IF(ISNUMBER(SEARCH("XEROX",Inventario!B100)),"XER",
IF(ISNUMBER(SEARCH("18 OZ",Inventario!B100)),"18OZ",
IF(ISNUMBER(SEARCH("15 OZ",Inventario!B100)),"15OZ",
IF(OR(ISNUMBER(SEARCH("13 OZ",Inventario!B100)),ISNUMBER(SEARCH("13 ONZAS",Inventario!B100))),"13OZ",
IF(OR(ISNUMBER(SEARCH("9 OZ",Inventario!B100)),ISNUMBER(SEARCH("9 ONZAS",Inventario!B100))),"09OZ","")))))))))</f>
        <v>CP</v>
      </c>
      <c r="E101" t="str">
        <f>IF(OR(ISNUMBER(SEARCH("TRANSPARENTE",Inventario!B100)),ISNUMBER(SEARCH("TRANSPARENTES",Inventario!B100))),"TR",
IF(OR(ISNUMBER(SEARCH("BLANCO",Inventario!B100)),ISNUMBER(SEARCH("BCO",Inventario!B100))),"BL",
IF(ISNUMBER(SEARCH("VERDE",Inventario!B100)),"VR",
IF(ISNUMBER(SEARCH("MORADO",Inventario!B100)),"MR",
IF(ISNUMBER(SEARCH("PLATA",Inventario!B100)),"PL",
IF(ISNUMBER(SEARCH("ORO",Inventario!B100)),"OR",
IF(ISNUMBER(SEARCH("AMARILLO",Inventario!B100)),"AM",
IF(ISNUMBER(SEARCH("NARANJA",Inventario!B100)),"NR",
IF(ISNUMBER(SEARCH("NEGRO",Inventario!B100)),"NG",
IF(ISNUMBER(SEARCH("ROJO",Inventario!B100)),"RJ",
IF(ISNUMBER(SEARCH("AZUL",Inventario!B100)),"AZ","")))))))))))</f>
        <v/>
      </c>
      <c r="F101" t="str">
        <f>IF(ISNUMBER(SEARCH("1,2 MM",Inventario!B100)),"1MM2",
IF(OR(ISNUMBER(SEARCH("2 MM",Inventario!B100)),ISNUMBER(SEARCH("2MM",Inventario!B100))),"2MM",
IF(OR(ISNUMBER(SEARCH("3 MM",Inventario!B100)),ISNUMBER(SEARCH("3MM",Inventario!B100))),"3MM",
IF(OR(ISNUMBER(SEARCH("4 MM",Inventario!B100)),ISNUMBER(SEARCH("4MM",Inventario!B100)),ISNUMBER(SEARCH("4 mm",Inventario!B100))),"4MM",
IF(OR(ISNUMBER(SEARCH("5 MM",Inventario!B100)),ISNUMBER(SEARCH("5MM",Inventario!B100))),"5MM",
IF(OR(ISNUMBER(SEARCH("6 MM",Inventario!B100)),ISNUMBER(SEARCH("6MM",Inventario!B100))),"6MM",
IF(OR(ISNUMBER(SEARCH("10 MM",Inventario!B100)),ISNUMBER(SEARCH("10MM",Inventario!B100))),"10MM","")))))))</f>
        <v/>
      </c>
      <c r="G101" t="str">
        <f>IF(ISNUMBER(SEARCH("ALTA RESISTENCIA",Inventario!B100)),"AR",IF(ISNUMBER(SEARCH("CAMPAÑA",Inventario!B100)),"CA",
IF(OR(ISNUMBER(SEARCH("CALIDO",Inventario!B100)),ISNUMBER(SEARCH("CÁLIDO",Inventario!B100))),"C",
IF(OR(ISNUMBER(SEARCH("TRASLUCIDO",Inventario!B100)),ISNUMBER(SEARCH("TRANSLUCIDO",Inventario!B100))),"TL",
IF(ISNUMBER(SEARCH("NEUTRO",Inventario!B100)),"N",
IF(ISNUMBER(SEARCH("FRIO",Inventario!B100)),"F",""))))))</f>
        <v/>
      </c>
      <c r="H101" t="str">
        <f>IF(ISNUMBER(SEARCH("SILED",Inventario!B100)),"SI",
IF(ISNUMBER(SEARCH("SYDEMEX",Inventario!B100)),"SY",
IF(ISNUMBER(SEARCH("ROHS",Inventario!B100)),"RO",
IF(ISNUMBER(SEARCH("RISHANG",Inventario!B100)),"RS",
IF(ISNUMBER(SEARCH("VYG",Inventario!B100)),"VYG",
IF(ISNUMBER(SEARCH("COLED",Inventario!B100)),"CO",""))))))</f>
        <v/>
      </c>
    </row>
    <row r="102" spans="1:8">
      <c r="A102" t="str">
        <f>IF(ISNUMBER(SEARCH("LONA",Inventario!B101)),"LON",
IF(ISNUMBER(SEARCH("VINIL",Inventario!B101)),"VIN",
IF(ISNUMBER(SEARCH("PANEL DE ALUMINIO COMPUESTO",Inventario!B101)),"PAN-ALU-COM",
IF(ISNUMBER(SEARCH("PVC",Inventario!B101)),"PVC",
IF(ISNUMBER(SEARCH("PAPEL",Inventario!B101)),"PAP",
IF(ISNUMBER(SEARCH("TELA",Inventario!B101)),"TEL",
IF(ISNUMBER(SEARCH("CARTULINA",Inventario!B101)),"CAR",
IF(OR(ISNUMBER(SEARCH("LAMINA",Inventario!B101)),ISNUMBER(SEARCH("LÁMINA",Inventario!B101))),"LAM",
IF(ISNUMBER(SEARCH("ESTIRENO",Inventario!B101)),"EST",
IF(ISNUMBER(SEARCH("FOAMBOARD",Inventario!B101)),"FOA",
IF(ISNUMBER(SEARCH("SOLVENTE",Inventario!B101)),"SOL",
IF(ISNUMBER(SEARCH("TINTA",Inventario!B101)),"TIN",
IF(ISNUMBER(SEARCH("ACRILICO",Inventario!B101)),"ACR",
IF(ISNUMBER(SEARCH("LED",Inventario!B101)),"LED",
IF(ISNUMBER(SEARCH("FUENTE",Inventario!B101)),"FUE",
IF(ISNUMBER(SEARCH("PETG",Inventario!B101)),"PET",
IF(ISNUMBER(SEARCH("ALUMINIO",Inventario!B101)),"ALU",
IF(ISNUMBER(SEARCH("CANAL",Inventario!B101)),"CAN",
IF(ISNUMBER(SEARCH("ESCUADRA",Inventario!B101)),"ESC",
IF(ISNUMBER(SEARCH("SOPORTE",Inventario!B101)),"SOP","OTR")
)))))))))))))))))))</f>
        <v>TIN</v>
      </c>
      <c r="B102" t="str">
        <f>IF(ISNUMBER(SEARCH("CORTE",Inventario!B101)),"COR",
IF(ISNUMBER(SEARCH("CRISTAL",Inventario!B101)),"CR",
IF(OR(ISNUMBER(SEARCH("OPTICO",Inventario!B101)),ISNUMBER(SEARCH("OPTICOS",Inventario!B101)),ISNUMBER(SEARCH("OPTICA",Inventario!B101))),"OP",
IF(ISNUMBER(SEARCH("NANO",Inventario!B101)),"NA",
IF(ISNUMBER(SEARCH("5050",Inventario!B101)),"5050",
IF(ISNUMBER(SEARCH("MICRO",Inventario!B101)),"MI",""))))))</f>
        <v/>
      </c>
      <c r="C102" t="str">
        <f>IF(ISNUMBER(SEARCH("PARED",Inventario!B101)),"PAR",IF(ISNUMBER(SEARCH("MATE",Inventario!B101)),"MAT",
IF(ISNUMBER(SEARCH("FRONT",Inventario!B101)),"FRO",
IF(ISNUMBER(SEARCH("BACK",Inventario!B101)),"BAC",
IF(ISNUMBER(SEARCH("MESH",Inventario!B101)),"MES",
IF(OR(ISNUMBER(SEARCH("BRILLANTE",Inventario!B101)),ISNUMBER(SEARCH("BTE",Inventario!B101))),"BRI",
IF(ISNUMBER(SEARCH("SINTETICA DELGADA",Inventario!B101)),"SD",
IF(ISNUMBER(SEARCH("SINTETICA GRUESA",Inventario!B101)),"SG",
IF(ISNUMBER(SEARCH("ESTATICO",Inventario!B101)),"EST",
IF(ISNUMBER(SEARCH("FLOOR",Inventario!B101)),"FLO",
IF(ISNUMBER(SEARCH("REFLECTIVO",Inventario!B101)),"REF",
IF(ISNUMBER(SEARCH("MICROPERFORADO",Inventario!B101)),"MI",
IF(ISNUMBER(SEARCH("CEPILLADO",Inventario!B101)),"CEP",
IF(ISNUMBER(SEARCH("ESPEJO",Inventario!B101)),"ESP",
IF(OR(ISNUMBER(SEARCH("UNIDIODO",Inventario!B101)),ISNUMBER(SEARCH("1 DIODO",Inventario!B101))),"1D",
IF(ISNUMBER(SEARCH("2 DIODOS",Inventario!B101)),"2D",
IF(ISNUMBER(SEARCH("3 DIODOS",Inventario!B101)),"3D","")))))))))))))))))</f>
        <v/>
      </c>
      <c r="D102" t="str">
        <f>IF(ISNUMBER(SEARCH("LX700",Inventario!B101)),"LX7",
IF(ISNUMBER(SEARCH("GRANDO",Inventario!B101)),"GRA",
IF(OR(ISNUMBER(SEARCH("CAMA PLANA",Inventario!B101)),ISNUMBER(SEARCH("FB700",Inventario!B101))),"CP",
IF(ISNUMBER(SEARCH("LX360",Inventario!B101)),"LX3",
IF(ISNUMBER(SEARCH("XEROX",Inventario!B101)),"XER",
IF(ISNUMBER(SEARCH("18 OZ",Inventario!B101)),"18OZ",
IF(ISNUMBER(SEARCH("15 OZ",Inventario!B101)),"15OZ",
IF(OR(ISNUMBER(SEARCH("13 OZ",Inventario!B101)),ISNUMBER(SEARCH("13 ONZAS",Inventario!B101))),"13OZ",
IF(OR(ISNUMBER(SEARCH("9 OZ",Inventario!B101)),ISNUMBER(SEARCH("9 ONZAS",Inventario!B101))),"09OZ","")))))))))</f>
        <v>LX7</v>
      </c>
      <c r="E102" t="str">
        <f>IF(OR(ISNUMBER(SEARCH("TRANSPARENTE",Inventario!B101)),ISNUMBER(SEARCH("TRANSPARENTES",Inventario!B101))),"TR",
IF(OR(ISNUMBER(SEARCH("BLANCO",Inventario!B101)),ISNUMBER(SEARCH("BCO",Inventario!B101))),"BL",
IF(ISNUMBER(SEARCH("VERDE",Inventario!B101)),"VR",
IF(ISNUMBER(SEARCH("MORADO",Inventario!B101)),"MR",
IF(ISNUMBER(SEARCH("PLATA",Inventario!B101)),"PL",
IF(ISNUMBER(SEARCH("ORO",Inventario!B101)),"OR",
IF(ISNUMBER(SEARCH("AMARILLO",Inventario!B101)),"AM",
IF(ISNUMBER(SEARCH("NARANJA",Inventario!B101)),"NR",
IF(ISNUMBER(SEARCH("NEGRO",Inventario!B101)),"NG",
IF(ISNUMBER(SEARCH("ROJO",Inventario!B101)),"RJ",
IF(ISNUMBER(SEARCH("AZUL",Inventario!B101)),"AZ","")))))))))))</f>
        <v/>
      </c>
      <c r="F102" t="str">
        <f>IF(ISNUMBER(SEARCH("1,2 MM",Inventario!B101)),"1MM2",
IF(OR(ISNUMBER(SEARCH("2 MM",Inventario!B101)),ISNUMBER(SEARCH("2MM",Inventario!B101))),"2MM",
IF(OR(ISNUMBER(SEARCH("3 MM",Inventario!B101)),ISNUMBER(SEARCH("3MM",Inventario!B101))),"3MM",
IF(OR(ISNUMBER(SEARCH("4 MM",Inventario!B101)),ISNUMBER(SEARCH("4MM",Inventario!B101)),ISNUMBER(SEARCH("4 mm",Inventario!B101))),"4MM",
IF(OR(ISNUMBER(SEARCH("5 MM",Inventario!B101)),ISNUMBER(SEARCH("5MM",Inventario!B101))),"5MM",
IF(OR(ISNUMBER(SEARCH("6 MM",Inventario!B101)),ISNUMBER(SEARCH("6MM",Inventario!B101))),"6MM",
IF(OR(ISNUMBER(SEARCH("10 MM",Inventario!B101)),ISNUMBER(SEARCH("10MM",Inventario!B101))),"10MM","")))))))</f>
        <v/>
      </c>
      <c r="G102" t="str">
        <f>IF(ISNUMBER(SEARCH("ALTA RESISTENCIA",Inventario!B101)),"AR",IF(ISNUMBER(SEARCH("CAMPAÑA",Inventario!B101)),"CA",
IF(OR(ISNUMBER(SEARCH("CALIDO",Inventario!B101)),ISNUMBER(SEARCH("CÁLIDO",Inventario!B101))),"C",
IF(OR(ISNUMBER(SEARCH("TRASLUCIDO",Inventario!B101)),ISNUMBER(SEARCH("TRANSLUCIDO",Inventario!B101))),"TL",
IF(ISNUMBER(SEARCH("NEUTRO",Inventario!B101)),"N",
IF(ISNUMBER(SEARCH("FRIO",Inventario!B101)),"F",""))))))</f>
        <v/>
      </c>
      <c r="H102" t="str">
        <f>IF(ISNUMBER(SEARCH("SILED",Inventario!B101)),"SI",
IF(ISNUMBER(SEARCH("SYDEMEX",Inventario!B101)),"SY",
IF(ISNUMBER(SEARCH("ROHS",Inventario!B101)),"RO",
IF(ISNUMBER(SEARCH("RISHANG",Inventario!B101)),"RS",
IF(ISNUMBER(SEARCH("VYG",Inventario!B101)),"VYG",
IF(ISNUMBER(SEARCH("COLED",Inventario!B101)),"CO",""))))))</f>
        <v/>
      </c>
    </row>
    <row r="103" spans="1:8">
      <c r="A103" t="str">
        <f>IF(ISNUMBER(SEARCH("LONA",Inventario!B102)),"LON",
IF(ISNUMBER(SEARCH("VINIL",Inventario!B102)),"VIN",
IF(ISNUMBER(SEARCH("PANEL DE ALUMINIO COMPUESTO",Inventario!B102)),"PAN-ALU-COM",
IF(ISNUMBER(SEARCH("PVC",Inventario!B102)),"PVC",
IF(ISNUMBER(SEARCH("PAPEL",Inventario!B102)),"PAP",
IF(ISNUMBER(SEARCH("TELA",Inventario!B102)),"TEL",
IF(ISNUMBER(SEARCH("CARTULINA",Inventario!B102)),"CAR",
IF(OR(ISNUMBER(SEARCH("LAMINA",Inventario!B102)),ISNUMBER(SEARCH("LÁMINA",Inventario!B102))),"LAM",
IF(ISNUMBER(SEARCH("ESTIRENO",Inventario!B102)),"EST",
IF(ISNUMBER(SEARCH("FOAMBOARD",Inventario!B102)),"FOA",
IF(ISNUMBER(SEARCH("SOLVENTE",Inventario!B102)),"SOL",
IF(ISNUMBER(SEARCH("TINTA",Inventario!B102)),"TIN",
IF(ISNUMBER(SEARCH("ACRILICO",Inventario!B102)),"ACR",
IF(ISNUMBER(SEARCH("LED",Inventario!B102)),"LED",
IF(ISNUMBER(SEARCH("FUENTE",Inventario!B102)),"FUE",
IF(ISNUMBER(SEARCH("PETG",Inventario!B102)),"PET",
IF(ISNUMBER(SEARCH("ALUMINIO",Inventario!B102)),"ALU",
IF(ISNUMBER(SEARCH("CANAL",Inventario!B102)),"CAN",
IF(ISNUMBER(SEARCH("ESCUADRA",Inventario!B102)),"ESC",
IF(ISNUMBER(SEARCH("SOPORTE",Inventario!B102)),"SOP","OTR")
)))))))))))))))))))</f>
        <v>TIN</v>
      </c>
      <c r="B103" t="str">
        <f>IF(ISNUMBER(SEARCH("CORTE",Inventario!B102)),"COR",
IF(ISNUMBER(SEARCH("CRISTAL",Inventario!B102)),"CR",
IF(OR(ISNUMBER(SEARCH("OPTICO",Inventario!B102)),ISNUMBER(SEARCH("OPTICOS",Inventario!B102)),ISNUMBER(SEARCH("OPTICA",Inventario!B102))),"OP",
IF(ISNUMBER(SEARCH("NANO",Inventario!B102)),"NA",
IF(ISNUMBER(SEARCH("5050",Inventario!B102)),"5050",
IF(ISNUMBER(SEARCH("MICRO",Inventario!B102)),"MI",""))))))</f>
        <v/>
      </c>
      <c r="C103" t="str">
        <f>IF(ISNUMBER(SEARCH("PARED",Inventario!B102)),"PAR",IF(ISNUMBER(SEARCH("MATE",Inventario!B102)),"MAT",
IF(ISNUMBER(SEARCH("FRONT",Inventario!B102)),"FRO",
IF(ISNUMBER(SEARCH("BACK",Inventario!B102)),"BAC",
IF(ISNUMBER(SEARCH("MESH",Inventario!B102)),"MES",
IF(OR(ISNUMBER(SEARCH("BRILLANTE",Inventario!B102)),ISNUMBER(SEARCH("BTE",Inventario!B102))),"BRI",
IF(ISNUMBER(SEARCH("SINTETICA DELGADA",Inventario!B102)),"SD",
IF(ISNUMBER(SEARCH("SINTETICA GRUESA",Inventario!B102)),"SG",
IF(ISNUMBER(SEARCH("ESTATICO",Inventario!B102)),"EST",
IF(ISNUMBER(SEARCH("FLOOR",Inventario!B102)),"FLO",
IF(ISNUMBER(SEARCH("REFLECTIVO",Inventario!B102)),"REF",
IF(ISNUMBER(SEARCH("MICROPERFORADO",Inventario!B102)),"MI",
IF(ISNUMBER(SEARCH("CEPILLADO",Inventario!B102)),"CEP",
IF(ISNUMBER(SEARCH("ESPEJO",Inventario!B102)),"ESP",
IF(OR(ISNUMBER(SEARCH("UNIDIODO",Inventario!B102)),ISNUMBER(SEARCH("1 DIODO",Inventario!B102))),"1D",
IF(ISNUMBER(SEARCH("2 DIODOS",Inventario!B102)),"2D",
IF(ISNUMBER(SEARCH("3 DIODOS",Inventario!B102)),"3D","")))))))))))))))))</f>
        <v/>
      </c>
      <c r="D103" t="str">
        <f>IF(ISNUMBER(SEARCH("LX700",Inventario!B102)),"LX7",
IF(ISNUMBER(SEARCH("GRANDO",Inventario!B102)),"GRA",
IF(OR(ISNUMBER(SEARCH("CAMA PLANA",Inventario!B102)),ISNUMBER(SEARCH("FB700",Inventario!B102))),"CP",
IF(ISNUMBER(SEARCH("LX360",Inventario!B102)),"LX3",
IF(ISNUMBER(SEARCH("XEROX",Inventario!B102)),"XER",
IF(ISNUMBER(SEARCH("18 OZ",Inventario!B102)),"18OZ",
IF(ISNUMBER(SEARCH("15 OZ",Inventario!B102)),"15OZ",
IF(OR(ISNUMBER(SEARCH("13 OZ",Inventario!B102)),ISNUMBER(SEARCH("13 ONZAS",Inventario!B102))),"13OZ",
IF(OR(ISNUMBER(SEARCH("9 OZ",Inventario!B102)),ISNUMBER(SEARCH("9 ONZAS",Inventario!B102))),"09OZ","")))))))))</f>
        <v>LX7</v>
      </c>
      <c r="E103" t="str">
        <f>IF(OR(ISNUMBER(SEARCH("TRANSPARENTE",Inventario!B102)),ISNUMBER(SEARCH("TRANSPARENTES",Inventario!B102))),"TR",
IF(OR(ISNUMBER(SEARCH("BLANCO",Inventario!B102)),ISNUMBER(SEARCH("BCO",Inventario!B102))),"BL",
IF(ISNUMBER(SEARCH("VERDE",Inventario!B102)),"VR",
IF(ISNUMBER(SEARCH("MORADO",Inventario!B102)),"MR",
IF(ISNUMBER(SEARCH("PLATA",Inventario!B102)),"PL",
IF(ISNUMBER(SEARCH("ORO",Inventario!B102)),"OR",
IF(ISNUMBER(SEARCH("AMARILLO",Inventario!B102)),"AM",
IF(ISNUMBER(SEARCH("NARANJA",Inventario!B102)),"NR",
IF(ISNUMBER(SEARCH("NEGRO",Inventario!B102)),"NG",
IF(ISNUMBER(SEARCH("ROJO",Inventario!B102)),"RJ",
IF(ISNUMBER(SEARCH("AZUL",Inventario!B102)),"AZ","")))))))))))</f>
        <v/>
      </c>
      <c r="F103" t="str">
        <f>IF(ISNUMBER(SEARCH("1,2 MM",Inventario!B102)),"1MM2",
IF(OR(ISNUMBER(SEARCH("2 MM",Inventario!B102)),ISNUMBER(SEARCH("2MM",Inventario!B102))),"2MM",
IF(OR(ISNUMBER(SEARCH("3 MM",Inventario!B102)),ISNUMBER(SEARCH("3MM",Inventario!B102))),"3MM",
IF(OR(ISNUMBER(SEARCH("4 MM",Inventario!B102)),ISNUMBER(SEARCH("4MM",Inventario!B102)),ISNUMBER(SEARCH("4 mm",Inventario!B102))),"4MM",
IF(OR(ISNUMBER(SEARCH("5 MM",Inventario!B102)),ISNUMBER(SEARCH("5MM",Inventario!B102))),"5MM",
IF(OR(ISNUMBER(SEARCH("6 MM",Inventario!B102)),ISNUMBER(SEARCH("6MM",Inventario!B102))),"6MM",
IF(OR(ISNUMBER(SEARCH("10 MM",Inventario!B102)),ISNUMBER(SEARCH("10MM",Inventario!B102))),"10MM","")))))))</f>
        <v/>
      </c>
      <c r="G103" t="str">
        <f>IF(ISNUMBER(SEARCH("ALTA RESISTENCIA",Inventario!B102)),"AR",IF(ISNUMBER(SEARCH("CAMPAÑA",Inventario!B102)),"CA",
IF(OR(ISNUMBER(SEARCH("CALIDO",Inventario!B102)),ISNUMBER(SEARCH("CÁLIDO",Inventario!B102))),"C",
IF(OR(ISNUMBER(SEARCH("TRASLUCIDO",Inventario!B102)),ISNUMBER(SEARCH("TRANSLUCIDO",Inventario!B102))),"TL",
IF(ISNUMBER(SEARCH("NEUTRO",Inventario!B102)),"N",
IF(ISNUMBER(SEARCH("FRIO",Inventario!B102)),"F",""))))))</f>
        <v/>
      </c>
      <c r="H103" t="str">
        <f>IF(ISNUMBER(SEARCH("SILED",Inventario!B102)),"SI",
IF(ISNUMBER(SEARCH("SYDEMEX",Inventario!B102)),"SY",
IF(ISNUMBER(SEARCH("ROHS",Inventario!B102)),"RO",
IF(ISNUMBER(SEARCH("RISHANG",Inventario!B102)),"RS",
IF(ISNUMBER(SEARCH("VYG",Inventario!B102)),"VYG",
IF(ISNUMBER(SEARCH("COLED",Inventario!B102)),"CO",""))))))</f>
        <v/>
      </c>
    </row>
    <row r="104" spans="1:8">
      <c r="A104" t="str">
        <f>IF(ISNUMBER(SEARCH("LONA",Inventario!B103)),"LON",
IF(ISNUMBER(SEARCH("VINIL",Inventario!B103)),"VIN",
IF(ISNUMBER(SEARCH("PANEL DE ALUMINIO COMPUESTO",Inventario!B103)),"PAN-ALU-COM",
IF(ISNUMBER(SEARCH("PVC",Inventario!B103)),"PVC",
IF(ISNUMBER(SEARCH("PAPEL",Inventario!B103)),"PAP",
IF(ISNUMBER(SEARCH("TELA",Inventario!B103)),"TEL",
IF(ISNUMBER(SEARCH("CARTULINA",Inventario!B103)),"CAR",
IF(OR(ISNUMBER(SEARCH("LAMINA",Inventario!B103)),ISNUMBER(SEARCH("LÁMINA",Inventario!B103))),"LAM",
IF(ISNUMBER(SEARCH("ESTIRENO",Inventario!B103)),"EST",
IF(ISNUMBER(SEARCH("FOAMBOARD",Inventario!B103)),"FOA",
IF(ISNUMBER(SEARCH("SOLVENTE",Inventario!B103)),"SOL",
IF(ISNUMBER(SEARCH("TINTA",Inventario!B103)),"TIN",
IF(ISNUMBER(SEARCH("ACRILICO",Inventario!B103)),"ACR",
IF(ISNUMBER(SEARCH("LED",Inventario!B103)),"LED",
IF(ISNUMBER(SEARCH("FUENTE",Inventario!B103)),"FUE",
IF(ISNUMBER(SEARCH("PETG",Inventario!B103)),"PET",
IF(ISNUMBER(SEARCH("ALUMINIO",Inventario!B103)),"ALU",
IF(ISNUMBER(SEARCH("CANAL",Inventario!B103)),"CAN",
IF(ISNUMBER(SEARCH("ESCUADRA",Inventario!B103)),"ESC",
IF(ISNUMBER(SEARCH("SOPORTE",Inventario!B103)),"SOP","OTR")
)))))))))))))))))))</f>
        <v>TIN</v>
      </c>
      <c r="B104" t="str">
        <f>IF(ISNUMBER(SEARCH("CORTE",Inventario!B103)),"COR",
IF(ISNUMBER(SEARCH("CRISTAL",Inventario!B103)),"CR",
IF(OR(ISNUMBER(SEARCH("OPTICO",Inventario!B103)),ISNUMBER(SEARCH("OPTICOS",Inventario!B103)),ISNUMBER(SEARCH("OPTICA",Inventario!B103))),"OP",
IF(ISNUMBER(SEARCH("NANO",Inventario!B103)),"NA",
IF(ISNUMBER(SEARCH("5050",Inventario!B103)),"5050",
IF(ISNUMBER(SEARCH("MICRO",Inventario!B103)),"MI",""))))))</f>
        <v/>
      </c>
      <c r="C104" t="str">
        <f>IF(ISNUMBER(SEARCH("PARED",Inventario!B103)),"PAR",IF(ISNUMBER(SEARCH("MATE",Inventario!B103)),"MAT",
IF(ISNUMBER(SEARCH("FRONT",Inventario!B103)),"FRO",
IF(ISNUMBER(SEARCH("BACK",Inventario!B103)),"BAC",
IF(ISNUMBER(SEARCH("MESH",Inventario!B103)),"MES",
IF(OR(ISNUMBER(SEARCH("BRILLANTE",Inventario!B103)),ISNUMBER(SEARCH("BTE",Inventario!B103))),"BRI",
IF(ISNUMBER(SEARCH("SINTETICA DELGADA",Inventario!B103)),"SD",
IF(ISNUMBER(SEARCH("SINTETICA GRUESA",Inventario!B103)),"SG",
IF(ISNUMBER(SEARCH("ESTATICO",Inventario!B103)),"EST",
IF(ISNUMBER(SEARCH("FLOOR",Inventario!B103)),"FLO",
IF(ISNUMBER(SEARCH("REFLECTIVO",Inventario!B103)),"REF",
IF(ISNUMBER(SEARCH("MICROPERFORADO",Inventario!B103)),"MI",
IF(ISNUMBER(SEARCH("CEPILLADO",Inventario!B103)),"CEP",
IF(ISNUMBER(SEARCH("ESPEJO",Inventario!B103)),"ESP",
IF(OR(ISNUMBER(SEARCH("UNIDIODO",Inventario!B103)),ISNUMBER(SEARCH("1 DIODO",Inventario!B103))),"1D",
IF(ISNUMBER(SEARCH("2 DIODOS",Inventario!B103)),"2D",
IF(ISNUMBER(SEARCH("3 DIODOS",Inventario!B103)),"3D","")))))))))))))))))</f>
        <v/>
      </c>
      <c r="D104" t="str">
        <f>IF(ISNUMBER(SEARCH("LX700",Inventario!B103)),"LX7",
IF(ISNUMBER(SEARCH("GRANDO",Inventario!B103)),"GRA",
IF(OR(ISNUMBER(SEARCH("CAMA PLANA",Inventario!B103)),ISNUMBER(SEARCH("FB700",Inventario!B103))),"CP",
IF(ISNUMBER(SEARCH("LX360",Inventario!B103)),"LX3",
IF(ISNUMBER(SEARCH("XEROX",Inventario!B103)),"XER",
IF(ISNUMBER(SEARCH("18 OZ",Inventario!B103)),"18OZ",
IF(ISNUMBER(SEARCH("15 OZ",Inventario!B103)),"15OZ",
IF(OR(ISNUMBER(SEARCH("13 OZ",Inventario!B103)),ISNUMBER(SEARCH("13 ONZAS",Inventario!B103))),"13OZ",
IF(OR(ISNUMBER(SEARCH("9 OZ",Inventario!B103)),ISNUMBER(SEARCH("9 ONZAS",Inventario!B103))),"09OZ","")))))))))</f>
        <v>LX7</v>
      </c>
      <c r="E104" t="str">
        <f>IF(OR(ISNUMBER(SEARCH("TRANSPARENTE",Inventario!B103)),ISNUMBER(SEARCH("TRANSPARENTES",Inventario!B103))),"TR",
IF(OR(ISNUMBER(SEARCH("BLANCO",Inventario!B103)),ISNUMBER(SEARCH("BCO",Inventario!B103))),"BL",
IF(ISNUMBER(SEARCH("VERDE",Inventario!B103)),"VR",
IF(ISNUMBER(SEARCH("MORADO",Inventario!B103)),"MR",
IF(ISNUMBER(SEARCH("PLATA",Inventario!B103)),"PL",
IF(ISNUMBER(SEARCH("ORO",Inventario!B103)),"OR",
IF(ISNUMBER(SEARCH("AMARILLO",Inventario!B103)),"AM",
IF(ISNUMBER(SEARCH("NARANJA",Inventario!B103)),"NR",
IF(ISNUMBER(SEARCH("NEGRO",Inventario!B103)),"NG",
IF(ISNUMBER(SEARCH("ROJO",Inventario!B103)),"RJ",
IF(ISNUMBER(SEARCH("AZUL",Inventario!B103)),"AZ","")))))))))))</f>
        <v/>
      </c>
      <c r="F104" t="str">
        <f>IF(ISNUMBER(SEARCH("1,2 MM",Inventario!B103)),"1MM2",
IF(OR(ISNUMBER(SEARCH("2 MM",Inventario!B103)),ISNUMBER(SEARCH("2MM",Inventario!B103))),"2MM",
IF(OR(ISNUMBER(SEARCH("3 MM",Inventario!B103)),ISNUMBER(SEARCH("3MM",Inventario!B103))),"3MM",
IF(OR(ISNUMBER(SEARCH("4 MM",Inventario!B103)),ISNUMBER(SEARCH("4MM",Inventario!B103)),ISNUMBER(SEARCH("4 mm",Inventario!B103))),"4MM",
IF(OR(ISNUMBER(SEARCH("5 MM",Inventario!B103)),ISNUMBER(SEARCH("5MM",Inventario!B103))),"5MM",
IF(OR(ISNUMBER(SEARCH("6 MM",Inventario!B103)),ISNUMBER(SEARCH("6MM",Inventario!B103))),"6MM",
IF(OR(ISNUMBER(SEARCH("10 MM",Inventario!B103)),ISNUMBER(SEARCH("10MM",Inventario!B103))),"10MM","")))))))</f>
        <v/>
      </c>
      <c r="G104" t="str">
        <f>IF(ISNUMBER(SEARCH("ALTA RESISTENCIA",Inventario!B103)),"AR",IF(ISNUMBER(SEARCH("CAMPAÑA",Inventario!B103)),"CA",
IF(OR(ISNUMBER(SEARCH("CALIDO",Inventario!B103)),ISNUMBER(SEARCH("CÁLIDO",Inventario!B103))),"C",
IF(OR(ISNUMBER(SEARCH("TRASLUCIDO",Inventario!B103)),ISNUMBER(SEARCH("TRANSLUCIDO",Inventario!B103))),"TL",
IF(ISNUMBER(SEARCH("NEUTRO",Inventario!B103)),"N",
IF(ISNUMBER(SEARCH("FRIO",Inventario!B103)),"F",""))))))</f>
        <v/>
      </c>
      <c r="H104" t="str">
        <f>IF(ISNUMBER(SEARCH("SILED",Inventario!B103)),"SI",
IF(ISNUMBER(SEARCH("SYDEMEX",Inventario!B103)),"SY",
IF(ISNUMBER(SEARCH("ROHS",Inventario!B103)),"RO",
IF(ISNUMBER(SEARCH("RISHANG",Inventario!B103)),"RS",
IF(ISNUMBER(SEARCH("VYG",Inventario!B103)),"VYG",
IF(ISNUMBER(SEARCH("COLED",Inventario!B103)),"CO",""))))))</f>
        <v/>
      </c>
    </row>
    <row r="105" spans="1:8">
      <c r="A105" t="str">
        <f>IF(ISNUMBER(SEARCH("LONA",Inventario!B104)),"LON",
IF(ISNUMBER(SEARCH("VINIL",Inventario!B104)),"VIN",
IF(ISNUMBER(SEARCH("PANEL DE ALUMINIO COMPUESTO",Inventario!B104)),"PAN-ALU-COM",
IF(ISNUMBER(SEARCH("PVC",Inventario!B104)),"PVC",
IF(ISNUMBER(SEARCH("PAPEL",Inventario!B104)),"PAP",
IF(ISNUMBER(SEARCH("TELA",Inventario!B104)),"TEL",
IF(ISNUMBER(SEARCH("CARTULINA",Inventario!B104)),"CAR",
IF(OR(ISNUMBER(SEARCH("LAMINA",Inventario!B104)),ISNUMBER(SEARCH("LÁMINA",Inventario!B104))),"LAM",
IF(ISNUMBER(SEARCH("ESTIRENO",Inventario!B104)),"EST",
IF(ISNUMBER(SEARCH("FOAMBOARD",Inventario!B104)),"FOA",
IF(ISNUMBER(SEARCH("SOLVENTE",Inventario!B104)),"SOL",
IF(ISNUMBER(SEARCH("TINTA",Inventario!B104)),"TIN",
IF(ISNUMBER(SEARCH("ACRILICO",Inventario!B104)),"ACR",
IF(ISNUMBER(SEARCH("LED",Inventario!B104)),"LED",
IF(ISNUMBER(SEARCH("FUENTE",Inventario!B104)),"FUE",
IF(ISNUMBER(SEARCH("PETG",Inventario!B104)),"PET",
IF(ISNUMBER(SEARCH("ALUMINIO",Inventario!B104)),"ALU",
IF(ISNUMBER(SEARCH("CANAL",Inventario!B104)),"CAN",
IF(ISNUMBER(SEARCH("ESCUADRA",Inventario!B104)),"ESC",
IF(ISNUMBER(SEARCH("SOPORTE",Inventario!B104)),"SOP","OTR")
)))))))))))))))))))</f>
        <v>TIN</v>
      </c>
      <c r="B105" t="str">
        <f>IF(ISNUMBER(SEARCH("CORTE",Inventario!B104)),"COR",
IF(ISNUMBER(SEARCH("CRISTAL",Inventario!B104)),"CR",
IF(OR(ISNUMBER(SEARCH("OPTICO",Inventario!B104)),ISNUMBER(SEARCH("OPTICOS",Inventario!B104)),ISNUMBER(SEARCH("OPTICA",Inventario!B104))),"OP",
IF(ISNUMBER(SEARCH("NANO",Inventario!B104)),"NA",
IF(ISNUMBER(SEARCH("5050",Inventario!B104)),"5050",
IF(ISNUMBER(SEARCH("MICRO",Inventario!B104)),"MI",""))))))</f>
        <v/>
      </c>
      <c r="C105" t="str">
        <f>IF(ISNUMBER(SEARCH("PARED",Inventario!B104)),"PAR",IF(ISNUMBER(SEARCH("MATE",Inventario!B104)),"MAT",
IF(ISNUMBER(SEARCH("FRONT",Inventario!B104)),"FRO",
IF(ISNUMBER(SEARCH("BACK",Inventario!B104)),"BAC",
IF(ISNUMBER(SEARCH("MESH",Inventario!B104)),"MES",
IF(OR(ISNUMBER(SEARCH("BRILLANTE",Inventario!B104)),ISNUMBER(SEARCH("BTE",Inventario!B104))),"BRI",
IF(ISNUMBER(SEARCH("SINTETICA DELGADA",Inventario!B104)),"SD",
IF(ISNUMBER(SEARCH("SINTETICA GRUESA",Inventario!B104)),"SG",
IF(ISNUMBER(SEARCH("ESTATICO",Inventario!B104)),"EST",
IF(ISNUMBER(SEARCH("FLOOR",Inventario!B104)),"FLO",
IF(ISNUMBER(SEARCH("REFLECTIVO",Inventario!B104)),"REF",
IF(ISNUMBER(SEARCH("MICROPERFORADO",Inventario!B104)),"MI",
IF(ISNUMBER(SEARCH("CEPILLADO",Inventario!B104)),"CEP",
IF(ISNUMBER(SEARCH("ESPEJO",Inventario!B104)),"ESP",
IF(OR(ISNUMBER(SEARCH("UNIDIODO",Inventario!B104)),ISNUMBER(SEARCH("1 DIODO",Inventario!B104))),"1D",
IF(ISNUMBER(SEARCH("2 DIODOS",Inventario!B104)),"2D",
IF(ISNUMBER(SEARCH("3 DIODOS",Inventario!B104)),"3D","")))))))))))))))))</f>
        <v/>
      </c>
      <c r="D105" t="str">
        <f>IF(ISNUMBER(SEARCH("LX700",Inventario!B104)),"LX7",
IF(ISNUMBER(SEARCH("GRANDO",Inventario!B104)),"GRA",
IF(OR(ISNUMBER(SEARCH("CAMA PLANA",Inventario!B104)),ISNUMBER(SEARCH("FB700",Inventario!B104))),"CP",
IF(ISNUMBER(SEARCH("LX360",Inventario!B104)),"LX3",
IF(ISNUMBER(SEARCH("XEROX",Inventario!B104)),"XER",
IF(ISNUMBER(SEARCH("18 OZ",Inventario!B104)),"18OZ",
IF(ISNUMBER(SEARCH("15 OZ",Inventario!B104)),"15OZ",
IF(OR(ISNUMBER(SEARCH("13 OZ",Inventario!B104)),ISNUMBER(SEARCH("13 ONZAS",Inventario!B104))),"13OZ",
IF(OR(ISNUMBER(SEARCH("9 OZ",Inventario!B104)),ISNUMBER(SEARCH("9 ONZAS",Inventario!B104))),"09OZ","")))))))))</f>
        <v>LX7</v>
      </c>
      <c r="E105" t="str">
        <f>IF(OR(ISNUMBER(SEARCH("TRANSPARENTE",Inventario!B104)),ISNUMBER(SEARCH("TRANSPARENTES",Inventario!B104))),"TR",
IF(OR(ISNUMBER(SEARCH("BLANCO",Inventario!B104)),ISNUMBER(SEARCH("BCO",Inventario!B104))),"BL",
IF(ISNUMBER(SEARCH("VERDE",Inventario!B104)),"VR",
IF(ISNUMBER(SEARCH("MORADO",Inventario!B104)),"MR",
IF(ISNUMBER(SEARCH("PLATA",Inventario!B104)),"PL",
IF(ISNUMBER(SEARCH("ORO",Inventario!B104)),"OR",
IF(ISNUMBER(SEARCH("AMARILLO",Inventario!B104)),"AM",
IF(ISNUMBER(SEARCH("NARANJA",Inventario!B104)),"NR",
IF(ISNUMBER(SEARCH("NEGRO",Inventario!B104)),"NG",
IF(ISNUMBER(SEARCH("ROJO",Inventario!B104)),"RJ",
IF(ISNUMBER(SEARCH("AZUL",Inventario!B104)),"AZ","")))))))))))</f>
        <v/>
      </c>
      <c r="F105" t="str">
        <f>IF(ISNUMBER(SEARCH("1,2 MM",Inventario!B104)),"1MM2",
IF(OR(ISNUMBER(SEARCH("2 MM",Inventario!B104)),ISNUMBER(SEARCH("2MM",Inventario!B104))),"2MM",
IF(OR(ISNUMBER(SEARCH("3 MM",Inventario!B104)),ISNUMBER(SEARCH("3MM",Inventario!B104))),"3MM",
IF(OR(ISNUMBER(SEARCH("4 MM",Inventario!B104)),ISNUMBER(SEARCH("4MM",Inventario!B104)),ISNUMBER(SEARCH("4 mm",Inventario!B104))),"4MM",
IF(OR(ISNUMBER(SEARCH("5 MM",Inventario!B104)),ISNUMBER(SEARCH("5MM",Inventario!B104))),"5MM",
IF(OR(ISNUMBER(SEARCH("6 MM",Inventario!B104)),ISNUMBER(SEARCH("6MM",Inventario!B104))),"6MM",
IF(OR(ISNUMBER(SEARCH("10 MM",Inventario!B104)),ISNUMBER(SEARCH("10MM",Inventario!B104))),"10MM","")))))))</f>
        <v/>
      </c>
      <c r="G105" t="str">
        <f>IF(ISNUMBER(SEARCH("ALTA RESISTENCIA",Inventario!B104)),"AR",IF(ISNUMBER(SEARCH("CAMPAÑA",Inventario!B104)),"CA",
IF(OR(ISNUMBER(SEARCH("CALIDO",Inventario!B104)),ISNUMBER(SEARCH("CÁLIDO",Inventario!B104))),"C",
IF(OR(ISNUMBER(SEARCH("TRASLUCIDO",Inventario!B104)),ISNUMBER(SEARCH("TRANSLUCIDO",Inventario!B104))),"TL",
IF(ISNUMBER(SEARCH("NEUTRO",Inventario!B104)),"N",
IF(ISNUMBER(SEARCH("FRIO",Inventario!B104)),"F",""))))))</f>
        <v/>
      </c>
      <c r="H105" t="str">
        <f>IF(ISNUMBER(SEARCH("SILED",Inventario!B104)),"SI",
IF(ISNUMBER(SEARCH("SYDEMEX",Inventario!B104)),"SY",
IF(ISNUMBER(SEARCH("ROHS",Inventario!B104)),"RO",
IF(ISNUMBER(SEARCH("RISHANG",Inventario!B104)),"RS",
IF(ISNUMBER(SEARCH("VYG",Inventario!B104)),"VYG",
IF(ISNUMBER(SEARCH("COLED",Inventario!B104)),"CO",""))))))</f>
        <v/>
      </c>
    </row>
    <row r="106" spans="1:8">
      <c r="A106" t="str">
        <f>IF(ISNUMBER(SEARCH("LONA",Inventario!B105)),"LON",
IF(ISNUMBER(SEARCH("VINIL",Inventario!B105)),"VIN",
IF(ISNUMBER(SEARCH("PANEL DE ALUMINIO COMPUESTO",Inventario!B105)),"PAN-ALU-COM",
IF(ISNUMBER(SEARCH("PVC",Inventario!B105)),"PVC",
IF(ISNUMBER(SEARCH("PAPEL",Inventario!B105)),"PAP",
IF(ISNUMBER(SEARCH("TELA",Inventario!B105)),"TEL",
IF(ISNUMBER(SEARCH("CARTULINA",Inventario!B105)),"CAR",
IF(OR(ISNUMBER(SEARCH("LAMINA",Inventario!B105)),ISNUMBER(SEARCH("LÁMINA",Inventario!B105))),"LAM",
IF(ISNUMBER(SEARCH("ESTIRENO",Inventario!B105)),"EST",
IF(ISNUMBER(SEARCH("FOAMBOARD",Inventario!B105)),"FOA",
IF(ISNUMBER(SEARCH("SOLVENTE",Inventario!B105)),"SOL",
IF(ISNUMBER(SEARCH("TINTA",Inventario!B105)),"TIN",
IF(ISNUMBER(SEARCH("ACRILICO",Inventario!B105)),"ACR",
IF(ISNUMBER(SEARCH("LED",Inventario!B105)),"LED",
IF(ISNUMBER(SEARCH("FUENTE",Inventario!B105)),"FUE",
IF(ISNUMBER(SEARCH("PETG",Inventario!B105)),"PET",
IF(ISNUMBER(SEARCH("ALUMINIO",Inventario!B105)),"ALU",
IF(ISNUMBER(SEARCH("CANAL",Inventario!B105)),"CAN",
IF(ISNUMBER(SEARCH("ESCUADRA",Inventario!B105)),"ESC",
IF(ISNUMBER(SEARCH("SOPORTE",Inventario!B105)),"SOP","OTR")
)))))))))))))))))))</f>
        <v>TIN</v>
      </c>
      <c r="B106" t="str">
        <f>IF(ISNUMBER(SEARCH("CORTE",Inventario!B105)),"COR",
IF(ISNUMBER(SEARCH("CRISTAL",Inventario!B105)),"CR",
IF(OR(ISNUMBER(SEARCH("OPTICO",Inventario!B105)),ISNUMBER(SEARCH("OPTICOS",Inventario!B105)),ISNUMBER(SEARCH("OPTICA",Inventario!B105))),"OP",
IF(ISNUMBER(SEARCH("NANO",Inventario!B105)),"NA",
IF(ISNUMBER(SEARCH("5050",Inventario!B105)),"5050",
IF(ISNUMBER(SEARCH("MICRO",Inventario!B105)),"MI",""))))))</f>
        <v/>
      </c>
      <c r="C106" t="str">
        <f>IF(ISNUMBER(SEARCH("PARED",Inventario!B105)),"PAR",IF(ISNUMBER(SEARCH("MATE",Inventario!B105)),"MAT",
IF(ISNUMBER(SEARCH("FRONT",Inventario!B105)),"FRO",
IF(ISNUMBER(SEARCH("BACK",Inventario!B105)),"BAC",
IF(ISNUMBER(SEARCH("MESH",Inventario!B105)),"MES",
IF(OR(ISNUMBER(SEARCH("BRILLANTE",Inventario!B105)),ISNUMBER(SEARCH("BTE",Inventario!B105))),"BRI",
IF(ISNUMBER(SEARCH("SINTETICA DELGADA",Inventario!B105)),"SD",
IF(ISNUMBER(SEARCH("SINTETICA GRUESA",Inventario!B105)),"SG",
IF(ISNUMBER(SEARCH("ESTATICO",Inventario!B105)),"EST",
IF(ISNUMBER(SEARCH("FLOOR",Inventario!B105)),"FLO",
IF(ISNUMBER(SEARCH("REFLECTIVO",Inventario!B105)),"REF",
IF(ISNUMBER(SEARCH("MICROPERFORADO",Inventario!B105)),"MI",
IF(ISNUMBER(SEARCH("CEPILLADO",Inventario!B105)),"CEP",
IF(ISNUMBER(SEARCH("ESPEJO",Inventario!B105)),"ESP",
IF(OR(ISNUMBER(SEARCH("UNIDIODO",Inventario!B105)),ISNUMBER(SEARCH("1 DIODO",Inventario!B105))),"1D",
IF(ISNUMBER(SEARCH("2 DIODOS",Inventario!B105)),"2D",
IF(ISNUMBER(SEARCH("3 DIODOS",Inventario!B105)),"3D","")))))))))))))))))</f>
        <v/>
      </c>
      <c r="D106" t="str">
        <f>IF(ISNUMBER(SEARCH("LX700",Inventario!B105)),"LX7",
IF(ISNUMBER(SEARCH("GRANDO",Inventario!B105)),"GRA",
IF(OR(ISNUMBER(SEARCH("CAMA PLANA",Inventario!B105)),ISNUMBER(SEARCH("FB700",Inventario!B105))),"CP",
IF(ISNUMBER(SEARCH("LX360",Inventario!B105)),"LX3",
IF(ISNUMBER(SEARCH("XEROX",Inventario!B105)),"XER",
IF(ISNUMBER(SEARCH("18 OZ",Inventario!B105)),"18OZ",
IF(ISNUMBER(SEARCH("15 OZ",Inventario!B105)),"15OZ",
IF(OR(ISNUMBER(SEARCH("13 OZ",Inventario!B105)),ISNUMBER(SEARCH("13 ONZAS",Inventario!B105))),"13OZ",
IF(OR(ISNUMBER(SEARCH("9 OZ",Inventario!B105)),ISNUMBER(SEARCH("9 ONZAS",Inventario!B105))),"09OZ","")))))))))</f>
        <v>LX7</v>
      </c>
      <c r="E106" t="str">
        <f>IF(OR(ISNUMBER(SEARCH("TRANSPARENTE",Inventario!B105)),ISNUMBER(SEARCH("TRANSPARENTES",Inventario!B105))),"TR",
IF(OR(ISNUMBER(SEARCH("BLANCO",Inventario!B105)),ISNUMBER(SEARCH("BCO",Inventario!B105))),"BL",
IF(ISNUMBER(SEARCH("VERDE",Inventario!B105)),"VR",
IF(ISNUMBER(SEARCH("MORADO",Inventario!B105)),"MR",
IF(ISNUMBER(SEARCH("PLATA",Inventario!B105)),"PL",
IF(ISNUMBER(SEARCH("ORO",Inventario!B105)),"OR",
IF(ISNUMBER(SEARCH("AMARILLO",Inventario!B105)),"AM",
IF(ISNUMBER(SEARCH("NARANJA",Inventario!B105)),"NR",
IF(ISNUMBER(SEARCH("NEGRO",Inventario!B105)),"NG",
IF(ISNUMBER(SEARCH("ROJO",Inventario!B105)),"RJ",
IF(ISNUMBER(SEARCH("AZUL",Inventario!B105)),"AZ","")))))))))))</f>
        <v/>
      </c>
      <c r="F106" t="str">
        <f>IF(ISNUMBER(SEARCH("1,2 MM",Inventario!B105)),"1MM2",
IF(OR(ISNUMBER(SEARCH("2 MM",Inventario!B105)),ISNUMBER(SEARCH("2MM",Inventario!B105))),"2MM",
IF(OR(ISNUMBER(SEARCH("3 MM",Inventario!B105)),ISNUMBER(SEARCH("3MM",Inventario!B105))),"3MM",
IF(OR(ISNUMBER(SEARCH("4 MM",Inventario!B105)),ISNUMBER(SEARCH("4MM",Inventario!B105)),ISNUMBER(SEARCH("4 mm",Inventario!B105))),"4MM",
IF(OR(ISNUMBER(SEARCH("5 MM",Inventario!B105)),ISNUMBER(SEARCH("5MM",Inventario!B105))),"5MM",
IF(OR(ISNUMBER(SEARCH("6 MM",Inventario!B105)),ISNUMBER(SEARCH("6MM",Inventario!B105))),"6MM",
IF(OR(ISNUMBER(SEARCH("10 MM",Inventario!B105)),ISNUMBER(SEARCH("10MM",Inventario!B105))),"10MM","")))))))</f>
        <v/>
      </c>
      <c r="G106" t="str">
        <f>IF(ISNUMBER(SEARCH("ALTA RESISTENCIA",Inventario!B105)),"AR",IF(ISNUMBER(SEARCH("CAMPAÑA",Inventario!B105)),"CA",
IF(OR(ISNUMBER(SEARCH("CALIDO",Inventario!B105)),ISNUMBER(SEARCH("CÁLIDO",Inventario!B105))),"C",
IF(OR(ISNUMBER(SEARCH("TRASLUCIDO",Inventario!B105)),ISNUMBER(SEARCH("TRANSLUCIDO",Inventario!B105))),"TL",
IF(ISNUMBER(SEARCH("NEUTRO",Inventario!B105)),"N",
IF(ISNUMBER(SEARCH("FRIO",Inventario!B105)),"F",""))))))</f>
        <v/>
      </c>
      <c r="H106" t="str">
        <f>IF(ISNUMBER(SEARCH("SILED",Inventario!B105)),"SI",
IF(ISNUMBER(SEARCH("SYDEMEX",Inventario!B105)),"SY",
IF(ISNUMBER(SEARCH("ROHS",Inventario!B105)),"RO",
IF(ISNUMBER(SEARCH("RISHANG",Inventario!B105)),"RS",
IF(ISNUMBER(SEARCH("VYG",Inventario!B105)),"VYG",
IF(ISNUMBER(SEARCH("COLED",Inventario!B105)),"CO",""))))))</f>
        <v/>
      </c>
    </row>
    <row r="107" spans="1:8">
      <c r="A107" t="str">
        <f>IF(ISNUMBER(SEARCH("LONA",Inventario!B106)),"LON",
IF(ISNUMBER(SEARCH("VINIL",Inventario!B106)),"VIN",
IF(ISNUMBER(SEARCH("PANEL DE ALUMINIO COMPUESTO",Inventario!B106)),"PAN-ALU-COM",
IF(ISNUMBER(SEARCH("PVC",Inventario!B106)),"PVC",
IF(ISNUMBER(SEARCH("PAPEL",Inventario!B106)),"PAP",
IF(ISNUMBER(SEARCH("TELA",Inventario!B106)),"TEL",
IF(ISNUMBER(SEARCH("CARTULINA",Inventario!B106)),"CAR",
IF(OR(ISNUMBER(SEARCH("LAMINA",Inventario!B106)),ISNUMBER(SEARCH("LÁMINA",Inventario!B106))),"LAM",
IF(ISNUMBER(SEARCH("ESTIRENO",Inventario!B106)),"EST",
IF(ISNUMBER(SEARCH("FOAMBOARD",Inventario!B106)),"FOA",
IF(ISNUMBER(SEARCH("SOLVENTE",Inventario!B106)),"SOL",
IF(ISNUMBER(SEARCH("TINTA",Inventario!B106)),"TIN",
IF(ISNUMBER(SEARCH("ACRILICO",Inventario!B106)),"ACR",
IF(ISNUMBER(SEARCH("LED",Inventario!B106)),"LED",
IF(ISNUMBER(SEARCH("FUENTE",Inventario!B106)),"FUE",
IF(ISNUMBER(SEARCH("PETG",Inventario!B106)),"PET",
IF(ISNUMBER(SEARCH("ALUMINIO",Inventario!B106)),"ALU",
IF(ISNUMBER(SEARCH("CANAL",Inventario!B106)),"CAN",
IF(ISNUMBER(SEARCH("ESCUADRA",Inventario!B106)),"ESC",
IF(ISNUMBER(SEARCH("SOPORTE",Inventario!B106)),"SOP","OTR")
)))))))))))))))))))</f>
        <v>TIN</v>
      </c>
      <c r="B107" t="str">
        <f>IF(ISNUMBER(SEARCH("CORTE",Inventario!B106)),"COR",
IF(ISNUMBER(SEARCH("CRISTAL",Inventario!B106)),"CR",
IF(OR(ISNUMBER(SEARCH("OPTICO",Inventario!B106)),ISNUMBER(SEARCH("OPTICOS",Inventario!B106)),ISNUMBER(SEARCH("OPTICA",Inventario!B106))),"OP",
IF(ISNUMBER(SEARCH("NANO",Inventario!B106)),"NA",
IF(ISNUMBER(SEARCH("5050",Inventario!B106)),"5050",
IF(ISNUMBER(SEARCH("MICRO",Inventario!B106)),"MI",""))))))</f>
        <v/>
      </c>
      <c r="C107" t="str">
        <f>IF(ISNUMBER(SEARCH("PARED",Inventario!B106)),"PAR",IF(ISNUMBER(SEARCH("MATE",Inventario!B106)),"MAT",
IF(ISNUMBER(SEARCH("FRONT",Inventario!B106)),"FRO",
IF(ISNUMBER(SEARCH("BACK",Inventario!B106)),"BAC",
IF(ISNUMBER(SEARCH("MESH",Inventario!B106)),"MES",
IF(OR(ISNUMBER(SEARCH("BRILLANTE",Inventario!B106)),ISNUMBER(SEARCH("BTE",Inventario!B106))),"BRI",
IF(ISNUMBER(SEARCH("SINTETICA DELGADA",Inventario!B106)),"SD",
IF(ISNUMBER(SEARCH("SINTETICA GRUESA",Inventario!B106)),"SG",
IF(ISNUMBER(SEARCH("ESTATICO",Inventario!B106)),"EST",
IF(ISNUMBER(SEARCH("FLOOR",Inventario!B106)),"FLO",
IF(ISNUMBER(SEARCH("REFLECTIVO",Inventario!B106)),"REF",
IF(ISNUMBER(SEARCH("MICROPERFORADO",Inventario!B106)),"MI",
IF(ISNUMBER(SEARCH("CEPILLADO",Inventario!B106)),"CEP",
IF(ISNUMBER(SEARCH("ESPEJO",Inventario!B106)),"ESP",
IF(OR(ISNUMBER(SEARCH("UNIDIODO",Inventario!B106)),ISNUMBER(SEARCH("1 DIODO",Inventario!B106))),"1D",
IF(ISNUMBER(SEARCH("2 DIODOS",Inventario!B106)),"2D",
IF(ISNUMBER(SEARCH("3 DIODOS",Inventario!B106)),"3D","")))))))))))))))))</f>
        <v/>
      </c>
      <c r="D107" t="str">
        <f>IF(ISNUMBER(SEARCH("LX700",Inventario!B106)),"LX7",
IF(ISNUMBER(SEARCH("GRANDO",Inventario!B106)),"GRA",
IF(OR(ISNUMBER(SEARCH("CAMA PLANA",Inventario!B106)),ISNUMBER(SEARCH("FB700",Inventario!B106))),"CP",
IF(ISNUMBER(SEARCH("LX360",Inventario!B106)),"LX3",
IF(ISNUMBER(SEARCH("XEROX",Inventario!B106)),"XER",
IF(ISNUMBER(SEARCH("18 OZ",Inventario!B106)),"18OZ",
IF(ISNUMBER(SEARCH("15 OZ",Inventario!B106)),"15OZ",
IF(OR(ISNUMBER(SEARCH("13 OZ",Inventario!B106)),ISNUMBER(SEARCH("13 ONZAS",Inventario!B106))),"13OZ",
IF(OR(ISNUMBER(SEARCH("9 OZ",Inventario!B106)),ISNUMBER(SEARCH("9 ONZAS",Inventario!B106))),"09OZ","")))))))))</f>
        <v>LX7</v>
      </c>
      <c r="E107" t="str">
        <f>IF(OR(ISNUMBER(SEARCH("TRANSPARENTE",Inventario!B106)),ISNUMBER(SEARCH("TRANSPARENTES",Inventario!B106))),"TR",
IF(OR(ISNUMBER(SEARCH("BLANCO",Inventario!B106)),ISNUMBER(SEARCH("BCO",Inventario!B106))),"BL",
IF(ISNUMBER(SEARCH("VERDE",Inventario!B106)),"VR",
IF(ISNUMBER(SEARCH("MORADO",Inventario!B106)),"MR",
IF(ISNUMBER(SEARCH("PLATA",Inventario!B106)),"PL",
IF(ISNUMBER(SEARCH("ORO",Inventario!B106)),"OR",
IF(ISNUMBER(SEARCH("AMARILLO",Inventario!B106)),"AM",
IF(ISNUMBER(SEARCH("NARANJA",Inventario!B106)),"NR",
IF(ISNUMBER(SEARCH("NEGRO",Inventario!B106)),"NG",
IF(ISNUMBER(SEARCH("ROJO",Inventario!B106)),"RJ",
IF(ISNUMBER(SEARCH("AZUL",Inventario!B106)),"AZ","")))))))))))</f>
        <v/>
      </c>
      <c r="F107" t="str">
        <f>IF(ISNUMBER(SEARCH("1,2 MM",Inventario!B106)),"1MM2",
IF(OR(ISNUMBER(SEARCH("2 MM",Inventario!B106)),ISNUMBER(SEARCH("2MM",Inventario!B106))),"2MM",
IF(OR(ISNUMBER(SEARCH("3 MM",Inventario!B106)),ISNUMBER(SEARCH("3MM",Inventario!B106))),"3MM",
IF(OR(ISNUMBER(SEARCH("4 MM",Inventario!B106)),ISNUMBER(SEARCH("4MM",Inventario!B106)),ISNUMBER(SEARCH("4 mm",Inventario!B106))),"4MM",
IF(OR(ISNUMBER(SEARCH("5 MM",Inventario!B106)),ISNUMBER(SEARCH("5MM",Inventario!B106))),"5MM",
IF(OR(ISNUMBER(SEARCH("6 MM",Inventario!B106)),ISNUMBER(SEARCH("6MM",Inventario!B106))),"6MM",
IF(OR(ISNUMBER(SEARCH("10 MM",Inventario!B106)),ISNUMBER(SEARCH("10MM",Inventario!B106))),"10MM","")))))))</f>
        <v/>
      </c>
      <c r="G107" t="str">
        <f>IF(ISNUMBER(SEARCH("ALTA RESISTENCIA",Inventario!B106)),"AR",IF(ISNUMBER(SEARCH("CAMPAÑA",Inventario!B106)),"CA",
IF(OR(ISNUMBER(SEARCH("CALIDO",Inventario!B106)),ISNUMBER(SEARCH("CÁLIDO",Inventario!B106))),"C",
IF(OR(ISNUMBER(SEARCH("TRASLUCIDO",Inventario!B106)),ISNUMBER(SEARCH("TRANSLUCIDO",Inventario!B106))),"TL",
IF(ISNUMBER(SEARCH("NEUTRO",Inventario!B106)),"N",
IF(ISNUMBER(SEARCH("FRIO",Inventario!B106)),"F",""))))))</f>
        <v/>
      </c>
      <c r="H107" t="str">
        <f>IF(ISNUMBER(SEARCH("SILED",Inventario!B106)),"SI",
IF(ISNUMBER(SEARCH("SYDEMEX",Inventario!B106)),"SY",
IF(ISNUMBER(SEARCH("ROHS",Inventario!B106)),"RO",
IF(ISNUMBER(SEARCH("RISHANG",Inventario!B106)),"RS",
IF(ISNUMBER(SEARCH("VYG",Inventario!B106)),"VYG",
IF(ISNUMBER(SEARCH("COLED",Inventario!B106)),"CO",""))))))</f>
        <v/>
      </c>
    </row>
    <row r="108" spans="1:8">
      <c r="A108" t="str">
        <f>IF(ISNUMBER(SEARCH("LONA",Inventario!B107)),"LON",
IF(ISNUMBER(SEARCH("VINIL",Inventario!B107)),"VIN",
IF(ISNUMBER(SEARCH("PANEL DE ALUMINIO COMPUESTO",Inventario!B107)),"PAN-ALU-COM",
IF(ISNUMBER(SEARCH("PVC",Inventario!B107)),"PVC",
IF(ISNUMBER(SEARCH("PAPEL",Inventario!B107)),"PAP",
IF(ISNUMBER(SEARCH("TELA",Inventario!B107)),"TEL",
IF(ISNUMBER(SEARCH("CARTULINA",Inventario!B107)),"CAR",
IF(OR(ISNUMBER(SEARCH("LAMINA",Inventario!B107)),ISNUMBER(SEARCH("LÁMINA",Inventario!B107))),"LAM",
IF(ISNUMBER(SEARCH("ESTIRENO",Inventario!B107)),"EST",
IF(ISNUMBER(SEARCH("FOAMBOARD",Inventario!B107)),"FOA",
IF(ISNUMBER(SEARCH("SOLVENTE",Inventario!B107)),"SOL",
IF(ISNUMBER(SEARCH("TINTA",Inventario!B107)),"TIN",
IF(ISNUMBER(SEARCH("ACRILICO",Inventario!B107)),"ACR",
IF(ISNUMBER(SEARCH("LED",Inventario!B107)),"LED",
IF(ISNUMBER(SEARCH("FUENTE",Inventario!B107)),"FUE",
IF(ISNUMBER(SEARCH("PETG",Inventario!B107)),"PET",
IF(ISNUMBER(SEARCH("ALUMINIO",Inventario!B107)),"ALU",
IF(ISNUMBER(SEARCH("CANAL",Inventario!B107)),"CAN",
IF(ISNUMBER(SEARCH("ESCUADRA",Inventario!B107)),"ESC",
IF(ISNUMBER(SEARCH("SOPORTE",Inventario!B107)),"SOP","OTR")
)))))))))))))))))))</f>
        <v>TIN</v>
      </c>
      <c r="B108" t="str">
        <f>IF(ISNUMBER(SEARCH("CORTE",Inventario!B107)),"COR",
IF(ISNUMBER(SEARCH("CRISTAL",Inventario!B107)),"CR",
IF(OR(ISNUMBER(SEARCH("OPTICO",Inventario!B107)),ISNUMBER(SEARCH("OPTICOS",Inventario!B107)),ISNUMBER(SEARCH("OPTICA",Inventario!B107))),"OP",
IF(ISNUMBER(SEARCH("NANO",Inventario!B107)),"NA",
IF(ISNUMBER(SEARCH("5050",Inventario!B107)),"5050",
IF(ISNUMBER(SEARCH("MICRO",Inventario!B107)),"MI",""))))))</f>
        <v/>
      </c>
      <c r="C108" t="str">
        <f>IF(ISNUMBER(SEARCH("PARED",Inventario!B107)),"PAR",IF(ISNUMBER(SEARCH("MATE",Inventario!B107)),"MAT",
IF(ISNUMBER(SEARCH("FRONT",Inventario!B107)),"FRO",
IF(ISNUMBER(SEARCH("BACK",Inventario!B107)),"BAC",
IF(ISNUMBER(SEARCH("MESH",Inventario!B107)),"MES",
IF(OR(ISNUMBER(SEARCH("BRILLANTE",Inventario!B107)),ISNUMBER(SEARCH("BTE",Inventario!B107))),"BRI",
IF(ISNUMBER(SEARCH("SINTETICA DELGADA",Inventario!B107)),"SD",
IF(ISNUMBER(SEARCH("SINTETICA GRUESA",Inventario!B107)),"SG",
IF(ISNUMBER(SEARCH("ESTATICO",Inventario!B107)),"EST",
IF(ISNUMBER(SEARCH("FLOOR",Inventario!B107)),"FLO",
IF(ISNUMBER(SEARCH("REFLECTIVO",Inventario!B107)),"REF",
IF(ISNUMBER(SEARCH("MICROPERFORADO",Inventario!B107)),"MI",
IF(ISNUMBER(SEARCH("CEPILLADO",Inventario!B107)),"CEP",
IF(ISNUMBER(SEARCH("ESPEJO",Inventario!B107)),"ESP",
IF(OR(ISNUMBER(SEARCH("UNIDIODO",Inventario!B107)),ISNUMBER(SEARCH("1 DIODO",Inventario!B107))),"1D",
IF(ISNUMBER(SEARCH("2 DIODOS",Inventario!B107)),"2D",
IF(ISNUMBER(SEARCH("3 DIODOS",Inventario!B107)),"3D","")))))))))))))))))</f>
        <v/>
      </c>
      <c r="D108" t="str">
        <f>IF(ISNUMBER(SEARCH("LX700",Inventario!B107)),"LX7",
IF(ISNUMBER(SEARCH("GRANDO",Inventario!B107)),"GRA",
IF(OR(ISNUMBER(SEARCH("CAMA PLANA",Inventario!B107)),ISNUMBER(SEARCH("FB700",Inventario!B107))),"CP",
IF(ISNUMBER(SEARCH("LX360",Inventario!B107)),"LX3",
IF(ISNUMBER(SEARCH("XEROX",Inventario!B107)),"XER",
IF(ISNUMBER(SEARCH("18 OZ",Inventario!B107)),"18OZ",
IF(ISNUMBER(SEARCH("15 OZ",Inventario!B107)),"15OZ",
IF(OR(ISNUMBER(SEARCH("13 OZ",Inventario!B107)),ISNUMBER(SEARCH("13 ONZAS",Inventario!B107))),"13OZ",
IF(OR(ISNUMBER(SEARCH("9 OZ",Inventario!B107)),ISNUMBER(SEARCH("9 ONZAS",Inventario!B107))),"09OZ","")))))))))</f>
        <v>LX7</v>
      </c>
      <c r="E108" t="str">
        <f>IF(OR(ISNUMBER(SEARCH("TRANSPARENTE",Inventario!B107)),ISNUMBER(SEARCH("TRANSPARENTES",Inventario!B107))),"TR",
IF(OR(ISNUMBER(SEARCH("BLANCO",Inventario!B107)),ISNUMBER(SEARCH("BCO",Inventario!B107))),"BL",
IF(ISNUMBER(SEARCH("VERDE",Inventario!B107)),"VR",
IF(ISNUMBER(SEARCH("MORADO",Inventario!B107)),"MR",
IF(ISNUMBER(SEARCH("PLATA",Inventario!B107)),"PL",
IF(ISNUMBER(SEARCH("ORO",Inventario!B107)),"OR",
IF(ISNUMBER(SEARCH("AMARILLO",Inventario!B107)),"AM",
IF(ISNUMBER(SEARCH("NARANJA",Inventario!B107)),"NR",
IF(ISNUMBER(SEARCH("NEGRO",Inventario!B107)),"NG",
IF(ISNUMBER(SEARCH("ROJO",Inventario!B107)),"RJ",
IF(ISNUMBER(SEARCH("AZUL",Inventario!B107)),"AZ","")))))))))))</f>
        <v/>
      </c>
      <c r="F108" t="str">
        <f>IF(ISNUMBER(SEARCH("1,2 MM",Inventario!B107)),"1MM2",
IF(OR(ISNUMBER(SEARCH("2 MM",Inventario!B107)),ISNUMBER(SEARCH("2MM",Inventario!B107))),"2MM",
IF(OR(ISNUMBER(SEARCH("3 MM",Inventario!B107)),ISNUMBER(SEARCH("3MM",Inventario!B107))),"3MM",
IF(OR(ISNUMBER(SEARCH("4 MM",Inventario!B107)),ISNUMBER(SEARCH("4MM",Inventario!B107)),ISNUMBER(SEARCH("4 mm",Inventario!B107))),"4MM",
IF(OR(ISNUMBER(SEARCH("5 MM",Inventario!B107)),ISNUMBER(SEARCH("5MM",Inventario!B107))),"5MM",
IF(OR(ISNUMBER(SEARCH("6 MM",Inventario!B107)),ISNUMBER(SEARCH("6MM",Inventario!B107))),"6MM",
IF(OR(ISNUMBER(SEARCH("10 MM",Inventario!B107)),ISNUMBER(SEARCH("10MM",Inventario!B107))),"10MM","")))))))</f>
        <v/>
      </c>
      <c r="G108" t="str">
        <f>IF(ISNUMBER(SEARCH("ALTA RESISTENCIA",Inventario!B107)),"AR",IF(ISNUMBER(SEARCH("CAMPAÑA",Inventario!B107)),"CA",
IF(OR(ISNUMBER(SEARCH("CALIDO",Inventario!B107)),ISNUMBER(SEARCH("CÁLIDO",Inventario!B107))),"C",
IF(OR(ISNUMBER(SEARCH("TRASLUCIDO",Inventario!B107)),ISNUMBER(SEARCH("TRANSLUCIDO",Inventario!B107))),"TL",
IF(ISNUMBER(SEARCH("NEUTRO",Inventario!B107)),"N",
IF(ISNUMBER(SEARCH("FRIO",Inventario!B107)),"F",""))))))</f>
        <v/>
      </c>
      <c r="H108" t="str">
        <f>IF(ISNUMBER(SEARCH("SILED",Inventario!B107)),"SI",
IF(ISNUMBER(SEARCH("SYDEMEX",Inventario!B107)),"SY",
IF(ISNUMBER(SEARCH("ROHS",Inventario!B107)),"RO",
IF(ISNUMBER(SEARCH("RISHANG",Inventario!B107)),"RS",
IF(ISNUMBER(SEARCH("VYG",Inventario!B107)),"VYG",
IF(ISNUMBER(SEARCH("COLED",Inventario!B107)),"CO",""))))))</f>
        <v/>
      </c>
    </row>
    <row r="109" spans="1:8">
      <c r="A109" t="str">
        <f>IF(ISNUMBER(SEARCH("LONA",Inventario!B108)),"LON",
IF(ISNUMBER(SEARCH("VINIL",Inventario!B108)),"VIN",
IF(ISNUMBER(SEARCH("PANEL DE ALUMINIO COMPUESTO",Inventario!B108)),"PAN-ALU-COM",
IF(ISNUMBER(SEARCH("PVC",Inventario!B108)),"PVC",
IF(ISNUMBER(SEARCH("PAPEL",Inventario!B108)),"PAP",
IF(ISNUMBER(SEARCH("TELA",Inventario!B108)),"TEL",
IF(ISNUMBER(SEARCH("CARTULINA",Inventario!B108)),"CAR",
IF(OR(ISNUMBER(SEARCH("LAMINA",Inventario!B108)),ISNUMBER(SEARCH("LÁMINA",Inventario!B108))),"LAM",
IF(ISNUMBER(SEARCH("ESTIRENO",Inventario!B108)),"EST",
IF(ISNUMBER(SEARCH("FOAMBOARD",Inventario!B108)),"FOA",
IF(ISNUMBER(SEARCH("SOLVENTE",Inventario!B108)),"SOL",
IF(ISNUMBER(SEARCH("TINTA",Inventario!B108)),"TIN",
IF(ISNUMBER(SEARCH("ACRILICO",Inventario!B108)),"ACR",
IF(ISNUMBER(SEARCH("LED",Inventario!B108)),"LED",
IF(ISNUMBER(SEARCH("FUENTE",Inventario!B108)),"FUE",
IF(ISNUMBER(SEARCH("PETG",Inventario!B108)),"PET",
IF(ISNUMBER(SEARCH("ALUMINIO",Inventario!B108)),"ALU",
IF(ISNUMBER(SEARCH("CANAL",Inventario!B108)),"CAN",
IF(ISNUMBER(SEARCH("ESCUADRA",Inventario!B108)),"ESC",
IF(ISNUMBER(SEARCH("SOPORTE",Inventario!B108)),"SOP","OTR")
)))))))))))))))))))</f>
        <v>TIN</v>
      </c>
      <c r="B109" t="str">
        <f>IF(ISNUMBER(SEARCH("CORTE",Inventario!B108)),"COR",
IF(ISNUMBER(SEARCH("CRISTAL",Inventario!B108)),"CR",
IF(OR(ISNUMBER(SEARCH("OPTICO",Inventario!B108)),ISNUMBER(SEARCH("OPTICOS",Inventario!B108)),ISNUMBER(SEARCH("OPTICA",Inventario!B108))),"OP",
IF(ISNUMBER(SEARCH("NANO",Inventario!B108)),"NA",
IF(ISNUMBER(SEARCH("5050",Inventario!B108)),"5050",
IF(ISNUMBER(SEARCH("MICRO",Inventario!B108)),"MI",""))))))</f>
        <v/>
      </c>
      <c r="C109" t="str">
        <f>IF(ISNUMBER(SEARCH("PARED",Inventario!B108)),"PAR",IF(ISNUMBER(SEARCH("MATE",Inventario!B108)),"MAT",
IF(ISNUMBER(SEARCH("FRONT",Inventario!B108)),"FRO",
IF(ISNUMBER(SEARCH("BACK",Inventario!B108)),"BAC",
IF(ISNUMBER(SEARCH("MESH",Inventario!B108)),"MES",
IF(OR(ISNUMBER(SEARCH("BRILLANTE",Inventario!B108)),ISNUMBER(SEARCH("BTE",Inventario!B108))),"BRI",
IF(ISNUMBER(SEARCH("SINTETICA DELGADA",Inventario!B108)),"SD",
IF(ISNUMBER(SEARCH("SINTETICA GRUESA",Inventario!B108)),"SG",
IF(ISNUMBER(SEARCH("ESTATICO",Inventario!B108)),"EST",
IF(ISNUMBER(SEARCH("FLOOR",Inventario!B108)),"FLO",
IF(ISNUMBER(SEARCH("REFLECTIVO",Inventario!B108)),"REF",
IF(ISNUMBER(SEARCH("MICROPERFORADO",Inventario!B108)),"MI",
IF(ISNUMBER(SEARCH("CEPILLADO",Inventario!B108)),"CEP",
IF(ISNUMBER(SEARCH("ESPEJO",Inventario!B108)),"ESP",
IF(OR(ISNUMBER(SEARCH("UNIDIODO",Inventario!B108)),ISNUMBER(SEARCH("1 DIODO",Inventario!B108))),"1D",
IF(ISNUMBER(SEARCH("2 DIODOS",Inventario!B108)),"2D",
IF(ISNUMBER(SEARCH("3 DIODOS",Inventario!B108)),"3D","")))))))))))))))))</f>
        <v/>
      </c>
      <c r="D109" t="str">
        <f>IF(ISNUMBER(SEARCH("LX700",Inventario!B108)),"LX7",
IF(ISNUMBER(SEARCH("GRANDO",Inventario!B108)),"GRA",
IF(OR(ISNUMBER(SEARCH("CAMA PLANA",Inventario!B108)),ISNUMBER(SEARCH("FB700",Inventario!B108))),"CP",
IF(ISNUMBER(SEARCH("LX360",Inventario!B108)),"LX3",
IF(ISNUMBER(SEARCH("XEROX",Inventario!B108)),"XER",
IF(ISNUMBER(SEARCH("18 OZ",Inventario!B108)),"18OZ",
IF(ISNUMBER(SEARCH("15 OZ",Inventario!B108)),"15OZ",
IF(OR(ISNUMBER(SEARCH("13 OZ",Inventario!B108)),ISNUMBER(SEARCH("13 ONZAS",Inventario!B108))),"13OZ",
IF(OR(ISNUMBER(SEARCH("9 OZ",Inventario!B108)),ISNUMBER(SEARCH("9 ONZAS",Inventario!B108))),"09OZ","")))))))))</f>
        <v>LX7</v>
      </c>
      <c r="E109" t="str">
        <f>IF(OR(ISNUMBER(SEARCH("TRANSPARENTE",Inventario!B108)),ISNUMBER(SEARCH("TRANSPARENTES",Inventario!B108))),"TR",
IF(OR(ISNUMBER(SEARCH("BLANCO",Inventario!B108)),ISNUMBER(SEARCH("BCO",Inventario!B108))),"BL",
IF(ISNUMBER(SEARCH("VERDE",Inventario!B108)),"VR",
IF(ISNUMBER(SEARCH("MORADO",Inventario!B108)),"MR",
IF(ISNUMBER(SEARCH("PLATA",Inventario!B108)),"PL",
IF(ISNUMBER(SEARCH("ORO",Inventario!B108)),"OR",
IF(ISNUMBER(SEARCH("AMARILLO",Inventario!B108)),"AM",
IF(ISNUMBER(SEARCH("NARANJA",Inventario!B108)),"NR",
IF(ISNUMBER(SEARCH("NEGRO",Inventario!B108)),"NG",
IF(ISNUMBER(SEARCH("ROJO",Inventario!B108)),"RJ",
IF(ISNUMBER(SEARCH("AZUL",Inventario!B108)),"AZ","")))))))))))</f>
        <v/>
      </c>
      <c r="F109" t="str">
        <f>IF(ISNUMBER(SEARCH("1,2 MM",Inventario!B108)),"1MM2",
IF(OR(ISNUMBER(SEARCH("2 MM",Inventario!B108)),ISNUMBER(SEARCH("2MM",Inventario!B108))),"2MM",
IF(OR(ISNUMBER(SEARCH("3 MM",Inventario!B108)),ISNUMBER(SEARCH("3MM",Inventario!B108))),"3MM",
IF(OR(ISNUMBER(SEARCH("4 MM",Inventario!B108)),ISNUMBER(SEARCH("4MM",Inventario!B108)),ISNUMBER(SEARCH("4 mm",Inventario!B108))),"4MM",
IF(OR(ISNUMBER(SEARCH("5 MM",Inventario!B108)),ISNUMBER(SEARCH("5MM",Inventario!B108))),"5MM",
IF(OR(ISNUMBER(SEARCH("6 MM",Inventario!B108)),ISNUMBER(SEARCH("6MM",Inventario!B108))),"6MM",
IF(OR(ISNUMBER(SEARCH("10 MM",Inventario!B108)),ISNUMBER(SEARCH("10MM",Inventario!B108))),"10MM","")))))))</f>
        <v/>
      </c>
      <c r="G109" t="str">
        <f>IF(ISNUMBER(SEARCH("ALTA RESISTENCIA",Inventario!B108)),"AR",IF(ISNUMBER(SEARCH("CAMPAÑA",Inventario!B108)),"CA",
IF(OR(ISNUMBER(SEARCH("CALIDO",Inventario!B108)),ISNUMBER(SEARCH("CÁLIDO",Inventario!B108))),"C",
IF(OR(ISNUMBER(SEARCH("TRASLUCIDO",Inventario!B108)),ISNUMBER(SEARCH("TRANSLUCIDO",Inventario!B108))),"TL",
IF(ISNUMBER(SEARCH("NEUTRO",Inventario!B108)),"N",
IF(ISNUMBER(SEARCH("FRIO",Inventario!B108)),"F",""))))))</f>
        <v/>
      </c>
      <c r="H109" t="str">
        <f>IF(ISNUMBER(SEARCH("SILED",Inventario!B108)),"SI",
IF(ISNUMBER(SEARCH("SYDEMEX",Inventario!B108)),"SY",
IF(ISNUMBER(SEARCH("ROHS",Inventario!B108)),"RO",
IF(ISNUMBER(SEARCH("RISHANG",Inventario!B108)),"RS",
IF(ISNUMBER(SEARCH("VYG",Inventario!B108)),"VYG",
IF(ISNUMBER(SEARCH("COLED",Inventario!B108)),"CO",""))))))</f>
        <v/>
      </c>
    </row>
    <row r="110" spans="1:8">
      <c r="A110" t="str">
        <f>IF(ISNUMBER(SEARCH("LONA",Inventario!B109)),"LON",
IF(ISNUMBER(SEARCH("VINIL",Inventario!B109)),"VIN",
IF(ISNUMBER(SEARCH("PANEL DE ALUMINIO COMPUESTO",Inventario!B109)),"PAN-ALU-COM",
IF(ISNUMBER(SEARCH("PVC",Inventario!B109)),"PVC",
IF(ISNUMBER(SEARCH("PAPEL",Inventario!B109)),"PAP",
IF(ISNUMBER(SEARCH("TELA",Inventario!B109)),"TEL",
IF(ISNUMBER(SEARCH("CARTULINA",Inventario!B109)),"CAR",
IF(OR(ISNUMBER(SEARCH("LAMINA",Inventario!B109)),ISNUMBER(SEARCH("LÁMINA",Inventario!B109))),"LAM",
IF(ISNUMBER(SEARCH("ESTIRENO",Inventario!B109)),"EST",
IF(ISNUMBER(SEARCH("FOAMBOARD",Inventario!B109)),"FOA",
IF(ISNUMBER(SEARCH("SOLVENTE",Inventario!B109)),"SOL",
IF(ISNUMBER(SEARCH("TINTA",Inventario!B109)),"TIN",
IF(ISNUMBER(SEARCH("ACRILICO",Inventario!B109)),"ACR",
IF(ISNUMBER(SEARCH("LED",Inventario!B109)),"LED",
IF(ISNUMBER(SEARCH("FUENTE",Inventario!B109)),"FUE",
IF(ISNUMBER(SEARCH("PETG",Inventario!B109)),"PET",
IF(ISNUMBER(SEARCH("ALUMINIO",Inventario!B109)),"ALU",
IF(ISNUMBER(SEARCH("CANAL",Inventario!B109)),"CAN",
IF(ISNUMBER(SEARCH("ESCUADRA",Inventario!B109)),"ESC",
IF(ISNUMBER(SEARCH("SOPORTE",Inventario!B109)),"SOP","OTR")
)))))))))))))))))))</f>
        <v>TIN</v>
      </c>
      <c r="B110" t="str">
        <f>IF(ISNUMBER(SEARCH("CORTE",Inventario!B109)),"COR",
IF(ISNUMBER(SEARCH("CRISTAL",Inventario!B109)),"CR",
IF(OR(ISNUMBER(SEARCH("OPTICO",Inventario!B109)),ISNUMBER(SEARCH("OPTICOS",Inventario!B109)),ISNUMBER(SEARCH("OPTICA",Inventario!B109))),"OP",
IF(ISNUMBER(SEARCH("NANO",Inventario!B109)),"NA",
IF(ISNUMBER(SEARCH("5050",Inventario!B109)),"5050",
IF(ISNUMBER(SEARCH("MICRO",Inventario!B109)),"MI",""))))))</f>
        <v/>
      </c>
      <c r="C110" t="str">
        <f>IF(ISNUMBER(SEARCH("PARED",Inventario!B109)),"PAR",IF(ISNUMBER(SEARCH("MATE",Inventario!B109)),"MAT",
IF(ISNUMBER(SEARCH("FRONT",Inventario!B109)),"FRO",
IF(ISNUMBER(SEARCH("BACK",Inventario!B109)),"BAC",
IF(ISNUMBER(SEARCH("MESH",Inventario!B109)),"MES",
IF(OR(ISNUMBER(SEARCH("BRILLANTE",Inventario!B109)),ISNUMBER(SEARCH("BTE",Inventario!B109))),"BRI",
IF(ISNUMBER(SEARCH("SINTETICA DELGADA",Inventario!B109)),"SD",
IF(ISNUMBER(SEARCH("SINTETICA GRUESA",Inventario!B109)),"SG",
IF(ISNUMBER(SEARCH("ESTATICO",Inventario!B109)),"EST",
IF(ISNUMBER(SEARCH("FLOOR",Inventario!B109)),"FLO",
IF(ISNUMBER(SEARCH("REFLECTIVO",Inventario!B109)),"REF",
IF(ISNUMBER(SEARCH("MICROPERFORADO",Inventario!B109)),"MI",
IF(ISNUMBER(SEARCH("CEPILLADO",Inventario!B109)),"CEP",
IF(ISNUMBER(SEARCH("ESPEJO",Inventario!B109)),"ESP",
IF(OR(ISNUMBER(SEARCH("UNIDIODO",Inventario!B109)),ISNUMBER(SEARCH("1 DIODO",Inventario!B109))),"1D",
IF(ISNUMBER(SEARCH("2 DIODOS",Inventario!B109)),"2D",
IF(ISNUMBER(SEARCH("3 DIODOS",Inventario!B109)),"3D","")))))))))))))))))</f>
        <v/>
      </c>
      <c r="D110" t="str">
        <f>IF(ISNUMBER(SEARCH("LX700",Inventario!B109)),"LX7",
IF(ISNUMBER(SEARCH("GRANDO",Inventario!B109)),"GRA",
IF(OR(ISNUMBER(SEARCH("CAMA PLANA",Inventario!B109)),ISNUMBER(SEARCH("FB700",Inventario!B109))),"CP",
IF(ISNUMBER(SEARCH("LX360",Inventario!B109)),"LX3",
IF(ISNUMBER(SEARCH("XEROX",Inventario!B109)),"XER",
IF(ISNUMBER(SEARCH("18 OZ",Inventario!B109)),"18OZ",
IF(ISNUMBER(SEARCH("15 OZ",Inventario!B109)),"15OZ",
IF(OR(ISNUMBER(SEARCH("13 OZ",Inventario!B109)),ISNUMBER(SEARCH("13 ONZAS",Inventario!B109))),"13OZ",
IF(OR(ISNUMBER(SEARCH("9 OZ",Inventario!B109)),ISNUMBER(SEARCH("9 ONZAS",Inventario!B109))),"09OZ","")))))))))</f>
        <v>GRA</v>
      </c>
      <c r="E110" t="str">
        <f>IF(OR(ISNUMBER(SEARCH("TRANSPARENTE",Inventario!B109)),ISNUMBER(SEARCH("TRANSPARENTES",Inventario!B109))),"TR",
IF(OR(ISNUMBER(SEARCH("BLANCO",Inventario!B109)),ISNUMBER(SEARCH("BCO",Inventario!B109))),"BL",
IF(ISNUMBER(SEARCH("VERDE",Inventario!B109)),"VR",
IF(ISNUMBER(SEARCH("MORADO",Inventario!B109)),"MR",
IF(ISNUMBER(SEARCH("PLATA",Inventario!B109)),"PL",
IF(ISNUMBER(SEARCH("ORO",Inventario!B109)),"OR",
IF(ISNUMBER(SEARCH("AMARILLO",Inventario!B109)),"AM",
IF(ISNUMBER(SEARCH("NARANJA",Inventario!B109)),"NR",
IF(ISNUMBER(SEARCH("NEGRO",Inventario!B109)),"NG",
IF(ISNUMBER(SEARCH("ROJO",Inventario!B109)),"RJ",
IF(ISNUMBER(SEARCH("AZUL",Inventario!B109)),"AZ","")))))))))))</f>
        <v/>
      </c>
      <c r="F110" t="str">
        <f>IF(ISNUMBER(SEARCH("1,2 MM",Inventario!B109)),"1MM2",
IF(OR(ISNUMBER(SEARCH("2 MM",Inventario!B109)),ISNUMBER(SEARCH("2MM",Inventario!B109))),"2MM",
IF(OR(ISNUMBER(SEARCH("3 MM",Inventario!B109)),ISNUMBER(SEARCH("3MM",Inventario!B109))),"3MM",
IF(OR(ISNUMBER(SEARCH("4 MM",Inventario!B109)),ISNUMBER(SEARCH("4MM",Inventario!B109)),ISNUMBER(SEARCH("4 mm",Inventario!B109))),"4MM",
IF(OR(ISNUMBER(SEARCH("5 MM",Inventario!B109)),ISNUMBER(SEARCH("5MM",Inventario!B109))),"5MM",
IF(OR(ISNUMBER(SEARCH("6 MM",Inventario!B109)),ISNUMBER(SEARCH("6MM",Inventario!B109))),"6MM",
IF(OR(ISNUMBER(SEARCH("10 MM",Inventario!B109)),ISNUMBER(SEARCH("10MM",Inventario!B109))),"10MM","")))))))</f>
        <v/>
      </c>
      <c r="G110" t="str">
        <f>IF(ISNUMBER(SEARCH("ALTA RESISTENCIA",Inventario!B109)),"AR",IF(ISNUMBER(SEARCH("CAMPAÑA",Inventario!B109)),"CA",
IF(OR(ISNUMBER(SEARCH("CALIDO",Inventario!B109)),ISNUMBER(SEARCH("CÁLIDO",Inventario!B109))),"C",
IF(OR(ISNUMBER(SEARCH("TRASLUCIDO",Inventario!B109)),ISNUMBER(SEARCH("TRANSLUCIDO",Inventario!B109))),"TL",
IF(ISNUMBER(SEARCH("NEUTRO",Inventario!B109)),"N",
IF(ISNUMBER(SEARCH("FRIO",Inventario!B109)),"F",""))))))</f>
        <v/>
      </c>
      <c r="H110" t="str">
        <f>IF(ISNUMBER(SEARCH("SILED",Inventario!B109)),"SI",
IF(ISNUMBER(SEARCH("SYDEMEX",Inventario!B109)),"SY",
IF(ISNUMBER(SEARCH("ROHS",Inventario!B109)),"RO",
IF(ISNUMBER(SEARCH("RISHANG",Inventario!B109)),"RS",
IF(ISNUMBER(SEARCH("VYG",Inventario!B109)),"VYG",
IF(ISNUMBER(SEARCH("COLED",Inventario!B109)),"CO",""))))))</f>
        <v/>
      </c>
    </row>
    <row r="111" spans="1:8">
      <c r="A111" t="str">
        <f>IF(ISNUMBER(SEARCH("LONA",Inventario!B110)),"LON",
IF(ISNUMBER(SEARCH("VINIL",Inventario!B110)),"VIN",
IF(ISNUMBER(SEARCH("PANEL DE ALUMINIO COMPUESTO",Inventario!B110)),"PAN-ALU-COM",
IF(ISNUMBER(SEARCH("PVC",Inventario!B110)),"PVC",
IF(ISNUMBER(SEARCH("PAPEL",Inventario!B110)),"PAP",
IF(ISNUMBER(SEARCH("TELA",Inventario!B110)),"TEL",
IF(ISNUMBER(SEARCH("CARTULINA",Inventario!B110)),"CAR",
IF(OR(ISNUMBER(SEARCH("LAMINA",Inventario!B110)),ISNUMBER(SEARCH("LÁMINA",Inventario!B110))),"LAM",
IF(ISNUMBER(SEARCH("ESTIRENO",Inventario!B110)),"EST",
IF(ISNUMBER(SEARCH("FOAMBOARD",Inventario!B110)),"FOA",
IF(ISNUMBER(SEARCH("SOLVENTE",Inventario!B110)),"SOL",
IF(ISNUMBER(SEARCH("TINTA",Inventario!B110)),"TIN",
IF(ISNUMBER(SEARCH("ACRILICO",Inventario!B110)),"ACR",
IF(ISNUMBER(SEARCH("LED",Inventario!B110)),"LED",
IF(ISNUMBER(SEARCH("FUENTE",Inventario!B110)),"FUE",
IF(ISNUMBER(SEARCH("PETG",Inventario!B110)),"PET",
IF(ISNUMBER(SEARCH("ALUMINIO",Inventario!B110)),"ALU",
IF(ISNUMBER(SEARCH("CANAL",Inventario!B110)),"CAN",
IF(ISNUMBER(SEARCH("ESCUADRA",Inventario!B110)),"ESC",
IF(ISNUMBER(SEARCH("SOPORTE",Inventario!B110)),"SOP","OTR")
)))))))))))))))))))</f>
        <v>TIN</v>
      </c>
      <c r="B111" t="str">
        <f>IF(ISNUMBER(SEARCH("CORTE",Inventario!B110)),"COR",
IF(ISNUMBER(SEARCH("CRISTAL",Inventario!B110)),"CR",
IF(OR(ISNUMBER(SEARCH("OPTICO",Inventario!B110)),ISNUMBER(SEARCH("OPTICOS",Inventario!B110)),ISNUMBER(SEARCH("OPTICA",Inventario!B110))),"OP",
IF(ISNUMBER(SEARCH("NANO",Inventario!B110)),"NA",
IF(ISNUMBER(SEARCH("5050",Inventario!B110)),"5050",
IF(ISNUMBER(SEARCH("MICRO",Inventario!B110)),"MI",""))))))</f>
        <v/>
      </c>
      <c r="C111" t="str">
        <f>IF(ISNUMBER(SEARCH("PARED",Inventario!B110)),"PAR",IF(ISNUMBER(SEARCH("MATE",Inventario!B110)),"MAT",
IF(ISNUMBER(SEARCH("FRONT",Inventario!B110)),"FRO",
IF(ISNUMBER(SEARCH("BACK",Inventario!B110)),"BAC",
IF(ISNUMBER(SEARCH("MESH",Inventario!B110)),"MES",
IF(OR(ISNUMBER(SEARCH("BRILLANTE",Inventario!B110)),ISNUMBER(SEARCH("BTE",Inventario!B110))),"BRI",
IF(ISNUMBER(SEARCH("SINTETICA DELGADA",Inventario!B110)),"SD",
IF(ISNUMBER(SEARCH("SINTETICA GRUESA",Inventario!B110)),"SG",
IF(ISNUMBER(SEARCH("ESTATICO",Inventario!B110)),"EST",
IF(ISNUMBER(SEARCH("FLOOR",Inventario!B110)),"FLO",
IF(ISNUMBER(SEARCH("REFLECTIVO",Inventario!B110)),"REF",
IF(ISNUMBER(SEARCH("MICROPERFORADO",Inventario!B110)),"MI",
IF(ISNUMBER(SEARCH("CEPILLADO",Inventario!B110)),"CEP",
IF(ISNUMBER(SEARCH("ESPEJO",Inventario!B110)),"ESP",
IF(OR(ISNUMBER(SEARCH("UNIDIODO",Inventario!B110)),ISNUMBER(SEARCH("1 DIODO",Inventario!B110))),"1D",
IF(ISNUMBER(SEARCH("2 DIODOS",Inventario!B110)),"2D",
IF(ISNUMBER(SEARCH("3 DIODOS",Inventario!B110)),"3D","")))))))))))))))))</f>
        <v/>
      </c>
      <c r="D111" t="str">
        <f>IF(ISNUMBER(SEARCH("LX700",Inventario!B110)),"LX7",
IF(ISNUMBER(SEARCH("GRANDO",Inventario!B110)),"GRA",
IF(OR(ISNUMBER(SEARCH("CAMA PLANA",Inventario!B110)),ISNUMBER(SEARCH("FB700",Inventario!B110))),"CP",
IF(ISNUMBER(SEARCH("LX360",Inventario!B110)),"LX3",
IF(ISNUMBER(SEARCH("XEROX",Inventario!B110)),"XER",
IF(ISNUMBER(SEARCH("18 OZ",Inventario!B110)),"18OZ",
IF(ISNUMBER(SEARCH("15 OZ",Inventario!B110)),"15OZ",
IF(OR(ISNUMBER(SEARCH("13 OZ",Inventario!B110)),ISNUMBER(SEARCH("13 ONZAS",Inventario!B110))),"13OZ",
IF(OR(ISNUMBER(SEARCH("9 OZ",Inventario!B110)),ISNUMBER(SEARCH("9 ONZAS",Inventario!B110))),"09OZ","")))))))))</f>
        <v>GRA</v>
      </c>
      <c r="E111" t="str">
        <f>IF(OR(ISNUMBER(SEARCH("TRANSPARENTE",Inventario!B110)),ISNUMBER(SEARCH("TRANSPARENTES",Inventario!B110))),"TR",
IF(OR(ISNUMBER(SEARCH("BLANCO",Inventario!B110)),ISNUMBER(SEARCH("BCO",Inventario!B110))),"BL",
IF(ISNUMBER(SEARCH("VERDE",Inventario!B110)),"VR",
IF(ISNUMBER(SEARCH("MORADO",Inventario!B110)),"MR",
IF(ISNUMBER(SEARCH("PLATA",Inventario!B110)),"PL",
IF(ISNUMBER(SEARCH("ORO",Inventario!B110)),"OR",
IF(ISNUMBER(SEARCH("AMARILLO",Inventario!B110)),"AM",
IF(ISNUMBER(SEARCH("NARANJA",Inventario!B110)),"NR",
IF(ISNUMBER(SEARCH("NEGRO",Inventario!B110)),"NG",
IF(ISNUMBER(SEARCH("ROJO",Inventario!B110)),"RJ",
IF(ISNUMBER(SEARCH("AZUL",Inventario!B110)),"AZ","")))))))))))</f>
        <v/>
      </c>
      <c r="F111" t="str">
        <f>IF(ISNUMBER(SEARCH("1,2 MM",Inventario!B110)),"1MM2",
IF(OR(ISNUMBER(SEARCH("2 MM",Inventario!B110)),ISNUMBER(SEARCH("2MM",Inventario!B110))),"2MM",
IF(OR(ISNUMBER(SEARCH("3 MM",Inventario!B110)),ISNUMBER(SEARCH("3MM",Inventario!B110))),"3MM",
IF(OR(ISNUMBER(SEARCH("4 MM",Inventario!B110)),ISNUMBER(SEARCH("4MM",Inventario!B110)),ISNUMBER(SEARCH("4 mm",Inventario!B110))),"4MM",
IF(OR(ISNUMBER(SEARCH("5 MM",Inventario!B110)),ISNUMBER(SEARCH("5MM",Inventario!B110))),"5MM",
IF(OR(ISNUMBER(SEARCH("6 MM",Inventario!B110)),ISNUMBER(SEARCH("6MM",Inventario!B110))),"6MM",
IF(OR(ISNUMBER(SEARCH("10 MM",Inventario!B110)),ISNUMBER(SEARCH("10MM",Inventario!B110))),"10MM","")))))))</f>
        <v/>
      </c>
      <c r="G111" t="str">
        <f>IF(ISNUMBER(SEARCH("ALTA RESISTENCIA",Inventario!B110)),"AR",IF(ISNUMBER(SEARCH("CAMPAÑA",Inventario!B110)),"CA",
IF(OR(ISNUMBER(SEARCH("CALIDO",Inventario!B110)),ISNUMBER(SEARCH("CÁLIDO",Inventario!B110))),"C",
IF(OR(ISNUMBER(SEARCH("TRASLUCIDO",Inventario!B110)),ISNUMBER(SEARCH("TRANSLUCIDO",Inventario!B110))),"TL",
IF(ISNUMBER(SEARCH("NEUTRO",Inventario!B110)),"N",
IF(ISNUMBER(SEARCH("FRIO",Inventario!B110)),"F",""))))))</f>
        <v/>
      </c>
      <c r="H111" t="str">
        <f>IF(ISNUMBER(SEARCH("SILED",Inventario!B110)),"SI",
IF(ISNUMBER(SEARCH("SYDEMEX",Inventario!B110)),"SY",
IF(ISNUMBER(SEARCH("ROHS",Inventario!B110)),"RO",
IF(ISNUMBER(SEARCH("RISHANG",Inventario!B110)),"RS",
IF(ISNUMBER(SEARCH("VYG",Inventario!B110)),"VYG",
IF(ISNUMBER(SEARCH("COLED",Inventario!B110)),"CO",""))))))</f>
        <v/>
      </c>
    </row>
    <row r="112" spans="1:8">
      <c r="A112" t="str">
        <f>IF(ISNUMBER(SEARCH("LONA",Inventario!B111)),"LON",
IF(ISNUMBER(SEARCH("VINIL",Inventario!B111)),"VIN",
IF(ISNUMBER(SEARCH("PANEL DE ALUMINIO COMPUESTO",Inventario!B111)),"PAN-ALU-COM",
IF(ISNUMBER(SEARCH("PVC",Inventario!B111)),"PVC",
IF(ISNUMBER(SEARCH("PAPEL",Inventario!B111)),"PAP",
IF(ISNUMBER(SEARCH("TELA",Inventario!B111)),"TEL",
IF(ISNUMBER(SEARCH("CARTULINA",Inventario!B111)),"CAR",
IF(OR(ISNUMBER(SEARCH("LAMINA",Inventario!B111)),ISNUMBER(SEARCH("LÁMINA",Inventario!B111))),"LAM",
IF(ISNUMBER(SEARCH("ESTIRENO",Inventario!B111)),"EST",
IF(ISNUMBER(SEARCH("FOAMBOARD",Inventario!B111)),"FOA",
IF(ISNUMBER(SEARCH("SOLVENTE",Inventario!B111)),"SOL",
IF(ISNUMBER(SEARCH("TINTA",Inventario!B111)),"TIN",
IF(ISNUMBER(SEARCH("ACRILICO",Inventario!B111)),"ACR",
IF(ISNUMBER(SEARCH("LED",Inventario!B111)),"LED",
IF(ISNUMBER(SEARCH("FUENTE",Inventario!B111)),"FUE",
IF(ISNUMBER(SEARCH("PETG",Inventario!B111)),"PET",
IF(ISNUMBER(SEARCH("ALUMINIO",Inventario!B111)),"ALU",
IF(ISNUMBER(SEARCH("CANAL",Inventario!B111)),"CAN",
IF(ISNUMBER(SEARCH("ESCUADRA",Inventario!B111)),"ESC",
IF(ISNUMBER(SEARCH("SOPORTE",Inventario!B111)),"SOP","OTR")
)))))))))))))))))))</f>
        <v>TIN</v>
      </c>
      <c r="B112" t="str">
        <f>IF(ISNUMBER(SEARCH("CORTE",Inventario!B111)),"COR",
IF(ISNUMBER(SEARCH("CRISTAL",Inventario!B111)),"CR",
IF(OR(ISNUMBER(SEARCH("OPTICO",Inventario!B111)),ISNUMBER(SEARCH("OPTICOS",Inventario!B111)),ISNUMBER(SEARCH("OPTICA",Inventario!B111))),"OP",
IF(ISNUMBER(SEARCH("NANO",Inventario!B111)),"NA",
IF(ISNUMBER(SEARCH("5050",Inventario!B111)),"5050",
IF(ISNUMBER(SEARCH("MICRO",Inventario!B111)),"MI",""))))))</f>
        <v/>
      </c>
      <c r="C112" t="str">
        <f>IF(ISNUMBER(SEARCH("PARED",Inventario!B111)),"PAR",IF(ISNUMBER(SEARCH("MATE",Inventario!B111)),"MAT",
IF(ISNUMBER(SEARCH("FRONT",Inventario!B111)),"FRO",
IF(ISNUMBER(SEARCH("BACK",Inventario!B111)),"BAC",
IF(ISNUMBER(SEARCH("MESH",Inventario!B111)),"MES",
IF(OR(ISNUMBER(SEARCH("BRILLANTE",Inventario!B111)),ISNUMBER(SEARCH("BTE",Inventario!B111))),"BRI",
IF(ISNUMBER(SEARCH("SINTETICA DELGADA",Inventario!B111)),"SD",
IF(ISNUMBER(SEARCH("SINTETICA GRUESA",Inventario!B111)),"SG",
IF(ISNUMBER(SEARCH("ESTATICO",Inventario!B111)),"EST",
IF(ISNUMBER(SEARCH("FLOOR",Inventario!B111)),"FLO",
IF(ISNUMBER(SEARCH("REFLECTIVO",Inventario!B111)),"REF",
IF(ISNUMBER(SEARCH("MICROPERFORADO",Inventario!B111)),"MI",
IF(ISNUMBER(SEARCH("CEPILLADO",Inventario!B111)),"CEP",
IF(ISNUMBER(SEARCH("ESPEJO",Inventario!B111)),"ESP",
IF(OR(ISNUMBER(SEARCH("UNIDIODO",Inventario!B111)),ISNUMBER(SEARCH("1 DIODO",Inventario!B111))),"1D",
IF(ISNUMBER(SEARCH("2 DIODOS",Inventario!B111)),"2D",
IF(ISNUMBER(SEARCH("3 DIODOS",Inventario!B111)),"3D","")))))))))))))))))</f>
        <v/>
      </c>
      <c r="D112" t="str">
        <f>IF(ISNUMBER(SEARCH("LX700",Inventario!B111)),"LX7",
IF(ISNUMBER(SEARCH("GRANDO",Inventario!B111)),"GRA",
IF(OR(ISNUMBER(SEARCH("CAMA PLANA",Inventario!B111)),ISNUMBER(SEARCH("FB700",Inventario!B111))),"CP",
IF(ISNUMBER(SEARCH("LX360",Inventario!B111)),"LX3",
IF(ISNUMBER(SEARCH("XEROX",Inventario!B111)),"XER",
IF(ISNUMBER(SEARCH("18 OZ",Inventario!B111)),"18OZ",
IF(ISNUMBER(SEARCH("15 OZ",Inventario!B111)),"15OZ",
IF(OR(ISNUMBER(SEARCH("13 OZ",Inventario!B111)),ISNUMBER(SEARCH("13 ONZAS",Inventario!B111))),"13OZ",
IF(OR(ISNUMBER(SEARCH("9 OZ",Inventario!B111)),ISNUMBER(SEARCH("9 ONZAS",Inventario!B111))),"09OZ","")))))))))</f>
        <v>GRA</v>
      </c>
      <c r="E112" t="str">
        <f>IF(OR(ISNUMBER(SEARCH("TRANSPARENTE",Inventario!B111)),ISNUMBER(SEARCH("TRANSPARENTES",Inventario!B111))),"TR",
IF(OR(ISNUMBER(SEARCH("BLANCO",Inventario!B111)),ISNUMBER(SEARCH("BCO",Inventario!B111))),"BL",
IF(ISNUMBER(SEARCH("VERDE",Inventario!B111)),"VR",
IF(ISNUMBER(SEARCH("MORADO",Inventario!B111)),"MR",
IF(ISNUMBER(SEARCH("PLATA",Inventario!B111)),"PL",
IF(ISNUMBER(SEARCH("ORO",Inventario!B111)),"OR",
IF(ISNUMBER(SEARCH("AMARILLO",Inventario!B111)),"AM",
IF(ISNUMBER(SEARCH("NARANJA",Inventario!B111)),"NR",
IF(ISNUMBER(SEARCH("NEGRO",Inventario!B111)),"NG",
IF(ISNUMBER(SEARCH("ROJO",Inventario!B111)),"RJ",
IF(ISNUMBER(SEARCH("AZUL",Inventario!B111)),"AZ","")))))))))))</f>
        <v/>
      </c>
      <c r="F112" t="str">
        <f>IF(ISNUMBER(SEARCH("1,2 MM",Inventario!B111)),"1MM2",
IF(OR(ISNUMBER(SEARCH("2 MM",Inventario!B111)),ISNUMBER(SEARCH("2MM",Inventario!B111))),"2MM",
IF(OR(ISNUMBER(SEARCH("3 MM",Inventario!B111)),ISNUMBER(SEARCH("3MM",Inventario!B111))),"3MM",
IF(OR(ISNUMBER(SEARCH("4 MM",Inventario!B111)),ISNUMBER(SEARCH("4MM",Inventario!B111)),ISNUMBER(SEARCH("4 mm",Inventario!B111))),"4MM",
IF(OR(ISNUMBER(SEARCH("5 MM",Inventario!B111)),ISNUMBER(SEARCH("5MM",Inventario!B111))),"5MM",
IF(OR(ISNUMBER(SEARCH("6 MM",Inventario!B111)),ISNUMBER(SEARCH("6MM",Inventario!B111))),"6MM",
IF(OR(ISNUMBER(SEARCH("10 MM",Inventario!B111)),ISNUMBER(SEARCH("10MM",Inventario!B111))),"10MM","")))))))</f>
        <v/>
      </c>
      <c r="G112" t="str">
        <f>IF(ISNUMBER(SEARCH("ALTA RESISTENCIA",Inventario!B111)),"AR",IF(ISNUMBER(SEARCH("CAMPAÑA",Inventario!B111)),"CA",
IF(OR(ISNUMBER(SEARCH("CALIDO",Inventario!B111)),ISNUMBER(SEARCH("CÁLIDO",Inventario!B111))),"C",
IF(OR(ISNUMBER(SEARCH("TRASLUCIDO",Inventario!B111)),ISNUMBER(SEARCH("TRANSLUCIDO",Inventario!B111))),"TL",
IF(ISNUMBER(SEARCH("NEUTRO",Inventario!B111)),"N",
IF(ISNUMBER(SEARCH("FRIO",Inventario!B111)),"F",""))))))</f>
        <v/>
      </c>
      <c r="H112" t="str">
        <f>IF(ISNUMBER(SEARCH("SILED",Inventario!B111)),"SI",
IF(ISNUMBER(SEARCH("SYDEMEX",Inventario!B111)),"SY",
IF(ISNUMBER(SEARCH("ROHS",Inventario!B111)),"RO",
IF(ISNUMBER(SEARCH("RISHANG",Inventario!B111)),"RS",
IF(ISNUMBER(SEARCH("VYG",Inventario!B111)),"VYG",
IF(ISNUMBER(SEARCH("COLED",Inventario!B111)),"CO",""))))))</f>
        <v/>
      </c>
    </row>
    <row r="113" spans="1:8">
      <c r="A113" t="str">
        <f>IF(ISNUMBER(SEARCH("LONA",Inventario!B112)),"LON",
IF(ISNUMBER(SEARCH("VINIL",Inventario!B112)),"VIN",
IF(ISNUMBER(SEARCH("PANEL DE ALUMINIO COMPUESTO",Inventario!B112)),"PAN-ALU-COM",
IF(ISNUMBER(SEARCH("PVC",Inventario!B112)),"PVC",
IF(ISNUMBER(SEARCH("PAPEL",Inventario!B112)),"PAP",
IF(ISNUMBER(SEARCH("TELA",Inventario!B112)),"TEL",
IF(ISNUMBER(SEARCH("CARTULINA",Inventario!B112)),"CAR",
IF(OR(ISNUMBER(SEARCH("LAMINA",Inventario!B112)),ISNUMBER(SEARCH("LÁMINA",Inventario!B112))),"LAM",
IF(ISNUMBER(SEARCH("ESTIRENO",Inventario!B112)),"EST",
IF(ISNUMBER(SEARCH("FOAMBOARD",Inventario!B112)),"FOA",
IF(ISNUMBER(SEARCH("SOLVENTE",Inventario!B112)),"SOL",
IF(ISNUMBER(SEARCH("TINTA",Inventario!B112)),"TIN",
IF(ISNUMBER(SEARCH("ACRILICO",Inventario!B112)),"ACR",
IF(ISNUMBER(SEARCH("LED",Inventario!B112)),"LED",
IF(ISNUMBER(SEARCH("FUENTE",Inventario!B112)),"FUE",
IF(ISNUMBER(SEARCH("PETG",Inventario!B112)),"PET",
IF(ISNUMBER(SEARCH("ALUMINIO",Inventario!B112)),"ALU",
IF(ISNUMBER(SEARCH("CANAL",Inventario!B112)),"CAN",
IF(ISNUMBER(SEARCH("ESCUADRA",Inventario!B112)),"ESC",
IF(ISNUMBER(SEARCH("SOPORTE",Inventario!B112)),"SOP","OTR")
)))))))))))))))))))</f>
        <v>TIN</v>
      </c>
      <c r="B113" t="str">
        <f>IF(ISNUMBER(SEARCH("CORTE",Inventario!B112)),"COR",
IF(ISNUMBER(SEARCH("CRISTAL",Inventario!B112)),"CR",
IF(OR(ISNUMBER(SEARCH("OPTICO",Inventario!B112)),ISNUMBER(SEARCH("OPTICOS",Inventario!B112)),ISNUMBER(SEARCH("OPTICA",Inventario!B112))),"OP",
IF(ISNUMBER(SEARCH("NANO",Inventario!B112)),"NA",
IF(ISNUMBER(SEARCH("5050",Inventario!B112)),"5050",
IF(ISNUMBER(SEARCH("MICRO",Inventario!B112)),"MI",""))))))</f>
        <v/>
      </c>
      <c r="C113" t="str">
        <f>IF(ISNUMBER(SEARCH("PARED",Inventario!B112)),"PAR",IF(ISNUMBER(SEARCH("MATE",Inventario!B112)),"MAT",
IF(ISNUMBER(SEARCH("FRONT",Inventario!B112)),"FRO",
IF(ISNUMBER(SEARCH("BACK",Inventario!B112)),"BAC",
IF(ISNUMBER(SEARCH("MESH",Inventario!B112)),"MES",
IF(OR(ISNUMBER(SEARCH("BRILLANTE",Inventario!B112)),ISNUMBER(SEARCH("BTE",Inventario!B112))),"BRI",
IF(ISNUMBER(SEARCH("SINTETICA DELGADA",Inventario!B112)),"SD",
IF(ISNUMBER(SEARCH("SINTETICA GRUESA",Inventario!B112)),"SG",
IF(ISNUMBER(SEARCH("ESTATICO",Inventario!B112)),"EST",
IF(ISNUMBER(SEARCH("FLOOR",Inventario!B112)),"FLO",
IF(ISNUMBER(SEARCH("REFLECTIVO",Inventario!B112)),"REF",
IF(ISNUMBER(SEARCH("MICROPERFORADO",Inventario!B112)),"MI",
IF(ISNUMBER(SEARCH("CEPILLADO",Inventario!B112)),"CEP",
IF(ISNUMBER(SEARCH("ESPEJO",Inventario!B112)),"ESP",
IF(OR(ISNUMBER(SEARCH("UNIDIODO",Inventario!B112)),ISNUMBER(SEARCH("1 DIODO",Inventario!B112))),"1D",
IF(ISNUMBER(SEARCH("2 DIODOS",Inventario!B112)),"2D",
IF(ISNUMBER(SEARCH("3 DIODOS",Inventario!B112)),"3D","")))))))))))))))))</f>
        <v/>
      </c>
      <c r="D113" t="str">
        <f>IF(ISNUMBER(SEARCH("LX700",Inventario!B112)),"LX7",
IF(ISNUMBER(SEARCH("GRANDO",Inventario!B112)),"GRA",
IF(OR(ISNUMBER(SEARCH("CAMA PLANA",Inventario!B112)),ISNUMBER(SEARCH("FB700",Inventario!B112))),"CP",
IF(ISNUMBER(SEARCH("LX360",Inventario!B112)),"LX3",
IF(ISNUMBER(SEARCH("XEROX",Inventario!B112)),"XER",
IF(ISNUMBER(SEARCH("18 OZ",Inventario!B112)),"18OZ",
IF(ISNUMBER(SEARCH("15 OZ",Inventario!B112)),"15OZ",
IF(OR(ISNUMBER(SEARCH("13 OZ",Inventario!B112)),ISNUMBER(SEARCH("13 ONZAS",Inventario!B112))),"13OZ",
IF(OR(ISNUMBER(SEARCH("9 OZ",Inventario!B112)),ISNUMBER(SEARCH("9 ONZAS",Inventario!B112))),"09OZ","")))))))))</f>
        <v>GRA</v>
      </c>
      <c r="E113" t="str">
        <f>IF(OR(ISNUMBER(SEARCH("TRANSPARENTE",Inventario!B112)),ISNUMBER(SEARCH("TRANSPARENTES",Inventario!B112))),"TR",
IF(OR(ISNUMBER(SEARCH("BLANCO",Inventario!B112)),ISNUMBER(SEARCH("BCO",Inventario!B112))),"BL",
IF(ISNUMBER(SEARCH("VERDE",Inventario!B112)),"VR",
IF(ISNUMBER(SEARCH("MORADO",Inventario!B112)),"MR",
IF(ISNUMBER(SEARCH("PLATA",Inventario!B112)),"PL",
IF(ISNUMBER(SEARCH("ORO",Inventario!B112)),"OR",
IF(ISNUMBER(SEARCH("AMARILLO",Inventario!B112)),"AM",
IF(ISNUMBER(SEARCH("NARANJA",Inventario!B112)),"NR",
IF(ISNUMBER(SEARCH("NEGRO",Inventario!B112)),"NG",
IF(ISNUMBER(SEARCH("ROJO",Inventario!B112)),"RJ",
IF(ISNUMBER(SEARCH("AZUL",Inventario!B112)),"AZ","")))))))))))</f>
        <v/>
      </c>
      <c r="F113" t="str">
        <f>IF(ISNUMBER(SEARCH("1,2 MM",Inventario!B112)),"1MM2",
IF(OR(ISNUMBER(SEARCH("2 MM",Inventario!B112)),ISNUMBER(SEARCH("2MM",Inventario!B112))),"2MM",
IF(OR(ISNUMBER(SEARCH("3 MM",Inventario!B112)),ISNUMBER(SEARCH("3MM",Inventario!B112))),"3MM",
IF(OR(ISNUMBER(SEARCH("4 MM",Inventario!B112)),ISNUMBER(SEARCH("4MM",Inventario!B112)),ISNUMBER(SEARCH("4 mm",Inventario!B112))),"4MM",
IF(OR(ISNUMBER(SEARCH("5 MM",Inventario!B112)),ISNUMBER(SEARCH("5MM",Inventario!B112))),"5MM",
IF(OR(ISNUMBER(SEARCH("6 MM",Inventario!B112)),ISNUMBER(SEARCH("6MM",Inventario!B112))),"6MM",
IF(OR(ISNUMBER(SEARCH("10 MM",Inventario!B112)),ISNUMBER(SEARCH("10MM",Inventario!B112))),"10MM","")))))))</f>
        <v/>
      </c>
      <c r="G113" t="str">
        <f>IF(ISNUMBER(SEARCH("ALTA RESISTENCIA",Inventario!B112)),"AR",IF(ISNUMBER(SEARCH("CAMPAÑA",Inventario!B112)),"CA",
IF(OR(ISNUMBER(SEARCH("CALIDO",Inventario!B112)),ISNUMBER(SEARCH("CÁLIDO",Inventario!B112))),"C",
IF(OR(ISNUMBER(SEARCH("TRASLUCIDO",Inventario!B112)),ISNUMBER(SEARCH("TRANSLUCIDO",Inventario!B112))),"TL",
IF(ISNUMBER(SEARCH("NEUTRO",Inventario!B112)),"N",
IF(ISNUMBER(SEARCH("FRIO",Inventario!B112)),"F",""))))))</f>
        <v/>
      </c>
      <c r="H113" t="str">
        <f>IF(ISNUMBER(SEARCH("SILED",Inventario!B112)),"SI",
IF(ISNUMBER(SEARCH("SYDEMEX",Inventario!B112)),"SY",
IF(ISNUMBER(SEARCH("ROHS",Inventario!B112)),"RO",
IF(ISNUMBER(SEARCH("RISHANG",Inventario!B112)),"RS",
IF(ISNUMBER(SEARCH("VYG",Inventario!B112)),"VYG",
IF(ISNUMBER(SEARCH("COLED",Inventario!B112)),"CO",""))))))</f>
        <v/>
      </c>
    </row>
    <row r="114" spans="1:8">
      <c r="A114" t="str">
        <f>IF(ISNUMBER(SEARCH("LONA",Inventario!B113)),"LON",
IF(ISNUMBER(SEARCH("VINIL",Inventario!B113)),"VIN",
IF(ISNUMBER(SEARCH("PANEL DE ALUMINIO COMPUESTO",Inventario!B113)),"PAN-ALU-COM",
IF(ISNUMBER(SEARCH("PVC",Inventario!B113)),"PVC",
IF(ISNUMBER(SEARCH("PAPEL",Inventario!B113)),"PAP",
IF(ISNUMBER(SEARCH("TELA",Inventario!B113)),"TEL",
IF(ISNUMBER(SEARCH("CARTULINA",Inventario!B113)),"CAR",
IF(OR(ISNUMBER(SEARCH("LAMINA",Inventario!B113)),ISNUMBER(SEARCH("LÁMINA",Inventario!B113))),"LAM",
IF(ISNUMBER(SEARCH("ESTIRENO",Inventario!B113)),"EST",
IF(ISNUMBER(SEARCH("FOAMBOARD",Inventario!B113)),"FOA",
IF(ISNUMBER(SEARCH("SOLVENTE",Inventario!B113)),"SOL",
IF(ISNUMBER(SEARCH("TINTA",Inventario!B113)),"TIN",
IF(ISNUMBER(SEARCH("ACRILICO",Inventario!B113)),"ACR",
IF(ISNUMBER(SEARCH("LED",Inventario!B113)),"LED",
IF(ISNUMBER(SEARCH("FUENTE",Inventario!B113)),"FUE",
IF(ISNUMBER(SEARCH("PETG",Inventario!B113)),"PET",
IF(ISNUMBER(SEARCH("ALUMINIO",Inventario!B113)),"ALU",
IF(ISNUMBER(SEARCH("CANAL",Inventario!B113)),"CAN",
IF(ISNUMBER(SEARCH("ESCUADRA",Inventario!B113)),"ESC",
IF(ISNUMBER(SEARCH("SOPORTE",Inventario!B113)),"SOP","OTR")
)))))))))))))))))))</f>
        <v>TIN</v>
      </c>
      <c r="B114" t="str">
        <f>IF(ISNUMBER(SEARCH("CORTE",Inventario!B113)),"COR",
IF(ISNUMBER(SEARCH("CRISTAL",Inventario!B113)),"CR",
IF(OR(ISNUMBER(SEARCH("OPTICO",Inventario!B113)),ISNUMBER(SEARCH("OPTICOS",Inventario!B113)),ISNUMBER(SEARCH("OPTICA",Inventario!B113))),"OP",
IF(ISNUMBER(SEARCH("NANO",Inventario!B113)),"NA",
IF(ISNUMBER(SEARCH("5050",Inventario!B113)),"5050",
IF(ISNUMBER(SEARCH("MICRO",Inventario!B113)),"MI",""))))))</f>
        <v/>
      </c>
      <c r="C114" t="str">
        <f>IF(ISNUMBER(SEARCH("PARED",Inventario!B113)),"PAR",IF(ISNUMBER(SEARCH("MATE",Inventario!B113)),"MAT",
IF(ISNUMBER(SEARCH("FRONT",Inventario!B113)),"FRO",
IF(ISNUMBER(SEARCH("BACK",Inventario!B113)),"BAC",
IF(ISNUMBER(SEARCH("MESH",Inventario!B113)),"MES",
IF(OR(ISNUMBER(SEARCH("BRILLANTE",Inventario!B113)),ISNUMBER(SEARCH("BTE",Inventario!B113))),"BRI",
IF(ISNUMBER(SEARCH("SINTETICA DELGADA",Inventario!B113)),"SD",
IF(ISNUMBER(SEARCH("SINTETICA GRUESA",Inventario!B113)),"SG",
IF(ISNUMBER(SEARCH("ESTATICO",Inventario!B113)),"EST",
IF(ISNUMBER(SEARCH("FLOOR",Inventario!B113)),"FLO",
IF(ISNUMBER(SEARCH("REFLECTIVO",Inventario!B113)),"REF",
IF(ISNUMBER(SEARCH("MICROPERFORADO",Inventario!B113)),"MI",
IF(ISNUMBER(SEARCH("CEPILLADO",Inventario!B113)),"CEP",
IF(ISNUMBER(SEARCH("ESPEJO",Inventario!B113)),"ESP",
IF(OR(ISNUMBER(SEARCH("UNIDIODO",Inventario!B113)),ISNUMBER(SEARCH("1 DIODO",Inventario!B113))),"1D",
IF(ISNUMBER(SEARCH("2 DIODOS",Inventario!B113)),"2D",
IF(ISNUMBER(SEARCH("3 DIODOS",Inventario!B113)),"3D","")))))))))))))))))</f>
        <v/>
      </c>
      <c r="D114" t="str">
        <f>IF(ISNUMBER(SEARCH("LX700",Inventario!B113)),"LX7",
IF(ISNUMBER(SEARCH("GRANDO",Inventario!B113)),"GRA",
IF(OR(ISNUMBER(SEARCH("CAMA PLANA",Inventario!B113)),ISNUMBER(SEARCH("FB700",Inventario!B113))),"CP",
IF(ISNUMBER(SEARCH("LX360",Inventario!B113)),"LX3",
IF(ISNUMBER(SEARCH("XEROX",Inventario!B113)),"XER",
IF(ISNUMBER(SEARCH("18 OZ",Inventario!B113)),"18OZ",
IF(ISNUMBER(SEARCH("15 OZ",Inventario!B113)),"15OZ",
IF(OR(ISNUMBER(SEARCH("13 OZ",Inventario!B113)),ISNUMBER(SEARCH("13 ONZAS",Inventario!B113))),"13OZ",
IF(OR(ISNUMBER(SEARCH("9 OZ",Inventario!B113)),ISNUMBER(SEARCH("9 ONZAS",Inventario!B113))),"09OZ","")))))))))</f>
        <v>CP</v>
      </c>
      <c r="E114" t="str">
        <f>IF(OR(ISNUMBER(SEARCH("TRANSPARENTE",Inventario!B113)),ISNUMBER(SEARCH("TRANSPARENTES",Inventario!B113))),"TR",
IF(OR(ISNUMBER(SEARCH("BLANCO",Inventario!B113)),ISNUMBER(SEARCH("BCO",Inventario!B113))),"BL",
IF(ISNUMBER(SEARCH("VERDE",Inventario!B113)),"VR",
IF(ISNUMBER(SEARCH("MORADO",Inventario!B113)),"MR",
IF(ISNUMBER(SEARCH("PLATA",Inventario!B113)),"PL",
IF(ISNUMBER(SEARCH("ORO",Inventario!B113)),"OR",
IF(ISNUMBER(SEARCH("AMARILLO",Inventario!B113)),"AM",
IF(ISNUMBER(SEARCH("NARANJA",Inventario!B113)),"NR",
IF(ISNUMBER(SEARCH("NEGRO",Inventario!B113)),"NG",
IF(ISNUMBER(SEARCH("ROJO",Inventario!B113)),"RJ",
IF(ISNUMBER(SEARCH("AZUL",Inventario!B113)),"AZ","")))))))))))</f>
        <v/>
      </c>
      <c r="F114" t="str">
        <f>IF(ISNUMBER(SEARCH("1,2 MM",Inventario!B113)),"1MM2",
IF(OR(ISNUMBER(SEARCH("2 MM",Inventario!B113)),ISNUMBER(SEARCH("2MM",Inventario!B113))),"2MM",
IF(OR(ISNUMBER(SEARCH("3 MM",Inventario!B113)),ISNUMBER(SEARCH("3MM",Inventario!B113))),"3MM",
IF(OR(ISNUMBER(SEARCH("4 MM",Inventario!B113)),ISNUMBER(SEARCH("4MM",Inventario!B113)),ISNUMBER(SEARCH("4 mm",Inventario!B113))),"4MM",
IF(OR(ISNUMBER(SEARCH("5 MM",Inventario!B113)),ISNUMBER(SEARCH("5MM",Inventario!B113))),"5MM",
IF(OR(ISNUMBER(SEARCH("6 MM",Inventario!B113)),ISNUMBER(SEARCH("6MM",Inventario!B113))),"6MM",
IF(OR(ISNUMBER(SEARCH("10 MM",Inventario!B113)),ISNUMBER(SEARCH("10MM",Inventario!B113))),"10MM","")))))))</f>
        <v/>
      </c>
      <c r="G114" t="str">
        <f>IF(ISNUMBER(SEARCH("ALTA RESISTENCIA",Inventario!B113)),"AR",IF(ISNUMBER(SEARCH("CAMPAÑA",Inventario!B113)),"CA",
IF(OR(ISNUMBER(SEARCH("CALIDO",Inventario!B113)),ISNUMBER(SEARCH("CÁLIDO",Inventario!B113))),"C",
IF(OR(ISNUMBER(SEARCH("TRASLUCIDO",Inventario!B113)),ISNUMBER(SEARCH("TRANSLUCIDO",Inventario!B113))),"TL",
IF(ISNUMBER(SEARCH("NEUTRO",Inventario!B113)),"N",
IF(ISNUMBER(SEARCH("FRIO",Inventario!B113)),"F",""))))))</f>
        <v/>
      </c>
      <c r="H114" t="str">
        <f>IF(ISNUMBER(SEARCH("SILED",Inventario!B113)),"SI",
IF(ISNUMBER(SEARCH("SYDEMEX",Inventario!B113)),"SY",
IF(ISNUMBER(SEARCH("ROHS",Inventario!B113)),"RO",
IF(ISNUMBER(SEARCH("RISHANG",Inventario!B113)),"RS",
IF(ISNUMBER(SEARCH("VYG",Inventario!B113)),"VYG",
IF(ISNUMBER(SEARCH("COLED",Inventario!B113)),"CO",""))))))</f>
        <v/>
      </c>
    </row>
    <row r="115" spans="1:8">
      <c r="A115" t="str">
        <f>IF(ISNUMBER(SEARCH("LONA",Inventario!B114)),"LON",
IF(ISNUMBER(SEARCH("VINIL",Inventario!B114)),"VIN",
IF(ISNUMBER(SEARCH("PANEL DE ALUMINIO COMPUESTO",Inventario!B114)),"PAN-ALU-COM",
IF(ISNUMBER(SEARCH("PVC",Inventario!B114)),"PVC",
IF(ISNUMBER(SEARCH("PAPEL",Inventario!B114)),"PAP",
IF(ISNUMBER(SEARCH("TELA",Inventario!B114)),"TEL",
IF(ISNUMBER(SEARCH("CARTULINA",Inventario!B114)),"CAR",
IF(OR(ISNUMBER(SEARCH("LAMINA",Inventario!B114)),ISNUMBER(SEARCH("LÁMINA",Inventario!B114))),"LAM",
IF(ISNUMBER(SEARCH("ESTIRENO",Inventario!B114)),"EST",
IF(ISNUMBER(SEARCH("FOAMBOARD",Inventario!B114)),"FOA",
IF(ISNUMBER(SEARCH("SOLVENTE",Inventario!B114)),"SOL",
IF(ISNUMBER(SEARCH("TINTA",Inventario!B114)),"TIN",
IF(ISNUMBER(SEARCH("ACRILICO",Inventario!B114)),"ACR",
IF(ISNUMBER(SEARCH("LED",Inventario!B114)),"LED",
IF(ISNUMBER(SEARCH("FUENTE",Inventario!B114)),"FUE",
IF(ISNUMBER(SEARCH("PETG",Inventario!B114)),"PET",
IF(ISNUMBER(SEARCH("ALUMINIO",Inventario!B114)),"ALU",
IF(ISNUMBER(SEARCH("CANAL",Inventario!B114)),"CAN",
IF(ISNUMBER(SEARCH("ESCUADRA",Inventario!B114)),"ESC",
IF(ISNUMBER(SEARCH("SOPORTE",Inventario!B114)),"SOP","OTR")
)))))))))))))))))))</f>
        <v>TIN</v>
      </c>
      <c r="B115" t="str">
        <f>IF(ISNUMBER(SEARCH("CORTE",Inventario!B114)),"COR",
IF(ISNUMBER(SEARCH("CRISTAL",Inventario!B114)),"CR",
IF(OR(ISNUMBER(SEARCH("OPTICO",Inventario!B114)),ISNUMBER(SEARCH("OPTICOS",Inventario!B114)),ISNUMBER(SEARCH("OPTICA",Inventario!B114))),"OP",
IF(ISNUMBER(SEARCH("NANO",Inventario!B114)),"NA",
IF(ISNUMBER(SEARCH("5050",Inventario!B114)),"5050",
IF(ISNUMBER(SEARCH("MICRO",Inventario!B114)),"MI",""))))))</f>
        <v/>
      </c>
      <c r="C115" t="str">
        <f>IF(ISNUMBER(SEARCH("PARED",Inventario!B114)),"PAR",IF(ISNUMBER(SEARCH("MATE",Inventario!B114)),"MAT",
IF(ISNUMBER(SEARCH("FRONT",Inventario!B114)),"FRO",
IF(ISNUMBER(SEARCH("BACK",Inventario!B114)),"BAC",
IF(ISNUMBER(SEARCH("MESH",Inventario!B114)),"MES",
IF(OR(ISNUMBER(SEARCH("BRILLANTE",Inventario!B114)),ISNUMBER(SEARCH("BTE",Inventario!B114))),"BRI",
IF(ISNUMBER(SEARCH("SINTETICA DELGADA",Inventario!B114)),"SD",
IF(ISNUMBER(SEARCH("SINTETICA GRUESA",Inventario!B114)),"SG",
IF(ISNUMBER(SEARCH("ESTATICO",Inventario!B114)),"EST",
IF(ISNUMBER(SEARCH("FLOOR",Inventario!B114)),"FLO",
IF(ISNUMBER(SEARCH("REFLECTIVO",Inventario!B114)),"REF",
IF(ISNUMBER(SEARCH("MICROPERFORADO",Inventario!B114)),"MI",
IF(ISNUMBER(SEARCH("CEPILLADO",Inventario!B114)),"CEP",
IF(ISNUMBER(SEARCH("ESPEJO",Inventario!B114)),"ESP",
IF(OR(ISNUMBER(SEARCH("UNIDIODO",Inventario!B114)),ISNUMBER(SEARCH("1 DIODO",Inventario!B114))),"1D",
IF(ISNUMBER(SEARCH("2 DIODOS",Inventario!B114)),"2D",
IF(ISNUMBER(SEARCH("3 DIODOS",Inventario!B114)),"3D","")))))))))))))))))</f>
        <v/>
      </c>
      <c r="D115" t="str">
        <f>IF(ISNUMBER(SEARCH("LX700",Inventario!B114)),"LX7",
IF(ISNUMBER(SEARCH("GRANDO",Inventario!B114)),"GRA",
IF(OR(ISNUMBER(SEARCH("CAMA PLANA",Inventario!B114)),ISNUMBER(SEARCH("FB700",Inventario!B114))),"CP",
IF(ISNUMBER(SEARCH("LX360",Inventario!B114)),"LX3",
IF(ISNUMBER(SEARCH("XEROX",Inventario!B114)),"XER",
IF(ISNUMBER(SEARCH("18 OZ",Inventario!B114)),"18OZ",
IF(ISNUMBER(SEARCH("15 OZ",Inventario!B114)),"15OZ",
IF(OR(ISNUMBER(SEARCH("13 OZ",Inventario!B114)),ISNUMBER(SEARCH("13 ONZAS",Inventario!B114))),"13OZ",
IF(OR(ISNUMBER(SEARCH("9 OZ",Inventario!B114)),ISNUMBER(SEARCH("9 ONZAS",Inventario!B114))),"09OZ","")))))))))</f>
        <v>CP</v>
      </c>
      <c r="E115" t="str">
        <f>IF(OR(ISNUMBER(SEARCH("TRANSPARENTE",Inventario!B114)),ISNUMBER(SEARCH("TRANSPARENTES",Inventario!B114))),"TR",
IF(OR(ISNUMBER(SEARCH("BLANCO",Inventario!B114)),ISNUMBER(SEARCH("BCO",Inventario!B114))),"BL",
IF(ISNUMBER(SEARCH("VERDE",Inventario!B114)),"VR",
IF(ISNUMBER(SEARCH("MORADO",Inventario!B114)),"MR",
IF(ISNUMBER(SEARCH("PLATA",Inventario!B114)),"PL",
IF(ISNUMBER(SEARCH("ORO",Inventario!B114)),"OR",
IF(ISNUMBER(SEARCH("AMARILLO",Inventario!B114)),"AM",
IF(ISNUMBER(SEARCH("NARANJA",Inventario!B114)),"NR",
IF(ISNUMBER(SEARCH("NEGRO",Inventario!B114)),"NG",
IF(ISNUMBER(SEARCH("ROJO",Inventario!B114)),"RJ",
IF(ISNUMBER(SEARCH("AZUL",Inventario!B114)),"AZ","")))))))))))</f>
        <v/>
      </c>
      <c r="F115" t="str">
        <f>IF(ISNUMBER(SEARCH("1,2 MM",Inventario!B114)),"1MM2",
IF(OR(ISNUMBER(SEARCH("2 MM",Inventario!B114)),ISNUMBER(SEARCH("2MM",Inventario!B114))),"2MM",
IF(OR(ISNUMBER(SEARCH("3 MM",Inventario!B114)),ISNUMBER(SEARCH("3MM",Inventario!B114))),"3MM",
IF(OR(ISNUMBER(SEARCH("4 MM",Inventario!B114)),ISNUMBER(SEARCH("4MM",Inventario!B114)),ISNUMBER(SEARCH("4 mm",Inventario!B114))),"4MM",
IF(OR(ISNUMBER(SEARCH("5 MM",Inventario!B114)),ISNUMBER(SEARCH("5MM",Inventario!B114))),"5MM",
IF(OR(ISNUMBER(SEARCH("6 MM",Inventario!B114)),ISNUMBER(SEARCH("6MM",Inventario!B114))),"6MM",
IF(OR(ISNUMBER(SEARCH("10 MM",Inventario!B114)),ISNUMBER(SEARCH("10MM",Inventario!B114))),"10MM","")))))))</f>
        <v/>
      </c>
      <c r="G115" t="str">
        <f>IF(ISNUMBER(SEARCH("ALTA RESISTENCIA",Inventario!B114)),"AR",IF(ISNUMBER(SEARCH("CAMPAÑA",Inventario!B114)),"CA",
IF(OR(ISNUMBER(SEARCH("CALIDO",Inventario!B114)),ISNUMBER(SEARCH("CÁLIDO",Inventario!B114))),"C",
IF(OR(ISNUMBER(SEARCH("TRASLUCIDO",Inventario!B114)),ISNUMBER(SEARCH("TRANSLUCIDO",Inventario!B114))),"TL",
IF(ISNUMBER(SEARCH("NEUTRO",Inventario!B114)),"N",
IF(ISNUMBER(SEARCH("FRIO",Inventario!B114)),"F",""))))))</f>
        <v/>
      </c>
      <c r="H115" t="str">
        <f>IF(ISNUMBER(SEARCH("SILED",Inventario!B114)),"SI",
IF(ISNUMBER(SEARCH("SYDEMEX",Inventario!B114)),"SY",
IF(ISNUMBER(SEARCH("ROHS",Inventario!B114)),"RO",
IF(ISNUMBER(SEARCH("RISHANG",Inventario!B114)),"RS",
IF(ISNUMBER(SEARCH("VYG",Inventario!B114)),"VYG",
IF(ISNUMBER(SEARCH("COLED",Inventario!B114)),"CO",""))))))</f>
        <v/>
      </c>
    </row>
    <row r="116" spans="1:8">
      <c r="A116" t="str">
        <f>IF(ISNUMBER(SEARCH("LONA",Inventario!B115)),"LON",
IF(ISNUMBER(SEARCH("VINIL",Inventario!B115)),"VIN",
IF(ISNUMBER(SEARCH("PANEL DE ALUMINIO COMPUESTO",Inventario!B115)),"PAN-ALU-COM",
IF(ISNUMBER(SEARCH("PVC",Inventario!B115)),"PVC",
IF(ISNUMBER(SEARCH("PAPEL",Inventario!B115)),"PAP",
IF(ISNUMBER(SEARCH("TELA",Inventario!B115)),"TEL",
IF(ISNUMBER(SEARCH("CARTULINA",Inventario!B115)),"CAR",
IF(OR(ISNUMBER(SEARCH("LAMINA",Inventario!B115)),ISNUMBER(SEARCH("LÁMINA",Inventario!B115))),"LAM",
IF(ISNUMBER(SEARCH("ESTIRENO",Inventario!B115)),"EST",
IF(ISNUMBER(SEARCH("FOAMBOARD",Inventario!B115)),"FOA",
IF(ISNUMBER(SEARCH("SOLVENTE",Inventario!B115)),"SOL",
IF(ISNUMBER(SEARCH("TINTA",Inventario!B115)),"TIN",
IF(ISNUMBER(SEARCH("ACRILICO",Inventario!B115)),"ACR",
IF(ISNUMBER(SEARCH("LED",Inventario!B115)),"LED",
IF(ISNUMBER(SEARCH("FUENTE",Inventario!B115)),"FUE",
IF(ISNUMBER(SEARCH("PETG",Inventario!B115)),"PET",
IF(ISNUMBER(SEARCH("ALUMINIO",Inventario!B115)),"ALU",
IF(ISNUMBER(SEARCH("CANAL",Inventario!B115)),"CAN",
IF(ISNUMBER(SEARCH("ESCUADRA",Inventario!B115)),"ESC",
IF(ISNUMBER(SEARCH("SOPORTE",Inventario!B115)),"SOP","OTR")
)))))))))))))))))))</f>
        <v>TIN</v>
      </c>
      <c r="B116" t="str">
        <f>IF(ISNUMBER(SEARCH("CORTE",Inventario!B115)),"COR",
IF(ISNUMBER(SEARCH("CRISTAL",Inventario!B115)),"CR",
IF(OR(ISNUMBER(SEARCH("OPTICO",Inventario!B115)),ISNUMBER(SEARCH("OPTICOS",Inventario!B115)),ISNUMBER(SEARCH("OPTICA",Inventario!B115))),"OP",
IF(ISNUMBER(SEARCH("NANO",Inventario!B115)),"NA",
IF(ISNUMBER(SEARCH("5050",Inventario!B115)),"5050",
IF(ISNUMBER(SEARCH("MICRO",Inventario!B115)),"MI",""))))))</f>
        <v/>
      </c>
      <c r="C116" t="str">
        <f>IF(ISNUMBER(SEARCH("PARED",Inventario!B115)),"PAR",IF(ISNUMBER(SEARCH("MATE",Inventario!B115)),"MAT",
IF(ISNUMBER(SEARCH("FRONT",Inventario!B115)),"FRO",
IF(ISNUMBER(SEARCH("BACK",Inventario!B115)),"BAC",
IF(ISNUMBER(SEARCH("MESH",Inventario!B115)),"MES",
IF(OR(ISNUMBER(SEARCH("BRILLANTE",Inventario!B115)),ISNUMBER(SEARCH("BTE",Inventario!B115))),"BRI",
IF(ISNUMBER(SEARCH("SINTETICA DELGADA",Inventario!B115)),"SD",
IF(ISNUMBER(SEARCH("SINTETICA GRUESA",Inventario!B115)),"SG",
IF(ISNUMBER(SEARCH("ESTATICO",Inventario!B115)),"EST",
IF(ISNUMBER(SEARCH("FLOOR",Inventario!B115)),"FLO",
IF(ISNUMBER(SEARCH("REFLECTIVO",Inventario!B115)),"REF",
IF(ISNUMBER(SEARCH("MICROPERFORADO",Inventario!B115)),"MI",
IF(ISNUMBER(SEARCH("CEPILLADO",Inventario!B115)),"CEP",
IF(ISNUMBER(SEARCH("ESPEJO",Inventario!B115)),"ESP",
IF(OR(ISNUMBER(SEARCH("UNIDIODO",Inventario!B115)),ISNUMBER(SEARCH("1 DIODO",Inventario!B115))),"1D",
IF(ISNUMBER(SEARCH("2 DIODOS",Inventario!B115)),"2D",
IF(ISNUMBER(SEARCH("3 DIODOS",Inventario!B115)),"3D","")))))))))))))))))</f>
        <v/>
      </c>
      <c r="D116" t="str">
        <f>IF(ISNUMBER(SEARCH("LX700",Inventario!B115)),"LX7",
IF(ISNUMBER(SEARCH("GRANDO",Inventario!B115)),"GRA",
IF(OR(ISNUMBER(SEARCH("CAMA PLANA",Inventario!B115)),ISNUMBER(SEARCH("FB700",Inventario!B115))),"CP",
IF(ISNUMBER(SEARCH("LX360",Inventario!B115)),"LX3",
IF(ISNUMBER(SEARCH("XEROX",Inventario!B115)),"XER",
IF(ISNUMBER(SEARCH("18 OZ",Inventario!B115)),"18OZ",
IF(ISNUMBER(SEARCH("15 OZ",Inventario!B115)),"15OZ",
IF(OR(ISNUMBER(SEARCH("13 OZ",Inventario!B115)),ISNUMBER(SEARCH("13 ONZAS",Inventario!B115))),"13OZ",
IF(OR(ISNUMBER(SEARCH("9 OZ",Inventario!B115)),ISNUMBER(SEARCH("9 ONZAS",Inventario!B115))),"09OZ","")))))))))</f>
        <v>CP</v>
      </c>
      <c r="E116" t="str">
        <f>IF(OR(ISNUMBER(SEARCH("TRANSPARENTE",Inventario!B115)),ISNUMBER(SEARCH("TRANSPARENTES",Inventario!B115))),"TR",
IF(OR(ISNUMBER(SEARCH("BLANCO",Inventario!B115)),ISNUMBER(SEARCH("BCO",Inventario!B115))),"BL",
IF(ISNUMBER(SEARCH("VERDE",Inventario!B115)),"VR",
IF(ISNUMBER(SEARCH("MORADO",Inventario!B115)),"MR",
IF(ISNUMBER(SEARCH("PLATA",Inventario!B115)),"PL",
IF(ISNUMBER(SEARCH("ORO",Inventario!B115)),"OR",
IF(ISNUMBER(SEARCH("AMARILLO",Inventario!B115)),"AM",
IF(ISNUMBER(SEARCH("NARANJA",Inventario!B115)),"NR",
IF(ISNUMBER(SEARCH("NEGRO",Inventario!B115)),"NG",
IF(ISNUMBER(SEARCH("ROJO",Inventario!B115)),"RJ",
IF(ISNUMBER(SEARCH("AZUL",Inventario!B115)),"AZ","")))))))))))</f>
        <v/>
      </c>
      <c r="F116" t="str">
        <f>IF(ISNUMBER(SEARCH("1,2 MM",Inventario!B115)),"1MM2",
IF(OR(ISNUMBER(SEARCH("2 MM",Inventario!B115)),ISNUMBER(SEARCH("2MM",Inventario!B115))),"2MM",
IF(OR(ISNUMBER(SEARCH("3 MM",Inventario!B115)),ISNUMBER(SEARCH("3MM",Inventario!B115))),"3MM",
IF(OR(ISNUMBER(SEARCH("4 MM",Inventario!B115)),ISNUMBER(SEARCH("4MM",Inventario!B115)),ISNUMBER(SEARCH("4 mm",Inventario!B115))),"4MM",
IF(OR(ISNUMBER(SEARCH("5 MM",Inventario!B115)),ISNUMBER(SEARCH("5MM",Inventario!B115))),"5MM",
IF(OR(ISNUMBER(SEARCH("6 MM",Inventario!B115)),ISNUMBER(SEARCH("6MM",Inventario!B115))),"6MM",
IF(OR(ISNUMBER(SEARCH("10 MM",Inventario!B115)),ISNUMBER(SEARCH("10MM",Inventario!B115))),"10MM","")))))))</f>
        <v/>
      </c>
      <c r="G116" t="str">
        <f>IF(ISNUMBER(SEARCH("ALTA RESISTENCIA",Inventario!B115)),"AR",IF(ISNUMBER(SEARCH("CAMPAÑA",Inventario!B115)),"CA",
IF(OR(ISNUMBER(SEARCH("CALIDO",Inventario!B115)),ISNUMBER(SEARCH("CÁLIDO",Inventario!B115))),"C",
IF(OR(ISNUMBER(SEARCH("TRASLUCIDO",Inventario!B115)),ISNUMBER(SEARCH("TRANSLUCIDO",Inventario!B115))),"TL",
IF(ISNUMBER(SEARCH("NEUTRO",Inventario!B115)),"N",
IF(ISNUMBER(SEARCH("FRIO",Inventario!B115)),"F",""))))))</f>
        <v/>
      </c>
      <c r="H116" t="str">
        <f>IF(ISNUMBER(SEARCH("SILED",Inventario!B115)),"SI",
IF(ISNUMBER(SEARCH("SYDEMEX",Inventario!B115)),"SY",
IF(ISNUMBER(SEARCH("ROHS",Inventario!B115)),"RO",
IF(ISNUMBER(SEARCH("RISHANG",Inventario!B115)),"RS",
IF(ISNUMBER(SEARCH("VYG",Inventario!B115)),"VYG",
IF(ISNUMBER(SEARCH("COLED",Inventario!B115)),"CO",""))))))</f>
        <v/>
      </c>
    </row>
    <row r="117" spans="1:8">
      <c r="A117" t="str">
        <f>IF(ISNUMBER(SEARCH("LONA",Inventario!B116)),"LON",
IF(ISNUMBER(SEARCH("VINIL",Inventario!B116)),"VIN",
IF(ISNUMBER(SEARCH("PANEL DE ALUMINIO COMPUESTO",Inventario!B116)),"PAN-ALU-COM",
IF(ISNUMBER(SEARCH("PVC",Inventario!B116)),"PVC",
IF(ISNUMBER(SEARCH("PAPEL",Inventario!B116)),"PAP",
IF(ISNUMBER(SEARCH("TELA",Inventario!B116)),"TEL",
IF(ISNUMBER(SEARCH("CARTULINA",Inventario!B116)),"CAR",
IF(OR(ISNUMBER(SEARCH("LAMINA",Inventario!B116)),ISNUMBER(SEARCH("LÁMINA",Inventario!B116))),"LAM",
IF(ISNUMBER(SEARCH("ESTIRENO",Inventario!B116)),"EST",
IF(ISNUMBER(SEARCH("FOAMBOARD",Inventario!B116)),"FOA",
IF(ISNUMBER(SEARCH("SOLVENTE",Inventario!B116)),"SOL",
IF(ISNUMBER(SEARCH("TINTA",Inventario!B116)),"TIN",
IF(ISNUMBER(SEARCH("ACRILICO",Inventario!B116)),"ACR",
IF(ISNUMBER(SEARCH("LED",Inventario!B116)),"LED",
IF(ISNUMBER(SEARCH("FUENTE",Inventario!B116)),"FUE",
IF(ISNUMBER(SEARCH("PETG",Inventario!B116)),"PET",
IF(ISNUMBER(SEARCH("ALUMINIO",Inventario!B116)),"ALU",
IF(ISNUMBER(SEARCH("CANAL",Inventario!B116)),"CAN",
IF(ISNUMBER(SEARCH("ESCUADRA",Inventario!B116)),"ESC",
IF(ISNUMBER(SEARCH("SOPORTE",Inventario!B116)),"SOP","OTR")
)))))))))))))))))))</f>
        <v>TIN</v>
      </c>
      <c r="B117" t="str">
        <f>IF(ISNUMBER(SEARCH("CORTE",Inventario!B116)),"COR",
IF(ISNUMBER(SEARCH("CRISTAL",Inventario!B116)),"CR",
IF(OR(ISNUMBER(SEARCH("OPTICO",Inventario!B116)),ISNUMBER(SEARCH("OPTICOS",Inventario!B116)),ISNUMBER(SEARCH("OPTICA",Inventario!B116))),"OP",
IF(ISNUMBER(SEARCH("NANO",Inventario!B116)),"NA",
IF(ISNUMBER(SEARCH("5050",Inventario!B116)),"5050",
IF(ISNUMBER(SEARCH("MICRO",Inventario!B116)),"MI",""))))))</f>
        <v/>
      </c>
      <c r="C117" t="str">
        <f>IF(ISNUMBER(SEARCH("PARED",Inventario!B116)),"PAR",IF(ISNUMBER(SEARCH("MATE",Inventario!B116)),"MAT",
IF(ISNUMBER(SEARCH("FRONT",Inventario!B116)),"FRO",
IF(ISNUMBER(SEARCH("BACK",Inventario!B116)),"BAC",
IF(ISNUMBER(SEARCH("MESH",Inventario!B116)),"MES",
IF(OR(ISNUMBER(SEARCH("BRILLANTE",Inventario!B116)),ISNUMBER(SEARCH("BTE",Inventario!B116))),"BRI",
IF(ISNUMBER(SEARCH("SINTETICA DELGADA",Inventario!B116)),"SD",
IF(ISNUMBER(SEARCH("SINTETICA GRUESA",Inventario!B116)),"SG",
IF(ISNUMBER(SEARCH("ESTATICO",Inventario!B116)),"EST",
IF(ISNUMBER(SEARCH("FLOOR",Inventario!B116)),"FLO",
IF(ISNUMBER(SEARCH("REFLECTIVO",Inventario!B116)),"REF",
IF(ISNUMBER(SEARCH("MICROPERFORADO",Inventario!B116)),"MI",
IF(ISNUMBER(SEARCH("CEPILLADO",Inventario!B116)),"CEP",
IF(ISNUMBER(SEARCH("ESPEJO",Inventario!B116)),"ESP",
IF(OR(ISNUMBER(SEARCH("UNIDIODO",Inventario!B116)),ISNUMBER(SEARCH("1 DIODO",Inventario!B116))),"1D",
IF(ISNUMBER(SEARCH("2 DIODOS",Inventario!B116)),"2D",
IF(ISNUMBER(SEARCH("3 DIODOS",Inventario!B116)),"3D","")))))))))))))))))</f>
        <v/>
      </c>
      <c r="D117" t="str">
        <f>IF(ISNUMBER(SEARCH("LX700",Inventario!B116)),"LX7",
IF(ISNUMBER(SEARCH("GRANDO",Inventario!B116)),"GRA",
IF(OR(ISNUMBER(SEARCH("CAMA PLANA",Inventario!B116)),ISNUMBER(SEARCH("FB700",Inventario!B116))),"CP",
IF(ISNUMBER(SEARCH("LX360",Inventario!B116)),"LX3",
IF(ISNUMBER(SEARCH("XEROX",Inventario!B116)),"XER",
IF(ISNUMBER(SEARCH("18 OZ",Inventario!B116)),"18OZ",
IF(ISNUMBER(SEARCH("15 OZ",Inventario!B116)),"15OZ",
IF(OR(ISNUMBER(SEARCH("13 OZ",Inventario!B116)),ISNUMBER(SEARCH("13 ONZAS",Inventario!B116))),"13OZ",
IF(OR(ISNUMBER(SEARCH("9 OZ",Inventario!B116)),ISNUMBER(SEARCH("9 ONZAS",Inventario!B116))),"09OZ","")))))))))</f>
        <v>CP</v>
      </c>
      <c r="E117" t="str">
        <f>IF(OR(ISNUMBER(SEARCH("TRANSPARENTE",Inventario!B116)),ISNUMBER(SEARCH("TRANSPARENTES",Inventario!B116))),"TR",
IF(OR(ISNUMBER(SEARCH("BLANCO",Inventario!B116)),ISNUMBER(SEARCH("BCO",Inventario!B116))),"BL",
IF(ISNUMBER(SEARCH("VERDE",Inventario!B116)),"VR",
IF(ISNUMBER(SEARCH("MORADO",Inventario!B116)),"MR",
IF(ISNUMBER(SEARCH("PLATA",Inventario!B116)),"PL",
IF(ISNUMBER(SEARCH("ORO",Inventario!B116)),"OR",
IF(ISNUMBER(SEARCH("AMARILLO",Inventario!B116)),"AM",
IF(ISNUMBER(SEARCH("NARANJA",Inventario!B116)),"NR",
IF(ISNUMBER(SEARCH("NEGRO",Inventario!B116)),"NG",
IF(ISNUMBER(SEARCH("ROJO",Inventario!B116)),"RJ",
IF(ISNUMBER(SEARCH("AZUL",Inventario!B116)),"AZ","")))))))))))</f>
        <v/>
      </c>
      <c r="F117" t="str">
        <f>IF(ISNUMBER(SEARCH("1,2 MM",Inventario!B116)),"1MM2",
IF(OR(ISNUMBER(SEARCH("2 MM",Inventario!B116)),ISNUMBER(SEARCH("2MM",Inventario!B116))),"2MM",
IF(OR(ISNUMBER(SEARCH("3 MM",Inventario!B116)),ISNUMBER(SEARCH("3MM",Inventario!B116))),"3MM",
IF(OR(ISNUMBER(SEARCH("4 MM",Inventario!B116)),ISNUMBER(SEARCH("4MM",Inventario!B116)),ISNUMBER(SEARCH("4 mm",Inventario!B116))),"4MM",
IF(OR(ISNUMBER(SEARCH("5 MM",Inventario!B116)),ISNUMBER(SEARCH("5MM",Inventario!B116))),"5MM",
IF(OR(ISNUMBER(SEARCH("6 MM",Inventario!B116)),ISNUMBER(SEARCH("6MM",Inventario!B116))),"6MM",
IF(OR(ISNUMBER(SEARCH("10 MM",Inventario!B116)),ISNUMBER(SEARCH("10MM",Inventario!B116))),"10MM","")))))))</f>
        <v/>
      </c>
      <c r="G117" t="str">
        <f>IF(ISNUMBER(SEARCH("ALTA RESISTENCIA",Inventario!B116)),"AR",IF(ISNUMBER(SEARCH("CAMPAÑA",Inventario!B116)),"CA",
IF(OR(ISNUMBER(SEARCH("CALIDO",Inventario!B116)),ISNUMBER(SEARCH("CÁLIDO",Inventario!B116))),"C",
IF(OR(ISNUMBER(SEARCH("TRASLUCIDO",Inventario!B116)),ISNUMBER(SEARCH("TRANSLUCIDO",Inventario!B116))),"TL",
IF(ISNUMBER(SEARCH("NEUTRO",Inventario!B116)),"N",
IF(ISNUMBER(SEARCH("FRIO",Inventario!B116)),"F",""))))))</f>
        <v/>
      </c>
      <c r="H117" t="str">
        <f>IF(ISNUMBER(SEARCH("SILED",Inventario!B116)),"SI",
IF(ISNUMBER(SEARCH("SYDEMEX",Inventario!B116)),"SY",
IF(ISNUMBER(SEARCH("ROHS",Inventario!B116)),"RO",
IF(ISNUMBER(SEARCH("RISHANG",Inventario!B116)),"RS",
IF(ISNUMBER(SEARCH("VYG",Inventario!B116)),"VYG",
IF(ISNUMBER(SEARCH("COLED",Inventario!B116)),"CO",""))))))</f>
        <v/>
      </c>
    </row>
    <row r="118" spans="1:8">
      <c r="A118" t="str">
        <f>IF(ISNUMBER(SEARCH("LONA",Inventario!B117)),"LON",
IF(ISNUMBER(SEARCH("VINIL",Inventario!B117)),"VIN",
IF(ISNUMBER(SEARCH("PANEL DE ALUMINIO COMPUESTO",Inventario!B117)),"PAN-ALU-COM",
IF(ISNUMBER(SEARCH("PVC",Inventario!B117)),"PVC",
IF(ISNUMBER(SEARCH("PAPEL",Inventario!B117)),"PAP",
IF(ISNUMBER(SEARCH("TELA",Inventario!B117)),"TEL",
IF(ISNUMBER(SEARCH("CARTULINA",Inventario!B117)),"CAR",
IF(OR(ISNUMBER(SEARCH("LAMINA",Inventario!B117)),ISNUMBER(SEARCH("LÁMINA",Inventario!B117))),"LAM",
IF(ISNUMBER(SEARCH("ESTIRENO",Inventario!B117)),"EST",
IF(ISNUMBER(SEARCH("FOAMBOARD",Inventario!B117)),"FOA",
IF(ISNUMBER(SEARCH("SOLVENTE",Inventario!B117)),"SOL",
IF(ISNUMBER(SEARCH("TINTA",Inventario!B117)),"TIN",
IF(ISNUMBER(SEARCH("ACRILICO",Inventario!B117)),"ACR",
IF(ISNUMBER(SEARCH("LED",Inventario!B117)),"LED",
IF(ISNUMBER(SEARCH("FUENTE",Inventario!B117)),"FUE",
IF(ISNUMBER(SEARCH("PETG",Inventario!B117)),"PET",
IF(ISNUMBER(SEARCH("ALUMINIO",Inventario!B117)),"ALU",
IF(ISNUMBER(SEARCH("CANAL",Inventario!B117)),"CAN",
IF(ISNUMBER(SEARCH("ESCUADRA",Inventario!B117)),"ESC",
IF(ISNUMBER(SEARCH("SOPORTE",Inventario!B117)),"SOP","OTR")
)))))))))))))))))))</f>
        <v>TIN</v>
      </c>
      <c r="B118" t="str">
        <f>IF(ISNUMBER(SEARCH("CORTE",Inventario!B117)),"COR",
IF(ISNUMBER(SEARCH("CRISTAL",Inventario!B117)),"CR",
IF(OR(ISNUMBER(SEARCH("OPTICO",Inventario!B117)),ISNUMBER(SEARCH("OPTICOS",Inventario!B117)),ISNUMBER(SEARCH("OPTICA",Inventario!B117))),"OP",
IF(ISNUMBER(SEARCH("NANO",Inventario!B117)),"NA",
IF(ISNUMBER(SEARCH("5050",Inventario!B117)),"5050",
IF(ISNUMBER(SEARCH("MICRO",Inventario!B117)),"MI",""))))))</f>
        <v/>
      </c>
      <c r="C118" t="str">
        <f>IF(ISNUMBER(SEARCH("PARED",Inventario!B117)),"PAR",IF(ISNUMBER(SEARCH("MATE",Inventario!B117)),"MAT",
IF(ISNUMBER(SEARCH("FRONT",Inventario!B117)),"FRO",
IF(ISNUMBER(SEARCH("BACK",Inventario!B117)),"BAC",
IF(ISNUMBER(SEARCH("MESH",Inventario!B117)),"MES",
IF(OR(ISNUMBER(SEARCH("BRILLANTE",Inventario!B117)),ISNUMBER(SEARCH("BTE",Inventario!B117))),"BRI",
IF(ISNUMBER(SEARCH("SINTETICA DELGADA",Inventario!B117)),"SD",
IF(ISNUMBER(SEARCH("SINTETICA GRUESA",Inventario!B117)),"SG",
IF(ISNUMBER(SEARCH("ESTATICO",Inventario!B117)),"EST",
IF(ISNUMBER(SEARCH("FLOOR",Inventario!B117)),"FLO",
IF(ISNUMBER(SEARCH("REFLECTIVO",Inventario!B117)),"REF",
IF(ISNUMBER(SEARCH("MICROPERFORADO",Inventario!B117)),"MI",
IF(ISNUMBER(SEARCH("CEPILLADO",Inventario!B117)),"CEP",
IF(ISNUMBER(SEARCH("ESPEJO",Inventario!B117)),"ESP",
IF(OR(ISNUMBER(SEARCH("UNIDIODO",Inventario!B117)),ISNUMBER(SEARCH("1 DIODO",Inventario!B117))),"1D",
IF(ISNUMBER(SEARCH("2 DIODOS",Inventario!B117)),"2D",
IF(ISNUMBER(SEARCH("3 DIODOS",Inventario!B117)),"3D","")))))))))))))))))</f>
        <v/>
      </c>
      <c r="D118" t="str">
        <f>IF(ISNUMBER(SEARCH("LX700",Inventario!B117)),"LX7",
IF(ISNUMBER(SEARCH("GRANDO",Inventario!B117)),"GRA",
IF(OR(ISNUMBER(SEARCH("CAMA PLANA",Inventario!B117)),ISNUMBER(SEARCH("FB700",Inventario!B117))),"CP",
IF(ISNUMBER(SEARCH("LX360",Inventario!B117)),"LX3",
IF(ISNUMBER(SEARCH("XEROX",Inventario!B117)),"XER",
IF(ISNUMBER(SEARCH("18 OZ",Inventario!B117)),"18OZ",
IF(ISNUMBER(SEARCH("15 OZ",Inventario!B117)),"15OZ",
IF(OR(ISNUMBER(SEARCH("13 OZ",Inventario!B117)),ISNUMBER(SEARCH("13 ONZAS",Inventario!B117))),"13OZ",
IF(OR(ISNUMBER(SEARCH("9 OZ",Inventario!B117)),ISNUMBER(SEARCH("9 ONZAS",Inventario!B117))),"09OZ","")))))))))</f>
        <v>CP</v>
      </c>
      <c r="E118" t="str">
        <f>IF(OR(ISNUMBER(SEARCH("TRANSPARENTE",Inventario!B117)),ISNUMBER(SEARCH("TRANSPARENTES",Inventario!B117))),"TR",
IF(OR(ISNUMBER(SEARCH("BLANCO",Inventario!B117)),ISNUMBER(SEARCH("BCO",Inventario!B117))),"BL",
IF(ISNUMBER(SEARCH("VERDE",Inventario!B117)),"VR",
IF(ISNUMBER(SEARCH("MORADO",Inventario!B117)),"MR",
IF(ISNUMBER(SEARCH("PLATA",Inventario!B117)),"PL",
IF(ISNUMBER(SEARCH("ORO",Inventario!B117)),"OR",
IF(ISNUMBER(SEARCH("AMARILLO",Inventario!B117)),"AM",
IF(ISNUMBER(SEARCH("NARANJA",Inventario!B117)),"NR",
IF(ISNUMBER(SEARCH("NEGRO",Inventario!B117)),"NG",
IF(ISNUMBER(SEARCH("ROJO",Inventario!B117)),"RJ",
IF(ISNUMBER(SEARCH("AZUL",Inventario!B117)),"AZ","")))))))))))</f>
        <v/>
      </c>
      <c r="F118" t="str">
        <f>IF(ISNUMBER(SEARCH("1,2 MM",Inventario!B117)),"1MM2",
IF(OR(ISNUMBER(SEARCH("2 MM",Inventario!B117)),ISNUMBER(SEARCH("2MM",Inventario!B117))),"2MM",
IF(OR(ISNUMBER(SEARCH("3 MM",Inventario!B117)),ISNUMBER(SEARCH("3MM",Inventario!B117))),"3MM",
IF(OR(ISNUMBER(SEARCH("4 MM",Inventario!B117)),ISNUMBER(SEARCH("4MM",Inventario!B117)),ISNUMBER(SEARCH("4 mm",Inventario!B117))),"4MM",
IF(OR(ISNUMBER(SEARCH("5 MM",Inventario!B117)),ISNUMBER(SEARCH("5MM",Inventario!B117))),"5MM",
IF(OR(ISNUMBER(SEARCH("6 MM",Inventario!B117)),ISNUMBER(SEARCH("6MM",Inventario!B117))),"6MM",
IF(OR(ISNUMBER(SEARCH("10 MM",Inventario!B117)),ISNUMBER(SEARCH("10MM",Inventario!B117))),"10MM","")))))))</f>
        <v/>
      </c>
      <c r="G118" t="str">
        <f>IF(ISNUMBER(SEARCH("ALTA RESISTENCIA",Inventario!B117)),"AR",IF(ISNUMBER(SEARCH("CAMPAÑA",Inventario!B117)),"CA",
IF(OR(ISNUMBER(SEARCH("CALIDO",Inventario!B117)),ISNUMBER(SEARCH("CÁLIDO",Inventario!B117))),"C",
IF(OR(ISNUMBER(SEARCH("TRASLUCIDO",Inventario!B117)),ISNUMBER(SEARCH("TRANSLUCIDO",Inventario!B117))),"TL",
IF(ISNUMBER(SEARCH("NEUTRO",Inventario!B117)),"N",
IF(ISNUMBER(SEARCH("FRIO",Inventario!B117)),"F",""))))))</f>
        <v/>
      </c>
      <c r="H118" t="str">
        <f>IF(ISNUMBER(SEARCH("SILED",Inventario!B117)),"SI",
IF(ISNUMBER(SEARCH("SYDEMEX",Inventario!B117)),"SY",
IF(ISNUMBER(SEARCH("ROHS",Inventario!B117)),"RO",
IF(ISNUMBER(SEARCH("RISHANG",Inventario!B117)),"RS",
IF(ISNUMBER(SEARCH("VYG",Inventario!B117)),"VYG",
IF(ISNUMBER(SEARCH("COLED",Inventario!B117)),"CO",""))))))</f>
        <v/>
      </c>
    </row>
    <row r="119" spans="1:8">
      <c r="A119" t="str">
        <f>IF(ISNUMBER(SEARCH("LONA",Inventario!B118)),"LON",
IF(ISNUMBER(SEARCH("VINIL",Inventario!B118)),"VIN",
IF(ISNUMBER(SEARCH("PANEL DE ALUMINIO COMPUESTO",Inventario!B118)),"PAN-ALU-COM",
IF(ISNUMBER(SEARCH("PVC",Inventario!B118)),"PVC",
IF(ISNUMBER(SEARCH("PAPEL",Inventario!B118)),"PAP",
IF(ISNUMBER(SEARCH("TELA",Inventario!B118)),"TEL",
IF(ISNUMBER(SEARCH("CARTULINA",Inventario!B118)),"CAR",
IF(OR(ISNUMBER(SEARCH("LAMINA",Inventario!B118)),ISNUMBER(SEARCH("LÁMINA",Inventario!B118))),"LAM",
IF(ISNUMBER(SEARCH("ESTIRENO",Inventario!B118)),"EST",
IF(ISNUMBER(SEARCH("FOAMBOARD",Inventario!B118)),"FOA",
IF(ISNUMBER(SEARCH("SOLVENTE",Inventario!B118)),"SOL",
IF(ISNUMBER(SEARCH("TINTA",Inventario!B118)),"TIN",
IF(ISNUMBER(SEARCH("ACRILICO",Inventario!B118)),"ACR",
IF(ISNUMBER(SEARCH("LED",Inventario!B118)),"LED",
IF(ISNUMBER(SEARCH("FUENTE",Inventario!B118)),"FUE",
IF(ISNUMBER(SEARCH("PETG",Inventario!B118)),"PET",
IF(ISNUMBER(SEARCH("ALUMINIO",Inventario!B118)),"ALU",
IF(ISNUMBER(SEARCH("CANAL",Inventario!B118)),"CAN",
IF(ISNUMBER(SEARCH("ESCUADRA",Inventario!B118)),"ESC",
IF(ISNUMBER(SEARCH("SOPORTE",Inventario!B118)),"SOP","OTR")
)))))))))))))))))))</f>
        <v>TIN</v>
      </c>
      <c r="B119" t="str">
        <f>IF(ISNUMBER(SEARCH("CORTE",Inventario!B118)),"COR",
IF(ISNUMBER(SEARCH("CRISTAL",Inventario!B118)),"CR",
IF(OR(ISNUMBER(SEARCH("OPTICO",Inventario!B118)),ISNUMBER(SEARCH("OPTICOS",Inventario!B118)),ISNUMBER(SEARCH("OPTICA",Inventario!B118))),"OP",
IF(ISNUMBER(SEARCH("NANO",Inventario!B118)),"NA",
IF(ISNUMBER(SEARCH("5050",Inventario!B118)),"5050",
IF(ISNUMBER(SEARCH("MICRO",Inventario!B118)),"MI",""))))))</f>
        <v/>
      </c>
      <c r="C119" t="str">
        <f>IF(ISNUMBER(SEARCH("PARED",Inventario!B118)),"PAR",IF(ISNUMBER(SEARCH("MATE",Inventario!B118)),"MAT",
IF(ISNUMBER(SEARCH("FRONT",Inventario!B118)),"FRO",
IF(ISNUMBER(SEARCH("BACK",Inventario!B118)),"BAC",
IF(ISNUMBER(SEARCH("MESH",Inventario!B118)),"MES",
IF(OR(ISNUMBER(SEARCH("BRILLANTE",Inventario!B118)),ISNUMBER(SEARCH("BTE",Inventario!B118))),"BRI",
IF(ISNUMBER(SEARCH("SINTETICA DELGADA",Inventario!B118)),"SD",
IF(ISNUMBER(SEARCH("SINTETICA GRUESA",Inventario!B118)),"SG",
IF(ISNUMBER(SEARCH("ESTATICO",Inventario!B118)),"EST",
IF(ISNUMBER(SEARCH("FLOOR",Inventario!B118)),"FLO",
IF(ISNUMBER(SEARCH("REFLECTIVO",Inventario!B118)),"REF",
IF(ISNUMBER(SEARCH("MICROPERFORADO",Inventario!B118)),"MI",
IF(ISNUMBER(SEARCH("CEPILLADO",Inventario!B118)),"CEP",
IF(ISNUMBER(SEARCH("ESPEJO",Inventario!B118)),"ESP",
IF(OR(ISNUMBER(SEARCH("UNIDIODO",Inventario!B118)),ISNUMBER(SEARCH("1 DIODO",Inventario!B118))),"1D",
IF(ISNUMBER(SEARCH("2 DIODOS",Inventario!B118)),"2D",
IF(ISNUMBER(SEARCH("3 DIODOS",Inventario!B118)),"3D","")))))))))))))))))</f>
        <v/>
      </c>
      <c r="D119" t="str">
        <f>IF(ISNUMBER(SEARCH("LX700",Inventario!B118)),"LX7",
IF(ISNUMBER(SEARCH("GRANDO",Inventario!B118)),"GRA",
IF(OR(ISNUMBER(SEARCH("CAMA PLANA",Inventario!B118)),ISNUMBER(SEARCH("FB700",Inventario!B118))),"CP",
IF(ISNUMBER(SEARCH("LX360",Inventario!B118)),"LX3",
IF(ISNUMBER(SEARCH("XEROX",Inventario!B118)),"XER",
IF(ISNUMBER(SEARCH("18 OZ",Inventario!B118)),"18OZ",
IF(ISNUMBER(SEARCH("15 OZ",Inventario!B118)),"15OZ",
IF(OR(ISNUMBER(SEARCH("13 OZ",Inventario!B118)),ISNUMBER(SEARCH("13 ONZAS",Inventario!B118))),"13OZ",
IF(OR(ISNUMBER(SEARCH("9 OZ",Inventario!B118)),ISNUMBER(SEARCH("9 ONZAS",Inventario!B118))),"09OZ","")))))))))</f>
        <v>CP</v>
      </c>
      <c r="E119" t="str">
        <f>IF(OR(ISNUMBER(SEARCH("TRANSPARENTE",Inventario!B118)),ISNUMBER(SEARCH("TRANSPARENTES",Inventario!B118))),"TR",
IF(OR(ISNUMBER(SEARCH("BLANCO",Inventario!B118)),ISNUMBER(SEARCH("BCO",Inventario!B118))),"BL",
IF(ISNUMBER(SEARCH("VERDE",Inventario!B118)),"VR",
IF(ISNUMBER(SEARCH("MORADO",Inventario!B118)),"MR",
IF(ISNUMBER(SEARCH("PLATA",Inventario!B118)),"PL",
IF(ISNUMBER(SEARCH("ORO",Inventario!B118)),"OR",
IF(ISNUMBER(SEARCH("AMARILLO",Inventario!B118)),"AM",
IF(ISNUMBER(SEARCH("NARANJA",Inventario!B118)),"NR",
IF(ISNUMBER(SEARCH("NEGRO",Inventario!B118)),"NG",
IF(ISNUMBER(SEARCH("ROJO",Inventario!B118)),"RJ",
IF(ISNUMBER(SEARCH("AZUL",Inventario!B118)),"AZ","")))))))))))</f>
        <v/>
      </c>
      <c r="F119" t="str">
        <f>IF(ISNUMBER(SEARCH("1,2 MM",Inventario!B118)),"1MM2",
IF(OR(ISNUMBER(SEARCH("2 MM",Inventario!B118)),ISNUMBER(SEARCH("2MM",Inventario!B118))),"2MM",
IF(OR(ISNUMBER(SEARCH("3 MM",Inventario!B118)),ISNUMBER(SEARCH("3MM",Inventario!B118))),"3MM",
IF(OR(ISNUMBER(SEARCH("4 MM",Inventario!B118)),ISNUMBER(SEARCH("4MM",Inventario!B118)),ISNUMBER(SEARCH("4 mm",Inventario!B118))),"4MM",
IF(OR(ISNUMBER(SEARCH("5 MM",Inventario!B118)),ISNUMBER(SEARCH("5MM",Inventario!B118))),"5MM",
IF(OR(ISNUMBER(SEARCH("6 MM",Inventario!B118)),ISNUMBER(SEARCH("6MM",Inventario!B118))),"6MM",
IF(OR(ISNUMBER(SEARCH("10 MM",Inventario!B118)),ISNUMBER(SEARCH("10MM",Inventario!B118))),"10MM","")))))))</f>
        <v/>
      </c>
      <c r="G119" t="str">
        <f>IF(ISNUMBER(SEARCH("ALTA RESISTENCIA",Inventario!B118)),"AR",IF(ISNUMBER(SEARCH("CAMPAÑA",Inventario!B118)),"CA",
IF(OR(ISNUMBER(SEARCH("CALIDO",Inventario!B118)),ISNUMBER(SEARCH("CÁLIDO",Inventario!B118))),"C",
IF(OR(ISNUMBER(SEARCH("TRASLUCIDO",Inventario!B118)),ISNUMBER(SEARCH("TRANSLUCIDO",Inventario!B118))),"TL",
IF(ISNUMBER(SEARCH("NEUTRO",Inventario!B118)),"N",
IF(ISNUMBER(SEARCH("FRIO",Inventario!B118)),"F",""))))))</f>
        <v/>
      </c>
      <c r="H119" t="str">
        <f>IF(ISNUMBER(SEARCH("SILED",Inventario!B118)),"SI",
IF(ISNUMBER(SEARCH("SYDEMEX",Inventario!B118)),"SY",
IF(ISNUMBER(SEARCH("ROHS",Inventario!B118)),"RO",
IF(ISNUMBER(SEARCH("RISHANG",Inventario!B118)),"RS",
IF(ISNUMBER(SEARCH("VYG",Inventario!B118)),"VYG",
IF(ISNUMBER(SEARCH("COLED",Inventario!B118)),"CO",""))))))</f>
        <v/>
      </c>
    </row>
    <row r="120" spans="1:8">
      <c r="A120" t="str">
        <f>IF(ISNUMBER(SEARCH("LONA",Inventario!B119)),"LON",
IF(ISNUMBER(SEARCH("VINIL",Inventario!B119)),"VIN",
IF(ISNUMBER(SEARCH("PANEL DE ALUMINIO COMPUESTO",Inventario!B119)),"PAN-ALU-COM",
IF(ISNUMBER(SEARCH("PVC",Inventario!B119)),"PVC",
IF(ISNUMBER(SEARCH("PAPEL",Inventario!B119)),"PAP",
IF(ISNUMBER(SEARCH("TELA",Inventario!B119)),"TEL",
IF(ISNUMBER(SEARCH("CARTULINA",Inventario!B119)),"CAR",
IF(OR(ISNUMBER(SEARCH("LAMINA",Inventario!B119)),ISNUMBER(SEARCH("LÁMINA",Inventario!B119))),"LAM",
IF(ISNUMBER(SEARCH("ESTIRENO",Inventario!B119)),"EST",
IF(ISNUMBER(SEARCH("FOAMBOARD",Inventario!B119)),"FOA",
IF(ISNUMBER(SEARCH("SOLVENTE",Inventario!B119)),"SOL",
IF(ISNUMBER(SEARCH("TINTA",Inventario!B119)),"TIN",
IF(ISNUMBER(SEARCH("ACRILICO",Inventario!B119)),"ACR",
IF(ISNUMBER(SEARCH("LED",Inventario!B119)),"LED",
IF(ISNUMBER(SEARCH("FUENTE",Inventario!B119)),"FUE",
IF(ISNUMBER(SEARCH("PETG",Inventario!B119)),"PET",
IF(ISNUMBER(SEARCH("ALUMINIO",Inventario!B119)),"ALU",
IF(ISNUMBER(SEARCH("CANAL",Inventario!B119)),"CAN",
IF(ISNUMBER(SEARCH("ESCUADRA",Inventario!B119)),"ESC",
IF(ISNUMBER(SEARCH("SOPORTE",Inventario!B119)),"SOP","OTR")
)))))))))))))))))))</f>
        <v>TIN</v>
      </c>
      <c r="B120" t="str">
        <f>IF(ISNUMBER(SEARCH("CORTE",Inventario!B119)),"COR",
IF(ISNUMBER(SEARCH("CRISTAL",Inventario!B119)),"CR",
IF(OR(ISNUMBER(SEARCH("OPTICO",Inventario!B119)),ISNUMBER(SEARCH("OPTICOS",Inventario!B119)),ISNUMBER(SEARCH("OPTICA",Inventario!B119))),"OP",
IF(ISNUMBER(SEARCH("NANO",Inventario!B119)),"NA",
IF(ISNUMBER(SEARCH("5050",Inventario!B119)),"5050",
IF(ISNUMBER(SEARCH("MICRO",Inventario!B119)),"MI",""))))))</f>
        <v/>
      </c>
      <c r="C120" t="str">
        <f>IF(ISNUMBER(SEARCH("PARED",Inventario!B119)),"PAR",IF(ISNUMBER(SEARCH("MATE",Inventario!B119)),"MAT",
IF(ISNUMBER(SEARCH("FRONT",Inventario!B119)),"FRO",
IF(ISNUMBER(SEARCH("BACK",Inventario!B119)),"BAC",
IF(ISNUMBER(SEARCH("MESH",Inventario!B119)),"MES",
IF(OR(ISNUMBER(SEARCH("BRILLANTE",Inventario!B119)),ISNUMBER(SEARCH("BTE",Inventario!B119))),"BRI",
IF(ISNUMBER(SEARCH("SINTETICA DELGADA",Inventario!B119)),"SD",
IF(ISNUMBER(SEARCH("SINTETICA GRUESA",Inventario!B119)),"SG",
IF(ISNUMBER(SEARCH("ESTATICO",Inventario!B119)),"EST",
IF(ISNUMBER(SEARCH("FLOOR",Inventario!B119)),"FLO",
IF(ISNUMBER(SEARCH("REFLECTIVO",Inventario!B119)),"REF",
IF(ISNUMBER(SEARCH("MICROPERFORADO",Inventario!B119)),"MI",
IF(ISNUMBER(SEARCH("CEPILLADO",Inventario!B119)),"CEP",
IF(ISNUMBER(SEARCH("ESPEJO",Inventario!B119)),"ESP",
IF(OR(ISNUMBER(SEARCH("UNIDIODO",Inventario!B119)),ISNUMBER(SEARCH("1 DIODO",Inventario!B119))),"1D",
IF(ISNUMBER(SEARCH("2 DIODOS",Inventario!B119)),"2D",
IF(ISNUMBER(SEARCH("3 DIODOS",Inventario!B119)),"3D","")))))))))))))))))</f>
        <v/>
      </c>
      <c r="D120" t="str">
        <f>IF(ISNUMBER(SEARCH("LX700",Inventario!B119)),"LX7",
IF(ISNUMBER(SEARCH("GRANDO",Inventario!B119)),"GRA",
IF(OR(ISNUMBER(SEARCH("CAMA PLANA",Inventario!B119)),ISNUMBER(SEARCH("FB700",Inventario!B119))),"CP",
IF(ISNUMBER(SEARCH("LX360",Inventario!B119)),"LX3",
IF(ISNUMBER(SEARCH("XEROX",Inventario!B119)),"XER",
IF(ISNUMBER(SEARCH("18 OZ",Inventario!B119)),"18OZ",
IF(ISNUMBER(SEARCH("15 OZ",Inventario!B119)),"15OZ",
IF(OR(ISNUMBER(SEARCH("13 OZ",Inventario!B119)),ISNUMBER(SEARCH("13 ONZAS",Inventario!B119))),"13OZ",
IF(OR(ISNUMBER(SEARCH("9 OZ",Inventario!B119)),ISNUMBER(SEARCH("9 ONZAS",Inventario!B119))),"09OZ","")))))))))</f>
        <v>CP</v>
      </c>
      <c r="E120" t="str">
        <f>IF(OR(ISNUMBER(SEARCH("TRANSPARENTE",Inventario!B119)),ISNUMBER(SEARCH("TRANSPARENTES",Inventario!B119))),"TR",
IF(OR(ISNUMBER(SEARCH("BLANCO",Inventario!B119)),ISNUMBER(SEARCH("BCO",Inventario!B119))),"BL",
IF(ISNUMBER(SEARCH("VERDE",Inventario!B119)),"VR",
IF(ISNUMBER(SEARCH("MORADO",Inventario!B119)),"MR",
IF(ISNUMBER(SEARCH("PLATA",Inventario!B119)),"PL",
IF(ISNUMBER(SEARCH("ORO",Inventario!B119)),"OR",
IF(ISNUMBER(SEARCH("AMARILLO",Inventario!B119)),"AM",
IF(ISNUMBER(SEARCH("NARANJA",Inventario!B119)),"NR",
IF(ISNUMBER(SEARCH("NEGRO",Inventario!B119)),"NG",
IF(ISNUMBER(SEARCH("ROJO",Inventario!B119)),"RJ",
IF(ISNUMBER(SEARCH("AZUL",Inventario!B119)),"AZ","")))))))))))</f>
        <v/>
      </c>
      <c r="F120" t="str">
        <f>IF(ISNUMBER(SEARCH("1,2 MM",Inventario!B119)),"1MM2",
IF(OR(ISNUMBER(SEARCH("2 MM",Inventario!B119)),ISNUMBER(SEARCH("2MM",Inventario!B119))),"2MM",
IF(OR(ISNUMBER(SEARCH("3 MM",Inventario!B119)),ISNUMBER(SEARCH("3MM",Inventario!B119))),"3MM",
IF(OR(ISNUMBER(SEARCH("4 MM",Inventario!B119)),ISNUMBER(SEARCH("4MM",Inventario!B119)),ISNUMBER(SEARCH("4 mm",Inventario!B119))),"4MM",
IF(OR(ISNUMBER(SEARCH("5 MM",Inventario!B119)),ISNUMBER(SEARCH("5MM",Inventario!B119))),"5MM",
IF(OR(ISNUMBER(SEARCH("6 MM",Inventario!B119)),ISNUMBER(SEARCH("6MM",Inventario!B119))),"6MM",
IF(OR(ISNUMBER(SEARCH("10 MM",Inventario!B119)),ISNUMBER(SEARCH("10MM",Inventario!B119))),"10MM","")))))))</f>
        <v/>
      </c>
      <c r="G120" t="str">
        <f>IF(ISNUMBER(SEARCH("ALTA RESISTENCIA",Inventario!B119)),"AR",IF(ISNUMBER(SEARCH("CAMPAÑA",Inventario!B119)),"CA",
IF(OR(ISNUMBER(SEARCH("CALIDO",Inventario!B119)),ISNUMBER(SEARCH("CÁLIDO",Inventario!B119))),"C",
IF(OR(ISNUMBER(SEARCH("TRASLUCIDO",Inventario!B119)),ISNUMBER(SEARCH("TRANSLUCIDO",Inventario!B119))),"TL",
IF(ISNUMBER(SEARCH("NEUTRO",Inventario!B119)),"N",
IF(ISNUMBER(SEARCH("FRIO",Inventario!B119)),"F",""))))))</f>
        <v/>
      </c>
      <c r="H120" t="str">
        <f>IF(ISNUMBER(SEARCH("SILED",Inventario!B119)),"SI",
IF(ISNUMBER(SEARCH("SYDEMEX",Inventario!B119)),"SY",
IF(ISNUMBER(SEARCH("ROHS",Inventario!B119)),"RO",
IF(ISNUMBER(SEARCH("RISHANG",Inventario!B119)),"RS",
IF(ISNUMBER(SEARCH("VYG",Inventario!B119)),"VYG",
IF(ISNUMBER(SEARCH("COLED",Inventario!B119)),"CO",""))))))</f>
        <v/>
      </c>
    </row>
    <row r="121" spans="1:8">
      <c r="A121" t="str">
        <f>IF(ISNUMBER(SEARCH("LONA",Inventario!B120)),"LON",
IF(ISNUMBER(SEARCH("VINIL",Inventario!B120)),"VIN",
IF(ISNUMBER(SEARCH("PANEL DE ALUMINIO COMPUESTO",Inventario!B120)),"PAN-ALU-COM",
IF(ISNUMBER(SEARCH("PVC",Inventario!B120)),"PVC",
IF(ISNUMBER(SEARCH("PAPEL",Inventario!B120)),"PAP",
IF(ISNUMBER(SEARCH("TELA",Inventario!B120)),"TEL",
IF(ISNUMBER(SEARCH("CARTULINA",Inventario!B120)),"CAR",
IF(OR(ISNUMBER(SEARCH("LAMINA",Inventario!B120)),ISNUMBER(SEARCH("LÁMINA",Inventario!B120))),"LAM",
IF(ISNUMBER(SEARCH("ESTIRENO",Inventario!B120)),"EST",
IF(ISNUMBER(SEARCH("FOAMBOARD",Inventario!B120)),"FOA",
IF(ISNUMBER(SEARCH("SOLVENTE",Inventario!B120)),"SOL",
IF(ISNUMBER(SEARCH("TINTA",Inventario!B120)),"TIN",
IF(ISNUMBER(SEARCH("ACRILICO",Inventario!B120)),"ACR",
IF(ISNUMBER(SEARCH("LED",Inventario!B120)),"LED",
IF(ISNUMBER(SEARCH("FUENTE",Inventario!B120)),"FUE",
IF(ISNUMBER(SEARCH("PETG",Inventario!B120)),"PET",
IF(ISNUMBER(SEARCH("ALUMINIO",Inventario!B120)),"ALU",
IF(ISNUMBER(SEARCH("CANAL",Inventario!B120)),"CAN",
IF(ISNUMBER(SEARCH("ESCUADRA",Inventario!B120)),"ESC",
IF(ISNUMBER(SEARCH("SOPORTE",Inventario!B120)),"SOP","OTR")
)))))))))))))))))))</f>
        <v>TIN</v>
      </c>
      <c r="B121" t="str">
        <f>IF(ISNUMBER(SEARCH("CORTE",Inventario!B120)),"COR",
IF(ISNUMBER(SEARCH("CRISTAL",Inventario!B120)),"CR",
IF(OR(ISNUMBER(SEARCH("OPTICO",Inventario!B120)),ISNUMBER(SEARCH("OPTICOS",Inventario!B120)),ISNUMBER(SEARCH("OPTICA",Inventario!B120))),"OP",
IF(ISNUMBER(SEARCH("NANO",Inventario!B120)),"NA",
IF(ISNUMBER(SEARCH("5050",Inventario!B120)),"5050",
IF(ISNUMBER(SEARCH("MICRO",Inventario!B120)),"MI",""))))))</f>
        <v/>
      </c>
      <c r="C121" t="str">
        <f>IF(ISNUMBER(SEARCH("PARED",Inventario!B120)),"PAR",IF(ISNUMBER(SEARCH("MATE",Inventario!B120)),"MAT",
IF(ISNUMBER(SEARCH("FRONT",Inventario!B120)),"FRO",
IF(ISNUMBER(SEARCH("BACK",Inventario!B120)),"BAC",
IF(ISNUMBER(SEARCH("MESH",Inventario!B120)),"MES",
IF(OR(ISNUMBER(SEARCH("BRILLANTE",Inventario!B120)),ISNUMBER(SEARCH("BTE",Inventario!B120))),"BRI",
IF(ISNUMBER(SEARCH("SINTETICA DELGADA",Inventario!B120)),"SD",
IF(ISNUMBER(SEARCH("SINTETICA GRUESA",Inventario!B120)),"SG",
IF(ISNUMBER(SEARCH("ESTATICO",Inventario!B120)),"EST",
IF(ISNUMBER(SEARCH("FLOOR",Inventario!B120)),"FLO",
IF(ISNUMBER(SEARCH("REFLECTIVO",Inventario!B120)),"REF",
IF(ISNUMBER(SEARCH("MICROPERFORADO",Inventario!B120)),"MI",
IF(ISNUMBER(SEARCH("CEPILLADO",Inventario!B120)),"CEP",
IF(ISNUMBER(SEARCH("ESPEJO",Inventario!B120)),"ESP",
IF(OR(ISNUMBER(SEARCH("UNIDIODO",Inventario!B120)),ISNUMBER(SEARCH("1 DIODO",Inventario!B120))),"1D",
IF(ISNUMBER(SEARCH("2 DIODOS",Inventario!B120)),"2D",
IF(ISNUMBER(SEARCH("3 DIODOS",Inventario!B120)),"3D","")))))))))))))))))</f>
        <v/>
      </c>
      <c r="D121" t="str">
        <f>IF(ISNUMBER(SEARCH("LX700",Inventario!B120)),"LX7",
IF(ISNUMBER(SEARCH("GRANDO",Inventario!B120)),"GRA",
IF(OR(ISNUMBER(SEARCH("CAMA PLANA",Inventario!B120)),ISNUMBER(SEARCH("FB700",Inventario!B120))),"CP",
IF(ISNUMBER(SEARCH("LX360",Inventario!B120)),"LX3",
IF(ISNUMBER(SEARCH("XEROX",Inventario!B120)),"XER",
IF(ISNUMBER(SEARCH("18 OZ",Inventario!B120)),"18OZ",
IF(ISNUMBER(SEARCH("15 OZ",Inventario!B120)),"15OZ",
IF(OR(ISNUMBER(SEARCH("13 OZ",Inventario!B120)),ISNUMBER(SEARCH("13 ONZAS",Inventario!B120))),"13OZ",
IF(OR(ISNUMBER(SEARCH("9 OZ",Inventario!B120)),ISNUMBER(SEARCH("9 ONZAS",Inventario!B120))),"09OZ","")))))))))</f>
        <v>CP</v>
      </c>
      <c r="E121" t="str">
        <f>IF(OR(ISNUMBER(SEARCH("TRANSPARENTE",Inventario!B120)),ISNUMBER(SEARCH("TRANSPARENTES",Inventario!B120))),"TR",
IF(OR(ISNUMBER(SEARCH("BLANCO",Inventario!B120)),ISNUMBER(SEARCH("BCO",Inventario!B120))),"BL",
IF(ISNUMBER(SEARCH("VERDE",Inventario!B120)),"VR",
IF(ISNUMBER(SEARCH("MORADO",Inventario!B120)),"MR",
IF(ISNUMBER(SEARCH("PLATA",Inventario!B120)),"PL",
IF(ISNUMBER(SEARCH("ORO",Inventario!B120)),"OR",
IF(ISNUMBER(SEARCH("AMARILLO",Inventario!B120)),"AM",
IF(ISNUMBER(SEARCH("NARANJA",Inventario!B120)),"NR",
IF(ISNUMBER(SEARCH("NEGRO",Inventario!B120)),"NG",
IF(ISNUMBER(SEARCH("ROJO",Inventario!B120)),"RJ",
IF(ISNUMBER(SEARCH("AZUL",Inventario!B120)),"AZ","")))))))))))</f>
        <v/>
      </c>
      <c r="F121" t="str">
        <f>IF(ISNUMBER(SEARCH("1,2 MM",Inventario!B120)),"1MM2",
IF(OR(ISNUMBER(SEARCH("2 MM",Inventario!B120)),ISNUMBER(SEARCH("2MM",Inventario!B120))),"2MM",
IF(OR(ISNUMBER(SEARCH("3 MM",Inventario!B120)),ISNUMBER(SEARCH("3MM",Inventario!B120))),"3MM",
IF(OR(ISNUMBER(SEARCH("4 MM",Inventario!B120)),ISNUMBER(SEARCH("4MM",Inventario!B120)),ISNUMBER(SEARCH("4 mm",Inventario!B120))),"4MM",
IF(OR(ISNUMBER(SEARCH("5 MM",Inventario!B120)),ISNUMBER(SEARCH("5MM",Inventario!B120))),"5MM",
IF(OR(ISNUMBER(SEARCH("6 MM",Inventario!B120)),ISNUMBER(SEARCH("6MM",Inventario!B120))),"6MM",
IF(OR(ISNUMBER(SEARCH("10 MM",Inventario!B120)),ISNUMBER(SEARCH("10MM",Inventario!B120))),"10MM","")))))))</f>
        <v/>
      </c>
      <c r="G121" t="str">
        <f>IF(ISNUMBER(SEARCH("ALTA RESISTENCIA",Inventario!B120)),"AR",IF(ISNUMBER(SEARCH("CAMPAÑA",Inventario!B120)),"CA",
IF(OR(ISNUMBER(SEARCH("CALIDO",Inventario!B120)),ISNUMBER(SEARCH("CÁLIDO",Inventario!B120))),"C",
IF(OR(ISNUMBER(SEARCH("TRASLUCIDO",Inventario!B120)),ISNUMBER(SEARCH("TRANSLUCIDO",Inventario!B120))),"TL",
IF(ISNUMBER(SEARCH("NEUTRO",Inventario!B120)),"N",
IF(ISNUMBER(SEARCH("FRIO",Inventario!B120)),"F",""))))))</f>
        <v/>
      </c>
      <c r="H121" t="str">
        <f>IF(ISNUMBER(SEARCH("SILED",Inventario!B120)),"SI",
IF(ISNUMBER(SEARCH("SYDEMEX",Inventario!B120)),"SY",
IF(ISNUMBER(SEARCH("ROHS",Inventario!B120)),"RO",
IF(ISNUMBER(SEARCH("RISHANG",Inventario!B120)),"RS",
IF(ISNUMBER(SEARCH("VYG",Inventario!B120)),"VYG",
IF(ISNUMBER(SEARCH("COLED",Inventario!B120)),"CO",""))))))</f>
        <v/>
      </c>
    </row>
    <row r="122" spans="1:8">
      <c r="A122" t="str">
        <f>IF(ISNUMBER(SEARCH("LONA",Inventario!B121)),"LON",
IF(ISNUMBER(SEARCH("VINIL",Inventario!B121)),"VIN",
IF(ISNUMBER(SEARCH("PANEL DE ALUMINIO COMPUESTO",Inventario!B121)),"PAN-ALU-COM",
IF(ISNUMBER(SEARCH("PVC",Inventario!B121)),"PVC",
IF(ISNUMBER(SEARCH("PAPEL",Inventario!B121)),"PAP",
IF(ISNUMBER(SEARCH("TELA",Inventario!B121)),"TEL",
IF(ISNUMBER(SEARCH("CARTULINA",Inventario!B121)),"CAR",
IF(OR(ISNUMBER(SEARCH("LAMINA",Inventario!B121)),ISNUMBER(SEARCH("LÁMINA",Inventario!B121))),"LAM",
IF(ISNUMBER(SEARCH("ESTIRENO",Inventario!B121)),"EST",
IF(ISNUMBER(SEARCH("FOAMBOARD",Inventario!B121)),"FOA",
IF(ISNUMBER(SEARCH("SOLVENTE",Inventario!B121)),"SOL",
IF(ISNUMBER(SEARCH("TINTA",Inventario!B121)),"TIN",
IF(ISNUMBER(SEARCH("ACRILICO",Inventario!B121)),"ACR",
IF(ISNUMBER(SEARCH("LED",Inventario!B121)),"LED",
IF(ISNUMBER(SEARCH("FUENTE",Inventario!B121)),"FUE",
IF(ISNUMBER(SEARCH("PETG",Inventario!B121)),"PET",
IF(ISNUMBER(SEARCH("ALUMINIO",Inventario!B121)),"ALU",
IF(ISNUMBER(SEARCH("CANAL",Inventario!B121)),"CAN",
IF(ISNUMBER(SEARCH("ESCUADRA",Inventario!B121)),"ESC",
IF(ISNUMBER(SEARCH("SOPORTE",Inventario!B121)),"SOP","OTR")
)))))))))))))))))))</f>
        <v>TIN</v>
      </c>
      <c r="B122" t="str">
        <f>IF(ISNUMBER(SEARCH("CORTE",Inventario!B121)),"COR",
IF(ISNUMBER(SEARCH("CRISTAL",Inventario!B121)),"CR",
IF(OR(ISNUMBER(SEARCH("OPTICO",Inventario!B121)),ISNUMBER(SEARCH("OPTICOS",Inventario!B121)),ISNUMBER(SEARCH("OPTICA",Inventario!B121))),"OP",
IF(ISNUMBER(SEARCH("NANO",Inventario!B121)),"NA",
IF(ISNUMBER(SEARCH("5050",Inventario!B121)),"5050",
IF(ISNUMBER(SEARCH("MICRO",Inventario!B121)),"MI",""))))))</f>
        <v/>
      </c>
      <c r="C122" t="str">
        <f>IF(ISNUMBER(SEARCH("PARED",Inventario!B121)),"PAR",IF(ISNUMBER(SEARCH("MATE",Inventario!B121)),"MAT",
IF(ISNUMBER(SEARCH("FRONT",Inventario!B121)),"FRO",
IF(ISNUMBER(SEARCH("BACK",Inventario!B121)),"BAC",
IF(ISNUMBER(SEARCH("MESH",Inventario!B121)),"MES",
IF(OR(ISNUMBER(SEARCH("BRILLANTE",Inventario!B121)),ISNUMBER(SEARCH("BTE",Inventario!B121))),"BRI",
IF(ISNUMBER(SEARCH("SINTETICA DELGADA",Inventario!B121)),"SD",
IF(ISNUMBER(SEARCH("SINTETICA GRUESA",Inventario!B121)),"SG",
IF(ISNUMBER(SEARCH("ESTATICO",Inventario!B121)),"EST",
IF(ISNUMBER(SEARCH("FLOOR",Inventario!B121)),"FLO",
IF(ISNUMBER(SEARCH("REFLECTIVO",Inventario!B121)),"REF",
IF(ISNUMBER(SEARCH("MICROPERFORADO",Inventario!B121)),"MI",
IF(ISNUMBER(SEARCH("CEPILLADO",Inventario!B121)),"CEP",
IF(ISNUMBER(SEARCH("ESPEJO",Inventario!B121)),"ESP",
IF(OR(ISNUMBER(SEARCH("UNIDIODO",Inventario!B121)),ISNUMBER(SEARCH("1 DIODO",Inventario!B121))),"1D",
IF(ISNUMBER(SEARCH("2 DIODOS",Inventario!B121)),"2D",
IF(ISNUMBER(SEARCH("3 DIODOS",Inventario!B121)),"3D","")))))))))))))))))</f>
        <v/>
      </c>
      <c r="D122" t="str">
        <f>IF(ISNUMBER(SEARCH("LX700",Inventario!B121)),"LX7",
IF(ISNUMBER(SEARCH("GRANDO",Inventario!B121)),"GRA",
IF(OR(ISNUMBER(SEARCH("CAMA PLANA",Inventario!B121)),ISNUMBER(SEARCH("FB700",Inventario!B121))),"CP",
IF(ISNUMBER(SEARCH("LX360",Inventario!B121)),"LX3",
IF(ISNUMBER(SEARCH("XEROX",Inventario!B121)),"XER",
IF(ISNUMBER(SEARCH("18 OZ",Inventario!B121)),"18OZ",
IF(ISNUMBER(SEARCH("15 OZ",Inventario!B121)),"15OZ",
IF(OR(ISNUMBER(SEARCH("13 OZ",Inventario!B121)),ISNUMBER(SEARCH("13 ONZAS",Inventario!B121))),"13OZ",
IF(OR(ISNUMBER(SEARCH("9 OZ",Inventario!B121)),ISNUMBER(SEARCH("9 ONZAS",Inventario!B121))),"09OZ","")))))))))</f>
        <v>CP</v>
      </c>
      <c r="E122" t="str">
        <f>IF(OR(ISNUMBER(SEARCH("TRANSPARENTE",Inventario!B121)),ISNUMBER(SEARCH("TRANSPARENTES",Inventario!B121))),"TR",
IF(OR(ISNUMBER(SEARCH("BLANCO",Inventario!B121)),ISNUMBER(SEARCH("BCO",Inventario!B121))),"BL",
IF(ISNUMBER(SEARCH("VERDE",Inventario!B121)),"VR",
IF(ISNUMBER(SEARCH("MORADO",Inventario!B121)),"MR",
IF(ISNUMBER(SEARCH("PLATA",Inventario!B121)),"PL",
IF(ISNUMBER(SEARCH("ORO",Inventario!B121)),"OR",
IF(ISNUMBER(SEARCH("AMARILLO",Inventario!B121)),"AM",
IF(ISNUMBER(SEARCH("NARANJA",Inventario!B121)),"NR",
IF(ISNUMBER(SEARCH("NEGRO",Inventario!B121)),"NG",
IF(ISNUMBER(SEARCH("ROJO",Inventario!B121)),"RJ",
IF(ISNUMBER(SEARCH("AZUL",Inventario!B121)),"AZ","")))))))))))</f>
        <v/>
      </c>
      <c r="F122" t="str">
        <f>IF(ISNUMBER(SEARCH("1,2 MM",Inventario!B121)),"1MM2",
IF(OR(ISNUMBER(SEARCH("2 MM",Inventario!B121)),ISNUMBER(SEARCH("2MM",Inventario!B121))),"2MM",
IF(OR(ISNUMBER(SEARCH("3 MM",Inventario!B121)),ISNUMBER(SEARCH("3MM",Inventario!B121))),"3MM",
IF(OR(ISNUMBER(SEARCH("4 MM",Inventario!B121)),ISNUMBER(SEARCH("4MM",Inventario!B121)),ISNUMBER(SEARCH("4 mm",Inventario!B121))),"4MM",
IF(OR(ISNUMBER(SEARCH("5 MM",Inventario!B121)),ISNUMBER(SEARCH("5MM",Inventario!B121))),"5MM",
IF(OR(ISNUMBER(SEARCH("6 MM",Inventario!B121)),ISNUMBER(SEARCH("6MM",Inventario!B121))),"6MM",
IF(OR(ISNUMBER(SEARCH("10 MM",Inventario!B121)),ISNUMBER(SEARCH("10MM",Inventario!B121))),"10MM","")))))))</f>
        <v/>
      </c>
      <c r="G122" t="str">
        <f>IF(ISNUMBER(SEARCH("ALTA RESISTENCIA",Inventario!B121)),"AR",IF(ISNUMBER(SEARCH("CAMPAÑA",Inventario!B121)),"CA",
IF(OR(ISNUMBER(SEARCH("CALIDO",Inventario!B121)),ISNUMBER(SEARCH("CÁLIDO",Inventario!B121))),"C",
IF(OR(ISNUMBER(SEARCH("TRASLUCIDO",Inventario!B121)),ISNUMBER(SEARCH("TRANSLUCIDO",Inventario!B121))),"TL",
IF(ISNUMBER(SEARCH("NEUTRO",Inventario!B121)),"N",
IF(ISNUMBER(SEARCH("FRIO",Inventario!B121)),"F",""))))))</f>
        <v/>
      </c>
      <c r="H122" t="str">
        <f>IF(ISNUMBER(SEARCH("SILED",Inventario!B121)),"SI",
IF(ISNUMBER(SEARCH("SYDEMEX",Inventario!B121)),"SY",
IF(ISNUMBER(SEARCH("ROHS",Inventario!B121)),"RO",
IF(ISNUMBER(SEARCH("RISHANG",Inventario!B121)),"RS",
IF(ISNUMBER(SEARCH("VYG",Inventario!B121)),"VYG",
IF(ISNUMBER(SEARCH("COLED",Inventario!B121)),"CO",""))))))</f>
        <v/>
      </c>
    </row>
    <row r="123" spans="1:8">
      <c r="A123" t="str">
        <f>IF(ISNUMBER(SEARCH("LONA",Inventario!B122)),"LON",
IF(ISNUMBER(SEARCH("VINIL",Inventario!B122)),"VIN",
IF(ISNUMBER(SEARCH("PANEL DE ALUMINIO COMPUESTO",Inventario!B122)),"PAN-ALU-COM",
IF(ISNUMBER(SEARCH("PVC",Inventario!B122)),"PVC",
IF(ISNUMBER(SEARCH("PAPEL",Inventario!B122)),"PAP",
IF(ISNUMBER(SEARCH("TELA",Inventario!B122)),"TEL",
IF(ISNUMBER(SEARCH("CARTULINA",Inventario!B122)),"CAR",
IF(OR(ISNUMBER(SEARCH("LAMINA",Inventario!B122)),ISNUMBER(SEARCH("LÁMINA",Inventario!B122))),"LAM",
IF(ISNUMBER(SEARCH("ESTIRENO",Inventario!B122)),"EST",
IF(ISNUMBER(SEARCH("FOAMBOARD",Inventario!B122)),"FOA",
IF(ISNUMBER(SEARCH("SOLVENTE",Inventario!B122)),"SOL",
IF(ISNUMBER(SEARCH("TINTA",Inventario!B122)),"TIN",
IF(ISNUMBER(SEARCH("ACRILICO",Inventario!B122)),"ACR",
IF(ISNUMBER(SEARCH("LED",Inventario!B122)),"LED",
IF(ISNUMBER(SEARCH("FUENTE",Inventario!B122)),"FUE",
IF(ISNUMBER(SEARCH("PETG",Inventario!B122)),"PET",
IF(ISNUMBER(SEARCH("ALUMINIO",Inventario!B122)),"ALU",
IF(ISNUMBER(SEARCH("CANAL",Inventario!B122)),"CAN",
IF(ISNUMBER(SEARCH("ESCUADRA",Inventario!B122)),"ESC",
IF(ISNUMBER(SEARCH("SOPORTE",Inventario!B122)),"SOP","OTR")
)))))))))))))))))))</f>
        <v>TIN</v>
      </c>
      <c r="B123" t="str">
        <f>IF(ISNUMBER(SEARCH("CORTE",Inventario!B122)),"COR",
IF(ISNUMBER(SEARCH("CRISTAL",Inventario!B122)),"CR",
IF(OR(ISNUMBER(SEARCH("OPTICO",Inventario!B122)),ISNUMBER(SEARCH("OPTICOS",Inventario!B122)),ISNUMBER(SEARCH("OPTICA",Inventario!B122))),"OP",
IF(ISNUMBER(SEARCH("NANO",Inventario!B122)),"NA",
IF(ISNUMBER(SEARCH("5050",Inventario!B122)),"5050",
IF(ISNUMBER(SEARCH("MICRO",Inventario!B122)),"MI",""))))))</f>
        <v/>
      </c>
      <c r="C123" t="str">
        <f>IF(ISNUMBER(SEARCH("PARED",Inventario!B122)),"PAR",IF(ISNUMBER(SEARCH("MATE",Inventario!B122)),"MAT",
IF(ISNUMBER(SEARCH("FRONT",Inventario!B122)),"FRO",
IF(ISNUMBER(SEARCH("BACK",Inventario!B122)),"BAC",
IF(ISNUMBER(SEARCH("MESH",Inventario!B122)),"MES",
IF(OR(ISNUMBER(SEARCH("BRILLANTE",Inventario!B122)),ISNUMBER(SEARCH("BTE",Inventario!B122))),"BRI",
IF(ISNUMBER(SEARCH("SINTETICA DELGADA",Inventario!B122)),"SD",
IF(ISNUMBER(SEARCH("SINTETICA GRUESA",Inventario!B122)),"SG",
IF(ISNUMBER(SEARCH("ESTATICO",Inventario!B122)),"EST",
IF(ISNUMBER(SEARCH("FLOOR",Inventario!B122)),"FLO",
IF(ISNUMBER(SEARCH("REFLECTIVO",Inventario!B122)),"REF",
IF(ISNUMBER(SEARCH("MICROPERFORADO",Inventario!B122)),"MI",
IF(ISNUMBER(SEARCH("CEPILLADO",Inventario!B122)),"CEP",
IF(ISNUMBER(SEARCH("ESPEJO",Inventario!B122)),"ESP",
IF(OR(ISNUMBER(SEARCH("UNIDIODO",Inventario!B122)),ISNUMBER(SEARCH("1 DIODO",Inventario!B122))),"1D",
IF(ISNUMBER(SEARCH("2 DIODOS",Inventario!B122)),"2D",
IF(ISNUMBER(SEARCH("3 DIODOS",Inventario!B122)),"3D","")))))))))))))))))</f>
        <v/>
      </c>
      <c r="D123" t="str">
        <f>IF(ISNUMBER(SEARCH("LX700",Inventario!B122)),"LX7",
IF(ISNUMBER(SEARCH("GRANDO",Inventario!B122)),"GRA",
IF(OR(ISNUMBER(SEARCH("CAMA PLANA",Inventario!B122)),ISNUMBER(SEARCH("FB700",Inventario!B122))),"CP",
IF(ISNUMBER(SEARCH("LX360",Inventario!B122)),"LX3",
IF(ISNUMBER(SEARCH("XEROX",Inventario!B122)),"XER",
IF(ISNUMBER(SEARCH("18 OZ",Inventario!B122)),"18OZ",
IF(ISNUMBER(SEARCH("15 OZ",Inventario!B122)),"15OZ",
IF(OR(ISNUMBER(SEARCH("13 OZ",Inventario!B122)),ISNUMBER(SEARCH("13 ONZAS",Inventario!B122))),"13OZ",
IF(OR(ISNUMBER(SEARCH("9 OZ",Inventario!B122)),ISNUMBER(SEARCH("9 ONZAS",Inventario!B122))),"09OZ","")))))))))</f>
        <v>CP</v>
      </c>
      <c r="E123" t="str">
        <f>IF(OR(ISNUMBER(SEARCH("TRANSPARENTE",Inventario!B122)),ISNUMBER(SEARCH("TRANSPARENTES",Inventario!B122))),"TR",
IF(OR(ISNUMBER(SEARCH("BLANCO",Inventario!B122)),ISNUMBER(SEARCH("BCO",Inventario!B122))),"BL",
IF(ISNUMBER(SEARCH("VERDE",Inventario!B122)),"VR",
IF(ISNUMBER(SEARCH("MORADO",Inventario!B122)),"MR",
IF(ISNUMBER(SEARCH("PLATA",Inventario!B122)),"PL",
IF(ISNUMBER(SEARCH("ORO",Inventario!B122)),"OR",
IF(ISNUMBER(SEARCH("AMARILLO",Inventario!B122)),"AM",
IF(ISNUMBER(SEARCH("NARANJA",Inventario!B122)),"NR",
IF(ISNUMBER(SEARCH("NEGRO",Inventario!B122)),"NG",
IF(ISNUMBER(SEARCH("ROJO",Inventario!B122)),"RJ",
IF(ISNUMBER(SEARCH("AZUL",Inventario!B122)),"AZ","")))))))))))</f>
        <v/>
      </c>
      <c r="F123" t="str">
        <f>IF(ISNUMBER(SEARCH("1,2 MM",Inventario!B122)),"1MM2",
IF(OR(ISNUMBER(SEARCH("2 MM",Inventario!B122)),ISNUMBER(SEARCH("2MM",Inventario!B122))),"2MM",
IF(OR(ISNUMBER(SEARCH("3 MM",Inventario!B122)),ISNUMBER(SEARCH("3MM",Inventario!B122))),"3MM",
IF(OR(ISNUMBER(SEARCH("4 MM",Inventario!B122)),ISNUMBER(SEARCH("4MM",Inventario!B122)),ISNUMBER(SEARCH("4 mm",Inventario!B122))),"4MM",
IF(OR(ISNUMBER(SEARCH("5 MM",Inventario!B122)),ISNUMBER(SEARCH("5MM",Inventario!B122))),"5MM",
IF(OR(ISNUMBER(SEARCH("6 MM",Inventario!B122)),ISNUMBER(SEARCH("6MM",Inventario!B122))),"6MM",
IF(OR(ISNUMBER(SEARCH("10 MM",Inventario!B122)),ISNUMBER(SEARCH("10MM",Inventario!B122))),"10MM","")))))))</f>
        <v/>
      </c>
      <c r="G123" t="str">
        <f>IF(ISNUMBER(SEARCH("ALTA RESISTENCIA",Inventario!B122)),"AR",IF(ISNUMBER(SEARCH("CAMPAÑA",Inventario!B122)),"CA",
IF(OR(ISNUMBER(SEARCH("CALIDO",Inventario!B122)),ISNUMBER(SEARCH("CÁLIDO",Inventario!B122))),"C",
IF(OR(ISNUMBER(SEARCH("TRASLUCIDO",Inventario!B122)),ISNUMBER(SEARCH("TRANSLUCIDO",Inventario!B122))),"TL",
IF(ISNUMBER(SEARCH("NEUTRO",Inventario!B122)),"N",
IF(ISNUMBER(SEARCH("FRIO",Inventario!B122)),"F",""))))))</f>
        <v/>
      </c>
      <c r="H123" t="str">
        <f>IF(ISNUMBER(SEARCH("SILED",Inventario!B122)),"SI",
IF(ISNUMBER(SEARCH("SYDEMEX",Inventario!B122)),"SY",
IF(ISNUMBER(SEARCH("ROHS",Inventario!B122)),"RO",
IF(ISNUMBER(SEARCH("RISHANG",Inventario!B122)),"RS",
IF(ISNUMBER(SEARCH("VYG",Inventario!B122)),"VYG",
IF(ISNUMBER(SEARCH("COLED",Inventario!B122)),"CO",""))))))</f>
        <v/>
      </c>
    </row>
    <row r="124" spans="1:8">
      <c r="A124" t="str">
        <f>IF(ISNUMBER(SEARCH("LONA",Inventario!B123)),"LON",
IF(ISNUMBER(SEARCH("VINIL",Inventario!B123)),"VIN",
IF(ISNUMBER(SEARCH("PANEL DE ALUMINIO COMPUESTO",Inventario!B123)),"PAN-ALU-COM",
IF(ISNUMBER(SEARCH("PVC",Inventario!B123)),"PVC",
IF(ISNUMBER(SEARCH("PAPEL",Inventario!B123)),"PAP",
IF(ISNUMBER(SEARCH("TELA",Inventario!B123)),"TEL",
IF(ISNUMBER(SEARCH("CARTULINA",Inventario!B123)),"CAR",
IF(OR(ISNUMBER(SEARCH("LAMINA",Inventario!B123)),ISNUMBER(SEARCH("LÁMINA",Inventario!B123))),"LAM",
IF(ISNUMBER(SEARCH("ESTIRENO",Inventario!B123)),"EST",
IF(ISNUMBER(SEARCH("FOAMBOARD",Inventario!B123)),"FOA",
IF(ISNUMBER(SEARCH("SOLVENTE",Inventario!B123)),"SOL",
IF(ISNUMBER(SEARCH("TINTA",Inventario!B123)),"TIN",
IF(ISNUMBER(SEARCH("ACRILICO",Inventario!B123)),"ACR",
IF(ISNUMBER(SEARCH("LED",Inventario!B123)),"LED",
IF(ISNUMBER(SEARCH("FUENTE",Inventario!B123)),"FUE",
IF(ISNUMBER(SEARCH("PETG",Inventario!B123)),"PET",
IF(ISNUMBER(SEARCH("ALUMINIO",Inventario!B123)),"ALU",
IF(ISNUMBER(SEARCH("CANAL",Inventario!B123)),"CAN",
IF(ISNUMBER(SEARCH("ESCUADRA",Inventario!B123)),"ESC",
IF(ISNUMBER(SEARCH("SOPORTE",Inventario!B123)),"SOP","OTR")
)))))))))))))))))))</f>
        <v>TIN</v>
      </c>
      <c r="B124" t="str">
        <f>IF(ISNUMBER(SEARCH("CORTE",Inventario!B123)),"COR",
IF(ISNUMBER(SEARCH("CRISTAL",Inventario!B123)),"CR",
IF(OR(ISNUMBER(SEARCH("OPTICO",Inventario!B123)),ISNUMBER(SEARCH("OPTICOS",Inventario!B123)),ISNUMBER(SEARCH("OPTICA",Inventario!B123))),"OP",
IF(ISNUMBER(SEARCH("NANO",Inventario!B123)),"NA",
IF(ISNUMBER(SEARCH("5050",Inventario!B123)),"5050",
IF(ISNUMBER(SEARCH("MICRO",Inventario!B123)),"MI",""))))))</f>
        <v/>
      </c>
      <c r="C124" t="str">
        <f>IF(ISNUMBER(SEARCH("PARED",Inventario!B123)),"PAR",IF(ISNUMBER(SEARCH("MATE",Inventario!B123)),"MAT",
IF(ISNUMBER(SEARCH("FRONT",Inventario!B123)),"FRO",
IF(ISNUMBER(SEARCH("BACK",Inventario!B123)),"BAC",
IF(ISNUMBER(SEARCH("MESH",Inventario!B123)),"MES",
IF(OR(ISNUMBER(SEARCH("BRILLANTE",Inventario!B123)),ISNUMBER(SEARCH("BTE",Inventario!B123))),"BRI",
IF(ISNUMBER(SEARCH("SINTETICA DELGADA",Inventario!B123)),"SD",
IF(ISNUMBER(SEARCH("SINTETICA GRUESA",Inventario!B123)),"SG",
IF(ISNUMBER(SEARCH("ESTATICO",Inventario!B123)),"EST",
IF(ISNUMBER(SEARCH("FLOOR",Inventario!B123)),"FLO",
IF(ISNUMBER(SEARCH("REFLECTIVO",Inventario!B123)),"REF",
IF(ISNUMBER(SEARCH("MICROPERFORADO",Inventario!B123)),"MI",
IF(ISNUMBER(SEARCH("CEPILLADO",Inventario!B123)),"CEP",
IF(ISNUMBER(SEARCH("ESPEJO",Inventario!B123)),"ESP",
IF(OR(ISNUMBER(SEARCH("UNIDIODO",Inventario!B123)),ISNUMBER(SEARCH("1 DIODO",Inventario!B123))),"1D",
IF(ISNUMBER(SEARCH("2 DIODOS",Inventario!B123)),"2D",
IF(ISNUMBER(SEARCH("3 DIODOS",Inventario!B123)),"3D","")))))))))))))))))</f>
        <v/>
      </c>
      <c r="D124" t="str">
        <f>IF(ISNUMBER(SEARCH("LX700",Inventario!B123)),"LX7",
IF(ISNUMBER(SEARCH("GRANDO",Inventario!B123)),"GRA",
IF(OR(ISNUMBER(SEARCH("CAMA PLANA",Inventario!B123)),ISNUMBER(SEARCH("FB700",Inventario!B123))),"CP",
IF(ISNUMBER(SEARCH("LX360",Inventario!B123)),"LX3",
IF(ISNUMBER(SEARCH("XEROX",Inventario!B123)),"XER",
IF(ISNUMBER(SEARCH("18 OZ",Inventario!B123)),"18OZ",
IF(ISNUMBER(SEARCH("15 OZ",Inventario!B123)),"15OZ",
IF(OR(ISNUMBER(SEARCH("13 OZ",Inventario!B123)),ISNUMBER(SEARCH("13 ONZAS",Inventario!B123))),"13OZ",
IF(OR(ISNUMBER(SEARCH("9 OZ",Inventario!B123)),ISNUMBER(SEARCH("9 ONZAS",Inventario!B123))),"09OZ","")))))))))</f>
        <v>CP</v>
      </c>
      <c r="E124" t="str">
        <f>IF(OR(ISNUMBER(SEARCH("TRANSPARENTE",Inventario!B123)),ISNUMBER(SEARCH("TRANSPARENTES",Inventario!B123))),"TR",
IF(OR(ISNUMBER(SEARCH("BLANCO",Inventario!B123)),ISNUMBER(SEARCH("BCO",Inventario!B123))),"BL",
IF(ISNUMBER(SEARCH("VERDE",Inventario!B123)),"VR",
IF(ISNUMBER(SEARCH("MORADO",Inventario!B123)),"MR",
IF(ISNUMBER(SEARCH("PLATA",Inventario!B123)),"PL",
IF(ISNUMBER(SEARCH("ORO",Inventario!B123)),"OR",
IF(ISNUMBER(SEARCH("AMARILLO",Inventario!B123)),"AM",
IF(ISNUMBER(SEARCH("NARANJA",Inventario!B123)),"NR",
IF(ISNUMBER(SEARCH("NEGRO",Inventario!B123)),"NG",
IF(ISNUMBER(SEARCH("ROJO",Inventario!B123)),"RJ",
IF(ISNUMBER(SEARCH("AZUL",Inventario!B123)),"AZ","")))))))))))</f>
        <v/>
      </c>
      <c r="F124" t="str">
        <f>IF(ISNUMBER(SEARCH("1,2 MM",Inventario!B123)),"1MM2",
IF(OR(ISNUMBER(SEARCH("2 MM",Inventario!B123)),ISNUMBER(SEARCH("2MM",Inventario!B123))),"2MM",
IF(OR(ISNUMBER(SEARCH("3 MM",Inventario!B123)),ISNUMBER(SEARCH("3MM",Inventario!B123))),"3MM",
IF(OR(ISNUMBER(SEARCH("4 MM",Inventario!B123)),ISNUMBER(SEARCH("4MM",Inventario!B123)),ISNUMBER(SEARCH("4 mm",Inventario!B123))),"4MM",
IF(OR(ISNUMBER(SEARCH("5 MM",Inventario!B123)),ISNUMBER(SEARCH("5MM",Inventario!B123))),"5MM",
IF(OR(ISNUMBER(SEARCH("6 MM",Inventario!B123)),ISNUMBER(SEARCH("6MM",Inventario!B123))),"6MM",
IF(OR(ISNUMBER(SEARCH("10 MM",Inventario!B123)),ISNUMBER(SEARCH("10MM",Inventario!B123))),"10MM","")))))))</f>
        <v/>
      </c>
      <c r="G124" t="str">
        <f>IF(ISNUMBER(SEARCH("ALTA RESISTENCIA",Inventario!B123)),"AR",IF(ISNUMBER(SEARCH("CAMPAÑA",Inventario!B123)),"CA",
IF(OR(ISNUMBER(SEARCH("CALIDO",Inventario!B123)),ISNUMBER(SEARCH("CÁLIDO",Inventario!B123))),"C",
IF(OR(ISNUMBER(SEARCH("TRASLUCIDO",Inventario!B123)),ISNUMBER(SEARCH("TRANSLUCIDO",Inventario!B123))),"TL",
IF(ISNUMBER(SEARCH("NEUTRO",Inventario!B123)),"N",
IF(ISNUMBER(SEARCH("FRIO",Inventario!B123)),"F",""))))))</f>
        <v/>
      </c>
      <c r="H124" t="str">
        <f>IF(ISNUMBER(SEARCH("SILED",Inventario!B123)),"SI",
IF(ISNUMBER(SEARCH("SYDEMEX",Inventario!B123)),"SY",
IF(ISNUMBER(SEARCH("ROHS",Inventario!B123)),"RO",
IF(ISNUMBER(SEARCH("RISHANG",Inventario!B123)),"RS",
IF(ISNUMBER(SEARCH("VYG",Inventario!B123)),"VYG",
IF(ISNUMBER(SEARCH("COLED",Inventario!B123)),"CO",""))))))</f>
        <v/>
      </c>
    </row>
    <row r="125" spans="1:8">
      <c r="A125" t="str">
        <f>IF(ISNUMBER(SEARCH("LONA",Inventario!B124)),"LON",
IF(ISNUMBER(SEARCH("VINIL",Inventario!B124)),"VIN",
IF(ISNUMBER(SEARCH("PANEL DE ALUMINIO COMPUESTO",Inventario!B124)),"PAN-ALU-COM",
IF(ISNUMBER(SEARCH("PVC",Inventario!B124)),"PVC",
IF(ISNUMBER(SEARCH("PAPEL",Inventario!B124)),"PAP",
IF(ISNUMBER(SEARCH("TELA",Inventario!B124)),"TEL",
IF(ISNUMBER(SEARCH("CARTULINA",Inventario!B124)),"CAR",
IF(OR(ISNUMBER(SEARCH("LAMINA",Inventario!B124)),ISNUMBER(SEARCH("LÁMINA",Inventario!B124))),"LAM",
IF(ISNUMBER(SEARCH("ESTIRENO",Inventario!B124)),"EST",
IF(ISNUMBER(SEARCH("FOAMBOARD",Inventario!B124)),"FOA",
IF(ISNUMBER(SEARCH("SOLVENTE",Inventario!B124)),"SOL",
IF(ISNUMBER(SEARCH("TINTA",Inventario!B124)),"TIN",
IF(ISNUMBER(SEARCH("ACRILICO",Inventario!B124)),"ACR",
IF(ISNUMBER(SEARCH("LED",Inventario!B124)),"LED",
IF(ISNUMBER(SEARCH("FUENTE",Inventario!B124)),"FUE",
IF(ISNUMBER(SEARCH("PETG",Inventario!B124)),"PET",
IF(ISNUMBER(SEARCH("ALUMINIO",Inventario!B124)),"ALU",
IF(ISNUMBER(SEARCH("CANAL",Inventario!B124)),"CAN",
IF(ISNUMBER(SEARCH("ESCUADRA",Inventario!B124)),"ESC",
IF(ISNUMBER(SEARCH("SOPORTE",Inventario!B124)),"SOP","OTR")
)))))))))))))))))))</f>
        <v>TIN</v>
      </c>
      <c r="B125" t="str">
        <f>IF(ISNUMBER(SEARCH("CORTE",Inventario!B124)),"COR",
IF(ISNUMBER(SEARCH("CRISTAL",Inventario!B124)),"CR",
IF(OR(ISNUMBER(SEARCH("OPTICO",Inventario!B124)),ISNUMBER(SEARCH("OPTICOS",Inventario!B124)),ISNUMBER(SEARCH("OPTICA",Inventario!B124))),"OP",
IF(ISNUMBER(SEARCH("NANO",Inventario!B124)),"NA",
IF(ISNUMBER(SEARCH("5050",Inventario!B124)),"5050",
IF(ISNUMBER(SEARCH("MICRO",Inventario!B124)),"MI",""))))))</f>
        <v/>
      </c>
      <c r="C125" t="str">
        <f>IF(ISNUMBER(SEARCH("PARED",Inventario!B124)),"PAR",IF(ISNUMBER(SEARCH("MATE",Inventario!B124)),"MAT",
IF(ISNUMBER(SEARCH("FRONT",Inventario!B124)),"FRO",
IF(ISNUMBER(SEARCH("BACK",Inventario!B124)),"BAC",
IF(ISNUMBER(SEARCH("MESH",Inventario!B124)),"MES",
IF(OR(ISNUMBER(SEARCH("BRILLANTE",Inventario!B124)),ISNUMBER(SEARCH("BTE",Inventario!B124))),"BRI",
IF(ISNUMBER(SEARCH("SINTETICA DELGADA",Inventario!B124)),"SD",
IF(ISNUMBER(SEARCH("SINTETICA GRUESA",Inventario!B124)),"SG",
IF(ISNUMBER(SEARCH("ESTATICO",Inventario!B124)),"EST",
IF(ISNUMBER(SEARCH("FLOOR",Inventario!B124)),"FLO",
IF(ISNUMBER(SEARCH("REFLECTIVO",Inventario!B124)),"REF",
IF(ISNUMBER(SEARCH("MICROPERFORADO",Inventario!B124)),"MI",
IF(ISNUMBER(SEARCH("CEPILLADO",Inventario!B124)),"CEP",
IF(ISNUMBER(SEARCH("ESPEJO",Inventario!B124)),"ESP",
IF(OR(ISNUMBER(SEARCH("UNIDIODO",Inventario!B124)),ISNUMBER(SEARCH("1 DIODO",Inventario!B124))),"1D",
IF(ISNUMBER(SEARCH("2 DIODOS",Inventario!B124)),"2D",
IF(ISNUMBER(SEARCH("3 DIODOS",Inventario!B124)),"3D","")))))))))))))))))</f>
        <v/>
      </c>
      <c r="D125" t="str">
        <f>IF(ISNUMBER(SEARCH("LX700",Inventario!B124)),"LX7",
IF(ISNUMBER(SEARCH("GRANDO",Inventario!B124)),"GRA",
IF(OR(ISNUMBER(SEARCH("CAMA PLANA",Inventario!B124)),ISNUMBER(SEARCH("FB700",Inventario!B124))),"CP",
IF(ISNUMBER(SEARCH("LX360",Inventario!B124)),"LX3",
IF(ISNUMBER(SEARCH("XEROX",Inventario!B124)),"XER",
IF(ISNUMBER(SEARCH("18 OZ",Inventario!B124)),"18OZ",
IF(ISNUMBER(SEARCH("15 OZ",Inventario!B124)),"15OZ",
IF(OR(ISNUMBER(SEARCH("13 OZ",Inventario!B124)),ISNUMBER(SEARCH("13 ONZAS",Inventario!B124))),"13OZ",
IF(OR(ISNUMBER(SEARCH("9 OZ",Inventario!B124)),ISNUMBER(SEARCH("9 ONZAS",Inventario!B124))),"09OZ","")))))))))</f>
        <v>LX3</v>
      </c>
      <c r="E125" t="str">
        <f>IF(OR(ISNUMBER(SEARCH("TRANSPARENTE",Inventario!B124)),ISNUMBER(SEARCH("TRANSPARENTES",Inventario!B124))),"TR",
IF(OR(ISNUMBER(SEARCH("BLANCO",Inventario!B124)),ISNUMBER(SEARCH("BCO",Inventario!B124))),"BL",
IF(ISNUMBER(SEARCH("VERDE",Inventario!B124)),"VR",
IF(ISNUMBER(SEARCH("MORADO",Inventario!B124)),"MR",
IF(ISNUMBER(SEARCH("PLATA",Inventario!B124)),"PL",
IF(ISNUMBER(SEARCH("ORO",Inventario!B124)),"OR",
IF(ISNUMBER(SEARCH("AMARILLO",Inventario!B124)),"AM",
IF(ISNUMBER(SEARCH("NARANJA",Inventario!B124)),"NR",
IF(ISNUMBER(SEARCH("NEGRO",Inventario!B124)),"NG",
IF(ISNUMBER(SEARCH("ROJO",Inventario!B124)),"RJ",
IF(ISNUMBER(SEARCH("AZUL",Inventario!B124)),"AZ","")))))))))))</f>
        <v/>
      </c>
      <c r="F125" t="str">
        <f>IF(ISNUMBER(SEARCH("1,2 MM",Inventario!B124)),"1MM2",
IF(OR(ISNUMBER(SEARCH("2 MM",Inventario!B124)),ISNUMBER(SEARCH("2MM",Inventario!B124))),"2MM",
IF(OR(ISNUMBER(SEARCH("3 MM",Inventario!B124)),ISNUMBER(SEARCH("3MM",Inventario!B124))),"3MM",
IF(OR(ISNUMBER(SEARCH("4 MM",Inventario!B124)),ISNUMBER(SEARCH("4MM",Inventario!B124)),ISNUMBER(SEARCH("4 mm",Inventario!B124))),"4MM",
IF(OR(ISNUMBER(SEARCH("5 MM",Inventario!B124)),ISNUMBER(SEARCH("5MM",Inventario!B124))),"5MM",
IF(OR(ISNUMBER(SEARCH("6 MM",Inventario!B124)),ISNUMBER(SEARCH("6MM",Inventario!B124))),"6MM",
IF(OR(ISNUMBER(SEARCH("10 MM",Inventario!B124)),ISNUMBER(SEARCH("10MM",Inventario!B124))),"10MM","")))))))</f>
        <v/>
      </c>
      <c r="G125" t="str">
        <f>IF(ISNUMBER(SEARCH("ALTA RESISTENCIA",Inventario!B124)),"AR",IF(ISNUMBER(SEARCH("CAMPAÑA",Inventario!B124)),"CA",
IF(OR(ISNUMBER(SEARCH("CALIDO",Inventario!B124)),ISNUMBER(SEARCH("CÁLIDO",Inventario!B124))),"C",
IF(OR(ISNUMBER(SEARCH("TRASLUCIDO",Inventario!B124)),ISNUMBER(SEARCH("TRANSLUCIDO",Inventario!B124))),"TL",
IF(ISNUMBER(SEARCH("NEUTRO",Inventario!B124)),"N",
IF(ISNUMBER(SEARCH("FRIO",Inventario!B124)),"F",""))))))</f>
        <v/>
      </c>
      <c r="H125" t="str">
        <f>IF(ISNUMBER(SEARCH("SILED",Inventario!B124)),"SI",
IF(ISNUMBER(SEARCH("SYDEMEX",Inventario!B124)),"SY",
IF(ISNUMBER(SEARCH("ROHS",Inventario!B124)),"RO",
IF(ISNUMBER(SEARCH("RISHANG",Inventario!B124)),"RS",
IF(ISNUMBER(SEARCH("VYG",Inventario!B124)),"VYG",
IF(ISNUMBER(SEARCH("COLED",Inventario!B124)),"CO",""))))))</f>
        <v/>
      </c>
    </row>
    <row r="126" spans="1:8">
      <c r="A126" t="str">
        <f>IF(ISNUMBER(SEARCH("LONA",Inventario!B125)),"LON",
IF(ISNUMBER(SEARCH("VINIL",Inventario!B125)),"VIN",
IF(ISNUMBER(SEARCH("PANEL DE ALUMINIO COMPUESTO",Inventario!B125)),"PAN-ALU-COM",
IF(ISNUMBER(SEARCH("PVC",Inventario!B125)),"PVC",
IF(ISNUMBER(SEARCH("PAPEL",Inventario!B125)),"PAP",
IF(ISNUMBER(SEARCH("TELA",Inventario!B125)),"TEL",
IF(ISNUMBER(SEARCH("CARTULINA",Inventario!B125)),"CAR",
IF(OR(ISNUMBER(SEARCH("LAMINA",Inventario!B125)),ISNUMBER(SEARCH("LÁMINA",Inventario!B125))),"LAM",
IF(ISNUMBER(SEARCH("ESTIRENO",Inventario!B125)),"EST",
IF(ISNUMBER(SEARCH("FOAMBOARD",Inventario!B125)),"FOA",
IF(ISNUMBER(SEARCH("SOLVENTE",Inventario!B125)),"SOL",
IF(ISNUMBER(SEARCH("TINTA",Inventario!B125)),"TIN",
IF(ISNUMBER(SEARCH("ACRILICO",Inventario!B125)),"ACR",
IF(ISNUMBER(SEARCH("LED",Inventario!B125)),"LED",
IF(ISNUMBER(SEARCH("FUENTE",Inventario!B125)),"FUE",
IF(ISNUMBER(SEARCH("PETG",Inventario!B125)),"PET",
IF(ISNUMBER(SEARCH("ALUMINIO",Inventario!B125)),"ALU",
IF(ISNUMBER(SEARCH("CANAL",Inventario!B125)),"CAN",
IF(ISNUMBER(SEARCH("ESCUADRA",Inventario!B125)),"ESC",
IF(ISNUMBER(SEARCH("SOPORTE",Inventario!B125)),"SOP","OTR")
)))))))))))))))))))</f>
        <v>TIN</v>
      </c>
      <c r="B126" t="str">
        <f>IF(ISNUMBER(SEARCH("CORTE",Inventario!B125)),"COR",
IF(ISNUMBER(SEARCH("CRISTAL",Inventario!B125)),"CR",
IF(OR(ISNUMBER(SEARCH("OPTICO",Inventario!B125)),ISNUMBER(SEARCH("OPTICOS",Inventario!B125)),ISNUMBER(SEARCH("OPTICA",Inventario!B125))),"OP",
IF(ISNUMBER(SEARCH("NANO",Inventario!B125)),"NA",
IF(ISNUMBER(SEARCH("5050",Inventario!B125)),"5050",
IF(ISNUMBER(SEARCH("MICRO",Inventario!B125)),"MI",""))))))</f>
        <v/>
      </c>
      <c r="C126" t="str">
        <f>IF(ISNUMBER(SEARCH("PARED",Inventario!B125)),"PAR",IF(ISNUMBER(SEARCH("MATE",Inventario!B125)),"MAT",
IF(ISNUMBER(SEARCH("FRONT",Inventario!B125)),"FRO",
IF(ISNUMBER(SEARCH("BACK",Inventario!B125)),"BAC",
IF(ISNUMBER(SEARCH("MESH",Inventario!B125)),"MES",
IF(OR(ISNUMBER(SEARCH("BRILLANTE",Inventario!B125)),ISNUMBER(SEARCH("BTE",Inventario!B125))),"BRI",
IF(ISNUMBER(SEARCH("SINTETICA DELGADA",Inventario!B125)),"SD",
IF(ISNUMBER(SEARCH("SINTETICA GRUESA",Inventario!B125)),"SG",
IF(ISNUMBER(SEARCH("ESTATICO",Inventario!B125)),"EST",
IF(ISNUMBER(SEARCH("FLOOR",Inventario!B125)),"FLO",
IF(ISNUMBER(SEARCH("REFLECTIVO",Inventario!B125)),"REF",
IF(ISNUMBER(SEARCH("MICROPERFORADO",Inventario!B125)),"MI",
IF(ISNUMBER(SEARCH("CEPILLADO",Inventario!B125)),"CEP",
IF(ISNUMBER(SEARCH("ESPEJO",Inventario!B125)),"ESP",
IF(OR(ISNUMBER(SEARCH("UNIDIODO",Inventario!B125)),ISNUMBER(SEARCH("1 DIODO",Inventario!B125))),"1D",
IF(ISNUMBER(SEARCH("2 DIODOS",Inventario!B125)),"2D",
IF(ISNUMBER(SEARCH("3 DIODOS",Inventario!B125)),"3D","")))))))))))))))))</f>
        <v/>
      </c>
      <c r="D126" t="str">
        <f>IF(ISNUMBER(SEARCH("LX700",Inventario!B125)),"LX7",
IF(ISNUMBER(SEARCH("GRANDO",Inventario!B125)),"GRA",
IF(OR(ISNUMBER(SEARCH("CAMA PLANA",Inventario!B125)),ISNUMBER(SEARCH("FB700",Inventario!B125))),"CP",
IF(ISNUMBER(SEARCH("LX360",Inventario!B125)),"LX3",
IF(ISNUMBER(SEARCH("XEROX",Inventario!B125)),"XER",
IF(ISNUMBER(SEARCH("18 OZ",Inventario!B125)),"18OZ",
IF(ISNUMBER(SEARCH("15 OZ",Inventario!B125)),"15OZ",
IF(OR(ISNUMBER(SEARCH("13 OZ",Inventario!B125)),ISNUMBER(SEARCH("13 ONZAS",Inventario!B125))),"13OZ",
IF(OR(ISNUMBER(SEARCH("9 OZ",Inventario!B125)),ISNUMBER(SEARCH("9 ONZAS",Inventario!B125))),"09OZ","")))))))))</f>
        <v>LX3</v>
      </c>
      <c r="E126" t="str">
        <f>IF(OR(ISNUMBER(SEARCH("TRANSPARENTE",Inventario!B125)),ISNUMBER(SEARCH("TRANSPARENTES",Inventario!B125))),"TR",
IF(OR(ISNUMBER(SEARCH("BLANCO",Inventario!B125)),ISNUMBER(SEARCH("BCO",Inventario!B125))),"BL",
IF(ISNUMBER(SEARCH("VERDE",Inventario!B125)),"VR",
IF(ISNUMBER(SEARCH("MORADO",Inventario!B125)),"MR",
IF(ISNUMBER(SEARCH("PLATA",Inventario!B125)),"PL",
IF(ISNUMBER(SEARCH("ORO",Inventario!B125)),"OR",
IF(ISNUMBER(SEARCH("AMARILLO",Inventario!B125)),"AM",
IF(ISNUMBER(SEARCH("NARANJA",Inventario!B125)),"NR",
IF(ISNUMBER(SEARCH("NEGRO",Inventario!B125)),"NG",
IF(ISNUMBER(SEARCH("ROJO",Inventario!B125)),"RJ",
IF(ISNUMBER(SEARCH("AZUL",Inventario!B125)),"AZ","")))))))))))</f>
        <v/>
      </c>
      <c r="F126" t="str">
        <f>IF(ISNUMBER(SEARCH("1,2 MM",Inventario!B125)),"1MM2",
IF(OR(ISNUMBER(SEARCH("2 MM",Inventario!B125)),ISNUMBER(SEARCH("2MM",Inventario!B125))),"2MM",
IF(OR(ISNUMBER(SEARCH("3 MM",Inventario!B125)),ISNUMBER(SEARCH("3MM",Inventario!B125))),"3MM",
IF(OR(ISNUMBER(SEARCH("4 MM",Inventario!B125)),ISNUMBER(SEARCH("4MM",Inventario!B125)),ISNUMBER(SEARCH("4 mm",Inventario!B125))),"4MM",
IF(OR(ISNUMBER(SEARCH("5 MM",Inventario!B125)),ISNUMBER(SEARCH("5MM",Inventario!B125))),"5MM",
IF(OR(ISNUMBER(SEARCH("6 MM",Inventario!B125)),ISNUMBER(SEARCH("6MM",Inventario!B125))),"6MM",
IF(OR(ISNUMBER(SEARCH("10 MM",Inventario!B125)),ISNUMBER(SEARCH("10MM",Inventario!B125))),"10MM","")))))))</f>
        <v/>
      </c>
      <c r="G126" t="str">
        <f>IF(ISNUMBER(SEARCH("ALTA RESISTENCIA",Inventario!B125)),"AR",IF(ISNUMBER(SEARCH("CAMPAÑA",Inventario!B125)),"CA",
IF(OR(ISNUMBER(SEARCH("CALIDO",Inventario!B125)),ISNUMBER(SEARCH("CÁLIDO",Inventario!B125))),"C",
IF(OR(ISNUMBER(SEARCH("TRASLUCIDO",Inventario!B125)),ISNUMBER(SEARCH("TRANSLUCIDO",Inventario!B125))),"TL",
IF(ISNUMBER(SEARCH("NEUTRO",Inventario!B125)),"N",
IF(ISNUMBER(SEARCH("FRIO",Inventario!B125)),"F",""))))))</f>
        <v/>
      </c>
      <c r="H126" t="str">
        <f>IF(ISNUMBER(SEARCH("SILED",Inventario!B125)),"SI",
IF(ISNUMBER(SEARCH("SYDEMEX",Inventario!B125)),"SY",
IF(ISNUMBER(SEARCH("ROHS",Inventario!B125)),"RO",
IF(ISNUMBER(SEARCH("RISHANG",Inventario!B125)),"RS",
IF(ISNUMBER(SEARCH("VYG",Inventario!B125)),"VYG",
IF(ISNUMBER(SEARCH("COLED",Inventario!B125)),"CO",""))))))</f>
        <v/>
      </c>
    </row>
    <row r="127" spans="1:8">
      <c r="A127" t="str">
        <f>IF(ISNUMBER(SEARCH("LONA",Inventario!B126)),"LON",
IF(ISNUMBER(SEARCH("VINIL",Inventario!B126)),"VIN",
IF(ISNUMBER(SEARCH("PANEL DE ALUMINIO COMPUESTO",Inventario!B126)),"PAN-ALU-COM",
IF(ISNUMBER(SEARCH("PVC",Inventario!B126)),"PVC",
IF(ISNUMBER(SEARCH("PAPEL",Inventario!B126)),"PAP",
IF(ISNUMBER(SEARCH("TELA",Inventario!B126)),"TEL",
IF(ISNUMBER(SEARCH("CARTULINA",Inventario!B126)),"CAR",
IF(OR(ISNUMBER(SEARCH("LAMINA",Inventario!B126)),ISNUMBER(SEARCH("LÁMINA",Inventario!B126))),"LAM",
IF(ISNUMBER(SEARCH("ESTIRENO",Inventario!B126)),"EST",
IF(ISNUMBER(SEARCH("FOAMBOARD",Inventario!B126)),"FOA",
IF(ISNUMBER(SEARCH("SOLVENTE",Inventario!B126)),"SOL",
IF(ISNUMBER(SEARCH("TINTA",Inventario!B126)),"TIN",
IF(ISNUMBER(SEARCH("ACRILICO",Inventario!B126)),"ACR",
IF(ISNUMBER(SEARCH("LED",Inventario!B126)),"LED",
IF(ISNUMBER(SEARCH("FUENTE",Inventario!B126)),"FUE",
IF(ISNUMBER(SEARCH("PETG",Inventario!B126)),"PET",
IF(ISNUMBER(SEARCH("ALUMINIO",Inventario!B126)),"ALU",
IF(ISNUMBER(SEARCH("CANAL",Inventario!B126)),"CAN",
IF(ISNUMBER(SEARCH("ESCUADRA",Inventario!B126)),"ESC",
IF(ISNUMBER(SEARCH("SOPORTE",Inventario!B126)),"SOP","OTR")
)))))))))))))))))))</f>
        <v>TIN</v>
      </c>
      <c r="B127" t="str">
        <f>IF(ISNUMBER(SEARCH("CORTE",Inventario!B126)),"COR",
IF(ISNUMBER(SEARCH("CRISTAL",Inventario!B126)),"CR",
IF(OR(ISNUMBER(SEARCH("OPTICO",Inventario!B126)),ISNUMBER(SEARCH("OPTICOS",Inventario!B126)),ISNUMBER(SEARCH("OPTICA",Inventario!B126))),"OP",
IF(ISNUMBER(SEARCH("NANO",Inventario!B126)),"NA",
IF(ISNUMBER(SEARCH("5050",Inventario!B126)),"5050",
IF(ISNUMBER(SEARCH("MICRO",Inventario!B126)),"MI",""))))))</f>
        <v/>
      </c>
      <c r="C127" t="str">
        <f>IF(ISNUMBER(SEARCH("PARED",Inventario!B126)),"PAR",IF(ISNUMBER(SEARCH("MATE",Inventario!B126)),"MAT",
IF(ISNUMBER(SEARCH("FRONT",Inventario!B126)),"FRO",
IF(ISNUMBER(SEARCH("BACK",Inventario!B126)),"BAC",
IF(ISNUMBER(SEARCH("MESH",Inventario!B126)),"MES",
IF(OR(ISNUMBER(SEARCH("BRILLANTE",Inventario!B126)),ISNUMBER(SEARCH("BTE",Inventario!B126))),"BRI",
IF(ISNUMBER(SEARCH("SINTETICA DELGADA",Inventario!B126)),"SD",
IF(ISNUMBER(SEARCH("SINTETICA GRUESA",Inventario!B126)),"SG",
IF(ISNUMBER(SEARCH("ESTATICO",Inventario!B126)),"EST",
IF(ISNUMBER(SEARCH("FLOOR",Inventario!B126)),"FLO",
IF(ISNUMBER(SEARCH("REFLECTIVO",Inventario!B126)),"REF",
IF(ISNUMBER(SEARCH("MICROPERFORADO",Inventario!B126)),"MI",
IF(ISNUMBER(SEARCH("CEPILLADO",Inventario!B126)),"CEP",
IF(ISNUMBER(SEARCH("ESPEJO",Inventario!B126)),"ESP",
IF(OR(ISNUMBER(SEARCH("UNIDIODO",Inventario!B126)),ISNUMBER(SEARCH("1 DIODO",Inventario!B126))),"1D",
IF(ISNUMBER(SEARCH("2 DIODOS",Inventario!B126)),"2D",
IF(ISNUMBER(SEARCH("3 DIODOS",Inventario!B126)),"3D","")))))))))))))))))</f>
        <v/>
      </c>
      <c r="D127" t="str">
        <f>IF(ISNUMBER(SEARCH("LX700",Inventario!B126)),"LX7",
IF(ISNUMBER(SEARCH("GRANDO",Inventario!B126)),"GRA",
IF(OR(ISNUMBER(SEARCH("CAMA PLANA",Inventario!B126)),ISNUMBER(SEARCH("FB700",Inventario!B126))),"CP",
IF(ISNUMBER(SEARCH("LX360",Inventario!B126)),"LX3",
IF(ISNUMBER(SEARCH("XEROX",Inventario!B126)),"XER",
IF(ISNUMBER(SEARCH("18 OZ",Inventario!B126)),"18OZ",
IF(ISNUMBER(SEARCH("15 OZ",Inventario!B126)),"15OZ",
IF(OR(ISNUMBER(SEARCH("13 OZ",Inventario!B126)),ISNUMBER(SEARCH("13 ONZAS",Inventario!B126))),"13OZ",
IF(OR(ISNUMBER(SEARCH("9 OZ",Inventario!B126)),ISNUMBER(SEARCH("9 ONZAS",Inventario!B126))),"09OZ","")))))))))</f>
        <v>LX3</v>
      </c>
      <c r="E127" t="str">
        <f>IF(OR(ISNUMBER(SEARCH("TRANSPARENTE",Inventario!B126)),ISNUMBER(SEARCH("TRANSPARENTES",Inventario!B126))),"TR",
IF(OR(ISNUMBER(SEARCH("BLANCO",Inventario!B126)),ISNUMBER(SEARCH("BCO",Inventario!B126))),"BL",
IF(ISNUMBER(SEARCH("VERDE",Inventario!B126)),"VR",
IF(ISNUMBER(SEARCH("MORADO",Inventario!B126)),"MR",
IF(ISNUMBER(SEARCH("PLATA",Inventario!B126)),"PL",
IF(ISNUMBER(SEARCH("ORO",Inventario!B126)),"OR",
IF(ISNUMBER(SEARCH("AMARILLO",Inventario!B126)),"AM",
IF(ISNUMBER(SEARCH("NARANJA",Inventario!B126)),"NR",
IF(ISNUMBER(SEARCH("NEGRO",Inventario!B126)),"NG",
IF(ISNUMBER(SEARCH("ROJO",Inventario!B126)),"RJ",
IF(ISNUMBER(SEARCH("AZUL",Inventario!B126)),"AZ","")))))))))))</f>
        <v/>
      </c>
      <c r="F127" t="str">
        <f>IF(ISNUMBER(SEARCH("1,2 MM",Inventario!B126)),"1MM2",
IF(OR(ISNUMBER(SEARCH("2 MM",Inventario!B126)),ISNUMBER(SEARCH("2MM",Inventario!B126))),"2MM",
IF(OR(ISNUMBER(SEARCH("3 MM",Inventario!B126)),ISNUMBER(SEARCH("3MM",Inventario!B126))),"3MM",
IF(OR(ISNUMBER(SEARCH("4 MM",Inventario!B126)),ISNUMBER(SEARCH("4MM",Inventario!B126)),ISNUMBER(SEARCH("4 mm",Inventario!B126))),"4MM",
IF(OR(ISNUMBER(SEARCH("5 MM",Inventario!B126)),ISNUMBER(SEARCH("5MM",Inventario!B126))),"5MM",
IF(OR(ISNUMBER(SEARCH("6 MM",Inventario!B126)),ISNUMBER(SEARCH("6MM",Inventario!B126))),"6MM",
IF(OR(ISNUMBER(SEARCH("10 MM",Inventario!B126)),ISNUMBER(SEARCH("10MM",Inventario!B126))),"10MM","")))))))</f>
        <v/>
      </c>
      <c r="G127" t="str">
        <f>IF(ISNUMBER(SEARCH("ALTA RESISTENCIA",Inventario!B126)),"AR",IF(ISNUMBER(SEARCH("CAMPAÑA",Inventario!B126)),"CA",
IF(OR(ISNUMBER(SEARCH("CALIDO",Inventario!B126)),ISNUMBER(SEARCH("CÁLIDO",Inventario!B126))),"C",
IF(OR(ISNUMBER(SEARCH("TRASLUCIDO",Inventario!B126)),ISNUMBER(SEARCH("TRANSLUCIDO",Inventario!B126))),"TL",
IF(ISNUMBER(SEARCH("NEUTRO",Inventario!B126)),"N",
IF(ISNUMBER(SEARCH("FRIO",Inventario!B126)),"F",""))))))</f>
        <v/>
      </c>
      <c r="H127" t="str">
        <f>IF(ISNUMBER(SEARCH("SILED",Inventario!B126)),"SI",
IF(ISNUMBER(SEARCH("SYDEMEX",Inventario!B126)),"SY",
IF(ISNUMBER(SEARCH("ROHS",Inventario!B126)),"RO",
IF(ISNUMBER(SEARCH("RISHANG",Inventario!B126)),"RS",
IF(ISNUMBER(SEARCH("VYG",Inventario!B126)),"VYG",
IF(ISNUMBER(SEARCH("COLED",Inventario!B126)),"CO",""))))))</f>
        <v/>
      </c>
    </row>
    <row r="128" spans="1:8">
      <c r="A128" t="str">
        <f>IF(ISNUMBER(SEARCH("LONA",Inventario!B127)),"LON",
IF(ISNUMBER(SEARCH("VINIL",Inventario!B127)),"VIN",
IF(ISNUMBER(SEARCH("PANEL DE ALUMINIO COMPUESTO",Inventario!B127)),"PAN-ALU-COM",
IF(ISNUMBER(SEARCH("PVC",Inventario!B127)),"PVC",
IF(ISNUMBER(SEARCH("PAPEL",Inventario!B127)),"PAP",
IF(ISNUMBER(SEARCH("TELA",Inventario!B127)),"TEL",
IF(ISNUMBER(SEARCH("CARTULINA",Inventario!B127)),"CAR",
IF(OR(ISNUMBER(SEARCH("LAMINA",Inventario!B127)),ISNUMBER(SEARCH("LÁMINA",Inventario!B127))),"LAM",
IF(ISNUMBER(SEARCH("ESTIRENO",Inventario!B127)),"EST",
IF(ISNUMBER(SEARCH("FOAMBOARD",Inventario!B127)),"FOA",
IF(ISNUMBER(SEARCH("SOLVENTE",Inventario!B127)),"SOL",
IF(ISNUMBER(SEARCH("TINTA",Inventario!B127)),"TIN",
IF(ISNUMBER(SEARCH("ACRILICO",Inventario!B127)),"ACR",
IF(ISNUMBER(SEARCH("LED",Inventario!B127)),"LED",
IF(ISNUMBER(SEARCH("FUENTE",Inventario!B127)),"FUE",
IF(ISNUMBER(SEARCH("PETG",Inventario!B127)),"PET",
IF(ISNUMBER(SEARCH("ALUMINIO",Inventario!B127)),"ALU",
IF(ISNUMBER(SEARCH("CANAL",Inventario!B127)),"CAN",
IF(ISNUMBER(SEARCH("ESCUADRA",Inventario!B127)),"ESC",
IF(ISNUMBER(SEARCH("SOPORTE",Inventario!B127)),"SOP","OTR")
)))))))))))))))))))</f>
        <v>TIN</v>
      </c>
      <c r="B128" t="str">
        <f>IF(ISNUMBER(SEARCH("CORTE",Inventario!B127)),"COR",
IF(ISNUMBER(SEARCH("CRISTAL",Inventario!B127)),"CR",
IF(OR(ISNUMBER(SEARCH("OPTICO",Inventario!B127)),ISNUMBER(SEARCH("OPTICOS",Inventario!B127)),ISNUMBER(SEARCH("OPTICA",Inventario!B127))),"OP",
IF(ISNUMBER(SEARCH("NANO",Inventario!B127)),"NA",
IF(ISNUMBER(SEARCH("5050",Inventario!B127)),"5050",
IF(ISNUMBER(SEARCH("MICRO",Inventario!B127)),"MI",""))))))</f>
        <v/>
      </c>
      <c r="C128" t="str">
        <f>IF(ISNUMBER(SEARCH("PARED",Inventario!B127)),"PAR",IF(ISNUMBER(SEARCH("MATE",Inventario!B127)),"MAT",
IF(ISNUMBER(SEARCH("FRONT",Inventario!B127)),"FRO",
IF(ISNUMBER(SEARCH("BACK",Inventario!B127)),"BAC",
IF(ISNUMBER(SEARCH("MESH",Inventario!B127)),"MES",
IF(OR(ISNUMBER(SEARCH("BRILLANTE",Inventario!B127)),ISNUMBER(SEARCH("BTE",Inventario!B127))),"BRI",
IF(ISNUMBER(SEARCH("SINTETICA DELGADA",Inventario!B127)),"SD",
IF(ISNUMBER(SEARCH("SINTETICA GRUESA",Inventario!B127)),"SG",
IF(ISNUMBER(SEARCH("ESTATICO",Inventario!B127)),"EST",
IF(ISNUMBER(SEARCH("FLOOR",Inventario!B127)),"FLO",
IF(ISNUMBER(SEARCH("REFLECTIVO",Inventario!B127)),"REF",
IF(ISNUMBER(SEARCH("MICROPERFORADO",Inventario!B127)),"MI",
IF(ISNUMBER(SEARCH("CEPILLADO",Inventario!B127)),"CEP",
IF(ISNUMBER(SEARCH("ESPEJO",Inventario!B127)),"ESP",
IF(OR(ISNUMBER(SEARCH("UNIDIODO",Inventario!B127)),ISNUMBER(SEARCH("1 DIODO",Inventario!B127))),"1D",
IF(ISNUMBER(SEARCH("2 DIODOS",Inventario!B127)),"2D",
IF(ISNUMBER(SEARCH("3 DIODOS",Inventario!B127)),"3D","")))))))))))))))))</f>
        <v/>
      </c>
      <c r="D128" t="str">
        <f>IF(ISNUMBER(SEARCH("LX700",Inventario!B127)),"LX7",
IF(ISNUMBER(SEARCH("GRANDO",Inventario!B127)),"GRA",
IF(OR(ISNUMBER(SEARCH("CAMA PLANA",Inventario!B127)),ISNUMBER(SEARCH("FB700",Inventario!B127))),"CP",
IF(ISNUMBER(SEARCH("LX360",Inventario!B127)),"LX3",
IF(ISNUMBER(SEARCH("XEROX",Inventario!B127)),"XER",
IF(ISNUMBER(SEARCH("18 OZ",Inventario!B127)),"18OZ",
IF(ISNUMBER(SEARCH("15 OZ",Inventario!B127)),"15OZ",
IF(OR(ISNUMBER(SEARCH("13 OZ",Inventario!B127)),ISNUMBER(SEARCH("13 ONZAS",Inventario!B127))),"13OZ",
IF(OR(ISNUMBER(SEARCH("9 OZ",Inventario!B127)),ISNUMBER(SEARCH("9 ONZAS",Inventario!B127))),"09OZ","")))))))))</f>
        <v>LX3</v>
      </c>
      <c r="E128" t="str">
        <f>IF(OR(ISNUMBER(SEARCH("TRANSPARENTE",Inventario!B127)),ISNUMBER(SEARCH("TRANSPARENTES",Inventario!B127))),"TR",
IF(OR(ISNUMBER(SEARCH("BLANCO",Inventario!B127)),ISNUMBER(SEARCH("BCO",Inventario!B127))),"BL",
IF(ISNUMBER(SEARCH("VERDE",Inventario!B127)),"VR",
IF(ISNUMBER(SEARCH("MORADO",Inventario!B127)),"MR",
IF(ISNUMBER(SEARCH("PLATA",Inventario!B127)),"PL",
IF(ISNUMBER(SEARCH("ORO",Inventario!B127)),"OR",
IF(ISNUMBER(SEARCH("AMARILLO",Inventario!B127)),"AM",
IF(ISNUMBER(SEARCH("NARANJA",Inventario!B127)),"NR",
IF(ISNUMBER(SEARCH("NEGRO",Inventario!B127)),"NG",
IF(ISNUMBER(SEARCH("ROJO",Inventario!B127)),"RJ",
IF(ISNUMBER(SEARCH("AZUL",Inventario!B127)),"AZ","")))))))))))</f>
        <v/>
      </c>
      <c r="F128" t="str">
        <f>IF(ISNUMBER(SEARCH("1,2 MM",Inventario!B127)),"1MM2",
IF(OR(ISNUMBER(SEARCH("2 MM",Inventario!B127)),ISNUMBER(SEARCH("2MM",Inventario!B127))),"2MM",
IF(OR(ISNUMBER(SEARCH("3 MM",Inventario!B127)),ISNUMBER(SEARCH("3MM",Inventario!B127))),"3MM",
IF(OR(ISNUMBER(SEARCH("4 MM",Inventario!B127)),ISNUMBER(SEARCH("4MM",Inventario!B127)),ISNUMBER(SEARCH("4 mm",Inventario!B127))),"4MM",
IF(OR(ISNUMBER(SEARCH("5 MM",Inventario!B127)),ISNUMBER(SEARCH("5MM",Inventario!B127))),"5MM",
IF(OR(ISNUMBER(SEARCH("6 MM",Inventario!B127)),ISNUMBER(SEARCH("6MM",Inventario!B127))),"6MM",
IF(OR(ISNUMBER(SEARCH("10 MM",Inventario!B127)),ISNUMBER(SEARCH("10MM",Inventario!B127))),"10MM","")))))))</f>
        <v/>
      </c>
      <c r="G128" t="str">
        <f>IF(ISNUMBER(SEARCH("ALTA RESISTENCIA",Inventario!B127)),"AR",IF(ISNUMBER(SEARCH("CAMPAÑA",Inventario!B127)),"CA",
IF(OR(ISNUMBER(SEARCH("CALIDO",Inventario!B127)),ISNUMBER(SEARCH("CÁLIDO",Inventario!B127))),"C",
IF(OR(ISNUMBER(SEARCH("TRASLUCIDO",Inventario!B127)),ISNUMBER(SEARCH("TRANSLUCIDO",Inventario!B127))),"TL",
IF(ISNUMBER(SEARCH("NEUTRO",Inventario!B127)),"N",
IF(ISNUMBER(SEARCH("FRIO",Inventario!B127)),"F",""))))))</f>
        <v/>
      </c>
      <c r="H128" t="str">
        <f>IF(ISNUMBER(SEARCH("SILED",Inventario!B127)),"SI",
IF(ISNUMBER(SEARCH("SYDEMEX",Inventario!B127)),"SY",
IF(ISNUMBER(SEARCH("ROHS",Inventario!B127)),"RO",
IF(ISNUMBER(SEARCH("RISHANG",Inventario!B127)),"RS",
IF(ISNUMBER(SEARCH("VYG",Inventario!B127)),"VYG",
IF(ISNUMBER(SEARCH("COLED",Inventario!B127)),"CO",""))))))</f>
        <v/>
      </c>
    </row>
    <row r="129" spans="1:8">
      <c r="A129" t="str">
        <f>IF(ISNUMBER(SEARCH("LONA",Inventario!B128)),"LON",
IF(ISNUMBER(SEARCH("VINIL",Inventario!B128)),"VIN",
IF(ISNUMBER(SEARCH("PANEL DE ALUMINIO COMPUESTO",Inventario!B128)),"PAN-ALU-COM",
IF(ISNUMBER(SEARCH("PVC",Inventario!B128)),"PVC",
IF(ISNUMBER(SEARCH("PAPEL",Inventario!B128)),"PAP",
IF(ISNUMBER(SEARCH("TELA",Inventario!B128)),"TEL",
IF(ISNUMBER(SEARCH("CARTULINA",Inventario!B128)),"CAR",
IF(OR(ISNUMBER(SEARCH("LAMINA",Inventario!B128)),ISNUMBER(SEARCH("LÁMINA",Inventario!B128))),"LAM",
IF(ISNUMBER(SEARCH("ESTIRENO",Inventario!B128)),"EST",
IF(ISNUMBER(SEARCH("FOAMBOARD",Inventario!B128)),"FOA",
IF(ISNUMBER(SEARCH("SOLVENTE",Inventario!B128)),"SOL",
IF(ISNUMBER(SEARCH("TINTA",Inventario!B128)),"TIN",
IF(ISNUMBER(SEARCH("ACRILICO",Inventario!B128)),"ACR",
IF(ISNUMBER(SEARCH("LED",Inventario!B128)),"LED",
IF(ISNUMBER(SEARCH("FUENTE",Inventario!B128)),"FUE",
IF(ISNUMBER(SEARCH("PETG",Inventario!B128)),"PET",
IF(ISNUMBER(SEARCH("ALUMINIO",Inventario!B128)),"ALU",
IF(ISNUMBER(SEARCH("CANAL",Inventario!B128)),"CAN",
IF(ISNUMBER(SEARCH("ESCUADRA",Inventario!B128)),"ESC",
IF(ISNUMBER(SEARCH("SOPORTE",Inventario!B128)),"SOP","OTR")
)))))))))))))))))))</f>
        <v>TIN</v>
      </c>
      <c r="B129" t="str">
        <f>IF(ISNUMBER(SEARCH("CORTE",Inventario!B128)),"COR",
IF(ISNUMBER(SEARCH("CRISTAL",Inventario!B128)),"CR",
IF(OR(ISNUMBER(SEARCH("OPTICO",Inventario!B128)),ISNUMBER(SEARCH("OPTICOS",Inventario!B128)),ISNUMBER(SEARCH("OPTICA",Inventario!B128))),"OP",
IF(ISNUMBER(SEARCH("NANO",Inventario!B128)),"NA",
IF(ISNUMBER(SEARCH("5050",Inventario!B128)),"5050",
IF(ISNUMBER(SEARCH("MICRO",Inventario!B128)),"MI",""))))))</f>
        <v/>
      </c>
      <c r="C129" t="str">
        <f>IF(ISNUMBER(SEARCH("PARED",Inventario!B128)),"PAR",IF(ISNUMBER(SEARCH("MATE",Inventario!B128)),"MAT",
IF(ISNUMBER(SEARCH("FRONT",Inventario!B128)),"FRO",
IF(ISNUMBER(SEARCH("BACK",Inventario!B128)),"BAC",
IF(ISNUMBER(SEARCH("MESH",Inventario!B128)),"MES",
IF(OR(ISNUMBER(SEARCH("BRILLANTE",Inventario!B128)),ISNUMBER(SEARCH("BTE",Inventario!B128))),"BRI",
IF(ISNUMBER(SEARCH("SINTETICA DELGADA",Inventario!B128)),"SD",
IF(ISNUMBER(SEARCH("SINTETICA GRUESA",Inventario!B128)),"SG",
IF(ISNUMBER(SEARCH("ESTATICO",Inventario!B128)),"EST",
IF(ISNUMBER(SEARCH("FLOOR",Inventario!B128)),"FLO",
IF(ISNUMBER(SEARCH("REFLECTIVO",Inventario!B128)),"REF",
IF(ISNUMBER(SEARCH("MICROPERFORADO",Inventario!B128)),"MI",
IF(ISNUMBER(SEARCH("CEPILLADO",Inventario!B128)),"CEP",
IF(ISNUMBER(SEARCH("ESPEJO",Inventario!B128)),"ESP",
IF(OR(ISNUMBER(SEARCH("UNIDIODO",Inventario!B128)),ISNUMBER(SEARCH("1 DIODO",Inventario!B128))),"1D",
IF(ISNUMBER(SEARCH("2 DIODOS",Inventario!B128)),"2D",
IF(ISNUMBER(SEARCH("3 DIODOS",Inventario!B128)),"3D","")))))))))))))))))</f>
        <v/>
      </c>
      <c r="D129" t="str">
        <f>IF(ISNUMBER(SEARCH("LX700",Inventario!B128)),"LX7",
IF(ISNUMBER(SEARCH("GRANDO",Inventario!B128)),"GRA",
IF(OR(ISNUMBER(SEARCH("CAMA PLANA",Inventario!B128)),ISNUMBER(SEARCH("FB700",Inventario!B128))),"CP",
IF(ISNUMBER(SEARCH("LX360",Inventario!B128)),"LX3",
IF(ISNUMBER(SEARCH("XEROX",Inventario!B128)),"XER",
IF(ISNUMBER(SEARCH("18 OZ",Inventario!B128)),"18OZ",
IF(ISNUMBER(SEARCH("15 OZ",Inventario!B128)),"15OZ",
IF(OR(ISNUMBER(SEARCH("13 OZ",Inventario!B128)),ISNUMBER(SEARCH("13 ONZAS",Inventario!B128))),"13OZ",
IF(OR(ISNUMBER(SEARCH("9 OZ",Inventario!B128)),ISNUMBER(SEARCH("9 ONZAS",Inventario!B128))),"09OZ","")))))))))</f>
        <v>LX3</v>
      </c>
      <c r="E129" t="str">
        <f>IF(OR(ISNUMBER(SEARCH("TRANSPARENTE",Inventario!B128)),ISNUMBER(SEARCH("TRANSPARENTES",Inventario!B128))),"TR",
IF(OR(ISNUMBER(SEARCH("BLANCO",Inventario!B128)),ISNUMBER(SEARCH("BCO",Inventario!B128))),"BL",
IF(ISNUMBER(SEARCH("VERDE",Inventario!B128)),"VR",
IF(ISNUMBER(SEARCH("MORADO",Inventario!B128)),"MR",
IF(ISNUMBER(SEARCH("PLATA",Inventario!B128)),"PL",
IF(ISNUMBER(SEARCH("ORO",Inventario!B128)),"OR",
IF(ISNUMBER(SEARCH("AMARILLO",Inventario!B128)),"AM",
IF(ISNUMBER(SEARCH("NARANJA",Inventario!B128)),"NR",
IF(ISNUMBER(SEARCH("NEGRO",Inventario!B128)),"NG",
IF(ISNUMBER(SEARCH("ROJO",Inventario!B128)),"RJ",
IF(ISNUMBER(SEARCH("AZUL",Inventario!B128)),"AZ","")))))))))))</f>
        <v/>
      </c>
      <c r="F129" t="str">
        <f>IF(ISNUMBER(SEARCH("1,2 MM",Inventario!B128)),"1MM2",
IF(OR(ISNUMBER(SEARCH("2 MM",Inventario!B128)),ISNUMBER(SEARCH("2MM",Inventario!B128))),"2MM",
IF(OR(ISNUMBER(SEARCH("3 MM",Inventario!B128)),ISNUMBER(SEARCH("3MM",Inventario!B128))),"3MM",
IF(OR(ISNUMBER(SEARCH("4 MM",Inventario!B128)),ISNUMBER(SEARCH("4MM",Inventario!B128)),ISNUMBER(SEARCH("4 mm",Inventario!B128))),"4MM",
IF(OR(ISNUMBER(SEARCH("5 MM",Inventario!B128)),ISNUMBER(SEARCH("5MM",Inventario!B128))),"5MM",
IF(OR(ISNUMBER(SEARCH("6 MM",Inventario!B128)),ISNUMBER(SEARCH("6MM",Inventario!B128))),"6MM",
IF(OR(ISNUMBER(SEARCH("10 MM",Inventario!B128)),ISNUMBER(SEARCH("10MM",Inventario!B128))),"10MM","")))))))</f>
        <v/>
      </c>
      <c r="G129" t="str">
        <f>IF(ISNUMBER(SEARCH("ALTA RESISTENCIA",Inventario!B128)),"AR",IF(ISNUMBER(SEARCH("CAMPAÑA",Inventario!B128)),"CA",
IF(OR(ISNUMBER(SEARCH("CALIDO",Inventario!B128)),ISNUMBER(SEARCH("CÁLIDO",Inventario!B128))),"C",
IF(OR(ISNUMBER(SEARCH("TRASLUCIDO",Inventario!B128)),ISNUMBER(SEARCH("TRANSLUCIDO",Inventario!B128))),"TL",
IF(ISNUMBER(SEARCH("NEUTRO",Inventario!B128)),"N",
IF(ISNUMBER(SEARCH("FRIO",Inventario!B128)),"F",""))))))</f>
        <v/>
      </c>
      <c r="H129" t="str">
        <f>IF(ISNUMBER(SEARCH("SILED",Inventario!B128)),"SI",
IF(ISNUMBER(SEARCH("SYDEMEX",Inventario!B128)),"SY",
IF(ISNUMBER(SEARCH("ROHS",Inventario!B128)),"RO",
IF(ISNUMBER(SEARCH("RISHANG",Inventario!B128)),"RS",
IF(ISNUMBER(SEARCH("VYG",Inventario!B128)),"VYG",
IF(ISNUMBER(SEARCH("COLED",Inventario!B128)),"CO",""))))))</f>
        <v/>
      </c>
    </row>
    <row r="130" spans="1:8">
      <c r="A130" t="str">
        <f>IF(ISNUMBER(SEARCH("LONA",Inventario!B129)),"LON",
IF(ISNUMBER(SEARCH("VINIL",Inventario!B129)),"VIN",
IF(ISNUMBER(SEARCH("PANEL DE ALUMINIO COMPUESTO",Inventario!B129)),"PAN-ALU-COM",
IF(ISNUMBER(SEARCH("PVC",Inventario!B129)),"PVC",
IF(ISNUMBER(SEARCH("PAPEL",Inventario!B129)),"PAP",
IF(ISNUMBER(SEARCH("TELA",Inventario!B129)),"TEL",
IF(ISNUMBER(SEARCH("CARTULINA",Inventario!B129)),"CAR",
IF(OR(ISNUMBER(SEARCH("LAMINA",Inventario!B129)),ISNUMBER(SEARCH("LÁMINA",Inventario!B129))),"LAM",
IF(ISNUMBER(SEARCH("ESTIRENO",Inventario!B129)),"EST",
IF(ISNUMBER(SEARCH("FOAMBOARD",Inventario!B129)),"FOA",
IF(ISNUMBER(SEARCH("SOLVENTE",Inventario!B129)),"SOL",
IF(ISNUMBER(SEARCH("TINTA",Inventario!B129)),"TIN",
IF(ISNUMBER(SEARCH("ACRILICO",Inventario!B129)),"ACR",
IF(ISNUMBER(SEARCH("LED",Inventario!B129)),"LED",
IF(ISNUMBER(SEARCH("FUENTE",Inventario!B129)),"FUE",
IF(ISNUMBER(SEARCH("PETG",Inventario!B129)),"PET",
IF(ISNUMBER(SEARCH("ALUMINIO",Inventario!B129)),"ALU",
IF(ISNUMBER(SEARCH("CANAL",Inventario!B129)),"CAN",
IF(ISNUMBER(SEARCH("ESCUADRA",Inventario!B129)),"ESC",
IF(ISNUMBER(SEARCH("SOPORTE",Inventario!B129)),"SOP","OTR")
)))))))))))))))))))</f>
        <v>TIN</v>
      </c>
      <c r="B130" t="str">
        <f>IF(ISNUMBER(SEARCH("CORTE",Inventario!B129)),"COR",
IF(ISNUMBER(SEARCH("CRISTAL",Inventario!B129)),"CR",
IF(OR(ISNUMBER(SEARCH("OPTICO",Inventario!B129)),ISNUMBER(SEARCH("OPTICOS",Inventario!B129)),ISNUMBER(SEARCH("OPTICA",Inventario!B129))),"OP",
IF(ISNUMBER(SEARCH("NANO",Inventario!B129)),"NA",
IF(ISNUMBER(SEARCH("5050",Inventario!B129)),"5050",
IF(ISNUMBER(SEARCH("MICRO",Inventario!B129)),"MI",""))))))</f>
        <v/>
      </c>
      <c r="C130" t="str">
        <f>IF(ISNUMBER(SEARCH("PARED",Inventario!B129)),"PAR",IF(ISNUMBER(SEARCH("MATE",Inventario!B129)),"MAT",
IF(ISNUMBER(SEARCH("FRONT",Inventario!B129)),"FRO",
IF(ISNUMBER(SEARCH("BACK",Inventario!B129)),"BAC",
IF(ISNUMBER(SEARCH("MESH",Inventario!B129)),"MES",
IF(OR(ISNUMBER(SEARCH("BRILLANTE",Inventario!B129)),ISNUMBER(SEARCH("BTE",Inventario!B129))),"BRI",
IF(ISNUMBER(SEARCH("SINTETICA DELGADA",Inventario!B129)),"SD",
IF(ISNUMBER(SEARCH("SINTETICA GRUESA",Inventario!B129)),"SG",
IF(ISNUMBER(SEARCH("ESTATICO",Inventario!B129)),"EST",
IF(ISNUMBER(SEARCH("FLOOR",Inventario!B129)),"FLO",
IF(ISNUMBER(SEARCH("REFLECTIVO",Inventario!B129)),"REF",
IF(ISNUMBER(SEARCH("MICROPERFORADO",Inventario!B129)),"MI",
IF(ISNUMBER(SEARCH("CEPILLADO",Inventario!B129)),"CEP",
IF(ISNUMBER(SEARCH("ESPEJO",Inventario!B129)),"ESP",
IF(OR(ISNUMBER(SEARCH("UNIDIODO",Inventario!B129)),ISNUMBER(SEARCH("1 DIODO",Inventario!B129))),"1D",
IF(ISNUMBER(SEARCH("2 DIODOS",Inventario!B129)),"2D",
IF(ISNUMBER(SEARCH("3 DIODOS",Inventario!B129)),"3D","")))))))))))))))))</f>
        <v/>
      </c>
      <c r="D130" t="str">
        <f>IF(ISNUMBER(SEARCH("LX700",Inventario!B129)),"LX7",
IF(ISNUMBER(SEARCH("GRANDO",Inventario!B129)),"GRA",
IF(OR(ISNUMBER(SEARCH("CAMA PLANA",Inventario!B129)),ISNUMBER(SEARCH("FB700",Inventario!B129))),"CP",
IF(ISNUMBER(SEARCH("LX360",Inventario!B129)),"LX3",
IF(ISNUMBER(SEARCH("XEROX",Inventario!B129)),"XER",
IF(ISNUMBER(SEARCH("18 OZ",Inventario!B129)),"18OZ",
IF(ISNUMBER(SEARCH("15 OZ",Inventario!B129)),"15OZ",
IF(OR(ISNUMBER(SEARCH("13 OZ",Inventario!B129)),ISNUMBER(SEARCH("13 ONZAS",Inventario!B129))),"13OZ",
IF(OR(ISNUMBER(SEARCH("9 OZ",Inventario!B129)),ISNUMBER(SEARCH("9 ONZAS",Inventario!B129))),"09OZ","")))))))))</f>
        <v>LX3</v>
      </c>
      <c r="E130" t="str">
        <f>IF(OR(ISNUMBER(SEARCH("TRANSPARENTE",Inventario!B129)),ISNUMBER(SEARCH("TRANSPARENTES",Inventario!B129))),"TR",
IF(OR(ISNUMBER(SEARCH("BLANCO",Inventario!B129)),ISNUMBER(SEARCH("BCO",Inventario!B129))),"BL",
IF(ISNUMBER(SEARCH("VERDE",Inventario!B129)),"VR",
IF(ISNUMBER(SEARCH("MORADO",Inventario!B129)),"MR",
IF(ISNUMBER(SEARCH("PLATA",Inventario!B129)),"PL",
IF(ISNUMBER(SEARCH("ORO",Inventario!B129)),"OR",
IF(ISNUMBER(SEARCH("AMARILLO",Inventario!B129)),"AM",
IF(ISNUMBER(SEARCH("NARANJA",Inventario!B129)),"NR",
IF(ISNUMBER(SEARCH("NEGRO",Inventario!B129)),"NG",
IF(ISNUMBER(SEARCH("ROJO",Inventario!B129)),"RJ",
IF(ISNUMBER(SEARCH("AZUL",Inventario!B129)),"AZ","")))))))))))</f>
        <v/>
      </c>
      <c r="F130" t="str">
        <f>IF(ISNUMBER(SEARCH("1,2 MM",Inventario!B129)),"1MM2",
IF(OR(ISNUMBER(SEARCH("2 MM",Inventario!B129)),ISNUMBER(SEARCH("2MM",Inventario!B129))),"2MM",
IF(OR(ISNUMBER(SEARCH("3 MM",Inventario!B129)),ISNUMBER(SEARCH("3MM",Inventario!B129))),"3MM",
IF(OR(ISNUMBER(SEARCH("4 MM",Inventario!B129)),ISNUMBER(SEARCH("4MM",Inventario!B129)),ISNUMBER(SEARCH("4 mm",Inventario!B129))),"4MM",
IF(OR(ISNUMBER(SEARCH("5 MM",Inventario!B129)),ISNUMBER(SEARCH("5MM",Inventario!B129))),"5MM",
IF(OR(ISNUMBER(SEARCH("6 MM",Inventario!B129)),ISNUMBER(SEARCH("6MM",Inventario!B129))),"6MM",
IF(OR(ISNUMBER(SEARCH("10 MM",Inventario!B129)),ISNUMBER(SEARCH("10MM",Inventario!B129))),"10MM","")))))))</f>
        <v/>
      </c>
      <c r="G130" t="str">
        <f>IF(ISNUMBER(SEARCH("ALTA RESISTENCIA",Inventario!B129)),"AR",IF(ISNUMBER(SEARCH("CAMPAÑA",Inventario!B129)),"CA",
IF(OR(ISNUMBER(SEARCH("CALIDO",Inventario!B129)),ISNUMBER(SEARCH("CÁLIDO",Inventario!B129))),"C",
IF(OR(ISNUMBER(SEARCH("TRASLUCIDO",Inventario!B129)),ISNUMBER(SEARCH("TRANSLUCIDO",Inventario!B129))),"TL",
IF(ISNUMBER(SEARCH("NEUTRO",Inventario!B129)),"N",
IF(ISNUMBER(SEARCH("FRIO",Inventario!B129)),"F",""))))))</f>
        <v/>
      </c>
      <c r="H130" t="str">
        <f>IF(ISNUMBER(SEARCH("SILED",Inventario!B129)),"SI",
IF(ISNUMBER(SEARCH("SYDEMEX",Inventario!B129)),"SY",
IF(ISNUMBER(SEARCH("ROHS",Inventario!B129)),"RO",
IF(ISNUMBER(SEARCH("RISHANG",Inventario!B129)),"RS",
IF(ISNUMBER(SEARCH("VYG",Inventario!B129)),"VYG",
IF(ISNUMBER(SEARCH("COLED",Inventario!B129)),"CO",""))))))</f>
        <v/>
      </c>
    </row>
    <row r="131" spans="1:8">
      <c r="A131" t="str">
        <f>IF(ISNUMBER(SEARCH("LONA",Inventario!B130)),"LON",
IF(ISNUMBER(SEARCH("VINIL",Inventario!B130)),"VIN",
IF(ISNUMBER(SEARCH("PANEL DE ALUMINIO COMPUESTO",Inventario!B130)),"PAN-ALU-COM",
IF(ISNUMBER(SEARCH("PVC",Inventario!B130)),"PVC",
IF(ISNUMBER(SEARCH("PAPEL",Inventario!B130)),"PAP",
IF(ISNUMBER(SEARCH("TELA",Inventario!B130)),"TEL",
IF(ISNUMBER(SEARCH("CARTULINA",Inventario!B130)),"CAR",
IF(OR(ISNUMBER(SEARCH("LAMINA",Inventario!B130)),ISNUMBER(SEARCH("LÁMINA",Inventario!B130))),"LAM",
IF(ISNUMBER(SEARCH("ESTIRENO",Inventario!B130)),"EST",
IF(ISNUMBER(SEARCH("FOAMBOARD",Inventario!B130)),"FOA",
IF(ISNUMBER(SEARCH("SOLVENTE",Inventario!B130)),"SOL",
IF(ISNUMBER(SEARCH("TINTA",Inventario!B130)),"TIN",
IF(ISNUMBER(SEARCH("ACRILICO",Inventario!B130)),"ACR",
IF(ISNUMBER(SEARCH("LED",Inventario!B130)),"LED",
IF(ISNUMBER(SEARCH("FUENTE",Inventario!B130)),"FUE",
IF(ISNUMBER(SEARCH("PETG",Inventario!B130)),"PET",
IF(ISNUMBER(SEARCH("ALUMINIO",Inventario!B130)),"ALU",
IF(ISNUMBER(SEARCH("CANAL",Inventario!B130)),"CAN",
IF(ISNUMBER(SEARCH("ESCUADRA",Inventario!B130)),"ESC",
IF(ISNUMBER(SEARCH("SOPORTE",Inventario!B130)),"SOP","OTR")
)))))))))))))))))))</f>
        <v>TIN</v>
      </c>
      <c r="B131" t="str">
        <f>IF(ISNUMBER(SEARCH("CORTE",Inventario!B130)),"COR",
IF(ISNUMBER(SEARCH("CRISTAL",Inventario!B130)),"CR",
IF(OR(ISNUMBER(SEARCH("OPTICO",Inventario!B130)),ISNUMBER(SEARCH("OPTICOS",Inventario!B130)),ISNUMBER(SEARCH("OPTICA",Inventario!B130))),"OP",
IF(ISNUMBER(SEARCH("NANO",Inventario!B130)),"NA",
IF(ISNUMBER(SEARCH("5050",Inventario!B130)),"5050",
IF(ISNUMBER(SEARCH("MICRO",Inventario!B130)),"MI",""))))))</f>
        <v/>
      </c>
      <c r="C131" t="str">
        <f>IF(ISNUMBER(SEARCH("PARED",Inventario!B130)),"PAR",IF(ISNUMBER(SEARCH("MATE",Inventario!B130)),"MAT",
IF(ISNUMBER(SEARCH("FRONT",Inventario!B130)),"FRO",
IF(ISNUMBER(SEARCH("BACK",Inventario!B130)),"BAC",
IF(ISNUMBER(SEARCH("MESH",Inventario!B130)),"MES",
IF(OR(ISNUMBER(SEARCH("BRILLANTE",Inventario!B130)),ISNUMBER(SEARCH("BTE",Inventario!B130))),"BRI",
IF(ISNUMBER(SEARCH("SINTETICA DELGADA",Inventario!B130)),"SD",
IF(ISNUMBER(SEARCH("SINTETICA GRUESA",Inventario!B130)),"SG",
IF(ISNUMBER(SEARCH("ESTATICO",Inventario!B130)),"EST",
IF(ISNUMBER(SEARCH("FLOOR",Inventario!B130)),"FLO",
IF(ISNUMBER(SEARCH("REFLECTIVO",Inventario!B130)),"REF",
IF(ISNUMBER(SEARCH("MICROPERFORADO",Inventario!B130)),"MI",
IF(ISNUMBER(SEARCH("CEPILLADO",Inventario!B130)),"CEP",
IF(ISNUMBER(SEARCH("ESPEJO",Inventario!B130)),"ESP",
IF(OR(ISNUMBER(SEARCH("UNIDIODO",Inventario!B130)),ISNUMBER(SEARCH("1 DIODO",Inventario!B130))),"1D",
IF(ISNUMBER(SEARCH("2 DIODOS",Inventario!B130)),"2D",
IF(ISNUMBER(SEARCH("3 DIODOS",Inventario!B130)),"3D","")))))))))))))))))</f>
        <v/>
      </c>
      <c r="D131" t="str">
        <f>IF(ISNUMBER(SEARCH("LX700",Inventario!B130)),"LX7",
IF(ISNUMBER(SEARCH("GRANDO",Inventario!B130)),"GRA",
IF(OR(ISNUMBER(SEARCH("CAMA PLANA",Inventario!B130)),ISNUMBER(SEARCH("FB700",Inventario!B130))),"CP",
IF(ISNUMBER(SEARCH("LX360",Inventario!B130)),"LX3",
IF(ISNUMBER(SEARCH("XEROX",Inventario!B130)),"XER",
IF(ISNUMBER(SEARCH("18 OZ",Inventario!B130)),"18OZ",
IF(ISNUMBER(SEARCH("15 OZ",Inventario!B130)),"15OZ",
IF(OR(ISNUMBER(SEARCH("13 OZ",Inventario!B130)),ISNUMBER(SEARCH("13 ONZAS",Inventario!B130))),"13OZ",
IF(OR(ISNUMBER(SEARCH("9 OZ",Inventario!B130)),ISNUMBER(SEARCH("9 ONZAS",Inventario!B130))),"09OZ","")))))))))</f>
        <v>LX3</v>
      </c>
      <c r="E131" t="str">
        <f>IF(OR(ISNUMBER(SEARCH("TRANSPARENTE",Inventario!B130)),ISNUMBER(SEARCH("TRANSPARENTES",Inventario!B130))),"TR",
IF(OR(ISNUMBER(SEARCH("BLANCO",Inventario!B130)),ISNUMBER(SEARCH("BCO",Inventario!B130))),"BL",
IF(ISNUMBER(SEARCH("VERDE",Inventario!B130)),"VR",
IF(ISNUMBER(SEARCH("MORADO",Inventario!B130)),"MR",
IF(ISNUMBER(SEARCH("PLATA",Inventario!B130)),"PL",
IF(ISNUMBER(SEARCH("ORO",Inventario!B130)),"OR",
IF(ISNUMBER(SEARCH("AMARILLO",Inventario!B130)),"AM",
IF(ISNUMBER(SEARCH("NARANJA",Inventario!B130)),"NR",
IF(ISNUMBER(SEARCH("NEGRO",Inventario!B130)),"NG",
IF(ISNUMBER(SEARCH("ROJO",Inventario!B130)),"RJ",
IF(ISNUMBER(SEARCH("AZUL",Inventario!B130)),"AZ","")))))))))))</f>
        <v/>
      </c>
      <c r="F131" t="str">
        <f>IF(ISNUMBER(SEARCH("1,2 MM",Inventario!B130)),"1MM2",
IF(OR(ISNUMBER(SEARCH("2 MM",Inventario!B130)),ISNUMBER(SEARCH("2MM",Inventario!B130))),"2MM",
IF(OR(ISNUMBER(SEARCH("3 MM",Inventario!B130)),ISNUMBER(SEARCH("3MM",Inventario!B130))),"3MM",
IF(OR(ISNUMBER(SEARCH("4 MM",Inventario!B130)),ISNUMBER(SEARCH("4MM",Inventario!B130)),ISNUMBER(SEARCH("4 mm",Inventario!B130))),"4MM",
IF(OR(ISNUMBER(SEARCH("5 MM",Inventario!B130)),ISNUMBER(SEARCH("5MM",Inventario!B130))),"5MM",
IF(OR(ISNUMBER(SEARCH("6 MM",Inventario!B130)),ISNUMBER(SEARCH("6MM",Inventario!B130))),"6MM",
IF(OR(ISNUMBER(SEARCH("10 MM",Inventario!B130)),ISNUMBER(SEARCH("10MM",Inventario!B130))),"10MM","")))))))</f>
        <v/>
      </c>
      <c r="G131" t="str">
        <f>IF(ISNUMBER(SEARCH("ALTA RESISTENCIA",Inventario!B130)),"AR",IF(ISNUMBER(SEARCH("CAMPAÑA",Inventario!B130)),"CA",
IF(OR(ISNUMBER(SEARCH("CALIDO",Inventario!B130)),ISNUMBER(SEARCH("CÁLIDO",Inventario!B130))),"C",
IF(OR(ISNUMBER(SEARCH("TRASLUCIDO",Inventario!B130)),ISNUMBER(SEARCH("TRANSLUCIDO",Inventario!B130))),"TL",
IF(ISNUMBER(SEARCH("NEUTRO",Inventario!B130)),"N",
IF(ISNUMBER(SEARCH("FRIO",Inventario!B130)),"F",""))))))</f>
        <v/>
      </c>
      <c r="H131" t="str">
        <f>IF(ISNUMBER(SEARCH("SILED",Inventario!B130)),"SI",
IF(ISNUMBER(SEARCH("SYDEMEX",Inventario!B130)),"SY",
IF(ISNUMBER(SEARCH("ROHS",Inventario!B130)),"RO",
IF(ISNUMBER(SEARCH("RISHANG",Inventario!B130)),"RS",
IF(ISNUMBER(SEARCH("VYG",Inventario!B130)),"VYG",
IF(ISNUMBER(SEARCH("COLED",Inventario!B130)),"CO",""))))))</f>
        <v/>
      </c>
    </row>
    <row r="132" spans="1:8">
      <c r="A132" t="str">
        <f>IF(ISNUMBER(SEARCH("LONA",Inventario!B131)),"LON",
IF(ISNUMBER(SEARCH("VINIL",Inventario!B131)),"VIN",
IF(ISNUMBER(SEARCH("PANEL DE ALUMINIO COMPUESTO",Inventario!B131)),"PAN-ALU-COM",
IF(ISNUMBER(SEARCH("PVC",Inventario!B131)),"PVC",
IF(ISNUMBER(SEARCH("PAPEL",Inventario!B131)),"PAP",
IF(ISNUMBER(SEARCH("TELA",Inventario!B131)),"TEL",
IF(ISNUMBER(SEARCH("CARTULINA",Inventario!B131)),"CAR",
IF(OR(ISNUMBER(SEARCH("LAMINA",Inventario!B131)),ISNUMBER(SEARCH("LÁMINA",Inventario!B131))),"LAM",
IF(ISNUMBER(SEARCH("ESTIRENO",Inventario!B131)),"EST",
IF(ISNUMBER(SEARCH("FOAMBOARD",Inventario!B131)),"FOA",
IF(ISNUMBER(SEARCH("SOLVENTE",Inventario!B131)),"SOL",
IF(ISNUMBER(SEARCH("TINTA",Inventario!B131)),"TIN",
IF(ISNUMBER(SEARCH("ACRILICO",Inventario!B131)),"ACR",
IF(ISNUMBER(SEARCH("LED",Inventario!B131)),"LED",
IF(ISNUMBER(SEARCH("FUENTE",Inventario!B131)),"FUE",
IF(ISNUMBER(SEARCH("PETG",Inventario!B131)),"PET",
IF(ISNUMBER(SEARCH("ALUMINIO",Inventario!B131)),"ALU",
IF(ISNUMBER(SEARCH("CANAL",Inventario!B131)),"CAN",
IF(ISNUMBER(SEARCH("ESCUADRA",Inventario!B131)),"ESC",
IF(ISNUMBER(SEARCH("SOPORTE",Inventario!B131)),"SOP","OTR")
)))))))))))))))))))</f>
        <v>TIN</v>
      </c>
      <c r="B132" t="str">
        <f>IF(ISNUMBER(SEARCH("CORTE",Inventario!B131)),"COR",
IF(ISNUMBER(SEARCH("CRISTAL",Inventario!B131)),"CR",
IF(OR(ISNUMBER(SEARCH("OPTICO",Inventario!B131)),ISNUMBER(SEARCH("OPTICOS",Inventario!B131)),ISNUMBER(SEARCH("OPTICA",Inventario!B131))),"OP",
IF(ISNUMBER(SEARCH("NANO",Inventario!B131)),"NA",
IF(ISNUMBER(SEARCH("5050",Inventario!B131)),"5050",
IF(ISNUMBER(SEARCH("MICRO",Inventario!B131)),"MI",""))))))</f>
        <v/>
      </c>
      <c r="C132" t="str">
        <f>IF(ISNUMBER(SEARCH("PARED",Inventario!B131)),"PAR",IF(ISNUMBER(SEARCH("MATE",Inventario!B131)),"MAT",
IF(ISNUMBER(SEARCH("FRONT",Inventario!B131)),"FRO",
IF(ISNUMBER(SEARCH("BACK",Inventario!B131)),"BAC",
IF(ISNUMBER(SEARCH("MESH",Inventario!B131)),"MES",
IF(OR(ISNUMBER(SEARCH("BRILLANTE",Inventario!B131)),ISNUMBER(SEARCH("BTE",Inventario!B131))),"BRI",
IF(ISNUMBER(SEARCH("SINTETICA DELGADA",Inventario!B131)),"SD",
IF(ISNUMBER(SEARCH("SINTETICA GRUESA",Inventario!B131)),"SG",
IF(ISNUMBER(SEARCH("ESTATICO",Inventario!B131)),"EST",
IF(ISNUMBER(SEARCH("FLOOR",Inventario!B131)),"FLO",
IF(ISNUMBER(SEARCH("REFLECTIVO",Inventario!B131)),"REF",
IF(ISNUMBER(SEARCH("MICROPERFORADO",Inventario!B131)),"MI",
IF(ISNUMBER(SEARCH("CEPILLADO",Inventario!B131)),"CEP",
IF(ISNUMBER(SEARCH("ESPEJO",Inventario!B131)),"ESP",
IF(OR(ISNUMBER(SEARCH("UNIDIODO",Inventario!B131)),ISNUMBER(SEARCH("1 DIODO",Inventario!B131))),"1D",
IF(ISNUMBER(SEARCH("2 DIODOS",Inventario!B131)),"2D",
IF(ISNUMBER(SEARCH("3 DIODOS",Inventario!B131)),"3D","")))))))))))))))))</f>
        <v/>
      </c>
      <c r="D132" t="str">
        <f>IF(ISNUMBER(SEARCH("LX700",Inventario!B131)),"LX7",
IF(ISNUMBER(SEARCH("GRANDO",Inventario!B131)),"GRA",
IF(OR(ISNUMBER(SEARCH("CAMA PLANA",Inventario!B131)),ISNUMBER(SEARCH("FB700",Inventario!B131))),"CP",
IF(ISNUMBER(SEARCH("LX360",Inventario!B131)),"LX3",
IF(ISNUMBER(SEARCH("XEROX",Inventario!B131)),"XER",
IF(ISNUMBER(SEARCH("18 OZ",Inventario!B131)),"18OZ",
IF(ISNUMBER(SEARCH("15 OZ",Inventario!B131)),"15OZ",
IF(OR(ISNUMBER(SEARCH("13 OZ",Inventario!B131)),ISNUMBER(SEARCH("13 ONZAS",Inventario!B131))),"13OZ",
IF(OR(ISNUMBER(SEARCH("9 OZ",Inventario!B131)),ISNUMBER(SEARCH("9 ONZAS",Inventario!B131))),"09OZ","")))))))))</f>
        <v>XER</v>
      </c>
      <c r="E132" t="str">
        <f>IF(OR(ISNUMBER(SEARCH("TRANSPARENTE",Inventario!B131)),ISNUMBER(SEARCH("TRANSPARENTES",Inventario!B131))),"TR",
IF(OR(ISNUMBER(SEARCH("BLANCO",Inventario!B131)),ISNUMBER(SEARCH("BCO",Inventario!B131))),"BL",
IF(ISNUMBER(SEARCH("VERDE",Inventario!B131)),"VR",
IF(ISNUMBER(SEARCH("MORADO",Inventario!B131)),"MR",
IF(ISNUMBER(SEARCH("PLATA",Inventario!B131)),"PL",
IF(ISNUMBER(SEARCH("ORO",Inventario!B131)),"OR",
IF(ISNUMBER(SEARCH("AMARILLO",Inventario!B131)),"AM",
IF(ISNUMBER(SEARCH("NARANJA",Inventario!B131)),"NR",
IF(ISNUMBER(SEARCH("NEGRO",Inventario!B131)),"NG",
IF(ISNUMBER(SEARCH("ROJO",Inventario!B131)),"RJ",
IF(ISNUMBER(SEARCH("AZUL",Inventario!B131)),"AZ","")))))))))))</f>
        <v/>
      </c>
      <c r="F132" t="str">
        <f>IF(ISNUMBER(SEARCH("1,2 MM",Inventario!B131)),"1MM2",
IF(OR(ISNUMBER(SEARCH("2 MM",Inventario!B131)),ISNUMBER(SEARCH("2MM",Inventario!B131))),"2MM",
IF(OR(ISNUMBER(SEARCH("3 MM",Inventario!B131)),ISNUMBER(SEARCH("3MM",Inventario!B131))),"3MM",
IF(OR(ISNUMBER(SEARCH("4 MM",Inventario!B131)),ISNUMBER(SEARCH("4MM",Inventario!B131)),ISNUMBER(SEARCH("4 mm",Inventario!B131))),"4MM",
IF(OR(ISNUMBER(SEARCH("5 MM",Inventario!B131)),ISNUMBER(SEARCH("5MM",Inventario!B131))),"5MM",
IF(OR(ISNUMBER(SEARCH("6 MM",Inventario!B131)),ISNUMBER(SEARCH("6MM",Inventario!B131))),"6MM",
IF(OR(ISNUMBER(SEARCH("10 MM",Inventario!B131)),ISNUMBER(SEARCH("10MM",Inventario!B131))),"10MM","")))))))</f>
        <v/>
      </c>
      <c r="G132" t="str">
        <f>IF(ISNUMBER(SEARCH("ALTA RESISTENCIA",Inventario!B131)),"AR",IF(ISNUMBER(SEARCH("CAMPAÑA",Inventario!B131)),"CA",
IF(OR(ISNUMBER(SEARCH("CALIDO",Inventario!B131)),ISNUMBER(SEARCH("CÁLIDO",Inventario!B131))),"C",
IF(OR(ISNUMBER(SEARCH("TRASLUCIDO",Inventario!B131)),ISNUMBER(SEARCH("TRANSLUCIDO",Inventario!B131))),"TL",
IF(ISNUMBER(SEARCH("NEUTRO",Inventario!B131)),"N",
IF(ISNUMBER(SEARCH("FRIO",Inventario!B131)),"F",""))))))</f>
        <v/>
      </c>
      <c r="H132" t="str">
        <f>IF(ISNUMBER(SEARCH("SILED",Inventario!B131)),"SI",
IF(ISNUMBER(SEARCH("SYDEMEX",Inventario!B131)),"SY",
IF(ISNUMBER(SEARCH("ROHS",Inventario!B131)),"RO",
IF(ISNUMBER(SEARCH("RISHANG",Inventario!B131)),"RS",
IF(ISNUMBER(SEARCH("VYG",Inventario!B131)),"VYG",
IF(ISNUMBER(SEARCH("COLED",Inventario!B131)),"CO",""))))))</f>
        <v/>
      </c>
    </row>
    <row r="133" spans="1:8">
      <c r="A133" t="str">
        <f>IF(ISNUMBER(SEARCH("LONA",Inventario!B132)),"LON",
IF(ISNUMBER(SEARCH("VINIL",Inventario!B132)),"VIN",
IF(ISNUMBER(SEARCH("PANEL DE ALUMINIO COMPUESTO",Inventario!B132)),"PAN-ALU-COM",
IF(ISNUMBER(SEARCH("PVC",Inventario!B132)),"PVC",
IF(ISNUMBER(SEARCH("PAPEL",Inventario!B132)),"PAP",
IF(ISNUMBER(SEARCH("TELA",Inventario!B132)),"TEL",
IF(ISNUMBER(SEARCH("CARTULINA",Inventario!B132)),"CAR",
IF(OR(ISNUMBER(SEARCH("LAMINA",Inventario!B132)),ISNUMBER(SEARCH("LÁMINA",Inventario!B132))),"LAM",
IF(ISNUMBER(SEARCH("ESTIRENO",Inventario!B132)),"EST",
IF(ISNUMBER(SEARCH("FOAMBOARD",Inventario!B132)),"FOA",
IF(ISNUMBER(SEARCH("SOLVENTE",Inventario!B132)),"SOL",
IF(ISNUMBER(SEARCH("TINTA",Inventario!B132)),"TIN",
IF(ISNUMBER(SEARCH("ACRILICO",Inventario!B132)),"ACR",
IF(ISNUMBER(SEARCH("LED",Inventario!B132)),"LED",
IF(ISNUMBER(SEARCH("FUENTE",Inventario!B132)),"FUE",
IF(ISNUMBER(SEARCH("PETG",Inventario!B132)),"PET",
IF(ISNUMBER(SEARCH("ALUMINIO",Inventario!B132)),"ALU",
IF(ISNUMBER(SEARCH("CANAL",Inventario!B132)),"CAN",
IF(ISNUMBER(SEARCH("ESCUADRA",Inventario!B132)),"ESC",
IF(ISNUMBER(SEARCH("SOPORTE",Inventario!B132)),"SOP","OTR")
)))))))))))))))))))</f>
        <v>TIN</v>
      </c>
      <c r="B133" t="str">
        <f>IF(ISNUMBER(SEARCH("CORTE",Inventario!B132)),"COR",
IF(ISNUMBER(SEARCH("CRISTAL",Inventario!B132)),"CR",
IF(OR(ISNUMBER(SEARCH("OPTICO",Inventario!B132)),ISNUMBER(SEARCH("OPTICOS",Inventario!B132)),ISNUMBER(SEARCH("OPTICA",Inventario!B132))),"OP",
IF(ISNUMBER(SEARCH("NANO",Inventario!B132)),"NA",
IF(ISNUMBER(SEARCH("5050",Inventario!B132)),"5050",
IF(ISNUMBER(SEARCH("MICRO",Inventario!B132)),"MI",""))))))</f>
        <v/>
      </c>
      <c r="C133" t="str">
        <f>IF(ISNUMBER(SEARCH("PARED",Inventario!B132)),"PAR",IF(ISNUMBER(SEARCH("MATE",Inventario!B132)),"MAT",
IF(ISNUMBER(SEARCH("FRONT",Inventario!B132)),"FRO",
IF(ISNUMBER(SEARCH("BACK",Inventario!B132)),"BAC",
IF(ISNUMBER(SEARCH("MESH",Inventario!B132)),"MES",
IF(OR(ISNUMBER(SEARCH("BRILLANTE",Inventario!B132)),ISNUMBER(SEARCH("BTE",Inventario!B132))),"BRI",
IF(ISNUMBER(SEARCH("SINTETICA DELGADA",Inventario!B132)),"SD",
IF(ISNUMBER(SEARCH("SINTETICA GRUESA",Inventario!B132)),"SG",
IF(ISNUMBER(SEARCH("ESTATICO",Inventario!B132)),"EST",
IF(ISNUMBER(SEARCH("FLOOR",Inventario!B132)),"FLO",
IF(ISNUMBER(SEARCH("REFLECTIVO",Inventario!B132)),"REF",
IF(ISNUMBER(SEARCH("MICROPERFORADO",Inventario!B132)),"MI",
IF(ISNUMBER(SEARCH("CEPILLADO",Inventario!B132)),"CEP",
IF(ISNUMBER(SEARCH("ESPEJO",Inventario!B132)),"ESP",
IF(OR(ISNUMBER(SEARCH("UNIDIODO",Inventario!B132)),ISNUMBER(SEARCH("1 DIODO",Inventario!B132))),"1D",
IF(ISNUMBER(SEARCH("2 DIODOS",Inventario!B132)),"2D",
IF(ISNUMBER(SEARCH("3 DIODOS",Inventario!B132)),"3D","")))))))))))))))))</f>
        <v/>
      </c>
      <c r="D133" t="str">
        <f>IF(ISNUMBER(SEARCH("LX700",Inventario!B132)),"LX7",
IF(ISNUMBER(SEARCH("GRANDO",Inventario!B132)),"GRA",
IF(OR(ISNUMBER(SEARCH("CAMA PLANA",Inventario!B132)),ISNUMBER(SEARCH("FB700",Inventario!B132))),"CP",
IF(ISNUMBER(SEARCH("LX360",Inventario!B132)),"LX3",
IF(ISNUMBER(SEARCH("XEROX",Inventario!B132)),"XER",
IF(ISNUMBER(SEARCH("18 OZ",Inventario!B132)),"18OZ",
IF(ISNUMBER(SEARCH("15 OZ",Inventario!B132)),"15OZ",
IF(OR(ISNUMBER(SEARCH("13 OZ",Inventario!B132)),ISNUMBER(SEARCH("13 ONZAS",Inventario!B132))),"13OZ",
IF(OR(ISNUMBER(SEARCH("9 OZ",Inventario!B132)),ISNUMBER(SEARCH("9 ONZAS",Inventario!B132))),"09OZ","")))))))))</f>
        <v>XER</v>
      </c>
      <c r="E133" t="str">
        <f>IF(OR(ISNUMBER(SEARCH("TRANSPARENTE",Inventario!B132)),ISNUMBER(SEARCH("TRANSPARENTES",Inventario!B132))),"TR",
IF(OR(ISNUMBER(SEARCH("BLANCO",Inventario!B132)),ISNUMBER(SEARCH("BCO",Inventario!B132))),"BL",
IF(ISNUMBER(SEARCH("VERDE",Inventario!B132)),"VR",
IF(ISNUMBER(SEARCH("MORADO",Inventario!B132)),"MR",
IF(ISNUMBER(SEARCH("PLATA",Inventario!B132)),"PL",
IF(ISNUMBER(SEARCH("ORO",Inventario!B132)),"OR",
IF(ISNUMBER(SEARCH("AMARILLO",Inventario!B132)),"AM",
IF(ISNUMBER(SEARCH("NARANJA",Inventario!B132)),"NR",
IF(ISNUMBER(SEARCH("NEGRO",Inventario!B132)),"NG",
IF(ISNUMBER(SEARCH("ROJO",Inventario!B132)),"RJ",
IF(ISNUMBER(SEARCH("AZUL",Inventario!B132)),"AZ","")))))))))))</f>
        <v/>
      </c>
      <c r="F133" t="str">
        <f>IF(ISNUMBER(SEARCH("1,2 MM",Inventario!B132)),"1MM2",
IF(OR(ISNUMBER(SEARCH("2 MM",Inventario!B132)),ISNUMBER(SEARCH("2MM",Inventario!B132))),"2MM",
IF(OR(ISNUMBER(SEARCH("3 MM",Inventario!B132)),ISNUMBER(SEARCH("3MM",Inventario!B132))),"3MM",
IF(OR(ISNUMBER(SEARCH("4 MM",Inventario!B132)),ISNUMBER(SEARCH("4MM",Inventario!B132)),ISNUMBER(SEARCH("4 mm",Inventario!B132))),"4MM",
IF(OR(ISNUMBER(SEARCH("5 MM",Inventario!B132)),ISNUMBER(SEARCH("5MM",Inventario!B132))),"5MM",
IF(OR(ISNUMBER(SEARCH("6 MM",Inventario!B132)),ISNUMBER(SEARCH("6MM",Inventario!B132))),"6MM",
IF(OR(ISNUMBER(SEARCH("10 MM",Inventario!B132)),ISNUMBER(SEARCH("10MM",Inventario!B132))),"10MM","")))))))</f>
        <v/>
      </c>
      <c r="G133" t="str">
        <f>IF(ISNUMBER(SEARCH("ALTA RESISTENCIA",Inventario!B132)),"AR",IF(ISNUMBER(SEARCH("CAMPAÑA",Inventario!B132)),"CA",
IF(OR(ISNUMBER(SEARCH("CALIDO",Inventario!B132)),ISNUMBER(SEARCH("CÁLIDO",Inventario!B132))),"C",
IF(OR(ISNUMBER(SEARCH("TRASLUCIDO",Inventario!B132)),ISNUMBER(SEARCH("TRANSLUCIDO",Inventario!B132))),"TL",
IF(ISNUMBER(SEARCH("NEUTRO",Inventario!B132)),"N",
IF(ISNUMBER(SEARCH("FRIO",Inventario!B132)),"F",""))))))</f>
        <v/>
      </c>
      <c r="H133" t="str">
        <f>IF(ISNUMBER(SEARCH("SILED",Inventario!B132)),"SI",
IF(ISNUMBER(SEARCH("SYDEMEX",Inventario!B132)),"SY",
IF(ISNUMBER(SEARCH("ROHS",Inventario!B132)),"RO",
IF(ISNUMBER(SEARCH("RISHANG",Inventario!B132)),"RS",
IF(ISNUMBER(SEARCH("VYG",Inventario!B132)),"VYG",
IF(ISNUMBER(SEARCH("COLED",Inventario!B132)),"CO",""))))))</f>
        <v/>
      </c>
    </row>
    <row r="134" spans="1:8">
      <c r="A134" t="str">
        <f>IF(ISNUMBER(SEARCH("LONA",Inventario!B133)),"LON",
IF(ISNUMBER(SEARCH("VINIL",Inventario!B133)),"VIN",
IF(ISNUMBER(SEARCH("PANEL DE ALUMINIO COMPUESTO",Inventario!B133)),"PAN-ALU-COM",
IF(ISNUMBER(SEARCH("PVC",Inventario!B133)),"PVC",
IF(ISNUMBER(SEARCH("PAPEL",Inventario!B133)),"PAP",
IF(ISNUMBER(SEARCH("TELA",Inventario!B133)),"TEL",
IF(ISNUMBER(SEARCH("CARTULINA",Inventario!B133)),"CAR",
IF(OR(ISNUMBER(SEARCH("LAMINA",Inventario!B133)),ISNUMBER(SEARCH("LÁMINA",Inventario!B133))),"LAM",
IF(ISNUMBER(SEARCH("ESTIRENO",Inventario!B133)),"EST",
IF(ISNUMBER(SEARCH("FOAMBOARD",Inventario!B133)),"FOA",
IF(ISNUMBER(SEARCH("SOLVENTE",Inventario!B133)),"SOL",
IF(ISNUMBER(SEARCH("TINTA",Inventario!B133)),"TIN",
IF(ISNUMBER(SEARCH("ACRILICO",Inventario!B133)),"ACR",
IF(ISNUMBER(SEARCH("LED",Inventario!B133)),"LED",
IF(ISNUMBER(SEARCH("FUENTE",Inventario!B133)),"FUE",
IF(ISNUMBER(SEARCH("PETG",Inventario!B133)),"PET",
IF(ISNUMBER(SEARCH("ALUMINIO",Inventario!B133)),"ALU",
IF(ISNUMBER(SEARCH("CANAL",Inventario!B133)),"CAN",
IF(ISNUMBER(SEARCH("ESCUADRA",Inventario!B133)),"ESC",
IF(ISNUMBER(SEARCH("SOPORTE",Inventario!B133)),"SOP","OTR")
)))))))))))))))))))</f>
        <v>TIN</v>
      </c>
      <c r="B134" t="str">
        <f>IF(ISNUMBER(SEARCH("CORTE",Inventario!B133)),"COR",
IF(ISNUMBER(SEARCH("CRISTAL",Inventario!B133)),"CR",
IF(OR(ISNUMBER(SEARCH("OPTICO",Inventario!B133)),ISNUMBER(SEARCH("OPTICOS",Inventario!B133)),ISNUMBER(SEARCH("OPTICA",Inventario!B133))),"OP",
IF(ISNUMBER(SEARCH("NANO",Inventario!B133)),"NA",
IF(ISNUMBER(SEARCH("5050",Inventario!B133)),"5050",
IF(ISNUMBER(SEARCH("MICRO",Inventario!B133)),"MI",""))))))</f>
        <v/>
      </c>
      <c r="C134" t="str">
        <f>IF(ISNUMBER(SEARCH("PARED",Inventario!B133)),"PAR",IF(ISNUMBER(SEARCH("MATE",Inventario!B133)),"MAT",
IF(ISNUMBER(SEARCH("FRONT",Inventario!B133)),"FRO",
IF(ISNUMBER(SEARCH("BACK",Inventario!B133)),"BAC",
IF(ISNUMBER(SEARCH("MESH",Inventario!B133)),"MES",
IF(OR(ISNUMBER(SEARCH("BRILLANTE",Inventario!B133)),ISNUMBER(SEARCH("BTE",Inventario!B133))),"BRI",
IF(ISNUMBER(SEARCH("SINTETICA DELGADA",Inventario!B133)),"SD",
IF(ISNUMBER(SEARCH("SINTETICA GRUESA",Inventario!B133)),"SG",
IF(ISNUMBER(SEARCH("ESTATICO",Inventario!B133)),"EST",
IF(ISNUMBER(SEARCH("FLOOR",Inventario!B133)),"FLO",
IF(ISNUMBER(SEARCH("REFLECTIVO",Inventario!B133)),"REF",
IF(ISNUMBER(SEARCH("MICROPERFORADO",Inventario!B133)),"MI",
IF(ISNUMBER(SEARCH("CEPILLADO",Inventario!B133)),"CEP",
IF(ISNUMBER(SEARCH("ESPEJO",Inventario!B133)),"ESP",
IF(OR(ISNUMBER(SEARCH("UNIDIODO",Inventario!B133)),ISNUMBER(SEARCH("1 DIODO",Inventario!B133))),"1D",
IF(ISNUMBER(SEARCH("2 DIODOS",Inventario!B133)),"2D",
IF(ISNUMBER(SEARCH("3 DIODOS",Inventario!B133)),"3D","")))))))))))))))))</f>
        <v/>
      </c>
      <c r="D134" t="str">
        <f>IF(ISNUMBER(SEARCH("LX700",Inventario!B133)),"LX7",
IF(ISNUMBER(SEARCH("GRANDO",Inventario!B133)),"GRA",
IF(OR(ISNUMBER(SEARCH("CAMA PLANA",Inventario!B133)),ISNUMBER(SEARCH("FB700",Inventario!B133))),"CP",
IF(ISNUMBER(SEARCH("LX360",Inventario!B133)),"LX3",
IF(ISNUMBER(SEARCH("XEROX",Inventario!B133)),"XER",
IF(ISNUMBER(SEARCH("18 OZ",Inventario!B133)),"18OZ",
IF(ISNUMBER(SEARCH("15 OZ",Inventario!B133)),"15OZ",
IF(OR(ISNUMBER(SEARCH("13 OZ",Inventario!B133)),ISNUMBER(SEARCH("13 ONZAS",Inventario!B133))),"13OZ",
IF(OR(ISNUMBER(SEARCH("9 OZ",Inventario!B133)),ISNUMBER(SEARCH("9 ONZAS",Inventario!B133))),"09OZ","")))))))))</f>
        <v>XER</v>
      </c>
      <c r="E134" t="str">
        <f>IF(OR(ISNUMBER(SEARCH("TRANSPARENTE",Inventario!B133)),ISNUMBER(SEARCH("TRANSPARENTES",Inventario!B133))),"TR",
IF(OR(ISNUMBER(SEARCH("BLANCO",Inventario!B133)),ISNUMBER(SEARCH("BCO",Inventario!B133))),"BL",
IF(ISNUMBER(SEARCH("VERDE",Inventario!B133)),"VR",
IF(ISNUMBER(SEARCH("MORADO",Inventario!B133)),"MR",
IF(ISNUMBER(SEARCH("PLATA",Inventario!B133)),"PL",
IF(ISNUMBER(SEARCH("ORO",Inventario!B133)),"OR",
IF(ISNUMBER(SEARCH("AMARILLO",Inventario!B133)),"AM",
IF(ISNUMBER(SEARCH("NARANJA",Inventario!B133)),"NR",
IF(ISNUMBER(SEARCH("NEGRO",Inventario!B133)),"NG",
IF(ISNUMBER(SEARCH("ROJO",Inventario!B133)),"RJ",
IF(ISNUMBER(SEARCH("AZUL",Inventario!B133)),"AZ","")))))))))))</f>
        <v/>
      </c>
      <c r="F134" t="str">
        <f>IF(ISNUMBER(SEARCH("1,2 MM",Inventario!B133)),"1MM2",
IF(OR(ISNUMBER(SEARCH("2 MM",Inventario!B133)),ISNUMBER(SEARCH("2MM",Inventario!B133))),"2MM",
IF(OR(ISNUMBER(SEARCH("3 MM",Inventario!B133)),ISNUMBER(SEARCH("3MM",Inventario!B133))),"3MM",
IF(OR(ISNUMBER(SEARCH("4 MM",Inventario!B133)),ISNUMBER(SEARCH("4MM",Inventario!B133)),ISNUMBER(SEARCH("4 mm",Inventario!B133))),"4MM",
IF(OR(ISNUMBER(SEARCH("5 MM",Inventario!B133)),ISNUMBER(SEARCH("5MM",Inventario!B133))),"5MM",
IF(OR(ISNUMBER(SEARCH("6 MM",Inventario!B133)),ISNUMBER(SEARCH("6MM",Inventario!B133))),"6MM",
IF(OR(ISNUMBER(SEARCH("10 MM",Inventario!B133)),ISNUMBER(SEARCH("10MM",Inventario!B133))),"10MM","")))))))</f>
        <v/>
      </c>
      <c r="G134" t="str">
        <f>IF(ISNUMBER(SEARCH("ALTA RESISTENCIA",Inventario!B133)),"AR",IF(ISNUMBER(SEARCH("CAMPAÑA",Inventario!B133)),"CA",
IF(OR(ISNUMBER(SEARCH("CALIDO",Inventario!B133)),ISNUMBER(SEARCH("CÁLIDO",Inventario!B133))),"C",
IF(OR(ISNUMBER(SEARCH("TRASLUCIDO",Inventario!B133)),ISNUMBER(SEARCH("TRANSLUCIDO",Inventario!B133))),"TL",
IF(ISNUMBER(SEARCH("NEUTRO",Inventario!B133)),"N",
IF(ISNUMBER(SEARCH("FRIO",Inventario!B133)),"F",""))))))</f>
        <v/>
      </c>
      <c r="H134" t="str">
        <f>IF(ISNUMBER(SEARCH("SILED",Inventario!B133)),"SI",
IF(ISNUMBER(SEARCH("SYDEMEX",Inventario!B133)),"SY",
IF(ISNUMBER(SEARCH("ROHS",Inventario!B133)),"RO",
IF(ISNUMBER(SEARCH("RISHANG",Inventario!B133)),"RS",
IF(ISNUMBER(SEARCH("VYG",Inventario!B133)),"VYG",
IF(ISNUMBER(SEARCH("COLED",Inventario!B133)),"CO",""))))))</f>
        <v/>
      </c>
    </row>
    <row r="135" spans="1:8">
      <c r="A135" t="str">
        <f>IF(ISNUMBER(SEARCH("LONA",Inventario!B134)),"LON",
IF(ISNUMBER(SEARCH("VINIL",Inventario!B134)),"VIN",
IF(ISNUMBER(SEARCH("PANEL DE ALUMINIO COMPUESTO",Inventario!B134)),"PAN-ALU-COM",
IF(ISNUMBER(SEARCH("PVC",Inventario!B134)),"PVC",
IF(ISNUMBER(SEARCH("PAPEL",Inventario!B134)),"PAP",
IF(ISNUMBER(SEARCH("TELA",Inventario!B134)),"TEL",
IF(ISNUMBER(SEARCH("CARTULINA",Inventario!B134)),"CAR",
IF(OR(ISNUMBER(SEARCH("LAMINA",Inventario!B134)),ISNUMBER(SEARCH("LÁMINA",Inventario!B134))),"LAM",
IF(ISNUMBER(SEARCH("ESTIRENO",Inventario!B134)),"EST",
IF(ISNUMBER(SEARCH("FOAMBOARD",Inventario!B134)),"FOA",
IF(ISNUMBER(SEARCH("SOLVENTE",Inventario!B134)),"SOL",
IF(ISNUMBER(SEARCH("TINTA",Inventario!B134)),"TIN",
IF(ISNUMBER(SEARCH("ACRILICO",Inventario!B134)),"ACR",
IF(ISNUMBER(SEARCH("LED",Inventario!B134)),"LED",
IF(ISNUMBER(SEARCH("FUENTE",Inventario!B134)),"FUE",
IF(ISNUMBER(SEARCH("PETG",Inventario!B134)),"PET",
IF(ISNUMBER(SEARCH("ALUMINIO",Inventario!B134)),"ALU",
IF(ISNUMBER(SEARCH("CANAL",Inventario!B134)),"CAN",
IF(ISNUMBER(SEARCH("ESCUADRA",Inventario!B134)),"ESC",
IF(ISNUMBER(SEARCH("SOPORTE",Inventario!B134)),"SOP","OTR")
)))))))))))))))))))</f>
        <v>TIN</v>
      </c>
      <c r="B135" t="str">
        <f>IF(ISNUMBER(SEARCH("CORTE",Inventario!B134)),"COR",
IF(ISNUMBER(SEARCH("CRISTAL",Inventario!B134)),"CR",
IF(OR(ISNUMBER(SEARCH("OPTICO",Inventario!B134)),ISNUMBER(SEARCH("OPTICOS",Inventario!B134)),ISNUMBER(SEARCH("OPTICA",Inventario!B134))),"OP",
IF(ISNUMBER(SEARCH("NANO",Inventario!B134)),"NA",
IF(ISNUMBER(SEARCH("5050",Inventario!B134)),"5050",
IF(ISNUMBER(SEARCH("MICRO",Inventario!B134)),"MI",""))))))</f>
        <v/>
      </c>
      <c r="C135" t="str">
        <f>IF(ISNUMBER(SEARCH("PARED",Inventario!B134)),"PAR",IF(ISNUMBER(SEARCH("MATE",Inventario!B134)),"MAT",
IF(ISNUMBER(SEARCH("FRONT",Inventario!B134)),"FRO",
IF(ISNUMBER(SEARCH("BACK",Inventario!B134)),"BAC",
IF(ISNUMBER(SEARCH("MESH",Inventario!B134)),"MES",
IF(OR(ISNUMBER(SEARCH("BRILLANTE",Inventario!B134)),ISNUMBER(SEARCH("BTE",Inventario!B134))),"BRI",
IF(ISNUMBER(SEARCH("SINTETICA DELGADA",Inventario!B134)),"SD",
IF(ISNUMBER(SEARCH("SINTETICA GRUESA",Inventario!B134)),"SG",
IF(ISNUMBER(SEARCH("ESTATICO",Inventario!B134)),"EST",
IF(ISNUMBER(SEARCH("FLOOR",Inventario!B134)),"FLO",
IF(ISNUMBER(SEARCH("REFLECTIVO",Inventario!B134)),"REF",
IF(ISNUMBER(SEARCH("MICROPERFORADO",Inventario!B134)),"MI",
IF(ISNUMBER(SEARCH("CEPILLADO",Inventario!B134)),"CEP",
IF(ISNUMBER(SEARCH("ESPEJO",Inventario!B134)),"ESP",
IF(OR(ISNUMBER(SEARCH("UNIDIODO",Inventario!B134)),ISNUMBER(SEARCH("1 DIODO",Inventario!B134))),"1D",
IF(ISNUMBER(SEARCH("2 DIODOS",Inventario!B134)),"2D",
IF(ISNUMBER(SEARCH("3 DIODOS",Inventario!B134)),"3D","")))))))))))))))))</f>
        <v/>
      </c>
      <c r="D135" t="str">
        <f>IF(ISNUMBER(SEARCH("LX700",Inventario!B134)),"LX7",
IF(ISNUMBER(SEARCH("GRANDO",Inventario!B134)),"GRA",
IF(OR(ISNUMBER(SEARCH("CAMA PLANA",Inventario!B134)),ISNUMBER(SEARCH("FB700",Inventario!B134))),"CP",
IF(ISNUMBER(SEARCH("LX360",Inventario!B134)),"LX3",
IF(ISNUMBER(SEARCH("XEROX",Inventario!B134)),"XER",
IF(ISNUMBER(SEARCH("18 OZ",Inventario!B134)),"18OZ",
IF(ISNUMBER(SEARCH("15 OZ",Inventario!B134)),"15OZ",
IF(OR(ISNUMBER(SEARCH("13 OZ",Inventario!B134)),ISNUMBER(SEARCH("13 ONZAS",Inventario!B134))),"13OZ",
IF(OR(ISNUMBER(SEARCH("9 OZ",Inventario!B134)),ISNUMBER(SEARCH("9 ONZAS",Inventario!B134))),"09OZ","")))))))))</f>
        <v>XER</v>
      </c>
      <c r="E135" t="str">
        <f>IF(OR(ISNUMBER(SEARCH("TRANSPARENTE",Inventario!B134)),ISNUMBER(SEARCH("TRANSPARENTES",Inventario!B134))),"TR",
IF(OR(ISNUMBER(SEARCH("BLANCO",Inventario!B134)),ISNUMBER(SEARCH("BCO",Inventario!B134))),"BL",
IF(ISNUMBER(SEARCH("VERDE",Inventario!B134)),"VR",
IF(ISNUMBER(SEARCH("MORADO",Inventario!B134)),"MR",
IF(ISNUMBER(SEARCH("PLATA",Inventario!B134)),"PL",
IF(ISNUMBER(SEARCH("ORO",Inventario!B134)),"OR",
IF(ISNUMBER(SEARCH("AMARILLO",Inventario!B134)),"AM",
IF(ISNUMBER(SEARCH("NARANJA",Inventario!B134)),"NR",
IF(ISNUMBER(SEARCH("NEGRO",Inventario!B134)),"NG",
IF(ISNUMBER(SEARCH("ROJO",Inventario!B134)),"RJ",
IF(ISNUMBER(SEARCH("AZUL",Inventario!B134)),"AZ","")))))))))))</f>
        <v/>
      </c>
      <c r="F135" t="str">
        <f>IF(ISNUMBER(SEARCH("1,2 MM",Inventario!B134)),"1MM2",
IF(OR(ISNUMBER(SEARCH("2 MM",Inventario!B134)),ISNUMBER(SEARCH("2MM",Inventario!B134))),"2MM",
IF(OR(ISNUMBER(SEARCH("3 MM",Inventario!B134)),ISNUMBER(SEARCH("3MM",Inventario!B134))),"3MM",
IF(OR(ISNUMBER(SEARCH("4 MM",Inventario!B134)),ISNUMBER(SEARCH("4MM",Inventario!B134)),ISNUMBER(SEARCH("4 mm",Inventario!B134))),"4MM",
IF(OR(ISNUMBER(SEARCH("5 MM",Inventario!B134)),ISNUMBER(SEARCH("5MM",Inventario!B134))),"5MM",
IF(OR(ISNUMBER(SEARCH("6 MM",Inventario!B134)),ISNUMBER(SEARCH("6MM",Inventario!B134))),"6MM",
IF(OR(ISNUMBER(SEARCH("10 MM",Inventario!B134)),ISNUMBER(SEARCH("10MM",Inventario!B134))),"10MM","")))))))</f>
        <v/>
      </c>
      <c r="G135" t="str">
        <f>IF(ISNUMBER(SEARCH("ALTA RESISTENCIA",Inventario!B134)),"AR",IF(ISNUMBER(SEARCH("CAMPAÑA",Inventario!B134)),"CA",
IF(OR(ISNUMBER(SEARCH("CALIDO",Inventario!B134)),ISNUMBER(SEARCH("CÁLIDO",Inventario!B134))),"C",
IF(OR(ISNUMBER(SEARCH("TRASLUCIDO",Inventario!B134)),ISNUMBER(SEARCH("TRANSLUCIDO",Inventario!B134))),"TL",
IF(ISNUMBER(SEARCH("NEUTRO",Inventario!B134)),"N",
IF(ISNUMBER(SEARCH("FRIO",Inventario!B134)),"F",""))))))</f>
        <v/>
      </c>
      <c r="H135" t="str">
        <f>IF(ISNUMBER(SEARCH("SILED",Inventario!B134)),"SI",
IF(ISNUMBER(SEARCH("SYDEMEX",Inventario!B134)),"SY",
IF(ISNUMBER(SEARCH("ROHS",Inventario!B134)),"RO",
IF(ISNUMBER(SEARCH("RISHANG",Inventario!B134)),"RS",
IF(ISNUMBER(SEARCH("VYG",Inventario!B134)),"VYG",
IF(ISNUMBER(SEARCH("COLED",Inventario!B134)),"CO",""))))))</f>
        <v/>
      </c>
    </row>
    <row r="136" spans="1:8">
      <c r="A136" t="str">
        <f>IF(ISNUMBER(SEARCH("LONA",Inventario!B135)),"LON",
IF(ISNUMBER(SEARCH("VINIL",Inventario!B135)),"VIN",
IF(ISNUMBER(SEARCH("PANEL DE ALUMINIO COMPUESTO",Inventario!B135)),"PAN-ALU-COM",
IF(ISNUMBER(SEARCH("PVC",Inventario!B135)),"PVC",
IF(ISNUMBER(SEARCH("PAPEL",Inventario!B135)),"PAP",
IF(ISNUMBER(SEARCH("TELA",Inventario!B135)),"TEL",
IF(ISNUMBER(SEARCH("CARTULINA",Inventario!B135)),"CAR",
IF(OR(ISNUMBER(SEARCH("LAMINA",Inventario!B135)),ISNUMBER(SEARCH("LÁMINA",Inventario!B135))),"LAM",
IF(ISNUMBER(SEARCH("ESTIRENO",Inventario!B135)),"EST",
IF(ISNUMBER(SEARCH("FOAMBOARD",Inventario!B135)),"FOA",
IF(ISNUMBER(SEARCH("SOLVENTE",Inventario!B135)),"SOL",
IF(ISNUMBER(SEARCH("TINTA",Inventario!B135)),"TIN",
IF(ISNUMBER(SEARCH("ACRILICO",Inventario!B135)),"ACR",
IF(ISNUMBER(SEARCH("LED",Inventario!B135)),"LED",
IF(ISNUMBER(SEARCH("FUENTE",Inventario!B135)),"FUE",
IF(ISNUMBER(SEARCH("PETG",Inventario!B135)),"PET",
IF(ISNUMBER(SEARCH("ALUMINIO",Inventario!B135)),"ALU",
IF(ISNUMBER(SEARCH("CANAL",Inventario!B135)),"CAN",
IF(ISNUMBER(SEARCH("ESCUADRA",Inventario!B135)),"ESC",
IF(ISNUMBER(SEARCH("SOPORTE",Inventario!B135)),"SOP","OTR")
)))))))))))))))))))</f>
        <v>OTR</v>
      </c>
      <c r="B136" t="str">
        <f>IF(ISNUMBER(SEARCH("CORTE",Inventario!B135)),"COR",
IF(ISNUMBER(SEARCH("CRISTAL",Inventario!B135)),"CR",
IF(OR(ISNUMBER(SEARCH("OPTICO",Inventario!B135)),ISNUMBER(SEARCH("OPTICOS",Inventario!B135)),ISNUMBER(SEARCH("OPTICA",Inventario!B135))),"OP",
IF(ISNUMBER(SEARCH("NANO",Inventario!B135)),"NA",
IF(ISNUMBER(SEARCH("5050",Inventario!B135)),"5050",
IF(ISNUMBER(SEARCH("MICRO",Inventario!B135)),"MI",""))))))</f>
        <v/>
      </c>
      <c r="C136" t="str">
        <f>IF(ISNUMBER(SEARCH("PARED",Inventario!B135)),"PAR",IF(ISNUMBER(SEARCH("MATE",Inventario!B135)),"MAT",
IF(ISNUMBER(SEARCH("FRONT",Inventario!B135)),"FRO",
IF(ISNUMBER(SEARCH("BACK",Inventario!B135)),"BAC",
IF(ISNUMBER(SEARCH("MESH",Inventario!B135)),"MES",
IF(OR(ISNUMBER(SEARCH("BRILLANTE",Inventario!B135)),ISNUMBER(SEARCH("BTE",Inventario!B135))),"BRI",
IF(ISNUMBER(SEARCH("SINTETICA DELGADA",Inventario!B135)),"SD",
IF(ISNUMBER(SEARCH("SINTETICA GRUESA",Inventario!B135)),"SG",
IF(ISNUMBER(SEARCH("ESTATICO",Inventario!B135)),"EST",
IF(ISNUMBER(SEARCH("FLOOR",Inventario!B135)),"FLO",
IF(ISNUMBER(SEARCH("REFLECTIVO",Inventario!B135)),"REF",
IF(ISNUMBER(SEARCH("MICROPERFORADO",Inventario!B135)),"MI",
IF(ISNUMBER(SEARCH("CEPILLADO",Inventario!B135)),"CEP",
IF(ISNUMBER(SEARCH("ESPEJO",Inventario!B135)),"ESP",
IF(OR(ISNUMBER(SEARCH("UNIDIODO",Inventario!B135)),ISNUMBER(SEARCH("1 DIODO",Inventario!B135))),"1D",
IF(ISNUMBER(SEARCH("2 DIODOS",Inventario!B135)),"2D",
IF(ISNUMBER(SEARCH("3 DIODOS",Inventario!B135)),"3D","")))))))))))))))))</f>
        <v/>
      </c>
      <c r="D136" t="str">
        <f>IF(ISNUMBER(SEARCH("LX700",Inventario!B135)),"LX7",
IF(ISNUMBER(SEARCH("GRANDO",Inventario!B135)),"GRA",
IF(OR(ISNUMBER(SEARCH("CAMA PLANA",Inventario!B135)),ISNUMBER(SEARCH("FB700",Inventario!B135))),"CP",
IF(ISNUMBER(SEARCH("LX360",Inventario!B135)),"LX3",
IF(ISNUMBER(SEARCH("XEROX",Inventario!B135)),"XER",
IF(ISNUMBER(SEARCH("18 OZ",Inventario!B135)),"18OZ",
IF(ISNUMBER(SEARCH("15 OZ",Inventario!B135)),"15OZ",
IF(OR(ISNUMBER(SEARCH("13 OZ",Inventario!B135)),ISNUMBER(SEARCH("13 ONZAS",Inventario!B135))),"13OZ",
IF(OR(ISNUMBER(SEARCH("9 OZ",Inventario!B135)),ISNUMBER(SEARCH("9 ONZAS",Inventario!B135))),"09OZ","")))))))))</f>
        <v/>
      </c>
      <c r="E136" t="str">
        <f>IF(OR(ISNUMBER(SEARCH("TRANSPARENTE",Inventario!B135)),ISNUMBER(SEARCH("TRANSPARENTES",Inventario!B135))),"TR",
IF(OR(ISNUMBER(SEARCH("BLANCO",Inventario!B135)),ISNUMBER(SEARCH("BCO",Inventario!B135))),"BL",
IF(ISNUMBER(SEARCH("VERDE",Inventario!B135)),"VR",
IF(ISNUMBER(SEARCH("MORADO",Inventario!B135)),"MR",
IF(ISNUMBER(SEARCH("PLATA",Inventario!B135)),"PL",
IF(ISNUMBER(SEARCH("ORO",Inventario!B135)),"OR",
IF(ISNUMBER(SEARCH("AMARILLO",Inventario!B135)),"AM",
IF(ISNUMBER(SEARCH("NARANJA",Inventario!B135)),"NR",
IF(ISNUMBER(SEARCH("NEGRO",Inventario!B135)),"NG",
IF(ISNUMBER(SEARCH("ROJO",Inventario!B135)),"RJ",
IF(ISNUMBER(SEARCH("AZUL",Inventario!B135)),"AZ","")))))))))))</f>
        <v/>
      </c>
      <c r="F136" t="str">
        <f>IF(ISNUMBER(SEARCH("1,2 MM",Inventario!B135)),"1MM2",
IF(OR(ISNUMBER(SEARCH("2 MM",Inventario!B135)),ISNUMBER(SEARCH("2MM",Inventario!B135))),"2MM",
IF(OR(ISNUMBER(SEARCH("3 MM",Inventario!B135)),ISNUMBER(SEARCH("3MM",Inventario!B135))),"3MM",
IF(OR(ISNUMBER(SEARCH("4 MM",Inventario!B135)),ISNUMBER(SEARCH("4MM",Inventario!B135)),ISNUMBER(SEARCH("4 mm",Inventario!B135))),"4MM",
IF(OR(ISNUMBER(SEARCH("5 MM",Inventario!B135)),ISNUMBER(SEARCH("5MM",Inventario!B135))),"5MM",
IF(OR(ISNUMBER(SEARCH("6 MM",Inventario!B135)),ISNUMBER(SEARCH("6MM",Inventario!B135))),"6MM",
IF(OR(ISNUMBER(SEARCH("10 MM",Inventario!B135)),ISNUMBER(SEARCH("10MM",Inventario!B135))),"10MM","")))))))</f>
        <v/>
      </c>
      <c r="G136" t="str">
        <f>IF(ISNUMBER(SEARCH("ALTA RESISTENCIA",Inventario!B135)),"AR",IF(ISNUMBER(SEARCH("CAMPAÑA",Inventario!B135)),"CA",
IF(OR(ISNUMBER(SEARCH("CALIDO",Inventario!B135)),ISNUMBER(SEARCH("CÁLIDO",Inventario!B135))),"C",
IF(OR(ISNUMBER(SEARCH("TRASLUCIDO",Inventario!B135)),ISNUMBER(SEARCH("TRANSLUCIDO",Inventario!B135))),"TL",
IF(ISNUMBER(SEARCH("NEUTRO",Inventario!B135)),"N",
IF(ISNUMBER(SEARCH("FRIO",Inventario!B135)),"F",""))))))</f>
        <v/>
      </c>
      <c r="H136" t="str">
        <f>IF(ISNUMBER(SEARCH("SILED",Inventario!B135)),"SI",
IF(ISNUMBER(SEARCH("SYDEMEX",Inventario!B135)),"SY",
IF(ISNUMBER(SEARCH("ROHS",Inventario!B135)),"RO",
IF(ISNUMBER(SEARCH("RISHANG",Inventario!B135)),"RS",
IF(ISNUMBER(SEARCH("VYG",Inventario!B135)),"VYG",
IF(ISNUMBER(SEARCH("COLED",Inventario!B135)),"CO",""))))))</f>
        <v/>
      </c>
    </row>
    <row r="137" spans="1:8">
      <c r="A137" t="str">
        <f>IF(ISNUMBER(SEARCH("LONA",Inventario!B136)),"LON",
IF(ISNUMBER(SEARCH("VINIL",Inventario!B136)),"VIN",
IF(ISNUMBER(SEARCH("PANEL DE ALUMINIO COMPUESTO",Inventario!B136)),"PAN-ALU-COM",
IF(ISNUMBER(SEARCH("PVC",Inventario!B136)),"PVC",
IF(ISNUMBER(SEARCH("PAPEL",Inventario!B136)),"PAP",
IF(ISNUMBER(SEARCH("TELA",Inventario!B136)),"TEL",
IF(ISNUMBER(SEARCH("CARTULINA",Inventario!B136)),"CAR",
IF(OR(ISNUMBER(SEARCH("LAMINA",Inventario!B136)),ISNUMBER(SEARCH("LÁMINA",Inventario!B136))),"LAM",
IF(ISNUMBER(SEARCH("ESTIRENO",Inventario!B136)),"EST",
IF(ISNUMBER(SEARCH("FOAMBOARD",Inventario!B136)),"FOA",
IF(ISNUMBER(SEARCH("SOLVENTE",Inventario!B136)),"SOL",
IF(ISNUMBER(SEARCH("TINTA",Inventario!B136)),"TIN",
IF(ISNUMBER(SEARCH("ACRILICO",Inventario!B136)),"ACR",
IF(ISNUMBER(SEARCH("LED",Inventario!B136)),"LED",
IF(ISNUMBER(SEARCH("FUENTE",Inventario!B136)),"FUE",
IF(ISNUMBER(SEARCH("PETG",Inventario!B136)),"PET",
IF(ISNUMBER(SEARCH("ALUMINIO",Inventario!B136)),"ALU",
IF(ISNUMBER(SEARCH("CANAL",Inventario!B136)),"CAN",
IF(ISNUMBER(SEARCH("ESCUADRA",Inventario!B136)),"ESC",
IF(ISNUMBER(SEARCH("SOPORTE",Inventario!B136)),"SOP","OTR")
)))))))))))))))))))</f>
        <v>OTR</v>
      </c>
      <c r="B137" t="str">
        <f>IF(ISNUMBER(SEARCH("CORTE",Inventario!B136)),"COR",
IF(ISNUMBER(SEARCH("CRISTAL",Inventario!B136)),"CR",
IF(OR(ISNUMBER(SEARCH("OPTICO",Inventario!B136)),ISNUMBER(SEARCH("OPTICOS",Inventario!B136)),ISNUMBER(SEARCH("OPTICA",Inventario!B136))),"OP",
IF(ISNUMBER(SEARCH("NANO",Inventario!B136)),"NA",
IF(ISNUMBER(SEARCH("5050",Inventario!B136)),"5050",
IF(ISNUMBER(SEARCH("MICRO",Inventario!B136)),"MI",""))))))</f>
        <v/>
      </c>
      <c r="C137" t="str">
        <f>IF(ISNUMBER(SEARCH("PARED",Inventario!B136)),"PAR",IF(ISNUMBER(SEARCH("MATE",Inventario!B136)),"MAT",
IF(ISNUMBER(SEARCH("FRONT",Inventario!B136)),"FRO",
IF(ISNUMBER(SEARCH("BACK",Inventario!B136)),"BAC",
IF(ISNUMBER(SEARCH("MESH",Inventario!B136)),"MES",
IF(OR(ISNUMBER(SEARCH("BRILLANTE",Inventario!B136)),ISNUMBER(SEARCH("BTE",Inventario!B136))),"BRI",
IF(ISNUMBER(SEARCH("SINTETICA DELGADA",Inventario!B136)),"SD",
IF(ISNUMBER(SEARCH("SINTETICA GRUESA",Inventario!B136)),"SG",
IF(ISNUMBER(SEARCH("ESTATICO",Inventario!B136)),"EST",
IF(ISNUMBER(SEARCH("FLOOR",Inventario!B136)),"FLO",
IF(ISNUMBER(SEARCH("REFLECTIVO",Inventario!B136)),"REF",
IF(ISNUMBER(SEARCH("MICROPERFORADO",Inventario!B136)),"MI",
IF(ISNUMBER(SEARCH("CEPILLADO",Inventario!B136)),"CEP",
IF(ISNUMBER(SEARCH("ESPEJO",Inventario!B136)),"ESP",
IF(OR(ISNUMBER(SEARCH("UNIDIODO",Inventario!B136)),ISNUMBER(SEARCH("1 DIODO",Inventario!B136))),"1D",
IF(ISNUMBER(SEARCH("2 DIODOS",Inventario!B136)),"2D",
IF(ISNUMBER(SEARCH("3 DIODOS",Inventario!B136)),"3D","")))))))))))))))))</f>
        <v/>
      </c>
      <c r="D137" t="str">
        <f>IF(ISNUMBER(SEARCH("LX700",Inventario!B136)),"LX7",
IF(ISNUMBER(SEARCH("GRANDO",Inventario!B136)),"GRA",
IF(OR(ISNUMBER(SEARCH("CAMA PLANA",Inventario!B136)),ISNUMBER(SEARCH("FB700",Inventario!B136))),"CP",
IF(ISNUMBER(SEARCH("LX360",Inventario!B136)),"LX3",
IF(ISNUMBER(SEARCH("XEROX",Inventario!B136)),"XER",
IF(ISNUMBER(SEARCH("18 OZ",Inventario!B136)),"18OZ",
IF(ISNUMBER(SEARCH("15 OZ",Inventario!B136)),"15OZ",
IF(OR(ISNUMBER(SEARCH("13 OZ",Inventario!B136)),ISNUMBER(SEARCH("13 ONZAS",Inventario!B136))),"13OZ",
IF(OR(ISNUMBER(SEARCH("9 OZ",Inventario!B136)),ISNUMBER(SEARCH("9 ONZAS",Inventario!B136))),"09OZ","")))))))))</f>
        <v/>
      </c>
      <c r="E137" t="str">
        <f>IF(OR(ISNUMBER(SEARCH("TRANSPARENTE",Inventario!B136)),ISNUMBER(SEARCH("TRANSPARENTES",Inventario!B136))),"TR",
IF(OR(ISNUMBER(SEARCH("BLANCO",Inventario!B136)),ISNUMBER(SEARCH("BCO",Inventario!B136))),"BL",
IF(ISNUMBER(SEARCH("VERDE",Inventario!B136)),"VR",
IF(ISNUMBER(SEARCH("MORADO",Inventario!B136)),"MR",
IF(ISNUMBER(SEARCH("PLATA",Inventario!B136)),"PL",
IF(ISNUMBER(SEARCH("ORO",Inventario!B136)),"OR",
IF(ISNUMBER(SEARCH("AMARILLO",Inventario!B136)),"AM",
IF(ISNUMBER(SEARCH("NARANJA",Inventario!B136)),"NR",
IF(ISNUMBER(SEARCH("NEGRO",Inventario!B136)),"NG",
IF(ISNUMBER(SEARCH("ROJO",Inventario!B136)),"RJ",
IF(ISNUMBER(SEARCH("AZUL",Inventario!B136)),"AZ","")))))))))))</f>
        <v/>
      </c>
      <c r="F137" t="str">
        <f>IF(ISNUMBER(SEARCH("1,2 MM",Inventario!B136)),"1MM2",
IF(OR(ISNUMBER(SEARCH("2 MM",Inventario!B136)),ISNUMBER(SEARCH("2MM",Inventario!B136))),"2MM",
IF(OR(ISNUMBER(SEARCH("3 MM",Inventario!B136)),ISNUMBER(SEARCH("3MM",Inventario!B136))),"3MM",
IF(OR(ISNUMBER(SEARCH("4 MM",Inventario!B136)),ISNUMBER(SEARCH("4MM",Inventario!B136)),ISNUMBER(SEARCH("4 mm",Inventario!B136))),"4MM",
IF(OR(ISNUMBER(SEARCH("5 MM",Inventario!B136)),ISNUMBER(SEARCH("5MM",Inventario!B136))),"5MM",
IF(OR(ISNUMBER(SEARCH("6 MM",Inventario!B136)),ISNUMBER(SEARCH("6MM",Inventario!B136))),"6MM",
IF(OR(ISNUMBER(SEARCH("10 MM",Inventario!B136)),ISNUMBER(SEARCH("10MM",Inventario!B136))),"10MM","")))))))</f>
        <v/>
      </c>
      <c r="G137" t="str">
        <f>IF(ISNUMBER(SEARCH("ALTA RESISTENCIA",Inventario!B136)),"AR",IF(ISNUMBER(SEARCH("CAMPAÑA",Inventario!B136)),"CA",
IF(OR(ISNUMBER(SEARCH("CALIDO",Inventario!B136)),ISNUMBER(SEARCH("CÁLIDO",Inventario!B136))),"C",
IF(OR(ISNUMBER(SEARCH("TRASLUCIDO",Inventario!B136)),ISNUMBER(SEARCH("TRANSLUCIDO",Inventario!B136))),"TL",
IF(ISNUMBER(SEARCH("NEUTRO",Inventario!B136)),"N",
IF(ISNUMBER(SEARCH("FRIO",Inventario!B136)),"F",""))))))</f>
        <v/>
      </c>
      <c r="H137" t="str">
        <f>IF(ISNUMBER(SEARCH("SILED",Inventario!B136)),"SI",
IF(ISNUMBER(SEARCH("SYDEMEX",Inventario!B136)),"SY",
IF(ISNUMBER(SEARCH("ROHS",Inventario!B136)),"RO",
IF(ISNUMBER(SEARCH("RISHANG",Inventario!B136)),"RS",
IF(ISNUMBER(SEARCH("VYG",Inventario!B136)),"VYG",
IF(ISNUMBER(SEARCH("COLED",Inventario!B136)),"CO",""))))))</f>
        <v/>
      </c>
    </row>
    <row r="138" spans="1:8">
      <c r="A138" t="str">
        <f>IF(ISNUMBER(SEARCH("LONA",Inventario!B137)),"LON",
IF(ISNUMBER(SEARCH("VINIL",Inventario!B137)),"VIN",
IF(ISNUMBER(SEARCH("PANEL DE ALUMINIO COMPUESTO",Inventario!B137)),"PAN-ALU-COM",
IF(ISNUMBER(SEARCH("PVC",Inventario!B137)),"PVC",
IF(ISNUMBER(SEARCH("PAPEL",Inventario!B137)),"PAP",
IF(ISNUMBER(SEARCH("TELA",Inventario!B137)),"TEL",
IF(ISNUMBER(SEARCH("CARTULINA",Inventario!B137)),"CAR",
IF(OR(ISNUMBER(SEARCH("LAMINA",Inventario!B137)),ISNUMBER(SEARCH("LÁMINA",Inventario!B137))),"LAM",
IF(ISNUMBER(SEARCH("ESTIRENO",Inventario!B137)),"EST",
IF(ISNUMBER(SEARCH("FOAMBOARD",Inventario!B137)),"FOA",
IF(ISNUMBER(SEARCH("SOLVENTE",Inventario!B137)),"SOL",
IF(ISNUMBER(SEARCH("TINTA",Inventario!B137)),"TIN",
IF(ISNUMBER(SEARCH("ACRILICO",Inventario!B137)),"ACR",
IF(ISNUMBER(SEARCH("LED",Inventario!B137)),"LED",
IF(ISNUMBER(SEARCH("FUENTE",Inventario!B137)),"FUE",
IF(ISNUMBER(SEARCH("PETG",Inventario!B137)),"PET",
IF(ISNUMBER(SEARCH("ALUMINIO",Inventario!B137)),"ALU",
IF(ISNUMBER(SEARCH("CANAL",Inventario!B137)),"CAN",
IF(ISNUMBER(SEARCH("ESCUADRA",Inventario!B137)),"ESC",
IF(ISNUMBER(SEARCH("SOPORTE",Inventario!B137)),"SOP","OTR")
)))))))))))))))))))</f>
        <v>OTR</v>
      </c>
      <c r="B138" t="str">
        <f>IF(ISNUMBER(SEARCH("CORTE",Inventario!B137)),"COR",
IF(ISNUMBER(SEARCH("CRISTAL",Inventario!B137)),"CR",
IF(OR(ISNUMBER(SEARCH("OPTICO",Inventario!B137)),ISNUMBER(SEARCH("OPTICOS",Inventario!B137)),ISNUMBER(SEARCH("OPTICA",Inventario!B137))),"OP",
IF(ISNUMBER(SEARCH("NANO",Inventario!B137)),"NA",
IF(ISNUMBER(SEARCH("5050",Inventario!B137)),"5050",
IF(ISNUMBER(SEARCH("MICRO",Inventario!B137)),"MI",""))))))</f>
        <v/>
      </c>
      <c r="C138" t="str">
        <f>IF(ISNUMBER(SEARCH("PARED",Inventario!B137)),"PAR",IF(ISNUMBER(SEARCH("MATE",Inventario!B137)),"MAT",
IF(ISNUMBER(SEARCH("FRONT",Inventario!B137)),"FRO",
IF(ISNUMBER(SEARCH("BACK",Inventario!B137)),"BAC",
IF(ISNUMBER(SEARCH("MESH",Inventario!B137)),"MES",
IF(OR(ISNUMBER(SEARCH("BRILLANTE",Inventario!B137)),ISNUMBER(SEARCH("BTE",Inventario!B137))),"BRI",
IF(ISNUMBER(SEARCH("SINTETICA DELGADA",Inventario!B137)),"SD",
IF(ISNUMBER(SEARCH("SINTETICA GRUESA",Inventario!B137)),"SG",
IF(ISNUMBER(SEARCH("ESTATICO",Inventario!B137)),"EST",
IF(ISNUMBER(SEARCH("FLOOR",Inventario!B137)),"FLO",
IF(ISNUMBER(SEARCH("REFLECTIVO",Inventario!B137)),"REF",
IF(ISNUMBER(SEARCH("MICROPERFORADO",Inventario!B137)),"MI",
IF(ISNUMBER(SEARCH("CEPILLADO",Inventario!B137)),"CEP",
IF(ISNUMBER(SEARCH("ESPEJO",Inventario!B137)),"ESP",
IF(OR(ISNUMBER(SEARCH("UNIDIODO",Inventario!B137)),ISNUMBER(SEARCH("1 DIODO",Inventario!B137))),"1D",
IF(ISNUMBER(SEARCH("2 DIODOS",Inventario!B137)),"2D",
IF(ISNUMBER(SEARCH("3 DIODOS",Inventario!B137)),"3D","")))))))))))))))))</f>
        <v/>
      </c>
      <c r="D138" t="str">
        <f>IF(ISNUMBER(SEARCH("LX700",Inventario!B137)),"LX7",
IF(ISNUMBER(SEARCH("GRANDO",Inventario!B137)),"GRA",
IF(OR(ISNUMBER(SEARCH("CAMA PLANA",Inventario!B137)),ISNUMBER(SEARCH("FB700",Inventario!B137))),"CP",
IF(ISNUMBER(SEARCH("LX360",Inventario!B137)),"LX3",
IF(ISNUMBER(SEARCH("XEROX",Inventario!B137)),"XER",
IF(ISNUMBER(SEARCH("18 OZ",Inventario!B137)),"18OZ",
IF(ISNUMBER(SEARCH("15 OZ",Inventario!B137)),"15OZ",
IF(OR(ISNUMBER(SEARCH("13 OZ",Inventario!B137)),ISNUMBER(SEARCH("13 ONZAS",Inventario!B137))),"13OZ",
IF(OR(ISNUMBER(SEARCH("9 OZ",Inventario!B137)),ISNUMBER(SEARCH("9 ONZAS",Inventario!B137))),"09OZ","")))))))))</f>
        <v/>
      </c>
      <c r="E138" t="str">
        <f>IF(OR(ISNUMBER(SEARCH("TRANSPARENTE",Inventario!B137)),ISNUMBER(SEARCH("TRANSPARENTES",Inventario!B137))),"TR",
IF(OR(ISNUMBER(SEARCH("BLANCO",Inventario!B137)),ISNUMBER(SEARCH("BCO",Inventario!B137))),"BL",
IF(ISNUMBER(SEARCH("VERDE",Inventario!B137)),"VR",
IF(ISNUMBER(SEARCH("MORADO",Inventario!B137)),"MR",
IF(ISNUMBER(SEARCH("PLATA",Inventario!B137)),"PL",
IF(ISNUMBER(SEARCH("ORO",Inventario!B137)),"OR",
IF(ISNUMBER(SEARCH("AMARILLO",Inventario!B137)),"AM",
IF(ISNUMBER(SEARCH("NARANJA",Inventario!B137)),"NR",
IF(ISNUMBER(SEARCH("NEGRO",Inventario!B137)),"NG",
IF(ISNUMBER(SEARCH("ROJO",Inventario!B137)),"RJ",
IF(ISNUMBER(SEARCH("AZUL",Inventario!B137)),"AZ","")))))))))))</f>
        <v/>
      </c>
      <c r="F138" t="str">
        <f>IF(ISNUMBER(SEARCH("1,2 MM",Inventario!B137)),"1MM2",
IF(OR(ISNUMBER(SEARCH("2 MM",Inventario!B137)),ISNUMBER(SEARCH("2MM",Inventario!B137))),"2MM",
IF(OR(ISNUMBER(SEARCH("3 MM",Inventario!B137)),ISNUMBER(SEARCH("3MM",Inventario!B137))),"3MM",
IF(OR(ISNUMBER(SEARCH("4 MM",Inventario!B137)),ISNUMBER(SEARCH("4MM",Inventario!B137)),ISNUMBER(SEARCH("4 mm",Inventario!B137))),"4MM",
IF(OR(ISNUMBER(SEARCH("5 MM",Inventario!B137)),ISNUMBER(SEARCH("5MM",Inventario!B137))),"5MM",
IF(OR(ISNUMBER(SEARCH("6 MM",Inventario!B137)),ISNUMBER(SEARCH("6MM",Inventario!B137))),"6MM",
IF(OR(ISNUMBER(SEARCH("10 MM",Inventario!B137)),ISNUMBER(SEARCH("10MM",Inventario!B137))),"10MM","")))))))</f>
        <v/>
      </c>
      <c r="G138" t="str">
        <f>IF(ISNUMBER(SEARCH("ALTA RESISTENCIA",Inventario!B137)),"AR",IF(ISNUMBER(SEARCH("CAMPAÑA",Inventario!B137)),"CA",
IF(OR(ISNUMBER(SEARCH("CALIDO",Inventario!B137)),ISNUMBER(SEARCH("CÁLIDO",Inventario!B137))),"C",
IF(OR(ISNUMBER(SEARCH("TRASLUCIDO",Inventario!B137)),ISNUMBER(SEARCH("TRANSLUCIDO",Inventario!B137))),"TL",
IF(ISNUMBER(SEARCH("NEUTRO",Inventario!B137)),"N",
IF(ISNUMBER(SEARCH("FRIO",Inventario!B137)),"F",""))))))</f>
        <v/>
      </c>
      <c r="H138" t="str">
        <f>IF(ISNUMBER(SEARCH("SILED",Inventario!B137)),"SI",
IF(ISNUMBER(SEARCH("SYDEMEX",Inventario!B137)),"SY",
IF(ISNUMBER(SEARCH("ROHS",Inventario!B137)),"RO",
IF(ISNUMBER(SEARCH("RISHANG",Inventario!B137)),"RS",
IF(ISNUMBER(SEARCH("VYG",Inventario!B137)),"VYG",
IF(ISNUMBER(SEARCH("COLED",Inventario!B137)),"CO",""))))))</f>
        <v/>
      </c>
    </row>
    <row r="139" spans="1:8">
      <c r="A139" t="str">
        <f>IF(ISNUMBER(SEARCH("LONA",Inventario!B138)),"LON",
IF(ISNUMBER(SEARCH("VINIL",Inventario!B138)),"VIN",
IF(ISNUMBER(SEARCH("PANEL DE ALUMINIO COMPUESTO",Inventario!B138)),"PAN-ALU-COM",
IF(ISNUMBER(SEARCH("PVC",Inventario!B138)),"PVC",
IF(ISNUMBER(SEARCH("PAPEL",Inventario!B138)),"PAP",
IF(ISNUMBER(SEARCH("TELA",Inventario!B138)),"TEL",
IF(ISNUMBER(SEARCH("CARTULINA",Inventario!B138)),"CAR",
IF(OR(ISNUMBER(SEARCH("LAMINA",Inventario!B138)),ISNUMBER(SEARCH("LÁMINA",Inventario!B138))),"LAM",
IF(ISNUMBER(SEARCH("ESTIRENO",Inventario!B138)),"EST",
IF(ISNUMBER(SEARCH("FOAMBOARD",Inventario!B138)),"FOA",
IF(ISNUMBER(SEARCH("SOLVENTE",Inventario!B138)),"SOL",
IF(ISNUMBER(SEARCH("TINTA",Inventario!B138)),"TIN",
IF(ISNUMBER(SEARCH("ACRILICO",Inventario!B138)),"ACR",
IF(ISNUMBER(SEARCH("LED",Inventario!B138)),"LED",
IF(ISNUMBER(SEARCH("FUENTE",Inventario!B138)),"FUE",
IF(ISNUMBER(SEARCH("PETG",Inventario!B138)),"PET",
IF(ISNUMBER(SEARCH("ALUMINIO",Inventario!B138)),"ALU",
IF(ISNUMBER(SEARCH("CANAL",Inventario!B138)),"CAN",
IF(ISNUMBER(SEARCH("ESCUADRA",Inventario!B138)),"ESC",
IF(ISNUMBER(SEARCH("SOPORTE",Inventario!B138)),"SOP","OTR")
)))))))))))))))))))</f>
        <v>VIN</v>
      </c>
      <c r="B139" t="str">
        <f>IF(ISNUMBER(SEARCH("CORTE",Inventario!B138)),"COR",
IF(ISNUMBER(SEARCH("CRISTAL",Inventario!B138)),"CR",
IF(OR(ISNUMBER(SEARCH("OPTICO",Inventario!B138)),ISNUMBER(SEARCH("OPTICOS",Inventario!B138)),ISNUMBER(SEARCH("OPTICA",Inventario!B138))),"OP",
IF(ISNUMBER(SEARCH("NANO",Inventario!B138)),"NA",
IF(ISNUMBER(SEARCH("5050",Inventario!B138)),"5050",
IF(ISNUMBER(SEARCH("MICRO",Inventario!B138)),"MI",""))))))</f>
        <v>COR</v>
      </c>
      <c r="C139" t="str">
        <f>IF(ISNUMBER(SEARCH("PARED",Inventario!B138)),"PAR",IF(ISNUMBER(SEARCH("MATE",Inventario!B138)),"MAT",
IF(ISNUMBER(SEARCH("FRONT",Inventario!B138)),"FRO",
IF(ISNUMBER(SEARCH("BACK",Inventario!B138)),"BAC",
IF(ISNUMBER(SEARCH("MESH",Inventario!B138)),"MES",
IF(OR(ISNUMBER(SEARCH("BRILLANTE",Inventario!B138)),ISNUMBER(SEARCH("BTE",Inventario!B138))),"BRI",
IF(ISNUMBER(SEARCH("SINTETICA DELGADA",Inventario!B138)),"SD",
IF(ISNUMBER(SEARCH("SINTETICA GRUESA",Inventario!B138)),"SG",
IF(ISNUMBER(SEARCH("ESTATICO",Inventario!B138)),"EST",
IF(ISNUMBER(SEARCH("FLOOR",Inventario!B138)),"FLO",
IF(ISNUMBER(SEARCH("REFLECTIVO",Inventario!B138)),"REF",
IF(ISNUMBER(SEARCH("MICROPERFORADO",Inventario!B138)),"MI",
IF(ISNUMBER(SEARCH("CEPILLADO",Inventario!B138)),"CEP",
IF(ISNUMBER(SEARCH("ESPEJO",Inventario!B138)),"ESP",
IF(OR(ISNUMBER(SEARCH("UNIDIODO",Inventario!B138)),ISNUMBER(SEARCH("1 DIODO",Inventario!B138))),"1D",
IF(ISNUMBER(SEARCH("2 DIODOS",Inventario!B138)),"2D",
IF(ISNUMBER(SEARCH("3 DIODOS",Inventario!B138)),"3D","")))))))))))))))))</f>
        <v/>
      </c>
      <c r="D139" t="str">
        <f>IF(ISNUMBER(SEARCH("LX700",Inventario!B138)),"LX7",
IF(ISNUMBER(SEARCH("GRANDO",Inventario!B138)),"GRA",
IF(OR(ISNUMBER(SEARCH("CAMA PLANA",Inventario!B138)),ISNUMBER(SEARCH("FB700",Inventario!B138))),"CP",
IF(ISNUMBER(SEARCH("LX360",Inventario!B138)),"LX3",
IF(ISNUMBER(SEARCH("XEROX",Inventario!B138)),"XER",
IF(ISNUMBER(SEARCH("18 OZ",Inventario!B138)),"18OZ",
IF(ISNUMBER(SEARCH("15 OZ",Inventario!B138)),"15OZ",
IF(OR(ISNUMBER(SEARCH("13 OZ",Inventario!B138)),ISNUMBER(SEARCH("13 ONZAS",Inventario!B138))),"13OZ",
IF(OR(ISNUMBER(SEARCH("9 OZ",Inventario!B138)),ISNUMBER(SEARCH("9 ONZAS",Inventario!B138))),"09OZ","")))))))))</f>
        <v/>
      </c>
      <c r="E139" t="str">
        <f>IF(OR(ISNUMBER(SEARCH("TRANSPARENTE",Inventario!B138)),ISNUMBER(SEARCH("TRANSPARENTES",Inventario!B138))),"TR",
IF(OR(ISNUMBER(SEARCH("BLANCO",Inventario!B138)),ISNUMBER(SEARCH("BCO",Inventario!B138))),"BL",
IF(ISNUMBER(SEARCH("VERDE",Inventario!B138)),"VR",
IF(ISNUMBER(SEARCH("MORADO",Inventario!B138)),"MR",
IF(ISNUMBER(SEARCH("PLATA",Inventario!B138)),"PL",
IF(ISNUMBER(SEARCH("ORO",Inventario!B138)),"OR",
IF(ISNUMBER(SEARCH("AMARILLO",Inventario!B138)),"AM",
IF(ISNUMBER(SEARCH("NARANJA",Inventario!B138)),"NR",
IF(ISNUMBER(SEARCH("NEGRO",Inventario!B138)),"NG",
IF(ISNUMBER(SEARCH("ROJO",Inventario!B138)),"RJ",
IF(ISNUMBER(SEARCH("AZUL",Inventario!B138)),"AZ","")))))))))))</f>
        <v/>
      </c>
      <c r="F139" t="str">
        <f>IF(ISNUMBER(SEARCH("1,2 MM",Inventario!B138)),"1MM2",
IF(OR(ISNUMBER(SEARCH("2 MM",Inventario!B138)),ISNUMBER(SEARCH("2MM",Inventario!B138))),"2MM",
IF(OR(ISNUMBER(SEARCH("3 MM",Inventario!B138)),ISNUMBER(SEARCH("3MM",Inventario!B138))),"3MM",
IF(OR(ISNUMBER(SEARCH("4 MM",Inventario!B138)),ISNUMBER(SEARCH("4MM",Inventario!B138)),ISNUMBER(SEARCH("4 mm",Inventario!B138))),"4MM",
IF(OR(ISNUMBER(SEARCH("5 MM",Inventario!B138)),ISNUMBER(SEARCH("5MM",Inventario!B138))),"5MM",
IF(OR(ISNUMBER(SEARCH("6 MM",Inventario!B138)),ISNUMBER(SEARCH("6MM",Inventario!B138))),"6MM",
IF(OR(ISNUMBER(SEARCH("10 MM",Inventario!B138)),ISNUMBER(SEARCH("10MM",Inventario!B138))),"10MM","")))))))</f>
        <v/>
      </c>
      <c r="G139" t="str">
        <f>IF(ISNUMBER(SEARCH("ALTA RESISTENCIA",Inventario!B138)),"AR",IF(ISNUMBER(SEARCH("CAMPAÑA",Inventario!B138)),"CA",
IF(OR(ISNUMBER(SEARCH("CALIDO",Inventario!B138)),ISNUMBER(SEARCH("CÁLIDO",Inventario!B138))),"C",
IF(OR(ISNUMBER(SEARCH("TRASLUCIDO",Inventario!B138)),ISNUMBER(SEARCH("TRANSLUCIDO",Inventario!B138))),"TL",
IF(ISNUMBER(SEARCH("NEUTRO",Inventario!B138)),"N",
IF(ISNUMBER(SEARCH("FRIO",Inventario!B138)),"F",""))))))</f>
        <v/>
      </c>
      <c r="H139" t="str">
        <f>IF(ISNUMBER(SEARCH("SILED",Inventario!B138)),"SI",
IF(ISNUMBER(SEARCH("SYDEMEX",Inventario!B138)),"SY",
IF(ISNUMBER(SEARCH("ROHS",Inventario!B138)),"RO",
IF(ISNUMBER(SEARCH("RISHANG",Inventario!B138)),"RS",
IF(ISNUMBER(SEARCH("VYG",Inventario!B138)),"VYG",
IF(ISNUMBER(SEARCH("COLED",Inventario!B138)),"CO",""))))))</f>
        <v/>
      </c>
    </row>
    <row r="140" spans="1:8">
      <c r="A140" t="str">
        <f>IF(ISNUMBER(SEARCH("LONA",Inventario!B139)),"LON",
IF(ISNUMBER(SEARCH("VINIL",Inventario!B139)),"VIN",
IF(ISNUMBER(SEARCH("PANEL DE ALUMINIO COMPUESTO",Inventario!B139)),"PAN-ALU-COM",
IF(ISNUMBER(SEARCH("PVC",Inventario!B139)),"PVC",
IF(ISNUMBER(SEARCH("PAPEL",Inventario!B139)),"PAP",
IF(ISNUMBER(SEARCH("TELA",Inventario!B139)),"TEL",
IF(ISNUMBER(SEARCH("CARTULINA",Inventario!B139)),"CAR",
IF(OR(ISNUMBER(SEARCH("LAMINA",Inventario!B139)),ISNUMBER(SEARCH("LÁMINA",Inventario!B139))),"LAM",
IF(ISNUMBER(SEARCH("ESTIRENO",Inventario!B139)),"EST",
IF(ISNUMBER(SEARCH("FOAMBOARD",Inventario!B139)),"FOA",
IF(ISNUMBER(SEARCH("SOLVENTE",Inventario!B139)),"SOL",
IF(ISNUMBER(SEARCH("TINTA",Inventario!B139)),"TIN",
IF(ISNUMBER(SEARCH("ACRILICO",Inventario!B139)),"ACR",
IF(ISNUMBER(SEARCH("LED",Inventario!B139)),"LED",
IF(ISNUMBER(SEARCH("FUENTE",Inventario!B139)),"FUE",
IF(ISNUMBER(SEARCH("PETG",Inventario!B139)),"PET",
IF(ISNUMBER(SEARCH("ALUMINIO",Inventario!B139)),"ALU",
IF(ISNUMBER(SEARCH("CANAL",Inventario!B139)),"CAN",
IF(ISNUMBER(SEARCH("ESCUADRA",Inventario!B139)),"ESC",
IF(ISNUMBER(SEARCH("SOPORTE",Inventario!B139)),"SOP","OTR")
)))))))))))))))))))</f>
        <v>VIN</v>
      </c>
      <c r="B140" t="str">
        <f>IF(ISNUMBER(SEARCH("CORTE",Inventario!B139)),"COR",
IF(ISNUMBER(SEARCH("CRISTAL",Inventario!B139)),"CR",
IF(OR(ISNUMBER(SEARCH("OPTICO",Inventario!B139)),ISNUMBER(SEARCH("OPTICOS",Inventario!B139)),ISNUMBER(SEARCH("OPTICA",Inventario!B139))),"OP",
IF(ISNUMBER(SEARCH("NANO",Inventario!B139)),"NA",
IF(ISNUMBER(SEARCH("5050",Inventario!B139)),"5050",
IF(ISNUMBER(SEARCH("MICRO",Inventario!B139)),"MI",""))))))</f>
        <v>COR</v>
      </c>
      <c r="C140" t="str">
        <f>IF(ISNUMBER(SEARCH("PARED",Inventario!B139)),"PAR",IF(ISNUMBER(SEARCH("MATE",Inventario!B139)),"MAT",
IF(ISNUMBER(SEARCH("FRONT",Inventario!B139)),"FRO",
IF(ISNUMBER(SEARCH("BACK",Inventario!B139)),"BAC",
IF(ISNUMBER(SEARCH("MESH",Inventario!B139)),"MES",
IF(OR(ISNUMBER(SEARCH("BRILLANTE",Inventario!B139)),ISNUMBER(SEARCH("BTE",Inventario!B139))),"BRI",
IF(ISNUMBER(SEARCH("SINTETICA DELGADA",Inventario!B139)),"SD",
IF(ISNUMBER(SEARCH("SINTETICA GRUESA",Inventario!B139)),"SG",
IF(ISNUMBER(SEARCH("ESTATICO",Inventario!B139)),"EST",
IF(ISNUMBER(SEARCH("FLOOR",Inventario!B139)),"FLO",
IF(ISNUMBER(SEARCH("REFLECTIVO",Inventario!B139)),"REF",
IF(ISNUMBER(SEARCH("MICROPERFORADO",Inventario!B139)),"MI",
IF(ISNUMBER(SEARCH("CEPILLADO",Inventario!B139)),"CEP",
IF(ISNUMBER(SEARCH("ESPEJO",Inventario!B139)),"ESP",
IF(OR(ISNUMBER(SEARCH("UNIDIODO",Inventario!B139)),ISNUMBER(SEARCH("1 DIODO",Inventario!B139))),"1D",
IF(ISNUMBER(SEARCH("2 DIODOS",Inventario!B139)),"2D",
IF(ISNUMBER(SEARCH("3 DIODOS",Inventario!B139)),"3D","")))))))))))))))))</f>
        <v/>
      </c>
      <c r="D140" t="str">
        <f>IF(ISNUMBER(SEARCH("LX700",Inventario!B139)),"LX7",
IF(ISNUMBER(SEARCH("GRANDO",Inventario!B139)),"GRA",
IF(OR(ISNUMBER(SEARCH("CAMA PLANA",Inventario!B139)),ISNUMBER(SEARCH("FB700",Inventario!B139))),"CP",
IF(ISNUMBER(SEARCH("LX360",Inventario!B139)),"LX3",
IF(ISNUMBER(SEARCH("XEROX",Inventario!B139)),"XER",
IF(ISNUMBER(SEARCH("18 OZ",Inventario!B139)),"18OZ",
IF(ISNUMBER(SEARCH("15 OZ",Inventario!B139)),"15OZ",
IF(OR(ISNUMBER(SEARCH("13 OZ",Inventario!B139)),ISNUMBER(SEARCH("13 ONZAS",Inventario!B139))),"13OZ",
IF(OR(ISNUMBER(SEARCH("9 OZ",Inventario!B139)),ISNUMBER(SEARCH("9 ONZAS",Inventario!B139))),"09OZ","")))))))))</f>
        <v/>
      </c>
      <c r="E140" t="str">
        <f>IF(OR(ISNUMBER(SEARCH("TRANSPARENTE",Inventario!B139)),ISNUMBER(SEARCH("TRANSPARENTES",Inventario!B139))),"TR",
IF(OR(ISNUMBER(SEARCH("BLANCO",Inventario!B139)),ISNUMBER(SEARCH("BCO",Inventario!B139))),"BL",
IF(ISNUMBER(SEARCH("VERDE",Inventario!B139)),"VR",
IF(ISNUMBER(SEARCH("MORADO",Inventario!B139)),"MR",
IF(ISNUMBER(SEARCH("PLATA",Inventario!B139)),"PL",
IF(ISNUMBER(SEARCH("ORO",Inventario!B139)),"OR",
IF(ISNUMBER(SEARCH("AMARILLO",Inventario!B139)),"AM",
IF(ISNUMBER(SEARCH("NARANJA",Inventario!B139)),"NR",
IF(ISNUMBER(SEARCH("NEGRO",Inventario!B139)),"NG",
IF(ISNUMBER(SEARCH("ROJO",Inventario!B139)),"RJ",
IF(ISNUMBER(SEARCH("AZUL",Inventario!B139)),"AZ","")))))))))))</f>
        <v/>
      </c>
      <c r="F140" t="str">
        <f>IF(ISNUMBER(SEARCH("1,2 MM",Inventario!B139)),"1MM2",
IF(OR(ISNUMBER(SEARCH("2 MM",Inventario!B139)),ISNUMBER(SEARCH("2MM",Inventario!B139))),"2MM",
IF(OR(ISNUMBER(SEARCH("3 MM",Inventario!B139)),ISNUMBER(SEARCH("3MM",Inventario!B139))),"3MM",
IF(OR(ISNUMBER(SEARCH("4 MM",Inventario!B139)),ISNUMBER(SEARCH("4MM",Inventario!B139)),ISNUMBER(SEARCH("4 mm",Inventario!B139))),"4MM",
IF(OR(ISNUMBER(SEARCH("5 MM",Inventario!B139)),ISNUMBER(SEARCH("5MM",Inventario!B139))),"5MM",
IF(OR(ISNUMBER(SEARCH("6 MM",Inventario!B139)),ISNUMBER(SEARCH("6MM",Inventario!B139))),"6MM",
IF(OR(ISNUMBER(SEARCH("10 MM",Inventario!B139)),ISNUMBER(SEARCH("10MM",Inventario!B139))),"10MM","")))))))</f>
        <v/>
      </c>
      <c r="G140" t="str">
        <f>IF(ISNUMBER(SEARCH("ALTA RESISTENCIA",Inventario!B139)),"AR",IF(ISNUMBER(SEARCH("CAMPAÑA",Inventario!B139)),"CA",
IF(OR(ISNUMBER(SEARCH("CALIDO",Inventario!B139)),ISNUMBER(SEARCH("CÁLIDO",Inventario!B139))),"C",
IF(OR(ISNUMBER(SEARCH("TRASLUCIDO",Inventario!B139)),ISNUMBER(SEARCH("TRANSLUCIDO",Inventario!B139))),"TL",
IF(ISNUMBER(SEARCH("NEUTRO",Inventario!B139)),"N",
IF(ISNUMBER(SEARCH("FRIO",Inventario!B139)),"F",""))))))</f>
        <v/>
      </c>
      <c r="H140" t="str">
        <f>IF(ISNUMBER(SEARCH("SILED",Inventario!B139)),"SI",
IF(ISNUMBER(SEARCH("SYDEMEX",Inventario!B139)),"SY",
IF(ISNUMBER(SEARCH("ROHS",Inventario!B139)),"RO",
IF(ISNUMBER(SEARCH("RISHANG",Inventario!B139)),"RS",
IF(ISNUMBER(SEARCH("VYG",Inventario!B139)),"VYG",
IF(ISNUMBER(SEARCH("COLED",Inventario!B139)),"CO",""))))))</f>
        <v/>
      </c>
    </row>
    <row r="141" spans="1:8">
      <c r="A141" t="str">
        <f>IF(ISNUMBER(SEARCH("LONA",Inventario!B140)),"LON",
IF(ISNUMBER(SEARCH("VINIL",Inventario!B140)),"VIN",
IF(ISNUMBER(SEARCH("PANEL DE ALUMINIO COMPUESTO",Inventario!B140)),"PAN-ALU-COM",
IF(ISNUMBER(SEARCH("PVC",Inventario!B140)),"PVC",
IF(ISNUMBER(SEARCH("PAPEL",Inventario!B140)),"PAP",
IF(ISNUMBER(SEARCH("TELA",Inventario!B140)),"TEL",
IF(ISNUMBER(SEARCH("CARTULINA",Inventario!B140)),"CAR",
IF(OR(ISNUMBER(SEARCH("LAMINA",Inventario!B140)),ISNUMBER(SEARCH("LÁMINA",Inventario!B140))),"LAM",
IF(ISNUMBER(SEARCH("ESTIRENO",Inventario!B140)),"EST",
IF(ISNUMBER(SEARCH("FOAMBOARD",Inventario!B140)),"FOA",
IF(ISNUMBER(SEARCH("SOLVENTE",Inventario!B140)),"SOL",
IF(ISNUMBER(SEARCH("TINTA",Inventario!B140)),"TIN",
IF(ISNUMBER(SEARCH("ACRILICO",Inventario!B140)),"ACR",
IF(ISNUMBER(SEARCH("LED",Inventario!B140)),"LED",
IF(ISNUMBER(SEARCH("FUENTE",Inventario!B140)),"FUE",
IF(ISNUMBER(SEARCH("PETG",Inventario!B140)),"PET",
IF(ISNUMBER(SEARCH("ALUMINIO",Inventario!B140)),"ALU",
IF(ISNUMBER(SEARCH("CANAL",Inventario!B140)),"CAN",
IF(ISNUMBER(SEARCH("ESCUADRA",Inventario!B140)),"ESC",
IF(ISNUMBER(SEARCH("SOPORTE",Inventario!B140)),"SOP","OTR")
)))))))))))))))))))</f>
        <v>VIN</v>
      </c>
      <c r="B141" t="str">
        <f>IF(ISNUMBER(SEARCH("CORTE",Inventario!B140)),"COR",
IF(ISNUMBER(SEARCH("CRISTAL",Inventario!B140)),"CR",
IF(OR(ISNUMBER(SEARCH("OPTICO",Inventario!B140)),ISNUMBER(SEARCH("OPTICOS",Inventario!B140)),ISNUMBER(SEARCH("OPTICA",Inventario!B140))),"OP",
IF(ISNUMBER(SEARCH("NANO",Inventario!B140)),"NA",
IF(ISNUMBER(SEARCH("5050",Inventario!B140)),"5050",
IF(ISNUMBER(SEARCH("MICRO",Inventario!B140)),"MI",""))))))</f>
        <v>COR</v>
      </c>
      <c r="C141" t="str">
        <f>IF(ISNUMBER(SEARCH("PARED",Inventario!B140)),"PAR",IF(ISNUMBER(SEARCH("MATE",Inventario!B140)),"MAT",
IF(ISNUMBER(SEARCH("FRONT",Inventario!B140)),"FRO",
IF(ISNUMBER(SEARCH("BACK",Inventario!B140)),"BAC",
IF(ISNUMBER(SEARCH("MESH",Inventario!B140)),"MES",
IF(OR(ISNUMBER(SEARCH("BRILLANTE",Inventario!B140)),ISNUMBER(SEARCH("BTE",Inventario!B140))),"BRI",
IF(ISNUMBER(SEARCH("SINTETICA DELGADA",Inventario!B140)),"SD",
IF(ISNUMBER(SEARCH("SINTETICA GRUESA",Inventario!B140)),"SG",
IF(ISNUMBER(SEARCH("ESTATICO",Inventario!B140)),"EST",
IF(ISNUMBER(SEARCH("FLOOR",Inventario!B140)),"FLO",
IF(ISNUMBER(SEARCH("REFLECTIVO",Inventario!B140)),"REF",
IF(ISNUMBER(SEARCH("MICROPERFORADO",Inventario!B140)),"MI",
IF(ISNUMBER(SEARCH("CEPILLADO",Inventario!B140)),"CEP",
IF(ISNUMBER(SEARCH("ESPEJO",Inventario!B140)),"ESP",
IF(OR(ISNUMBER(SEARCH("UNIDIODO",Inventario!B140)),ISNUMBER(SEARCH("1 DIODO",Inventario!B140))),"1D",
IF(ISNUMBER(SEARCH("2 DIODOS",Inventario!B140)),"2D",
IF(ISNUMBER(SEARCH("3 DIODOS",Inventario!B140)),"3D","")))))))))))))))))</f>
        <v>BRI</v>
      </c>
      <c r="D141" t="str">
        <f>IF(ISNUMBER(SEARCH("LX700",Inventario!B140)),"LX7",
IF(ISNUMBER(SEARCH("GRANDO",Inventario!B140)),"GRA",
IF(OR(ISNUMBER(SEARCH("CAMA PLANA",Inventario!B140)),ISNUMBER(SEARCH("FB700",Inventario!B140))),"CP",
IF(ISNUMBER(SEARCH("LX360",Inventario!B140)),"LX3",
IF(ISNUMBER(SEARCH("XEROX",Inventario!B140)),"XER",
IF(ISNUMBER(SEARCH("18 OZ",Inventario!B140)),"18OZ",
IF(ISNUMBER(SEARCH("15 OZ",Inventario!B140)),"15OZ",
IF(OR(ISNUMBER(SEARCH("13 OZ",Inventario!B140)),ISNUMBER(SEARCH("13 ONZAS",Inventario!B140))),"13OZ",
IF(OR(ISNUMBER(SEARCH("9 OZ",Inventario!B140)),ISNUMBER(SEARCH("9 ONZAS",Inventario!B140))),"09OZ","")))))))))</f>
        <v/>
      </c>
      <c r="E141" t="str">
        <f>IF(OR(ISNUMBER(SEARCH("TRANSPARENTE",Inventario!B140)),ISNUMBER(SEARCH("TRANSPARENTES",Inventario!B140))),"TR",
IF(OR(ISNUMBER(SEARCH("BLANCO",Inventario!B140)),ISNUMBER(SEARCH("BCO",Inventario!B140))),"BL",
IF(ISNUMBER(SEARCH("VERDE",Inventario!B140)),"VR",
IF(ISNUMBER(SEARCH("MORADO",Inventario!B140)),"MR",
IF(ISNUMBER(SEARCH("PLATA",Inventario!B140)),"PL",
IF(ISNUMBER(SEARCH("ORO",Inventario!B140)),"OR",
IF(ISNUMBER(SEARCH("AMARILLO",Inventario!B140)),"AM",
IF(ISNUMBER(SEARCH("NARANJA",Inventario!B140)),"NR",
IF(ISNUMBER(SEARCH("NEGRO",Inventario!B140)),"NG",
IF(ISNUMBER(SEARCH("ROJO",Inventario!B140)),"RJ",
IF(ISNUMBER(SEARCH("AZUL",Inventario!B140)),"AZ","")))))))))))</f>
        <v>BL</v>
      </c>
      <c r="F141" t="str">
        <f>IF(ISNUMBER(SEARCH("1,2 MM",Inventario!B140)),"1MM2",
IF(OR(ISNUMBER(SEARCH("2 MM",Inventario!B140)),ISNUMBER(SEARCH("2MM",Inventario!B140))),"2MM",
IF(OR(ISNUMBER(SEARCH("3 MM",Inventario!B140)),ISNUMBER(SEARCH("3MM",Inventario!B140))),"3MM",
IF(OR(ISNUMBER(SEARCH("4 MM",Inventario!B140)),ISNUMBER(SEARCH("4MM",Inventario!B140)),ISNUMBER(SEARCH("4 mm",Inventario!B140))),"4MM",
IF(OR(ISNUMBER(SEARCH("5 MM",Inventario!B140)),ISNUMBER(SEARCH("5MM",Inventario!B140))),"5MM",
IF(OR(ISNUMBER(SEARCH("6 MM",Inventario!B140)),ISNUMBER(SEARCH("6MM",Inventario!B140))),"6MM",
IF(OR(ISNUMBER(SEARCH("10 MM",Inventario!B140)),ISNUMBER(SEARCH("10MM",Inventario!B140))),"10MM","")))))))</f>
        <v/>
      </c>
      <c r="G141" t="str">
        <f>IF(ISNUMBER(SEARCH("ALTA RESISTENCIA",Inventario!B140)),"AR",IF(ISNUMBER(SEARCH("CAMPAÑA",Inventario!B140)),"CA",
IF(OR(ISNUMBER(SEARCH("CALIDO",Inventario!B140)),ISNUMBER(SEARCH("CÁLIDO",Inventario!B140))),"C",
IF(OR(ISNUMBER(SEARCH("TRASLUCIDO",Inventario!B140)),ISNUMBER(SEARCH("TRANSLUCIDO",Inventario!B140))),"TL",
IF(ISNUMBER(SEARCH("NEUTRO",Inventario!B140)),"N",
IF(ISNUMBER(SEARCH("FRIO",Inventario!B140)),"F",""))))))</f>
        <v/>
      </c>
      <c r="H141" t="str">
        <f>IF(ISNUMBER(SEARCH("SILED",Inventario!B140)),"SI",
IF(ISNUMBER(SEARCH("SYDEMEX",Inventario!B140)),"SY",
IF(ISNUMBER(SEARCH("ROHS",Inventario!B140)),"RO",
IF(ISNUMBER(SEARCH("RISHANG",Inventario!B140)),"RS",
IF(ISNUMBER(SEARCH("VYG",Inventario!B140)),"VYG",
IF(ISNUMBER(SEARCH("COLED",Inventario!B140)),"CO",""))))))</f>
        <v/>
      </c>
    </row>
    <row r="142" spans="1:8">
      <c r="A142" t="str">
        <f>IF(ISNUMBER(SEARCH("LONA",Inventario!B141)),"LON",
IF(ISNUMBER(SEARCH("VINIL",Inventario!B141)),"VIN",
IF(ISNUMBER(SEARCH("PANEL DE ALUMINIO COMPUESTO",Inventario!B141)),"PAN-ALU-COM",
IF(ISNUMBER(SEARCH("PVC",Inventario!B141)),"PVC",
IF(ISNUMBER(SEARCH("PAPEL",Inventario!B141)),"PAP",
IF(ISNUMBER(SEARCH("TELA",Inventario!B141)),"TEL",
IF(ISNUMBER(SEARCH("CARTULINA",Inventario!B141)),"CAR",
IF(OR(ISNUMBER(SEARCH("LAMINA",Inventario!B141)),ISNUMBER(SEARCH("LÁMINA",Inventario!B141))),"LAM",
IF(ISNUMBER(SEARCH("ESTIRENO",Inventario!B141)),"EST",
IF(ISNUMBER(SEARCH("FOAMBOARD",Inventario!B141)),"FOA",
IF(ISNUMBER(SEARCH("SOLVENTE",Inventario!B141)),"SOL",
IF(ISNUMBER(SEARCH("TINTA",Inventario!B141)),"TIN",
IF(ISNUMBER(SEARCH("ACRILICO",Inventario!B141)),"ACR",
IF(ISNUMBER(SEARCH("LED",Inventario!B141)),"LED",
IF(ISNUMBER(SEARCH("FUENTE",Inventario!B141)),"FUE",
IF(ISNUMBER(SEARCH("PETG",Inventario!B141)),"PET",
IF(ISNUMBER(SEARCH("ALUMINIO",Inventario!B141)),"ALU",
IF(ISNUMBER(SEARCH("CANAL",Inventario!B141)),"CAN",
IF(ISNUMBER(SEARCH("ESCUADRA",Inventario!B141)),"ESC",
IF(ISNUMBER(SEARCH("SOPORTE",Inventario!B141)),"SOP","OTR")
)))))))))))))))))))</f>
        <v>VIN</v>
      </c>
      <c r="B142" t="str">
        <f>IF(ISNUMBER(SEARCH("CORTE",Inventario!B141)),"COR",
IF(ISNUMBER(SEARCH("CRISTAL",Inventario!B141)),"CR",
IF(OR(ISNUMBER(SEARCH("OPTICO",Inventario!B141)),ISNUMBER(SEARCH("OPTICOS",Inventario!B141)),ISNUMBER(SEARCH("OPTICA",Inventario!B141))),"OP",
IF(ISNUMBER(SEARCH("NANO",Inventario!B141)),"NA",
IF(ISNUMBER(SEARCH("5050",Inventario!B141)),"5050",
IF(ISNUMBER(SEARCH("MICRO",Inventario!B141)),"MI",""))))))</f>
        <v>COR</v>
      </c>
      <c r="C142" t="str">
        <f>IF(ISNUMBER(SEARCH("PARED",Inventario!B141)),"PAR",IF(ISNUMBER(SEARCH("MATE",Inventario!B141)),"MAT",
IF(ISNUMBER(SEARCH("FRONT",Inventario!B141)),"FRO",
IF(ISNUMBER(SEARCH("BACK",Inventario!B141)),"BAC",
IF(ISNUMBER(SEARCH("MESH",Inventario!B141)),"MES",
IF(OR(ISNUMBER(SEARCH("BRILLANTE",Inventario!B141)),ISNUMBER(SEARCH("BTE",Inventario!B141))),"BRI",
IF(ISNUMBER(SEARCH("SINTETICA DELGADA",Inventario!B141)),"SD",
IF(ISNUMBER(SEARCH("SINTETICA GRUESA",Inventario!B141)),"SG",
IF(ISNUMBER(SEARCH("ESTATICO",Inventario!B141)),"EST",
IF(ISNUMBER(SEARCH("FLOOR",Inventario!B141)),"FLO",
IF(ISNUMBER(SEARCH("REFLECTIVO",Inventario!B141)),"REF",
IF(ISNUMBER(SEARCH("MICROPERFORADO",Inventario!B141)),"MI",
IF(ISNUMBER(SEARCH("CEPILLADO",Inventario!B141)),"CEP",
IF(ISNUMBER(SEARCH("ESPEJO",Inventario!B141)),"ESP",
IF(OR(ISNUMBER(SEARCH("UNIDIODO",Inventario!B141)),ISNUMBER(SEARCH("1 DIODO",Inventario!B141))),"1D",
IF(ISNUMBER(SEARCH("2 DIODOS",Inventario!B141)),"2D",
IF(ISNUMBER(SEARCH("3 DIODOS",Inventario!B141)),"3D","")))))))))))))))))</f>
        <v>MAT</v>
      </c>
      <c r="D142" t="str">
        <f>IF(ISNUMBER(SEARCH("LX700",Inventario!B141)),"LX7",
IF(ISNUMBER(SEARCH("GRANDO",Inventario!B141)),"GRA",
IF(OR(ISNUMBER(SEARCH("CAMA PLANA",Inventario!B141)),ISNUMBER(SEARCH("FB700",Inventario!B141))),"CP",
IF(ISNUMBER(SEARCH("LX360",Inventario!B141)),"LX3",
IF(ISNUMBER(SEARCH("XEROX",Inventario!B141)),"XER",
IF(ISNUMBER(SEARCH("18 OZ",Inventario!B141)),"18OZ",
IF(ISNUMBER(SEARCH("15 OZ",Inventario!B141)),"15OZ",
IF(OR(ISNUMBER(SEARCH("13 OZ",Inventario!B141)),ISNUMBER(SEARCH("13 ONZAS",Inventario!B141))),"13OZ",
IF(OR(ISNUMBER(SEARCH("9 OZ",Inventario!B141)),ISNUMBER(SEARCH("9 ONZAS",Inventario!B141))),"09OZ","")))))))))</f>
        <v/>
      </c>
      <c r="E142" t="str">
        <f>IF(OR(ISNUMBER(SEARCH("TRANSPARENTE",Inventario!B141)),ISNUMBER(SEARCH("TRANSPARENTES",Inventario!B141))),"TR",
IF(OR(ISNUMBER(SEARCH("BLANCO",Inventario!B141)),ISNUMBER(SEARCH("BCO",Inventario!B141))),"BL",
IF(ISNUMBER(SEARCH("VERDE",Inventario!B141)),"VR",
IF(ISNUMBER(SEARCH("MORADO",Inventario!B141)),"MR",
IF(ISNUMBER(SEARCH("PLATA",Inventario!B141)),"PL",
IF(ISNUMBER(SEARCH("ORO",Inventario!B141)),"OR",
IF(ISNUMBER(SEARCH("AMARILLO",Inventario!B141)),"AM",
IF(ISNUMBER(SEARCH("NARANJA",Inventario!B141)),"NR",
IF(ISNUMBER(SEARCH("NEGRO",Inventario!B141)),"NG",
IF(ISNUMBER(SEARCH("ROJO",Inventario!B141)),"RJ",
IF(ISNUMBER(SEARCH("AZUL",Inventario!B141)),"AZ","")))))))))))</f>
        <v>BL</v>
      </c>
      <c r="F142" t="str">
        <f>IF(ISNUMBER(SEARCH("1,2 MM",Inventario!B141)),"1MM2",
IF(OR(ISNUMBER(SEARCH("2 MM",Inventario!B141)),ISNUMBER(SEARCH("2MM",Inventario!B141))),"2MM",
IF(OR(ISNUMBER(SEARCH("3 MM",Inventario!B141)),ISNUMBER(SEARCH("3MM",Inventario!B141))),"3MM",
IF(OR(ISNUMBER(SEARCH("4 MM",Inventario!B141)),ISNUMBER(SEARCH("4MM",Inventario!B141)),ISNUMBER(SEARCH("4 mm",Inventario!B141))),"4MM",
IF(OR(ISNUMBER(SEARCH("5 MM",Inventario!B141)),ISNUMBER(SEARCH("5MM",Inventario!B141))),"5MM",
IF(OR(ISNUMBER(SEARCH("6 MM",Inventario!B141)),ISNUMBER(SEARCH("6MM",Inventario!B141))),"6MM",
IF(OR(ISNUMBER(SEARCH("10 MM",Inventario!B141)),ISNUMBER(SEARCH("10MM",Inventario!B141))),"10MM","")))))))</f>
        <v/>
      </c>
      <c r="G142" t="str">
        <f>IF(ISNUMBER(SEARCH("ALTA RESISTENCIA",Inventario!B141)),"AR",IF(ISNUMBER(SEARCH("CAMPAÑA",Inventario!B141)),"CA",
IF(OR(ISNUMBER(SEARCH("CALIDO",Inventario!B141)),ISNUMBER(SEARCH("CÁLIDO",Inventario!B141))),"C",
IF(OR(ISNUMBER(SEARCH("TRASLUCIDO",Inventario!B141)),ISNUMBER(SEARCH("TRANSLUCIDO",Inventario!B141))),"TL",
IF(ISNUMBER(SEARCH("NEUTRO",Inventario!B141)),"N",
IF(ISNUMBER(SEARCH("FRIO",Inventario!B141)),"F",""))))))</f>
        <v/>
      </c>
      <c r="H142" t="str">
        <f>IF(ISNUMBER(SEARCH("SILED",Inventario!B141)),"SI",
IF(ISNUMBER(SEARCH("SYDEMEX",Inventario!B141)),"SY",
IF(ISNUMBER(SEARCH("ROHS",Inventario!B141)),"RO",
IF(ISNUMBER(SEARCH("RISHANG",Inventario!B141)),"RS",
IF(ISNUMBER(SEARCH("VYG",Inventario!B141)),"VYG",
IF(ISNUMBER(SEARCH("COLED",Inventario!B141)),"CO",""))))))</f>
        <v/>
      </c>
    </row>
    <row r="143" spans="1:8">
      <c r="A143" t="str">
        <f>IF(ISNUMBER(SEARCH("LONA",Inventario!B142)),"LON",
IF(ISNUMBER(SEARCH("VINIL",Inventario!B142)),"VIN",
IF(ISNUMBER(SEARCH("PANEL DE ALUMINIO COMPUESTO",Inventario!B142)),"PAN-ALU-COM",
IF(ISNUMBER(SEARCH("PVC",Inventario!B142)),"PVC",
IF(ISNUMBER(SEARCH("PAPEL",Inventario!B142)),"PAP",
IF(ISNUMBER(SEARCH("TELA",Inventario!B142)),"TEL",
IF(ISNUMBER(SEARCH("CARTULINA",Inventario!B142)),"CAR",
IF(OR(ISNUMBER(SEARCH("LAMINA",Inventario!B142)),ISNUMBER(SEARCH("LÁMINA",Inventario!B142))),"LAM",
IF(ISNUMBER(SEARCH("ESTIRENO",Inventario!B142)),"EST",
IF(ISNUMBER(SEARCH("FOAMBOARD",Inventario!B142)),"FOA",
IF(ISNUMBER(SEARCH("SOLVENTE",Inventario!B142)),"SOL",
IF(ISNUMBER(SEARCH("TINTA",Inventario!B142)),"TIN",
IF(ISNUMBER(SEARCH("ACRILICO",Inventario!B142)),"ACR",
IF(ISNUMBER(SEARCH("LED",Inventario!B142)),"LED",
IF(ISNUMBER(SEARCH("FUENTE",Inventario!B142)),"FUE",
IF(ISNUMBER(SEARCH("PETG",Inventario!B142)),"PET",
IF(ISNUMBER(SEARCH("ALUMINIO",Inventario!B142)),"ALU",
IF(ISNUMBER(SEARCH("CANAL",Inventario!B142)),"CAN",
IF(ISNUMBER(SEARCH("ESCUADRA",Inventario!B142)),"ESC",
IF(ISNUMBER(SEARCH("SOPORTE",Inventario!B142)),"SOP","OTR")
)))))))))))))))))))</f>
        <v>VIN</v>
      </c>
      <c r="B143" t="str">
        <f>IF(ISNUMBER(SEARCH("CORTE",Inventario!B142)),"COR",
IF(ISNUMBER(SEARCH("CRISTAL",Inventario!B142)),"CR",
IF(OR(ISNUMBER(SEARCH("OPTICO",Inventario!B142)),ISNUMBER(SEARCH("OPTICOS",Inventario!B142)),ISNUMBER(SEARCH("OPTICA",Inventario!B142))),"OP",
IF(ISNUMBER(SEARCH("NANO",Inventario!B142)),"NA",
IF(ISNUMBER(SEARCH("5050",Inventario!B142)),"5050",
IF(ISNUMBER(SEARCH("MICRO",Inventario!B142)),"MI",""))))))</f>
        <v>COR</v>
      </c>
      <c r="C143" t="str">
        <f>IF(ISNUMBER(SEARCH("PARED",Inventario!B142)),"PAR",IF(ISNUMBER(SEARCH("MATE",Inventario!B142)),"MAT",
IF(ISNUMBER(SEARCH("FRONT",Inventario!B142)),"FRO",
IF(ISNUMBER(SEARCH("BACK",Inventario!B142)),"BAC",
IF(ISNUMBER(SEARCH("MESH",Inventario!B142)),"MES",
IF(OR(ISNUMBER(SEARCH("BRILLANTE",Inventario!B142)),ISNUMBER(SEARCH("BTE",Inventario!B142))),"BRI",
IF(ISNUMBER(SEARCH("SINTETICA DELGADA",Inventario!B142)),"SD",
IF(ISNUMBER(SEARCH("SINTETICA GRUESA",Inventario!B142)),"SG",
IF(ISNUMBER(SEARCH("ESTATICO",Inventario!B142)),"EST",
IF(ISNUMBER(SEARCH("FLOOR",Inventario!B142)),"FLO",
IF(ISNUMBER(SEARCH("REFLECTIVO",Inventario!B142)),"REF",
IF(ISNUMBER(SEARCH("MICROPERFORADO",Inventario!B142)),"MI",
IF(ISNUMBER(SEARCH("CEPILLADO",Inventario!B142)),"CEP",
IF(ISNUMBER(SEARCH("ESPEJO",Inventario!B142)),"ESP",
IF(OR(ISNUMBER(SEARCH("UNIDIODO",Inventario!B142)),ISNUMBER(SEARCH("1 DIODO",Inventario!B142))),"1D",
IF(ISNUMBER(SEARCH("2 DIODOS",Inventario!B142)),"2D",
IF(ISNUMBER(SEARCH("3 DIODOS",Inventario!B142)),"3D","")))))))))))))))))</f>
        <v/>
      </c>
      <c r="D143" t="str">
        <f>IF(ISNUMBER(SEARCH("LX700",Inventario!B142)),"LX7",
IF(ISNUMBER(SEARCH("GRANDO",Inventario!B142)),"GRA",
IF(OR(ISNUMBER(SEARCH("CAMA PLANA",Inventario!B142)),ISNUMBER(SEARCH("FB700",Inventario!B142))),"CP",
IF(ISNUMBER(SEARCH("LX360",Inventario!B142)),"LX3",
IF(ISNUMBER(SEARCH("XEROX",Inventario!B142)),"XER",
IF(ISNUMBER(SEARCH("18 OZ",Inventario!B142)),"18OZ",
IF(ISNUMBER(SEARCH("15 OZ",Inventario!B142)),"15OZ",
IF(OR(ISNUMBER(SEARCH("13 OZ",Inventario!B142)),ISNUMBER(SEARCH("13 ONZAS",Inventario!B142))),"13OZ",
IF(OR(ISNUMBER(SEARCH("9 OZ",Inventario!B142)),ISNUMBER(SEARCH("9 ONZAS",Inventario!B142))),"09OZ","")))))))))</f>
        <v/>
      </c>
      <c r="E143" t="str">
        <f>IF(OR(ISNUMBER(SEARCH("TRANSPARENTE",Inventario!B142)),ISNUMBER(SEARCH("TRANSPARENTES",Inventario!B142))),"TR",
IF(OR(ISNUMBER(SEARCH("BLANCO",Inventario!B142)),ISNUMBER(SEARCH("BCO",Inventario!B142))),"BL",
IF(ISNUMBER(SEARCH("VERDE",Inventario!B142)),"VR",
IF(ISNUMBER(SEARCH("MORADO",Inventario!B142)),"MR",
IF(ISNUMBER(SEARCH("PLATA",Inventario!B142)),"PL",
IF(ISNUMBER(SEARCH("ORO",Inventario!B142)),"OR",
IF(ISNUMBER(SEARCH("AMARILLO",Inventario!B142)),"AM",
IF(ISNUMBER(SEARCH("NARANJA",Inventario!B142)),"NR",
IF(ISNUMBER(SEARCH("NEGRO",Inventario!B142)),"NG",
IF(ISNUMBER(SEARCH("ROJO",Inventario!B142)),"RJ",
IF(ISNUMBER(SEARCH("AZUL",Inventario!B142)),"AZ","")))))))))))</f>
        <v/>
      </c>
      <c r="F143" t="str">
        <f>IF(ISNUMBER(SEARCH("1,2 MM",Inventario!B142)),"1MM2",
IF(OR(ISNUMBER(SEARCH("2 MM",Inventario!B142)),ISNUMBER(SEARCH("2MM",Inventario!B142))),"2MM",
IF(OR(ISNUMBER(SEARCH("3 MM",Inventario!B142)),ISNUMBER(SEARCH("3MM",Inventario!B142))),"3MM",
IF(OR(ISNUMBER(SEARCH("4 MM",Inventario!B142)),ISNUMBER(SEARCH("4MM",Inventario!B142)),ISNUMBER(SEARCH("4 mm",Inventario!B142))),"4MM",
IF(OR(ISNUMBER(SEARCH("5 MM",Inventario!B142)),ISNUMBER(SEARCH("5MM",Inventario!B142))),"5MM",
IF(OR(ISNUMBER(SEARCH("6 MM",Inventario!B142)),ISNUMBER(SEARCH("6MM",Inventario!B142))),"6MM",
IF(OR(ISNUMBER(SEARCH("10 MM",Inventario!B142)),ISNUMBER(SEARCH("10MM",Inventario!B142))),"10MM","")))))))</f>
        <v/>
      </c>
      <c r="G143" t="str">
        <f>IF(ISNUMBER(SEARCH("ALTA RESISTENCIA",Inventario!B142)),"AR",IF(ISNUMBER(SEARCH("CAMPAÑA",Inventario!B142)),"CA",
IF(OR(ISNUMBER(SEARCH("CALIDO",Inventario!B142)),ISNUMBER(SEARCH("CÁLIDO",Inventario!B142))),"C",
IF(OR(ISNUMBER(SEARCH("TRASLUCIDO",Inventario!B142)),ISNUMBER(SEARCH("TRANSLUCIDO",Inventario!B142))),"TL",
IF(ISNUMBER(SEARCH("NEUTRO",Inventario!B142)),"N",
IF(ISNUMBER(SEARCH("FRIO",Inventario!B142)),"F",""))))))</f>
        <v/>
      </c>
      <c r="H143" t="str">
        <f>IF(ISNUMBER(SEARCH("SILED",Inventario!B142)),"SI",
IF(ISNUMBER(SEARCH("SYDEMEX",Inventario!B142)),"SY",
IF(ISNUMBER(SEARCH("ROHS",Inventario!B142)),"RO",
IF(ISNUMBER(SEARCH("RISHANG",Inventario!B142)),"RS",
IF(ISNUMBER(SEARCH("VYG",Inventario!B142)),"VYG",
IF(ISNUMBER(SEARCH("COLED",Inventario!B142)),"CO",""))))))</f>
        <v/>
      </c>
    </row>
    <row r="144" spans="1:8">
      <c r="A144" t="str">
        <f>IF(ISNUMBER(SEARCH("LONA",Inventario!B143)),"LON",
IF(ISNUMBER(SEARCH("VINIL",Inventario!B143)),"VIN",
IF(ISNUMBER(SEARCH("PANEL DE ALUMINIO COMPUESTO",Inventario!B143)),"PAN-ALU-COM",
IF(ISNUMBER(SEARCH("PVC",Inventario!B143)),"PVC",
IF(ISNUMBER(SEARCH("PAPEL",Inventario!B143)),"PAP",
IF(ISNUMBER(SEARCH("TELA",Inventario!B143)),"TEL",
IF(ISNUMBER(SEARCH("CARTULINA",Inventario!B143)),"CAR",
IF(OR(ISNUMBER(SEARCH("LAMINA",Inventario!B143)),ISNUMBER(SEARCH("LÁMINA",Inventario!B143))),"LAM",
IF(ISNUMBER(SEARCH("ESTIRENO",Inventario!B143)),"EST",
IF(ISNUMBER(SEARCH("FOAMBOARD",Inventario!B143)),"FOA",
IF(ISNUMBER(SEARCH("SOLVENTE",Inventario!B143)),"SOL",
IF(ISNUMBER(SEARCH("TINTA",Inventario!B143)),"TIN",
IF(ISNUMBER(SEARCH("ACRILICO",Inventario!B143)),"ACR",
IF(ISNUMBER(SEARCH("LED",Inventario!B143)),"LED",
IF(ISNUMBER(SEARCH("FUENTE",Inventario!B143)),"FUE",
IF(ISNUMBER(SEARCH("PETG",Inventario!B143)),"PET",
IF(ISNUMBER(SEARCH("ALUMINIO",Inventario!B143)),"ALU",
IF(ISNUMBER(SEARCH("CANAL",Inventario!B143)),"CAN",
IF(ISNUMBER(SEARCH("ESCUADRA",Inventario!B143)),"ESC",
IF(ISNUMBER(SEARCH("SOPORTE",Inventario!B143)),"SOP","OTR")
)))))))))))))))))))</f>
        <v>VIN</v>
      </c>
      <c r="B144" t="str">
        <f>IF(ISNUMBER(SEARCH("CORTE",Inventario!B143)),"COR",
IF(ISNUMBER(SEARCH("CRISTAL",Inventario!B143)),"CR",
IF(OR(ISNUMBER(SEARCH("OPTICO",Inventario!B143)),ISNUMBER(SEARCH("OPTICOS",Inventario!B143)),ISNUMBER(SEARCH("OPTICA",Inventario!B143))),"OP",
IF(ISNUMBER(SEARCH("NANO",Inventario!B143)),"NA",
IF(ISNUMBER(SEARCH("5050",Inventario!B143)),"5050",
IF(ISNUMBER(SEARCH("MICRO",Inventario!B143)),"MI",""))))))</f>
        <v>COR</v>
      </c>
      <c r="C144" t="str">
        <f>IF(ISNUMBER(SEARCH("PARED",Inventario!B143)),"PAR",IF(ISNUMBER(SEARCH("MATE",Inventario!B143)),"MAT",
IF(ISNUMBER(SEARCH("FRONT",Inventario!B143)),"FRO",
IF(ISNUMBER(SEARCH("BACK",Inventario!B143)),"BAC",
IF(ISNUMBER(SEARCH("MESH",Inventario!B143)),"MES",
IF(OR(ISNUMBER(SEARCH("BRILLANTE",Inventario!B143)),ISNUMBER(SEARCH("BTE",Inventario!B143))),"BRI",
IF(ISNUMBER(SEARCH("SINTETICA DELGADA",Inventario!B143)),"SD",
IF(ISNUMBER(SEARCH("SINTETICA GRUESA",Inventario!B143)),"SG",
IF(ISNUMBER(SEARCH("ESTATICO",Inventario!B143)),"EST",
IF(ISNUMBER(SEARCH("FLOOR",Inventario!B143)),"FLO",
IF(ISNUMBER(SEARCH("REFLECTIVO",Inventario!B143)),"REF",
IF(ISNUMBER(SEARCH("MICROPERFORADO",Inventario!B143)),"MI",
IF(ISNUMBER(SEARCH("CEPILLADO",Inventario!B143)),"CEP",
IF(ISNUMBER(SEARCH("ESPEJO",Inventario!B143)),"ESP",
IF(OR(ISNUMBER(SEARCH("UNIDIODO",Inventario!B143)),ISNUMBER(SEARCH("1 DIODO",Inventario!B143))),"1D",
IF(ISNUMBER(SEARCH("2 DIODOS",Inventario!B143)),"2D",
IF(ISNUMBER(SEARCH("3 DIODOS",Inventario!B143)),"3D","")))))))))))))))))</f>
        <v/>
      </c>
      <c r="D144" t="str">
        <f>IF(ISNUMBER(SEARCH("LX700",Inventario!B143)),"LX7",
IF(ISNUMBER(SEARCH("GRANDO",Inventario!B143)),"GRA",
IF(OR(ISNUMBER(SEARCH("CAMA PLANA",Inventario!B143)),ISNUMBER(SEARCH("FB700",Inventario!B143))),"CP",
IF(ISNUMBER(SEARCH("LX360",Inventario!B143)),"LX3",
IF(ISNUMBER(SEARCH("XEROX",Inventario!B143)),"XER",
IF(ISNUMBER(SEARCH("18 OZ",Inventario!B143)),"18OZ",
IF(ISNUMBER(SEARCH("15 OZ",Inventario!B143)),"15OZ",
IF(OR(ISNUMBER(SEARCH("13 OZ",Inventario!B143)),ISNUMBER(SEARCH("13 ONZAS",Inventario!B143))),"13OZ",
IF(OR(ISNUMBER(SEARCH("9 OZ",Inventario!B143)),ISNUMBER(SEARCH("9 ONZAS",Inventario!B143))),"09OZ","")))))))))</f>
        <v/>
      </c>
      <c r="E144" t="str">
        <f>IF(OR(ISNUMBER(SEARCH("TRANSPARENTE",Inventario!B143)),ISNUMBER(SEARCH("TRANSPARENTES",Inventario!B143))),"TR",
IF(OR(ISNUMBER(SEARCH("BLANCO",Inventario!B143)),ISNUMBER(SEARCH("BCO",Inventario!B143))),"BL",
IF(ISNUMBER(SEARCH("VERDE",Inventario!B143)),"VR",
IF(ISNUMBER(SEARCH("MORADO",Inventario!B143)),"MR",
IF(ISNUMBER(SEARCH("PLATA",Inventario!B143)),"PL",
IF(ISNUMBER(SEARCH("ORO",Inventario!B143)),"OR",
IF(ISNUMBER(SEARCH("AMARILLO",Inventario!B143)),"AM",
IF(ISNUMBER(SEARCH("NARANJA",Inventario!B143)),"NR",
IF(ISNUMBER(SEARCH("NEGRO",Inventario!B143)),"NG",
IF(ISNUMBER(SEARCH("ROJO",Inventario!B143)),"RJ",
IF(ISNUMBER(SEARCH("AZUL",Inventario!B143)),"AZ","")))))))))))</f>
        <v/>
      </c>
      <c r="F144" t="str">
        <f>IF(ISNUMBER(SEARCH("1,2 MM",Inventario!B143)),"1MM2",
IF(OR(ISNUMBER(SEARCH("2 MM",Inventario!B143)),ISNUMBER(SEARCH("2MM",Inventario!B143))),"2MM",
IF(OR(ISNUMBER(SEARCH("3 MM",Inventario!B143)),ISNUMBER(SEARCH("3MM",Inventario!B143))),"3MM",
IF(OR(ISNUMBER(SEARCH("4 MM",Inventario!B143)),ISNUMBER(SEARCH("4MM",Inventario!B143)),ISNUMBER(SEARCH("4 mm",Inventario!B143))),"4MM",
IF(OR(ISNUMBER(SEARCH("5 MM",Inventario!B143)),ISNUMBER(SEARCH("5MM",Inventario!B143))),"5MM",
IF(OR(ISNUMBER(SEARCH("6 MM",Inventario!B143)),ISNUMBER(SEARCH("6MM",Inventario!B143))),"6MM",
IF(OR(ISNUMBER(SEARCH("10 MM",Inventario!B143)),ISNUMBER(SEARCH("10MM",Inventario!B143))),"10MM","")))))))</f>
        <v/>
      </c>
      <c r="G144" t="str">
        <f>IF(ISNUMBER(SEARCH("ALTA RESISTENCIA",Inventario!B143)),"AR",IF(ISNUMBER(SEARCH("CAMPAÑA",Inventario!B143)),"CA",
IF(OR(ISNUMBER(SEARCH("CALIDO",Inventario!B143)),ISNUMBER(SEARCH("CÁLIDO",Inventario!B143))),"C",
IF(OR(ISNUMBER(SEARCH("TRASLUCIDO",Inventario!B143)),ISNUMBER(SEARCH("TRANSLUCIDO",Inventario!B143))),"TL",
IF(ISNUMBER(SEARCH("NEUTRO",Inventario!B143)),"N",
IF(ISNUMBER(SEARCH("FRIO",Inventario!B143)),"F",""))))))</f>
        <v/>
      </c>
      <c r="H144" t="str">
        <f>IF(ISNUMBER(SEARCH("SILED",Inventario!B143)),"SI",
IF(ISNUMBER(SEARCH("SYDEMEX",Inventario!B143)),"SY",
IF(ISNUMBER(SEARCH("ROHS",Inventario!B143)),"RO",
IF(ISNUMBER(SEARCH("RISHANG",Inventario!B143)),"RS",
IF(ISNUMBER(SEARCH("VYG",Inventario!B143)),"VYG",
IF(ISNUMBER(SEARCH("COLED",Inventario!B143)),"CO",""))))))</f>
        <v/>
      </c>
    </row>
    <row r="145" spans="1:8">
      <c r="A145" t="str">
        <f>IF(ISNUMBER(SEARCH("LONA",Inventario!B144)),"LON",
IF(ISNUMBER(SEARCH("VINIL",Inventario!B144)),"VIN",
IF(ISNUMBER(SEARCH("PANEL DE ALUMINIO COMPUESTO",Inventario!B144)),"PAN-ALU-COM",
IF(ISNUMBER(SEARCH("PVC",Inventario!B144)),"PVC",
IF(ISNUMBER(SEARCH("PAPEL",Inventario!B144)),"PAP",
IF(ISNUMBER(SEARCH("TELA",Inventario!B144)),"TEL",
IF(ISNUMBER(SEARCH("CARTULINA",Inventario!B144)),"CAR",
IF(OR(ISNUMBER(SEARCH("LAMINA",Inventario!B144)),ISNUMBER(SEARCH("LÁMINA",Inventario!B144))),"LAM",
IF(ISNUMBER(SEARCH("ESTIRENO",Inventario!B144)),"EST",
IF(ISNUMBER(SEARCH("FOAMBOARD",Inventario!B144)),"FOA",
IF(ISNUMBER(SEARCH("SOLVENTE",Inventario!B144)),"SOL",
IF(ISNUMBER(SEARCH("TINTA",Inventario!B144)),"TIN",
IF(ISNUMBER(SEARCH("ACRILICO",Inventario!B144)),"ACR",
IF(ISNUMBER(SEARCH("LED",Inventario!B144)),"LED",
IF(ISNUMBER(SEARCH("FUENTE",Inventario!B144)),"FUE",
IF(ISNUMBER(SEARCH("PETG",Inventario!B144)),"PET",
IF(ISNUMBER(SEARCH("ALUMINIO",Inventario!B144)),"ALU",
IF(ISNUMBER(SEARCH("CANAL",Inventario!B144)),"CAN",
IF(ISNUMBER(SEARCH("ESCUADRA",Inventario!B144)),"ESC",
IF(ISNUMBER(SEARCH("SOPORTE",Inventario!B144)),"SOP","OTR")
)))))))))))))))))))</f>
        <v>VIN</v>
      </c>
      <c r="B145" t="str">
        <f>IF(ISNUMBER(SEARCH("CORTE",Inventario!B144)),"COR",
IF(ISNUMBER(SEARCH("CRISTAL",Inventario!B144)),"CR",
IF(OR(ISNUMBER(SEARCH("OPTICO",Inventario!B144)),ISNUMBER(SEARCH("OPTICOS",Inventario!B144)),ISNUMBER(SEARCH("OPTICA",Inventario!B144))),"OP",
IF(ISNUMBER(SEARCH("NANO",Inventario!B144)),"NA",
IF(ISNUMBER(SEARCH("5050",Inventario!B144)),"5050",
IF(ISNUMBER(SEARCH("MICRO",Inventario!B144)),"MI",""))))))</f>
        <v>COR</v>
      </c>
      <c r="C145" t="str">
        <f>IF(ISNUMBER(SEARCH("PARED",Inventario!B144)),"PAR",IF(ISNUMBER(SEARCH("MATE",Inventario!B144)),"MAT",
IF(ISNUMBER(SEARCH("FRONT",Inventario!B144)),"FRO",
IF(ISNUMBER(SEARCH("BACK",Inventario!B144)),"BAC",
IF(ISNUMBER(SEARCH("MESH",Inventario!B144)),"MES",
IF(OR(ISNUMBER(SEARCH("BRILLANTE",Inventario!B144)),ISNUMBER(SEARCH("BTE",Inventario!B144))),"BRI",
IF(ISNUMBER(SEARCH("SINTETICA DELGADA",Inventario!B144)),"SD",
IF(ISNUMBER(SEARCH("SINTETICA GRUESA",Inventario!B144)),"SG",
IF(ISNUMBER(SEARCH("ESTATICO",Inventario!B144)),"EST",
IF(ISNUMBER(SEARCH("FLOOR",Inventario!B144)),"FLO",
IF(ISNUMBER(SEARCH("REFLECTIVO",Inventario!B144)),"REF",
IF(ISNUMBER(SEARCH("MICROPERFORADO",Inventario!B144)),"MI",
IF(ISNUMBER(SEARCH("CEPILLADO",Inventario!B144)),"CEP",
IF(ISNUMBER(SEARCH("ESPEJO",Inventario!B144)),"ESP",
IF(OR(ISNUMBER(SEARCH("UNIDIODO",Inventario!B144)),ISNUMBER(SEARCH("1 DIODO",Inventario!B144))),"1D",
IF(ISNUMBER(SEARCH("2 DIODOS",Inventario!B144)),"2D",
IF(ISNUMBER(SEARCH("3 DIODOS",Inventario!B144)),"3D","")))))))))))))))))</f>
        <v/>
      </c>
      <c r="D145" t="str">
        <f>IF(ISNUMBER(SEARCH("LX700",Inventario!B144)),"LX7",
IF(ISNUMBER(SEARCH("GRANDO",Inventario!B144)),"GRA",
IF(OR(ISNUMBER(SEARCH("CAMA PLANA",Inventario!B144)),ISNUMBER(SEARCH("FB700",Inventario!B144))),"CP",
IF(ISNUMBER(SEARCH("LX360",Inventario!B144)),"LX3",
IF(ISNUMBER(SEARCH("XEROX",Inventario!B144)),"XER",
IF(ISNUMBER(SEARCH("18 OZ",Inventario!B144)),"18OZ",
IF(ISNUMBER(SEARCH("15 OZ",Inventario!B144)),"15OZ",
IF(OR(ISNUMBER(SEARCH("13 OZ",Inventario!B144)),ISNUMBER(SEARCH("13 ONZAS",Inventario!B144))),"13OZ",
IF(OR(ISNUMBER(SEARCH("9 OZ",Inventario!B144)),ISNUMBER(SEARCH("9 ONZAS",Inventario!B144))),"09OZ","")))))))))</f>
        <v/>
      </c>
      <c r="E145" t="str">
        <f>IF(OR(ISNUMBER(SEARCH("TRANSPARENTE",Inventario!B144)),ISNUMBER(SEARCH("TRANSPARENTES",Inventario!B144))),"TR",
IF(OR(ISNUMBER(SEARCH("BLANCO",Inventario!B144)),ISNUMBER(SEARCH("BCO",Inventario!B144))),"BL",
IF(ISNUMBER(SEARCH("VERDE",Inventario!B144)),"VR",
IF(ISNUMBER(SEARCH("MORADO",Inventario!B144)),"MR",
IF(ISNUMBER(SEARCH("PLATA",Inventario!B144)),"PL",
IF(ISNUMBER(SEARCH("ORO",Inventario!B144)),"OR",
IF(ISNUMBER(SEARCH("AMARILLO",Inventario!B144)),"AM",
IF(ISNUMBER(SEARCH("NARANJA",Inventario!B144)),"NR",
IF(ISNUMBER(SEARCH("NEGRO",Inventario!B144)),"NG",
IF(ISNUMBER(SEARCH("ROJO",Inventario!B144)),"RJ",
IF(ISNUMBER(SEARCH("AZUL",Inventario!B144)),"AZ","")))))))))))</f>
        <v/>
      </c>
      <c r="F145" t="str">
        <f>IF(ISNUMBER(SEARCH("1,2 MM",Inventario!B144)),"1MM2",
IF(OR(ISNUMBER(SEARCH("2 MM",Inventario!B144)),ISNUMBER(SEARCH("2MM",Inventario!B144))),"2MM",
IF(OR(ISNUMBER(SEARCH("3 MM",Inventario!B144)),ISNUMBER(SEARCH("3MM",Inventario!B144))),"3MM",
IF(OR(ISNUMBER(SEARCH("4 MM",Inventario!B144)),ISNUMBER(SEARCH("4MM",Inventario!B144)),ISNUMBER(SEARCH("4 mm",Inventario!B144))),"4MM",
IF(OR(ISNUMBER(SEARCH("5 MM",Inventario!B144)),ISNUMBER(SEARCH("5MM",Inventario!B144))),"5MM",
IF(OR(ISNUMBER(SEARCH("6 MM",Inventario!B144)),ISNUMBER(SEARCH("6MM",Inventario!B144))),"6MM",
IF(OR(ISNUMBER(SEARCH("10 MM",Inventario!B144)),ISNUMBER(SEARCH("10MM",Inventario!B144))),"10MM","")))))))</f>
        <v/>
      </c>
      <c r="G145" t="str">
        <f>IF(ISNUMBER(SEARCH("ALTA RESISTENCIA",Inventario!B144)),"AR",IF(ISNUMBER(SEARCH("CAMPAÑA",Inventario!B144)),"CA",
IF(OR(ISNUMBER(SEARCH("CALIDO",Inventario!B144)),ISNUMBER(SEARCH("CÁLIDO",Inventario!B144))),"C",
IF(OR(ISNUMBER(SEARCH("TRASLUCIDO",Inventario!B144)),ISNUMBER(SEARCH("TRANSLUCIDO",Inventario!B144))),"TL",
IF(ISNUMBER(SEARCH("NEUTRO",Inventario!B144)),"N",
IF(ISNUMBER(SEARCH("FRIO",Inventario!B144)),"F",""))))))</f>
        <v/>
      </c>
      <c r="H145" t="str">
        <f>IF(ISNUMBER(SEARCH("SILED",Inventario!B144)),"SI",
IF(ISNUMBER(SEARCH("SYDEMEX",Inventario!B144)),"SY",
IF(ISNUMBER(SEARCH("ROHS",Inventario!B144)),"RO",
IF(ISNUMBER(SEARCH("RISHANG",Inventario!B144)),"RS",
IF(ISNUMBER(SEARCH("VYG",Inventario!B144)),"VYG",
IF(ISNUMBER(SEARCH("COLED",Inventario!B144)),"CO",""))))))</f>
        <v/>
      </c>
    </row>
    <row r="146" spans="1:8">
      <c r="A146" t="str">
        <f>IF(ISNUMBER(SEARCH("LONA",Inventario!B145)),"LON",
IF(ISNUMBER(SEARCH("VINIL",Inventario!B145)),"VIN",
IF(ISNUMBER(SEARCH("PANEL DE ALUMINIO COMPUESTO",Inventario!B145)),"PAN-ALU-COM",
IF(ISNUMBER(SEARCH("PVC",Inventario!B145)),"PVC",
IF(ISNUMBER(SEARCH("PAPEL",Inventario!B145)),"PAP",
IF(ISNUMBER(SEARCH("TELA",Inventario!B145)),"TEL",
IF(ISNUMBER(SEARCH("CARTULINA",Inventario!B145)),"CAR",
IF(OR(ISNUMBER(SEARCH("LAMINA",Inventario!B145)),ISNUMBER(SEARCH("LÁMINA",Inventario!B145))),"LAM",
IF(ISNUMBER(SEARCH("ESTIRENO",Inventario!B145)),"EST",
IF(ISNUMBER(SEARCH("FOAMBOARD",Inventario!B145)),"FOA",
IF(ISNUMBER(SEARCH("SOLVENTE",Inventario!B145)),"SOL",
IF(ISNUMBER(SEARCH("TINTA",Inventario!B145)),"TIN",
IF(ISNUMBER(SEARCH("ACRILICO",Inventario!B145)),"ACR",
IF(ISNUMBER(SEARCH("LED",Inventario!B145)),"LED",
IF(ISNUMBER(SEARCH("FUENTE",Inventario!B145)),"FUE",
IF(ISNUMBER(SEARCH("PETG",Inventario!B145)),"PET",
IF(ISNUMBER(SEARCH("ALUMINIO",Inventario!B145)),"ALU",
IF(ISNUMBER(SEARCH("CANAL",Inventario!B145)),"CAN",
IF(ISNUMBER(SEARCH("ESCUADRA",Inventario!B145)),"ESC",
IF(ISNUMBER(SEARCH("SOPORTE",Inventario!B145)),"SOP","OTR")
)))))))))))))))))))</f>
        <v>VIN</v>
      </c>
      <c r="B146" t="str">
        <f>IF(ISNUMBER(SEARCH("CORTE",Inventario!B145)),"COR",
IF(ISNUMBER(SEARCH("CRISTAL",Inventario!B145)),"CR",
IF(OR(ISNUMBER(SEARCH("OPTICO",Inventario!B145)),ISNUMBER(SEARCH("OPTICOS",Inventario!B145)),ISNUMBER(SEARCH("OPTICA",Inventario!B145))),"OP",
IF(ISNUMBER(SEARCH("NANO",Inventario!B145)),"NA",
IF(ISNUMBER(SEARCH("5050",Inventario!B145)),"5050",
IF(ISNUMBER(SEARCH("MICRO",Inventario!B145)),"MI",""))))))</f>
        <v>COR</v>
      </c>
      <c r="C146" t="str">
        <f>IF(ISNUMBER(SEARCH("PARED",Inventario!B145)),"PAR",IF(ISNUMBER(SEARCH("MATE",Inventario!B145)),"MAT",
IF(ISNUMBER(SEARCH("FRONT",Inventario!B145)),"FRO",
IF(ISNUMBER(SEARCH("BACK",Inventario!B145)),"BAC",
IF(ISNUMBER(SEARCH("MESH",Inventario!B145)),"MES",
IF(OR(ISNUMBER(SEARCH("BRILLANTE",Inventario!B145)),ISNUMBER(SEARCH("BTE",Inventario!B145))),"BRI",
IF(ISNUMBER(SEARCH("SINTETICA DELGADA",Inventario!B145)),"SD",
IF(ISNUMBER(SEARCH("SINTETICA GRUESA",Inventario!B145)),"SG",
IF(ISNUMBER(SEARCH("ESTATICO",Inventario!B145)),"EST",
IF(ISNUMBER(SEARCH("FLOOR",Inventario!B145)),"FLO",
IF(ISNUMBER(SEARCH("REFLECTIVO",Inventario!B145)),"REF",
IF(ISNUMBER(SEARCH("MICROPERFORADO",Inventario!B145)),"MI",
IF(ISNUMBER(SEARCH("CEPILLADO",Inventario!B145)),"CEP",
IF(ISNUMBER(SEARCH("ESPEJO",Inventario!B145)),"ESP",
IF(OR(ISNUMBER(SEARCH("UNIDIODO",Inventario!B145)),ISNUMBER(SEARCH("1 DIODO",Inventario!B145))),"1D",
IF(ISNUMBER(SEARCH("2 DIODOS",Inventario!B145)),"2D",
IF(ISNUMBER(SEARCH("3 DIODOS",Inventario!B145)),"3D","")))))))))))))))))</f>
        <v/>
      </c>
      <c r="D146" t="str">
        <f>IF(ISNUMBER(SEARCH("LX700",Inventario!B145)),"LX7",
IF(ISNUMBER(SEARCH("GRANDO",Inventario!B145)),"GRA",
IF(OR(ISNUMBER(SEARCH("CAMA PLANA",Inventario!B145)),ISNUMBER(SEARCH("FB700",Inventario!B145))),"CP",
IF(ISNUMBER(SEARCH("LX360",Inventario!B145)),"LX3",
IF(ISNUMBER(SEARCH("XEROX",Inventario!B145)),"XER",
IF(ISNUMBER(SEARCH("18 OZ",Inventario!B145)),"18OZ",
IF(ISNUMBER(SEARCH("15 OZ",Inventario!B145)),"15OZ",
IF(OR(ISNUMBER(SEARCH("13 OZ",Inventario!B145)),ISNUMBER(SEARCH("13 ONZAS",Inventario!B145))),"13OZ",
IF(OR(ISNUMBER(SEARCH("9 OZ",Inventario!B145)),ISNUMBER(SEARCH("9 ONZAS",Inventario!B145))),"09OZ","")))))))))</f>
        <v/>
      </c>
      <c r="E146" t="str">
        <f>IF(OR(ISNUMBER(SEARCH("TRANSPARENTE",Inventario!B145)),ISNUMBER(SEARCH("TRANSPARENTES",Inventario!B145))),"TR",
IF(OR(ISNUMBER(SEARCH("BLANCO",Inventario!B145)),ISNUMBER(SEARCH("BCO",Inventario!B145))),"BL",
IF(ISNUMBER(SEARCH("VERDE",Inventario!B145)),"VR",
IF(ISNUMBER(SEARCH("MORADO",Inventario!B145)),"MR",
IF(ISNUMBER(SEARCH("PLATA",Inventario!B145)),"PL",
IF(ISNUMBER(SEARCH("ORO",Inventario!B145)),"OR",
IF(ISNUMBER(SEARCH("AMARILLO",Inventario!B145)),"AM",
IF(ISNUMBER(SEARCH("NARANJA",Inventario!B145)),"NR",
IF(ISNUMBER(SEARCH("NEGRO",Inventario!B145)),"NG",
IF(ISNUMBER(SEARCH("ROJO",Inventario!B145)),"RJ",
IF(ISNUMBER(SEARCH("AZUL",Inventario!B145)),"AZ","")))))))))))</f>
        <v/>
      </c>
      <c r="F146" t="str">
        <f>IF(ISNUMBER(SEARCH("1,2 MM",Inventario!B145)),"1MM2",
IF(OR(ISNUMBER(SEARCH("2 MM",Inventario!B145)),ISNUMBER(SEARCH("2MM",Inventario!B145))),"2MM",
IF(OR(ISNUMBER(SEARCH("3 MM",Inventario!B145)),ISNUMBER(SEARCH("3MM",Inventario!B145))),"3MM",
IF(OR(ISNUMBER(SEARCH("4 MM",Inventario!B145)),ISNUMBER(SEARCH("4MM",Inventario!B145)),ISNUMBER(SEARCH("4 mm",Inventario!B145))),"4MM",
IF(OR(ISNUMBER(SEARCH("5 MM",Inventario!B145)),ISNUMBER(SEARCH("5MM",Inventario!B145))),"5MM",
IF(OR(ISNUMBER(SEARCH("6 MM",Inventario!B145)),ISNUMBER(SEARCH("6MM",Inventario!B145))),"6MM",
IF(OR(ISNUMBER(SEARCH("10 MM",Inventario!B145)),ISNUMBER(SEARCH("10MM",Inventario!B145))),"10MM","")))))))</f>
        <v/>
      </c>
      <c r="G146" t="str">
        <f>IF(ISNUMBER(SEARCH("ALTA RESISTENCIA",Inventario!B145)),"AR",IF(ISNUMBER(SEARCH("CAMPAÑA",Inventario!B145)),"CA",
IF(OR(ISNUMBER(SEARCH("CALIDO",Inventario!B145)),ISNUMBER(SEARCH("CÁLIDO",Inventario!B145))),"C",
IF(OR(ISNUMBER(SEARCH("TRASLUCIDO",Inventario!B145)),ISNUMBER(SEARCH("TRANSLUCIDO",Inventario!B145))),"TL",
IF(ISNUMBER(SEARCH("NEUTRO",Inventario!B145)),"N",
IF(ISNUMBER(SEARCH("FRIO",Inventario!B145)),"F",""))))))</f>
        <v/>
      </c>
      <c r="H146" t="str">
        <f>IF(ISNUMBER(SEARCH("SILED",Inventario!B145)),"SI",
IF(ISNUMBER(SEARCH("SYDEMEX",Inventario!B145)),"SY",
IF(ISNUMBER(SEARCH("ROHS",Inventario!B145)),"RO",
IF(ISNUMBER(SEARCH("RISHANG",Inventario!B145)),"RS",
IF(ISNUMBER(SEARCH("VYG",Inventario!B145)),"VYG",
IF(ISNUMBER(SEARCH("COLED",Inventario!B145)),"CO",""))))))</f>
        <v/>
      </c>
    </row>
    <row r="147" spans="1:8">
      <c r="A147" t="str">
        <f>IF(ISNUMBER(SEARCH("LONA",Inventario!B146)),"LON",
IF(ISNUMBER(SEARCH("VINIL",Inventario!B146)),"VIN",
IF(ISNUMBER(SEARCH("PANEL DE ALUMINIO COMPUESTO",Inventario!B146)),"PAN-ALU-COM",
IF(ISNUMBER(SEARCH("PVC",Inventario!B146)),"PVC",
IF(ISNUMBER(SEARCH("PAPEL",Inventario!B146)),"PAP",
IF(ISNUMBER(SEARCH("TELA",Inventario!B146)),"TEL",
IF(ISNUMBER(SEARCH("CARTULINA",Inventario!B146)),"CAR",
IF(OR(ISNUMBER(SEARCH("LAMINA",Inventario!B146)),ISNUMBER(SEARCH("LÁMINA",Inventario!B146))),"LAM",
IF(ISNUMBER(SEARCH("ESTIRENO",Inventario!B146)),"EST",
IF(ISNUMBER(SEARCH("FOAMBOARD",Inventario!B146)),"FOA",
IF(ISNUMBER(SEARCH("SOLVENTE",Inventario!B146)),"SOL",
IF(ISNUMBER(SEARCH("TINTA",Inventario!B146)),"TIN",
IF(ISNUMBER(SEARCH("ACRILICO",Inventario!B146)),"ACR",
IF(ISNUMBER(SEARCH("LED",Inventario!B146)),"LED",
IF(ISNUMBER(SEARCH("FUENTE",Inventario!B146)),"FUE",
IF(ISNUMBER(SEARCH("PETG",Inventario!B146)),"PET",
IF(ISNUMBER(SEARCH("ALUMINIO",Inventario!B146)),"ALU",
IF(ISNUMBER(SEARCH("CANAL",Inventario!B146)),"CAN",
IF(ISNUMBER(SEARCH("ESCUADRA",Inventario!B146)),"ESC",
IF(ISNUMBER(SEARCH("SOPORTE",Inventario!B146)),"SOP","OTR")
)))))))))))))))))))</f>
        <v>VIN</v>
      </c>
      <c r="B147" t="str">
        <f>IF(ISNUMBER(SEARCH("CORTE",Inventario!B146)),"COR",
IF(ISNUMBER(SEARCH("CRISTAL",Inventario!B146)),"CR",
IF(OR(ISNUMBER(SEARCH("OPTICO",Inventario!B146)),ISNUMBER(SEARCH("OPTICOS",Inventario!B146)),ISNUMBER(SEARCH("OPTICA",Inventario!B146))),"OP",
IF(ISNUMBER(SEARCH("NANO",Inventario!B146)),"NA",
IF(ISNUMBER(SEARCH("5050",Inventario!B146)),"5050",
IF(ISNUMBER(SEARCH("MICRO",Inventario!B146)),"MI",""))))))</f>
        <v>COR</v>
      </c>
      <c r="C147" t="str">
        <f>IF(ISNUMBER(SEARCH("PARED",Inventario!B146)),"PAR",IF(ISNUMBER(SEARCH("MATE",Inventario!B146)),"MAT",
IF(ISNUMBER(SEARCH("FRONT",Inventario!B146)),"FRO",
IF(ISNUMBER(SEARCH("BACK",Inventario!B146)),"BAC",
IF(ISNUMBER(SEARCH("MESH",Inventario!B146)),"MES",
IF(OR(ISNUMBER(SEARCH("BRILLANTE",Inventario!B146)),ISNUMBER(SEARCH("BTE",Inventario!B146))),"BRI",
IF(ISNUMBER(SEARCH("SINTETICA DELGADA",Inventario!B146)),"SD",
IF(ISNUMBER(SEARCH("SINTETICA GRUESA",Inventario!B146)),"SG",
IF(ISNUMBER(SEARCH("ESTATICO",Inventario!B146)),"EST",
IF(ISNUMBER(SEARCH("FLOOR",Inventario!B146)),"FLO",
IF(ISNUMBER(SEARCH("REFLECTIVO",Inventario!B146)),"REF",
IF(ISNUMBER(SEARCH("MICROPERFORADO",Inventario!B146)),"MI",
IF(ISNUMBER(SEARCH("CEPILLADO",Inventario!B146)),"CEP",
IF(ISNUMBER(SEARCH("ESPEJO",Inventario!B146)),"ESP",
IF(OR(ISNUMBER(SEARCH("UNIDIODO",Inventario!B146)),ISNUMBER(SEARCH("1 DIODO",Inventario!B146))),"1D",
IF(ISNUMBER(SEARCH("2 DIODOS",Inventario!B146)),"2D",
IF(ISNUMBER(SEARCH("3 DIODOS",Inventario!B146)),"3D","")))))))))))))))))</f>
        <v>MAT</v>
      </c>
      <c r="D147" t="str">
        <f>IF(ISNUMBER(SEARCH("LX700",Inventario!B146)),"LX7",
IF(ISNUMBER(SEARCH("GRANDO",Inventario!B146)),"GRA",
IF(OR(ISNUMBER(SEARCH("CAMA PLANA",Inventario!B146)),ISNUMBER(SEARCH("FB700",Inventario!B146))),"CP",
IF(ISNUMBER(SEARCH("LX360",Inventario!B146)),"LX3",
IF(ISNUMBER(SEARCH("XEROX",Inventario!B146)),"XER",
IF(ISNUMBER(SEARCH("18 OZ",Inventario!B146)),"18OZ",
IF(ISNUMBER(SEARCH("15 OZ",Inventario!B146)),"15OZ",
IF(OR(ISNUMBER(SEARCH("13 OZ",Inventario!B146)),ISNUMBER(SEARCH("13 ONZAS",Inventario!B146))),"13OZ",
IF(OR(ISNUMBER(SEARCH("9 OZ",Inventario!B146)),ISNUMBER(SEARCH("9 ONZAS",Inventario!B146))),"09OZ","")))))))))</f>
        <v/>
      </c>
      <c r="E147" t="str">
        <f>IF(OR(ISNUMBER(SEARCH("TRANSPARENTE",Inventario!B146)),ISNUMBER(SEARCH("TRANSPARENTES",Inventario!B146))),"TR",
IF(OR(ISNUMBER(SEARCH("BLANCO",Inventario!B146)),ISNUMBER(SEARCH("BCO",Inventario!B146))),"BL",
IF(ISNUMBER(SEARCH("VERDE",Inventario!B146)),"VR",
IF(ISNUMBER(SEARCH("MORADO",Inventario!B146)),"MR",
IF(ISNUMBER(SEARCH("PLATA",Inventario!B146)),"PL",
IF(ISNUMBER(SEARCH("ORO",Inventario!B146)),"OR",
IF(ISNUMBER(SEARCH("AMARILLO",Inventario!B146)),"AM",
IF(ISNUMBER(SEARCH("NARANJA",Inventario!B146)),"NR",
IF(ISNUMBER(SEARCH("NEGRO",Inventario!B146)),"NG",
IF(ISNUMBER(SEARCH("ROJO",Inventario!B146)),"RJ",
IF(ISNUMBER(SEARCH("AZUL",Inventario!B146)),"AZ","")))))))))))</f>
        <v/>
      </c>
      <c r="F147" t="str">
        <f>IF(ISNUMBER(SEARCH("1,2 MM",Inventario!B146)),"1MM2",
IF(OR(ISNUMBER(SEARCH("2 MM",Inventario!B146)),ISNUMBER(SEARCH("2MM",Inventario!B146))),"2MM",
IF(OR(ISNUMBER(SEARCH("3 MM",Inventario!B146)),ISNUMBER(SEARCH("3MM",Inventario!B146))),"3MM",
IF(OR(ISNUMBER(SEARCH("4 MM",Inventario!B146)),ISNUMBER(SEARCH("4MM",Inventario!B146)),ISNUMBER(SEARCH("4 mm",Inventario!B146))),"4MM",
IF(OR(ISNUMBER(SEARCH("5 MM",Inventario!B146)),ISNUMBER(SEARCH("5MM",Inventario!B146))),"5MM",
IF(OR(ISNUMBER(SEARCH("6 MM",Inventario!B146)),ISNUMBER(SEARCH("6MM",Inventario!B146))),"6MM",
IF(OR(ISNUMBER(SEARCH("10 MM",Inventario!B146)),ISNUMBER(SEARCH("10MM",Inventario!B146))),"10MM","")))))))</f>
        <v/>
      </c>
      <c r="G147" t="str">
        <f>IF(ISNUMBER(SEARCH("ALTA RESISTENCIA",Inventario!B146)),"AR",IF(ISNUMBER(SEARCH("CAMPAÑA",Inventario!B146)),"CA",
IF(OR(ISNUMBER(SEARCH("CALIDO",Inventario!B146)),ISNUMBER(SEARCH("CÁLIDO",Inventario!B146))),"C",
IF(OR(ISNUMBER(SEARCH("TRASLUCIDO",Inventario!B146)),ISNUMBER(SEARCH("TRANSLUCIDO",Inventario!B146))),"TL",
IF(ISNUMBER(SEARCH("NEUTRO",Inventario!B146)),"N",
IF(ISNUMBER(SEARCH("FRIO",Inventario!B146)),"F",""))))))</f>
        <v/>
      </c>
      <c r="H147" t="str">
        <f>IF(ISNUMBER(SEARCH("SILED",Inventario!B146)),"SI",
IF(ISNUMBER(SEARCH("SYDEMEX",Inventario!B146)),"SY",
IF(ISNUMBER(SEARCH("ROHS",Inventario!B146)),"RO",
IF(ISNUMBER(SEARCH("RISHANG",Inventario!B146)),"RS",
IF(ISNUMBER(SEARCH("VYG",Inventario!B146)),"VYG",
IF(ISNUMBER(SEARCH("COLED",Inventario!B146)),"CO",""))))))</f>
        <v/>
      </c>
    </row>
    <row r="148" spans="1:8">
      <c r="A148" t="str">
        <f>IF(ISNUMBER(SEARCH("LONA",Inventario!B147)),"LON",
IF(ISNUMBER(SEARCH("VINIL",Inventario!B147)),"VIN",
IF(ISNUMBER(SEARCH("PANEL DE ALUMINIO COMPUESTO",Inventario!B147)),"PAN-ALU-COM",
IF(ISNUMBER(SEARCH("PVC",Inventario!B147)),"PVC",
IF(ISNUMBER(SEARCH("PAPEL",Inventario!B147)),"PAP",
IF(ISNUMBER(SEARCH("TELA",Inventario!B147)),"TEL",
IF(ISNUMBER(SEARCH("CARTULINA",Inventario!B147)),"CAR",
IF(OR(ISNUMBER(SEARCH("LAMINA",Inventario!B147)),ISNUMBER(SEARCH("LÁMINA",Inventario!B147))),"LAM",
IF(ISNUMBER(SEARCH("ESTIRENO",Inventario!B147)),"EST",
IF(ISNUMBER(SEARCH("FOAMBOARD",Inventario!B147)),"FOA",
IF(ISNUMBER(SEARCH("SOLVENTE",Inventario!B147)),"SOL",
IF(ISNUMBER(SEARCH("TINTA",Inventario!B147)),"TIN",
IF(ISNUMBER(SEARCH("ACRILICO",Inventario!B147)),"ACR",
IF(ISNUMBER(SEARCH("LED",Inventario!B147)),"LED",
IF(ISNUMBER(SEARCH("FUENTE",Inventario!B147)),"FUE",
IF(ISNUMBER(SEARCH("PETG",Inventario!B147)),"PET",
IF(ISNUMBER(SEARCH("ALUMINIO",Inventario!B147)),"ALU",
IF(ISNUMBER(SEARCH("CANAL",Inventario!B147)),"CAN",
IF(ISNUMBER(SEARCH("ESCUADRA",Inventario!B147)),"ESC",
IF(ISNUMBER(SEARCH("SOPORTE",Inventario!B147)),"SOP","OTR")
)))))))))))))))))))</f>
        <v>VIN</v>
      </c>
      <c r="B148" t="str">
        <f>IF(ISNUMBER(SEARCH("CORTE",Inventario!B147)),"COR",
IF(ISNUMBER(SEARCH("CRISTAL",Inventario!B147)),"CR",
IF(OR(ISNUMBER(SEARCH("OPTICO",Inventario!B147)),ISNUMBER(SEARCH("OPTICOS",Inventario!B147)),ISNUMBER(SEARCH("OPTICA",Inventario!B147))),"OP",
IF(ISNUMBER(SEARCH("NANO",Inventario!B147)),"NA",
IF(ISNUMBER(SEARCH("5050",Inventario!B147)),"5050",
IF(ISNUMBER(SEARCH("MICRO",Inventario!B147)),"MI",""))))))</f>
        <v>COR</v>
      </c>
      <c r="C148" t="str">
        <f>IF(ISNUMBER(SEARCH("PARED",Inventario!B147)),"PAR",IF(ISNUMBER(SEARCH("MATE",Inventario!B147)),"MAT",
IF(ISNUMBER(SEARCH("FRONT",Inventario!B147)),"FRO",
IF(ISNUMBER(SEARCH("BACK",Inventario!B147)),"BAC",
IF(ISNUMBER(SEARCH("MESH",Inventario!B147)),"MES",
IF(OR(ISNUMBER(SEARCH("BRILLANTE",Inventario!B147)),ISNUMBER(SEARCH("BTE",Inventario!B147))),"BRI",
IF(ISNUMBER(SEARCH("SINTETICA DELGADA",Inventario!B147)),"SD",
IF(ISNUMBER(SEARCH("SINTETICA GRUESA",Inventario!B147)),"SG",
IF(ISNUMBER(SEARCH("ESTATICO",Inventario!B147)),"EST",
IF(ISNUMBER(SEARCH("FLOOR",Inventario!B147)),"FLO",
IF(ISNUMBER(SEARCH("REFLECTIVO",Inventario!B147)),"REF",
IF(ISNUMBER(SEARCH("MICROPERFORADO",Inventario!B147)),"MI",
IF(ISNUMBER(SEARCH("CEPILLADO",Inventario!B147)),"CEP",
IF(ISNUMBER(SEARCH("ESPEJO",Inventario!B147)),"ESP",
IF(OR(ISNUMBER(SEARCH("UNIDIODO",Inventario!B147)),ISNUMBER(SEARCH("1 DIODO",Inventario!B147))),"1D",
IF(ISNUMBER(SEARCH("2 DIODOS",Inventario!B147)),"2D",
IF(ISNUMBER(SEARCH("3 DIODOS",Inventario!B147)),"3D","")))))))))))))))))</f>
        <v/>
      </c>
      <c r="D148" t="str">
        <f>IF(ISNUMBER(SEARCH("LX700",Inventario!B147)),"LX7",
IF(ISNUMBER(SEARCH("GRANDO",Inventario!B147)),"GRA",
IF(OR(ISNUMBER(SEARCH("CAMA PLANA",Inventario!B147)),ISNUMBER(SEARCH("FB700",Inventario!B147))),"CP",
IF(ISNUMBER(SEARCH("LX360",Inventario!B147)),"LX3",
IF(ISNUMBER(SEARCH("XEROX",Inventario!B147)),"XER",
IF(ISNUMBER(SEARCH("18 OZ",Inventario!B147)),"18OZ",
IF(ISNUMBER(SEARCH("15 OZ",Inventario!B147)),"15OZ",
IF(OR(ISNUMBER(SEARCH("13 OZ",Inventario!B147)),ISNUMBER(SEARCH("13 ONZAS",Inventario!B147))),"13OZ",
IF(OR(ISNUMBER(SEARCH("9 OZ",Inventario!B147)),ISNUMBER(SEARCH("9 ONZAS",Inventario!B147))),"09OZ","")))))))))</f>
        <v/>
      </c>
      <c r="E148" t="str">
        <f>IF(OR(ISNUMBER(SEARCH("TRANSPARENTE",Inventario!B147)),ISNUMBER(SEARCH("TRANSPARENTES",Inventario!B147))),"TR",
IF(OR(ISNUMBER(SEARCH("BLANCO",Inventario!B147)),ISNUMBER(SEARCH("BCO",Inventario!B147))),"BL",
IF(ISNUMBER(SEARCH("VERDE",Inventario!B147)),"VR",
IF(ISNUMBER(SEARCH("MORADO",Inventario!B147)),"MR",
IF(ISNUMBER(SEARCH("PLATA",Inventario!B147)),"PL",
IF(ISNUMBER(SEARCH("ORO",Inventario!B147)),"OR",
IF(ISNUMBER(SEARCH("AMARILLO",Inventario!B147)),"AM",
IF(ISNUMBER(SEARCH("NARANJA",Inventario!B147)),"NR",
IF(ISNUMBER(SEARCH("NEGRO",Inventario!B147)),"NG",
IF(ISNUMBER(SEARCH("ROJO",Inventario!B147)),"RJ",
IF(ISNUMBER(SEARCH("AZUL",Inventario!B147)),"AZ","")))))))))))</f>
        <v/>
      </c>
      <c r="F148" t="str">
        <f>IF(ISNUMBER(SEARCH("1,2 MM",Inventario!B147)),"1MM2",
IF(OR(ISNUMBER(SEARCH("2 MM",Inventario!B147)),ISNUMBER(SEARCH("2MM",Inventario!B147))),"2MM",
IF(OR(ISNUMBER(SEARCH("3 MM",Inventario!B147)),ISNUMBER(SEARCH("3MM",Inventario!B147))),"3MM",
IF(OR(ISNUMBER(SEARCH("4 MM",Inventario!B147)),ISNUMBER(SEARCH("4MM",Inventario!B147)),ISNUMBER(SEARCH("4 mm",Inventario!B147))),"4MM",
IF(OR(ISNUMBER(SEARCH("5 MM",Inventario!B147)),ISNUMBER(SEARCH("5MM",Inventario!B147))),"5MM",
IF(OR(ISNUMBER(SEARCH("6 MM",Inventario!B147)),ISNUMBER(SEARCH("6MM",Inventario!B147))),"6MM",
IF(OR(ISNUMBER(SEARCH("10 MM",Inventario!B147)),ISNUMBER(SEARCH("10MM",Inventario!B147))),"10MM","")))))))</f>
        <v/>
      </c>
      <c r="G148" t="str">
        <f>IF(ISNUMBER(SEARCH("ALTA RESISTENCIA",Inventario!B147)),"AR",IF(ISNUMBER(SEARCH("CAMPAÑA",Inventario!B147)),"CA",
IF(OR(ISNUMBER(SEARCH("CALIDO",Inventario!B147)),ISNUMBER(SEARCH("CÁLIDO",Inventario!B147))),"C",
IF(OR(ISNUMBER(SEARCH("TRASLUCIDO",Inventario!B147)),ISNUMBER(SEARCH("TRANSLUCIDO",Inventario!B147))),"TL",
IF(ISNUMBER(SEARCH("NEUTRO",Inventario!B147)),"N",
IF(ISNUMBER(SEARCH("FRIO",Inventario!B147)),"F",""))))))</f>
        <v/>
      </c>
      <c r="H148" t="str">
        <f>IF(ISNUMBER(SEARCH("SILED",Inventario!B147)),"SI",
IF(ISNUMBER(SEARCH("SYDEMEX",Inventario!B147)),"SY",
IF(ISNUMBER(SEARCH("ROHS",Inventario!B147)),"RO",
IF(ISNUMBER(SEARCH("RISHANG",Inventario!B147)),"RS",
IF(ISNUMBER(SEARCH("VYG",Inventario!B147)),"VYG",
IF(ISNUMBER(SEARCH("COLED",Inventario!B147)),"CO",""))))))</f>
        <v/>
      </c>
    </row>
    <row r="149" spans="1:8">
      <c r="A149" t="str">
        <f>IF(ISNUMBER(SEARCH("LONA",Inventario!B148)),"LON",
IF(ISNUMBER(SEARCH("VINIL",Inventario!B148)),"VIN",
IF(ISNUMBER(SEARCH("PANEL DE ALUMINIO COMPUESTO",Inventario!B148)),"PAN-ALU-COM",
IF(ISNUMBER(SEARCH("PVC",Inventario!B148)),"PVC",
IF(ISNUMBER(SEARCH("PAPEL",Inventario!B148)),"PAP",
IF(ISNUMBER(SEARCH("TELA",Inventario!B148)),"TEL",
IF(ISNUMBER(SEARCH("CARTULINA",Inventario!B148)),"CAR",
IF(OR(ISNUMBER(SEARCH("LAMINA",Inventario!B148)),ISNUMBER(SEARCH("LÁMINA",Inventario!B148))),"LAM",
IF(ISNUMBER(SEARCH("ESTIRENO",Inventario!B148)),"EST",
IF(ISNUMBER(SEARCH("FOAMBOARD",Inventario!B148)),"FOA",
IF(ISNUMBER(SEARCH("SOLVENTE",Inventario!B148)),"SOL",
IF(ISNUMBER(SEARCH("TINTA",Inventario!B148)),"TIN",
IF(ISNUMBER(SEARCH("ACRILICO",Inventario!B148)),"ACR",
IF(ISNUMBER(SEARCH("LED",Inventario!B148)),"LED",
IF(ISNUMBER(SEARCH("FUENTE",Inventario!B148)),"FUE",
IF(ISNUMBER(SEARCH("PETG",Inventario!B148)),"PET",
IF(ISNUMBER(SEARCH("ALUMINIO",Inventario!B148)),"ALU",
IF(ISNUMBER(SEARCH("CANAL",Inventario!B148)),"CAN",
IF(ISNUMBER(SEARCH("ESCUADRA",Inventario!B148)),"ESC",
IF(ISNUMBER(SEARCH("SOPORTE",Inventario!B148)),"SOP","OTR")
)))))))))))))))))))</f>
        <v>VIN</v>
      </c>
      <c r="B149" t="str">
        <f>IF(ISNUMBER(SEARCH("CORTE",Inventario!B148)),"COR",
IF(ISNUMBER(SEARCH("CRISTAL",Inventario!B148)),"CR",
IF(OR(ISNUMBER(SEARCH("OPTICO",Inventario!B148)),ISNUMBER(SEARCH("OPTICOS",Inventario!B148)),ISNUMBER(SEARCH("OPTICA",Inventario!B148))),"OP",
IF(ISNUMBER(SEARCH("NANO",Inventario!B148)),"NA",
IF(ISNUMBER(SEARCH("5050",Inventario!B148)),"5050",
IF(ISNUMBER(SEARCH("MICRO",Inventario!B148)),"MI",""))))))</f>
        <v>COR</v>
      </c>
      <c r="C149" t="str">
        <f>IF(ISNUMBER(SEARCH("PARED",Inventario!B148)),"PAR",IF(ISNUMBER(SEARCH("MATE",Inventario!B148)),"MAT",
IF(ISNUMBER(SEARCH("FRONT",Inventario!B148)),"FRO",
IF(ISNUMBER(SEARCH("BACK",Inventario!B148)),"BAC",
IF(ISNUMBER(SEARCH("MESH",Inventario!B148)),"MES",
IF(OR(ISNUMBER(SEARCH("BRILLANTE",Inventario!B148)),ISNUMBER(SEARCH("BTE",Inventario!B148))),"BRI",
IF(ISNUMBER(SEARCH("SINTETICA DELGADA",Inventario!B148)),"SD",
IF(ISNUMBER(SEARCH("SINTETICA GRUESA",Inventario!B148)),"SG",
IF(ISNUMBER(SEARCH("ESTATICO",Inventario!B148)),"EST",
IF(ISNUMBER(SEARCH("FLOOR",Inventario!B148)),"FLO",
IF(ISNUMBER(SEARCH("REFLECTIVO",Inventario!B148)),"REF",
IF(ISNUMBER(SEARCH("MICROPERFORADO",Inventario!B148)),"MI",
IF(ISNUMBER(SEARCH("CEPILLADO",Inventario!B148)),"CEP",
IF(ISNUMBER(SEARCH("ESPEJO",Inventario!B148)),"ESP",
IF(OR(ISNUMBER(SEARCH("UNIDIODO",Inventario!B148)),ISNUMBER(SEARCH("1 DIODO",Inventario!B148))),"1D",
IF(ISNUMBER(SEARCH("2 DIODOS",Inventario!B148)),"2D",
IF(ISNUMBER(SEARCH("3 DIODOS",Inventario!B148)),"3D","")))))))))))))))))</f>
        <v>MAT</v>
      </c>
      <c r="D149" t="str">
        <f>IF(ISNUMBER(SEARCH("LX700",Inventario!B148)),"LX7",
IF(ISNUMBER(SEARCH("GRANDO",Inventario!B148)),"GRA",
IF(OR(ISNUMBER(SEARCH("CAMA PLANA",Inventario!B148)),ISNUMBER(SEARCH("FB700",Inventario!B148))),"CP",
IF(ISNUMBER(SEARCH("LX360",Inventario!B148)),"LX3",
IF(ISNUMBER(SEARCH("XEROX",Inventario!B148)),"XER",
IF(ISNUMBER(SEARCH("18 OZ",Inventario!B148)),"18OZ",
IF(ISNUMBER(SEARCH("15 OZ",Inventario!B148)),"15OZ",
IF(OR(ISNUMBER(SEARCH("13 OZ",Inventario!B148)),ISNUMBER(SEARCH("13 ONZAS",Inventario!B148))),"13OZ",
IF(OR(ISNUMBER(SEARCH("9 OZ",Inventario!B148)),ISNUMBER(SEARCH("9 ONZAS",Inventario!B148))),"09OZ","")))))))))</f>
        <v/>
      </c>
      <c r="E149" t="str">
        <f>IF(OR(ISNUMBER(SEARCH("TRANSPARENTE",Inventario!B148)),ISNUMBER(SEARCH("TRANSPARENTES",Inventario!B148))),"TR",
IF(OR(ISNUMBER(SEARCH("BLANCO",Inventario!B148)),ISNUMBER(SEARCH("BCO",Inventario!B148))),"BL",
IF(ISNUMBER(SEARCH("VERDE",Inventario!B148)),"VR",
IF(ISNUMBER(SEARCH("MORADO",Inventario!B148)),"MR",
IF(ISNUMBER(SEARCH("PLATA",Inventario!B148)),"PL",
IF(ISNUMBER(SEARCH("ORO",Inventario!B148)),"OR",
IF(ISNUMBER(SEARCH("AMARILLO",Inventario!B148)),"AM",
IF(ISNUMBER(SEARCH("NARANJA",Inventario!B148)),"NR",
IF(ISNUMBER(SEARCH("NEGRO",Inventario!B148)),"NG",
IF(ISNUMBER(SEARCH("ROJO",Inventario!B148)),"RJ",
IF(ISNUMBER(SEARCH("AZUL",Inventario!B148)),"AZ","")))))))))))</f>
        <v>NG</v>
      </c>
      <c r="F149" t="str">
        <f>IF(ISNUMBER(SEARCH("1,2 MM",Inventario!B148)),"1MM2",
IF(OR(ISNUMBER(SEARCH("2 MM",Inventario!B148)),ISNUMBER(SEARCH("2MM",Inventario!B148))),"2MM",
IF(OR(ISNUMBER(SEARCH("3 MM",Inventario!B148)),ISNUMBER(SEARCH("3MM",Inventario!B148))),"3MM",
IF(OR(ISNUMBER(SEARCH("4 MM",Inventario!B148)),ISNUMBER(SEARCH("4MM",Inventario!B148)),ISNUMBER(SEARCH("4 mm",Inventario!B148))),"4MM",
IF(OR(ISNUMBER(SEARCH("5 MM",Inventario!B148)),ISNUMBER(SEARCH("5MM",Inventario!B148))),"5MM",
IF(OR(ISNUMBER(SEARCH("6 MM",Inventario!B148)),ISNUMBER(SEARCH("6MM",Inventario!B148))),"6MM",
IF(OR(ISNUMBER(SEARCH("10 MM",Inventario!B148)),ISNUMBER(SEARCH("10MM",Inventario!B148))),"10MM","")))))))</f>
        <v/>
      </c>
      <c r="G149" t="str">
        <f>IF(ISNUMBER(SEARCH("ALTA RESISTENCIA",Inventario!B148)),"AR",IF(ISNUMBER(SEARCH("CAMPAÑA",Inventario!B148)),"CA",
IF(OR(ISNUMBER(SEARCH("CALIDO",Inventario!B148)),ISNUMBER(SEARCH("CÁLIDO",Inventario!B148))),"C",
IF(OR(ISNUMBER(SEARCH("TRASLUCIDO",Inventario!B148)),ISNUMBER(SEARCH("TRANSLUCIDO",Inventario!B148))),"TL",
IF(ISNUMBER(SEARCH("NEUTRO",Inventario!B148)),"N",
IF(ISNUMBER(SEARCH("FRIO",Inventario!B148)),"F",""))))))</f>
        <v/>
      </c>
      <c r="H149" t="str">
        <f>IF(ISNUMBER(SEARCH("SILED",Inventario!B148)),"SI",
IF(ISNUMBER(SEARCH("SYDEMEX",Inventario!B148)),"SY",
IF(ISNUMBER(SEARCH("ROHS",Inventario!B148)),"RO",
IF(ISNUMBER(SEARCH("RISHANG",Inventario!B148)),"RS",
IF(ISNUMBER(SEARCH("VYG",Inventario!B148)),"VYG",
IF(ISNUMBER(SEARCH("COLED",Inventario!B148)),"CO",""))))))</f>
        <v/>
      </c>
    </row>
    <row r="150" spans="1:8">
      <c r="A150" t="str">
        <f>IF(ISNUMBER(SEARCH("LONA",Inventario!B149)),"LON",
IF(ISNUMBER(SEARCH("VINIL",Inventario!B149)),"VIN",
IF(ISNUMBER(SEARCH("PANEL DE ALUMINIO COMPUESTO",Inventario!B149)),"PAN-ALU-COM",
IF(ISNUMBER(SEARCH("PVC",Inventario!B149)),"PVC",
IF(ISNUMBER(SEARCH("PAPEL",Inventario!B149)),"PAP",
IF(ISNUMBER(SEARCH("TELA",Inventario!B149)),"TEL",
IF(ISNUMBER(SEARCH("CARTULINA",Inventario!B149)),"CAR",
IF(OR(ISNUMBER(SEARCH("LAMINA",Inventario!B149)),ISNUMBER(SEARCH("LÁMINA",Inventario!B149))),"LAM",
IF(ISNUMBER(SEARCH("ESTIRENO",Inventario!B149)),"EST",
IF(ISNUMBER(SEARCH("FOAMBOARD",Inventario!B149)),"FOA",
IF(ISNUMBER(SEARCH("SOLVENTE",Inventario!B149)),"SOL",
IF(ISNUMBER(SEARCH("TINTA",Inventario!B149)),"TIN",
IF(ISNUMBER(SEARCH("ACRILICO",Inventario!B149)),"ACR",
IF(ISNUMBER(SEARCH("LED",Inventario!B149)),"LED",
IF(ISNUMBER(SEARCH("FUENTE",Inventario!B149)),"FUE",
IF(ISNUMBER(SEARCH("PETG",Inventario!B149)),"PET",
IF(ISNUMBER(SEARCH("ALUMINIO",Inventario!B149)),"ALU",
IF(ISNUMBER(SEARCH("CANAL",Inventario!B149)),"CAN",
IF(ISNUMBER(SEARCH("ESCUADRA",Inventario!B149)),"ESC",
IF(ISNUMBER(SEARCH("SOPORTE",Inventario!B149)),"SOP","OTR")
)))))))))))))))))))</f>
        <v>VIN</v>
      </c>
      <c r="B150" t="str">
        <f>IF(ISNUMBER(SEARCH("CORTE",Inventario!B149)),"COR",
IF(ISNUMBER(SEARCH("CRISTAL",Inventario!B149)),"CR",
IF(OR(ISNUMBER(SEARCH("OPTICO",Inventario!B149)),ISNUMBER(SEARCH("OPTICOS",Inventario!B149)),ISNUMBER(SEARCH("OPTICA",Inventario!B149))),"OP",
IF(ISNUMBER(SEARCH("NANO",Inventario!B149)),"NA",
IF(ISNUMBER(SEARCH("5050",Inventario!B149)),"5050",
IF(ISNUMBER(SEARCH("MICRO",Inventario!B149)),"MI",""))))))</f>
        <v>COR</v>
      </c>
      <c r="C150" t="str">
        <f>IF(ISNUMBER(SEARCH("PARED",Inventario!B149)),"PAR",IF(ISNUMBER(SEARCH("MATE",Inventario!B149)),"MAT",
IF(ISNUMBER(SEARCH("FRONT",Inventario!B149)),"FRO",
IF(ISNUMBER(SEARCH("BACK",Inventario!B149)),"BAC",
IF(ISNUMBER(SEARCH("MESH",Inventario!B149)),"MES",
IF(OR(ISNUMBER(SEARCH("BRILLANTE",Inventario!B149)),ISNUMBER(SEARCH("BTE",Inventario!B149))),"BRI",
IF(ISNUMBER(SEARCH("SINTETICA DELGADA",Inventario!B149)),"SD",
IF(ISNUMBER(SEARCH("SINTETICA GRUESA",Inventario!B149)),"SG",
IF(ISNUMBER(SEARCH("ESTATICO",Inventario!B149)),"EST",
IF(ISNUMBER(SEARCH("FLOOR",Inventario!B149)),"FLO",
IF(ISNUMBER(SEARCH("REFLECTIVO",Inventario!B149)),"REF",
IF(ISNUMBER(SEARCH("MICROPERFORADO",Inventario!B149)),"MI",
IF(ISNUMBER(SEARCH("CEPILLADO",Inventario!B149)),"CEP",
IF(ISNUMBER(SEARCH("ESPEJO",Inventario!B149)),"ESP",
IF(OR(ISNUMBER(SEARCH("UNIDIODO",Inventario!B149)),ISNUMBER(SEARCH("1 DIODO",Inventario!B149))),"1D",
IF(ISNUMBER(SEARCH("2 DIODOS",Inventario!B149)),"2D",
IF(ISNUMBER(SEARCH("3 DIODOS",Inventario!B149)),"3D","")))))))))))))))))</f>
        <v>BRI</v>
      </c>
      <c r="D150" t="str">
        <f>IF(ISNUMBER(SEARCH("LX700",Inventario!B149)),"LX7",
IF(ISNUMBER(SEARCH("GRANDO",Inventario!B149)),"GRA",
IF(OR(ISNUMBER(SEARCH("CAMA PLANA",Inventario!B149)),ISNUMBER(SEARCH("FB700",Inventario!B149))),"CP",
IF(ISNUMBER(SEARCH("LX360",Inventario!B149)),"LX3",
IF(ISNUMBER(SEARCH("XEROX",Inventario!B149)),"XER",
IF(ISNUMBER(SEARCH("18 OZ",Inventario!B149)),"18OZ",
IF(ISNUMBER(SEARCH("15 OZ",Inventario!B149)),"15OZ",
IF(OR(ISNUMBER(SEARCH("13 OZ",Inventario!B149)),ISNUMBER(SEARCH("13 ONZAS",Inventario!B149))),"13OZ",
IF(OR(ISNUMBER(SEARCH("9 OZ",Inventario!B149)),ISNUMBER(SEARCH("9 ONZAS",Inventario!B149))),"09OZ","")))))))))</f>
        <v/>
      </c>
      <c r="E150" t="str">
        <f>IF(OR(ISNUMBER(SEARCH("TRANSPARENTE",Inventario!B149)),ISNUMBER(SEARCH("TRANSPARENTES",Inventario!B149))),"TR",
IF(OR(ISNUMBER(SEARCH("BLANCO",Inventario!B149)),ISNUMBER(SEARCH("BCO",Inventario!B149))),"BL",
IF(ISNUMBER(SEARCH("VERDE",Inventario!B149)),"VR",
IF(ISNUMBER(SEARCH("MORADO",Inventario!B149)),"MR",
IF(ISNUMBER(SEARCH("PLATA",Inventario!B149)),"PL",
IF(ISNUMBER(SEARCH("ORO",Inventario!B149)),"OR",
IF(ISNUMBER(SEARCH("AMARILLO",Inventario!B149)),"AM",
IF(ISNUMBER(SEARCH("NARANJA",Inventario!B149)),"NR",
IF(ISNUMBER(SEARCH("NEGRO",Inventario!B149)),"NG",
IF(ISNUMBER(SEARCH("ROJO",Inventario!B149)),"RJ",
IF(ISNUMBER(SEARCH("AZUL",Inventario!B149)),"AZ","")))))))))))</f>
        <v>NG</v>
      </c>
      <c r="F150" t="str">
        <f>IF(ISNUMBER(SEARCH("1,2 MM",Inventario!B149)),"1MM2",
IF(OR(ISNUMBER(SEARCH("2 MM",Inventario!B149)),ISNUMBER(SEARCH("2MM",Inventario!B149))),"2MM",
IF(OR(ISNUMBER(SEARCH("3 MM",Inventario!B149)),ISNUMBER(SEARCH("3MM",Inventario!B149))),"3MM",
IF(OR(ISNUMBER(SEARCH("4 MM",Inventario!B149)),ISNUMBER(SEARCH("4MM",Inventario!B149)),ISNUMBER(SEARCH("4 mm",Inventario!B149))),"4MM",
IF(OR(ISNUMBER(SEARCH("5 MM",Inventario!B149)),ISNUMBER(SEARCH("5MM",Inventario!B149))),"5MM",
IF(OR(ISNUMBER(SEARCH("6 MM",Inventario!B149)),ISNUMBER(SEARCH("6MM",Inventario!B149))),"6MM",
IF(OR(ISNUMBER(SEARCH("10 MM",Inventario!B149)),ISNUMBER(SEARCH("10MM",Inventario!B149))),"10MM","")))))))</f>
        <v/>
      </c>
      <c r="G150" t="str">
        <f>IF(ISNUMBER(SEARCH("ALTA RESISTENCIA",Inventario!B149)),"AR",IF(ISNUMBER(SEARCH("CAMPAÑA",Inventario!B149)),"CA",
IF(OR(ISNUMBER(SEARCH("CALIDO",Inventario!B149)),ISNUMBER(SEARCH("CÁLIDO",Inventario!B149))),"C",
IF(OR(ISNUMBER(SEARCH("TRASLUCIDO",Inventario!B149)),ISNUMBER(SEARCH("TRANSLUCIDO",Inventario!B149))),"TL",
IF(ISNUMBER(SEARCH("NEUTRO",Inventario!B149)),"N",
IF(ISNUMBER(SEARCH("FRIO",Inventario!B149)),"F",""))))))</f>
        <v/>
      </c>
      <c r="H150" t="str">
        <f>IF(ISNUMBER(SEARCH("SILED",Inventario!B149)),"SI",
IF(ISNUMBER(SEARCH("SYDEMEX",Inventario!B149)),"SY",
IF(ISNUMBER(SEARCH("ROHS",Inventario!B149)),"RO",
IF(ISNUMBER(SEARCH("RISHANG",Inventario!B149)),"RS",
IF(ISNUMBER(SEARCH("VYG",Inventario!B149)),"VYG",
IF(ISNUMBER(SEARCH("COLED",Inventario!B149)),"CO",""))))))</f>
        <v/>
      </c>
    </row>
    <row r="151" spans="1:8">
      <c r="A151" t="str">
        <f>IF(ISNUMBER(SEARCH("LONA",Inventario!B150)),"LON",
IF(ISNUMBER(SEARCH("VINIL",Inventario!B150)),"VIN",
IF(ISNUMBER(SEARCH("PANEL DE ALUMINIO COMPUESTO",Inventario!B150)),"PAN-ALU-COM",
IF(ISNUMBER(SEARCH("PVC",Inventario!B150)),"PVC",
IF(ISNUMBER(SEARCH("PAPEL",Inventario!B150)),"PAP",
IF(ISNUMBER(SEARCH("TELA",Inventario!B150)),"TEL",
IF(ISNUMBER(SEARCH("CARTULINA",Inventario!B150)),"CAR",
IF(OR(ISNUMBER(SEARCH("LAMINA",Inventario!B150)),ISNUMBER(SEARCH("LÁMINA",Inventario!B150))),"LAM",
IF(ISNUMBER(SEARCH("ESTIRENO",Inventario!B150)),"EST",
IF(ISNUMBER(SEARCH("FOAMBOARD",Inventario!B150)),"FOA",
IF(ISNUMBER(SEARCH("SOLVENTE",Inventario!B150)),"SOL",
IF(ISNUMBER(SEARCH("TINTA",Inventario!B150)),"TIN",
IF(ISNUMBER(SEARCH("ACRILICO",Inventario!B150)),"ACR",
IF(ISNUMBER(SEARCH("LED",Inventario!B150)),"LED",
IF(ISNUMBER(SEARCH("FUENTE",Inventario!B150)),"FUE",
IF(ISNUMBER(SEARCH("PETG",Inventario!B150)),"PET",
IF(ISNUMBER(SEARCH("ALUMINIO",Inventario!B150)),"ALU",
IF(ISNUMBER(SEARCH("CANAL",Inventario!B150)),"CAN",
IF(ISNUMBER(SEARCH("ESCUADRA",Inventario!B150)),"ESC",
IF(ISNUMBER(SEARCH("SOPORTE",Inventario!B150)),"SOP","OTR")
)))))))))))))))))))</f>
        <v>VIN</v>
      </c>
      <c r="B151" t="str">
        <f>IF(ISNUMBER(SEARCH("CORTE",Inventario!B150)),"COR",
IF(ISNUMBER(SEARCH("CRISTAL",Inventario!B150)),"CR",
IF(OR(ISNUMBER(SEARCH("OPTICO",Inventario!B150)),ISNUMBER(SEARCH("OPTICOS",Inventario!B150)),ISNUMBER(SEARCH("OPTICA",Inventario!B150))),"OP",
IF(ISNUMBER(SEARCH("NANO",Inventario!B150)),"NA",
IF(ISNUMBER(SEARCH("5050",Inventario!B150)),"5050",
IF(ISNUMBER(SEARCH("MICRO",Inventario!B150)),"MI",""))))))</f>
        <v>COR</v>
      </c>
      <c r="C151" t="str">
        <f>IF(ISNUMBER(SEARCH("PARED",Inventario!B150)),"PAR",IF(ISNUMBER(SEARCH("MATE",Inventario!B150)),"MAT",
IF(ISNUMBER(SEARCH("FRONT",Inventario!B150)),"FRO",
IF(ISNUMBER(SEARCH("BACK",Inventario!B150)),"BAC",
IF(ISNUMBER(SEARCH("MESH",Inventario!B150)),"MES",
IF(OR(ISNUMBER(SEARCH("BRILLANTE",Inventario!B150)),ISNUMBER(SEARCH("BTE",Inventario!B150))),"BRI",
IF(ISNUMBER(SEARCH("SINTETICA DELGADA",Inventario!B150)),"SD",
IF(ISNUMBER(SEARCH("SINTETICA GRUESA",Inventario!B150)),"SG",
IF(ISNUMBER(SEARCH("ESTATICO",Inventario!B150)),"EST",
IF(ISNUMBER(SEARCH("FLOOR",Inventario!B150)),"FLO",
IF(ISNUMBER(SEARCH("REFLECTIVO",Inventario!B150)),"REF",
IF(ISNUMBER(SEARCH("MICROPERFORADO",Inventario!B150)),"MI",
IF(ISNUMBER(SEARCH("CEPILLADO",Inventario!B150)),"CEP",
IF(ISNUMBER(SEARCH("ESPEJO",Inventario!B150)),"ESP",
IF(OR(ISNUMBER(SEARCH("UNIDIODO",Inventario!B150)),ISNUMBER(SEARCH("1 DIODO",Inventario!B150))),"1D",
IF(ISNUMBER(SEARCH("2 DIODOS",Inventario!B150)),"2D",
IF(ISNUMBER(SEARCH("3 DIODOS",Inventario!B150)),"3D","")))))))))))))))))</f>
        <v>CEP</v>
      </c>
      <c r="D151" t="str">
        <f>IF(ISNUMBER(SEARCH("LX700",Inventario!B150)),"LX7",
IF(ISNUMBER(SEARCH("GRANDO",Inventario!B150)),"GRA",
IF(OR(ISNUMBER(SEARCH("CAMA PLANA",Inventario!B150)),ISNUMBER(SEARCH("FB700",Inventario!B150))),"CP",
IF(ISNUMBER(SEARCH("LX360",Inventario!B150)),"LX3",
IF(ISNUMBER(SEARCH("XEROX",Inventario!B150)),"XER",
IF(ISNUMBER(SEARCH("18 OZ",Inventario!B150)),"18OZ",
IF(ISNUMBER(SEARCH("15 OZ",Inventario!B150)),"15OZ",
IF(OR(ISNUMBER(SEARCH("13 OZ",Inventario!B150)),ISNUMBER(SEARCH("13 ONZAS",Inventario!B150))),"13OZ",
IF(OR(ISNUMBER(SEARCH("9 OZ",Inventario!B150)),ISNUMBER(SEARCH("9 ONZAS",Inventario!B150))),"09OZ","")))))))))</f>
        <v/>
      </c>
      <c r="E151" t="str">
        <f>IF(OR(ISNUMBER(SEARCH("TRANSPARENTE",Inventario!B150)),ISNUMBER(SEARCH("TRANSPARENTES",Inventario!B150))),"TR",
IF(OR(ISNUMBER(SEARCH("BLANCO",Inventario!B150)),ISNUMBER(SEARCH("BCO",Inventario!B150))),"BL",
IF(ISNUMBER(SEARCH("VERDE",Inventario!B150)),"VR",
IF(ISNUMBER(SEARCH("MORADO",Inventario!B150)),"MR",
IF(ISNUMBER(SEARCH("PLATA",Inventario!B150)),"PL",
IF(ISNUMBER(SEARCH("ORO",Inventario!B150)),"OR",
IF(ISNUMBER(SEARCH("AMARILLO",Inventario!B150)),"AM",
IF(ISNUMBER(SEARCH("NARANJA",Inventario!B150)),"NR",
IF(ISNUMBER(SEARCH("NEGRO",Inventario!B150)),"NG",
IF(ISNUMBER(SEARCH("ROJO",Inventario!B150)),"RJ",
IF(ISNUMBER(SEARCH("AZUL",Inventario!B150)),"AZ","")))))))))))</f>
        <v>PL</v>
      </c>
      <c r="F151" t="str">
        <f>IF(ISNUMBER(SEARCH("1,2 MM",Inventario!B150)),"1MM2",
IF(OR(ISNUMBER(SEARCH("2 MM",Inventario!B150)),ISNUMBER(SEARCH("2MM",Inventario!B150))),"2MM",
IF(OR(ISNUMBER(SEARCH("3 MM",Inventario!B150)),ISNUMBER(SEARCH("3MM",Inventario!B150))),"3MM",
IF(OR(ISNUMBER(SEARCH("4 MM",Inventario!B150)),ISNUMBER(SEARCH("4MM",Inventario!B150)),ISNUMBER(SEARCH("4 mm",Inventario!B150))),"4MM",
IF(OR(ISNUMBER(SEARCH("5 MM",Inventario!B150)),ISNUMBER(SEARCH("5MM",Inventario!B150))),"5MM",
IF(OR(ISNUMBER(SEARCH("6 MM",Inventario!B150)),ISNUMBER(SEARCH("6MM",Inventario!B150))),"6MM",
IF(OR(ISNUMBER(SEARCH("10 MM",Inventario!B150)),ISNUMBER(SEARCH("10MM",Inventario!B150))),"10MM","")))))))</f>
        <v/>
      </c>
      <c r="G151" t="str">
        <f>IF(ISNUMBER(SEARCH("ALTA RESISTENCIA",Inventario!B150)),"AR",IF(ISNUMBER(SEARCH("CAMPAÑA",Inventario!B150)),"CA",
IF(OR(ISNUMBER(SEARCH("CALIDO",Inventario!B150)),ISNUMBER(SEARCH("CÁLIDO",Inventario!B150))),"C",
IF(OR(ISNUMBER(SEARCH("TRASLUCIDO",Inventario!B150)),ISNUMBER(SEARCH("TRANSLUCIDO",Inventario!B150))),"TL",
IF(ISNUMBER(SEARCH("NEUTRO",Inventario!B150)),"N",
IF(ISNUMBER(SEARCH("FRIO",Inventario!B150)),"F",""))))))</f>
        <v/>
      </c>
      <c r="H151" t="str">
        <f>IF(ISNUMBER(SEARCH("SILED",Inventario!B150)),"SI",
IF(ISNUMBER(SEARCH("SYDEMEX",Inventario!B150)),"SY",
IF(ISNUMBER(SEARCH("ROHS",Inventario!B150)),"RO",
IF(ISNUMBER(SEARCH("RISHANG",Inventario!B150)),"RS",
IF(ISNUMBER(SEARCH("VYG",Inventario!B150)),"VYG",
IF(ISNUMBER(SEARCH("COLED",Inventario!B150)),"CO",""))))))</f>
        <v/>
      </c>
    </row>
    <row r="152" spans="1:8">
      <c r="A152" t="str">
        <f>IF(ISNUMBER(SEARCH("LONA",Inventario!B151)),"LON",
IF(ISNUMBER(SEARCH("VINIL",Inventario!B151)),"VIN",
IF(ISNUMBER(SEARCH("PANEL DE ALUMINIO COMPUESTO",Inventario!B151)),"PAN-ALU-COM",
IF(ISNUMBER(SEARCH("PVC",Inventario!B151)),"PVC",
IF(ISNUMBER(SEARCH("PAPEL",Inventario!B151)),"PAP",
IF(ISNUMBER(SEARCH("TELA",Inventario!B151)),"TEL",
IF(ISNUMBER(SEARCH("CARTULINA",Inventario!B151)),"CAR",
IF(OR(ISNUMBER(SEARCH("LAMINA",Inventario!B151)),ISNUMBER(SEARCH("LÁMINA",Inventario!B151))),"LAM",
IF(ISNUMBER(SEARCH("ESTIRENO",Inventario!B151)),"EST",
IF(ISNUMBER(SEARCH("FOAMBOARD",Inventario!B151)),"FOA",
IF(ISNUMBER(SEARCH("SOLVENTE",Inventario!B151)),"SOL",
IF(ISNUMBER(SEARCH("TINTA",Inventario!B151)),"TIN",
IF(ISNUMBER(SEARCH("ACRILICO",Inventario!B151)),"ACR",
IF(ISNUMBER(SEARCH("LED",Inventario!B151)),"LED",
IF(ISNUMBER(SEARCH("FUENTE",Inventario!B151)),"FUE",
IF(ISNUMBER(SEARCH("PETG",Inventario!B151)),"PET",
IF(ISNUMBER(SEARCH("ALUMINIO",Inventario!B151)),"ALU",
IF(ISNUMBER(SEARCH("CANAL",Inventario!B151)),"CAN",
IF(ISNUMBER(SEARCH("ESCUADRA",Inventario!B151)),"ESC",
IF(ISNUMBER(SEARCH("SOPORTE",Inventario!B151)),"SOP","OTR")
)))))))))))))))))))</f>
        <v>VIN</v>
      </c>
      <c r="B152" t="str">
        <f>IF(ISNUMBER(SEARCH("CORTE",Inventario!B151)),"COR",
IF(ISNUMBER(SEARCH("CRISTAL",Inventario!B151)),"CR",
IF(OR(ISNUMBER(SEARCH("OPTICO",Inventario!B151)),ISNUMBER(SEARCH("OPTICOS",Inventario!B151)),ISNUMBER(SEARCH("OPTICA",Inventario!B151))),"OP",
IF(ISNUMBER(SEARCH("NANO",Inventario!B151)),"NA",
IF(ISNUMBER(SEARCH("5050",Inventario!B151)),"5050",
IF(ISNUMBER(SEARCH("MICRO",Inventario!B151)),"MI",""))))))</f>
        <v>COR</v>
      </c>
      <c r="C152" t="str">
        <f>IF(ISNUMBER(SEARCH("PARED",Inventario!B151)),"PAR",IF(ISNUMBER(SEARCH("MATE",Inventario!B151)),"MAT",
IF(ISNUMBER(SEARCH("FRONT",Inventario!B151)),"FRO",
IF(ISNUMBER(SEARCH("BACK",Inventario!B151)),"BAC",
IF(ISNUMBER(SEARCH("MESH",Inventario!B151)),"MES",
IF(OR(ISNUMBER(SEARCH("BRILLANTE",Inventario!B151)),ISNUMBER(SEARCH("BTE",Inventario!B151))),"BRI",
IF(ISNUMBER(SEARCH("SINTETICA DELGADA",Inventario!B151)),"SD",
IF(ISNUMBER(SEARCH("SINTETICA GRUESA",Inventario!B151)),"SG",
IF(ISNUMBER(SEARCH("ESTATICO",Inventario!B151)),"EST",
IF(ISNUMBER(SEARCH("FLOOR",Inventario!B151)),"FLO",
IF(ISNUMBER(SEARCH("REFLECTIVO",Inventario!B151)),"REF",
IF(ISNUMBER(SEARCH("MICROPERFORADO",Inventario!B151)),"MI",
IF(ISNUMBER(SEARCH("CEPILLADO",Inventario!B151)),"CEP",
IF(ISNUMBER(SEARCH("ESPEJO",Inventario!B151)),"ESP",
IF(OR(ISNUMBER(SEARCH("UNIDIODO",Inventario!B151)),ISNUMBER(SEARCH("1 DIODO",Inventario!B151))),"1D",
IF(ISNUMBER(SEARCH("2 DIODOS",Inventario!B151)),"2D",
IF(ISNUMBER(SEARCH("3 DIODOS",Inventario!B151)),"3D","")))))))))))))))))</f>
        <v>ESP</v>
      </c>
      <c r="D152" t="str">
        <f>IF(ISNUMBER(SEARCH("LX700",Inventario!B151)),"LX7",
IF(ISNUMBER(SEARCH("GRANDO",Inventario!B151)),"GRA",
IF(OR(ISNUMBER(SEARCH("CAMA PLANA",Inventario!B151)),ISNUMBER(SEARCH("FB700",Inventario!B151))),"CP",
IF(ISNUMBER(SEARCH("LX360",Inventario!B151)),"LX3",
IF(ISNUMBER(SEARCH("XEROX",Inventario!B151)),"XER",
IF(ISNUMBER(SEARCH("18 OZ",Inventario!B151)),"18OZ",
IF(ISNUMBER(SEARCH("15 OZ",Inventario!B151)),"15OZ",
IF(OR(ISNUMBER(SEARCH("13 OZ",Inventario!B151)),ISNUMBER(SEARCH("13 ONZAS",Inventario!B151))),"13OZ",
IF(OR(ISNUMBER(SEARCH("9 OZ",Inventario!B151)),ISNUMBER(SEARCH("9 ONZAS",Inventario!B151))),"09OZ","")))))))))</f>
        <v/>
      </c>
      <c r="E152" t="str">
        <f>IF(OR(ISNUMBER(SEARCH("TRANSPARENTE",Inventario!B151)),ISNUMBER(SEARCH("TRANSPARENTES",Inventario!B151))),"TR",
IF(OR(ISNUMBER(SEARCH("BLANCO",Inventario!B151)),ISNUMBER(SEARCH("BCO",Inventario!B151))),"BL",
IF(ISNUMBER(SEARCH("VERDE",Inventario!B151)),"VR",
IF(ISNUMBER(SEARCH("MORADO",Inventario!B151)),"MR",
IF(ISNUMBER(SEARCH("PLATA",Inventario!B151)),"PL",
IF(ISNUMBER(SEARCH("ORO",Inventario!B151)),"OR",
IF(ISNUMBER(SEARCH("AMARILLO",Inventario!B151)),"AM",
IF(ISNUMBER(SEARCH("NARANJA",Inventario!B151)),"NR",
IF(ISNUMBER(SEARCH("NEGRO",Inventario!B151)),"NG",
IF(ISNUMBER(SEARCH("ROJO",Inventario!B151)),"RJ",
IF(ISNUMBER(SEARCH("AZUL",Inventario!B151)),"AZ","")))))))))))</f>
        <v>OR</v>
      </c>
      <c r="F152" t="str">
        <f>IF(ISNUMBER(SEARCH("1,2 MM",Inventario!B151)),"1MM2",
IF(OR(ISNUMBER(SEARCH("2 MM",Inventario!B151)),ISNUMBER(SEARCH("2MM",Inventario!B151))),"2MM",
IF(OR(ISNUMBER(SEARCH("3 MM",Inventario!B151)),ISNUMBER(SEARCH("3MM",Inventario!B151))),"3MM",
IF(OR(ISNUMBER(SEARCH("4 MM",Inventario!B151)),ISNUMBER(SEARCH("4MM",Inventario!B151)),ISNUMBER(SEARCH("4 mm",Inventario!B151))),"4MM",
IF(OR(ISNUMBER(SEARCH("5 MM",Inventario!B151)),ISNUMBER(SEARCH("5MM",Inventario!B151))),"5MM",
IF(OR(ISNUMBER(SEARCH("6 MM",Inventario!B151)),ISNUMBER(SEARCH("6MM",Inventario!B151))),"6MM",
IF(OR(ISNUMBER(SEARCH("10 MM",Inventario!B151)),ISNUMBER(SEARCH("10MM",Inventario!B151))),"10MM","")))))))</f>
        <v/>
      </c>
      <c r="G152" t="str">
        <f>IF(ISNUMBER(SEARCH("ALTA RESISTENCIA",Inventario!B151)),"AR",IF(ISNUMBER(SEARCH("CAMPAÑA",Inventario!B151)),"CA",
IF(OR(ISNUMBER(SEARCH("CALIDO",Inventario!B151)),ISNUMBER(SEARCH("CÁLIDO",Inventario!B151))),"C",
IF(OR(ISNUMBER(SEARCH("TRASLUCIDO",Inventario!B151)),ISNUMBER(SEARCH("TRANSLUCIDO",Inventario!B151))),"TL",
IF(ISNUMBER(SEARCH("NEUTRO",Inventario!B151)),"N",
IF(ISNUMBER(SEARCH("FRIO",Inventario!B151)),"F",""))))))</f>
        <v/>
      </c>
      <c r="H152" t="str">
        <f>IF(ISNUMBER(SEARCH("SILED",Inventario!B151)),"SI",
IF(ISNUMBER(SEARCH("SYDEMEX",Inventario!B151)),"SY",
IF(ISNUMBER(SEARCH("ROHS",Inventario!B151)),"RO",
IF(ISNUMBER(SEARCH("RISHANG",Inventario!B151)),"RS",
IF(ISNUMBER(SEARCH("VYG",Inventario!B151)),"VYG",
IF(ISNUMBER(SEARCH("COLED",Inventario!B151)),"CO",""))))))</f>
        <v/>
      </c>
    </row>
    <row r="153" spans="1:8">
      <c r="A153" t="str">
        <f>IF(ISNUMBER(SEARCH("LONA",Inventario!B152)),"LON",
IF(ISNUMBER(SEARCH("VINIL",Inventario!B152)),"VIN",
IF(ISNUMBER(SEARCH("PANEL DE ALUMINIO COMPUESTO",Inventario!B152)),"PAN-ALU-COM",
IF(ISNUMBER(SEARCH("PVC",Inventario!B152)),"PVC",
IF(ISNUMBER(SEARCH("PAPEL",Inventario!B152)),"PAP",
IF(ISNUMBER(SEARCH("TELA",Inventario!B152)),"TEL",
IF(ISNUMBER(SEARCH("CARTULINA",Inventario!B152)),"CAR",
IF(OR(ISNUMBER(SEARCH("LAMINA",Inventario!B152)),ISNUMBER(SEARCH("LÁMINA",Inventario!B152))),"LAM",
IF(ISNUMBER(SEARCH("ESTIRENO",Inventario!B152)),"EST",
IF(ISNUMBER(SEARCH("FOAMBOARD",Inventario!B152)),"FOA",
IF(ISNUMBER(SEARCH("SOLVENTE",Inventario!B152)),"SOL",
IF(ISNUMBER(SEARCH("TINTA",Inventario!B152)),"TIN",
IF(ISNUMBER(SEARCH("ACRILICO",Inventario!B152)),"ACR",
IF(ISNUMBER(SEARCH("LED",Inventario!B152)),"LED",
IF(ISNUMBER(SEARCH("FUENTE",Inventario!B152)),"FUE",
IF(ISNUMBER(SEARCH("PETG",Inventario!B152)),"PET",
IF(ISNUMBER(SEARCH("ALUMINIO",Inventario!B152)),"ALU",
IF(ISNUMBER(SEARCH("CANAL",Inventario!B152)),"CAN",
IF(ISNUMBER(SEARCH("ESCUADRA",Inventario!B152)),"ESC",
IF(ISNUMBER(SEARCH("SOPORTE",Inventario!B152)),"SOP","OTR")
)))))))))))))))))))</f>
        <v>VIN</v>
      </c>
      <c r="B153" t="str">
        <f>IF(ISNUMBER(SEARCH("CORTE",Inventario!B152)),"COR",
IF(ISNUMBER(SEARCH("CRISTAL",Inventario!B152)),"CR",
IF(OR(ISNUMBER(SEARCH("OPTICO",Inventario!B152)),ISNUMBER(SEARCH("OPTICOS",Inventario!B152)),ISNUMBER(SEARCH("OPTICA",Inventario!B152))),"OP",
IF(ISNUMBER(SEARCH("NANO",Inventario!B152)),"NA",
IF(ISNUMBER(SEARCH("5050",Inventario!B152)),"5050",
IF(ISNUMBER(SEARCH("MICRO",Inventario!B152)),"MI",""))))))</f>
        <v>COR</v>
      </c>
      <c r="C153" t="str">
        <f>IF(ISNUMBER(SEARCH("PARED",Inventario!B152)),"PAR",IF(ISNUMBER(SEARCH("MATE",Inventario!B152)),"MAT",
IF(ISNUMBER(SEARCH("FRONT",Inventario!B152)),"FRO",
IF(ISNUMBER(SEARCH("BACK",Inventario!B152)),"BAC",
IF(ISNUMBER(SEARCH("MESH",Inventario!B152)),"MES",
IF(OR(ISNUMBER(SEARCH("BRILLANTE",Inventario!B152)),ISNUMBER(SEARCH("BTE",Inventario!B152))),"BRI",
IF(ISNUMBER(SEARCH("SINTETICA DELGADA",Inventario!B152)),"SD",
IF(ISNUMBER(SEARCH("SINTETICA GRUESA",Inventario!B152)),"SG",
IF(ISNUMBER(SEARCH("ESTATICO",Inventario!B152)),"EST",
IF(ISNUMBER(SEARCH("FLOOR",Inventario!B152)),"FLO",
IF(ISNUMBER(SEARCH("REFLECTIVO",Inventario!B152)),"REF",
IF(ISNUMBER(SEARCH("MICROPERFORADO",Inventario!B152)),"MI",
IF(ISNUMBER(SEARCH("CEPILLADO",Inventario!B152)),"CEP",
IF(ISNUMBER(SEARCH("ESPEJO",Inventario!B152)),"ESP",
IF(OR(ISNUMBER(SEARCH("UNIDIODO",Inventario!B152)),ISNUMBER(SEARCH("1 DIODO",Inventario!B152))),"1D",
IF(ISNUMBER(SEARCH("2 DIODOS",Inventario!B152)),"2D",
IF(ISNUMBER(SEARCH("3 DIODOS",Inventario!B152)),"3D","")))))))))))))))))</f>
        <v/>
      </c>
      <c r="D153" t="str">
        <f>IF(ISNUMBER(SEARCH("LX700",Inventario!B152)),"LX7",
IF(ISNUMBER(SEARCH("GRANDO",Inventario!B152)),"GRA",
IF(OR(ISNUMBER(SEARCH("CAMA PLANA",Inventario!B152)),ISNUMBER(SEARCH("FB700",Inventario!B152))),"CP",
IF(ISNUMBER(SEARCH("LX360",Inventario!B152)),"LX3",
IF(ISNUMBER(SEARCH("XEROX",Inventario!B152)),"XER",
IF(ISNUMBER(SEARCH("18 OZ",Inventario!B152)),"18OZ",
IF(ISNUMBER(SEARCH("15 OZ",Inventario!B152)),"15OZ",
IF(OR(ISNUMBER(SEARCH("13 OZ",Inventario!B152)),ISNUMBER(SEARCH("13 ONZAS",Inventario!B152))),"13OZ",
IF(OR(ISNUMBER(SEARCH("9 OZ",Inventario!B152)),ISNUMBER(SEARCH("9 ONZAS",Inventario!B152))),"09OZ","")))))))))</f>
        <v/>
      </c>
      <c r="E153" t="str">
        <f>IF(OR(ISNUMBER(SEARCH("TRANSPARENTE",Inventario!B152)),ISNUMBER(SEARCH("TRANSPARENTES",Inventario!B152))),"TR",
IF(OR(ISNUMBER(SEARCH("BLANCO",Inventario!B152)),ISNUMBER(SEARCH("BCO",Inventario!B152))),"BL",
IF(ISNUMBER(SEARCH("VERDE",Inventario!B152)),"VR",
IF(ISNUMBER(SEARCH("MORADO",Inventario!B152)),"MR",
IF(ISNUMBER(SEARCH("PLATA",Inventario!B152)),"PL",
IF(ISNUMBER(SEARCH("ORO",Inventario!B152)),"OR",
IF(ISNUMBER(SEARCH("AMARILLO",Inventario!B152)),"AM",
IF(ISNUMBER(SEARCH("NARANJA",Inventario!B152)),"NR",
IF(ISNUMBER(SEARCH("NEGRO",Inventario!B152)),"NG",
IF(ISNUMBER(SEARCH("ROJO",Inventario!B152)),"RJ",
IF(ISNUMBER(SEARCH("AZUL",Inventario!B152)),"AZ","")))))))))))</f>
        <v/>
      </c>
      <c r="F153" t="str">
        <f>IF(ISNUMBER(SEARCH("1,2 MM",Inventario!B152)),"1MM2",
IF(OR(ISNUMBER(SEARCH("2 MM",Inventario!B152)),ISNUMBER(SEARCH("2MM",Inventario!B152))),"2MM",
IF(OR(ISNUMBER(SEARCH("3 MM",Inventario!B152)),ISNUMBER(SEARCH("3MM",Inventario!B152))),"3MM",
IF(OR(ISNUMBER(SEARCH("4 MM",Inventario!B152)),ISNUMBER(SEARCH("4MM",Inventario!B152)),ISNUMBER(SEARCH("4 mm",Inventario!B152))),"4MM",
IF(OR(ISNUMBER(SEARCH("5 MM",Inventario!B152)),ISNUMBER(SEARCH("5MM",Inventario!B152))),"5MM",
IF(OR(ISNUMBER(SEARCH("6 MM",Inventario!B152)),ISNUMBER(SEARCH("6MM",Inventario!B152))),"6MM",
IF(OR(ISNUMBER(SEARCH("10 MM",Inventario!B152)),ISNUMBER(SEARCH("10MM",Inventario!B152))),"10MM","")))))))</f>
        <v/>
      </c>
      <c r="G153" t="str">
        <f>IF(ISNUMBER(SEARCH("ALTA RESISTENCIA",Inventario!B152)),"AR",IF(ISNUMBER(SEARCH("CAMPAÑA",Inventario!B152)),"CA",
IF(OR(ISNUMBER(SEARCH("CALIDO",Inventario!B152)),ISNUMBER(SEARCH("CÁLIDO",Inventario!B152))),"C",
IF(OR(ISNUMBER(SEARCH("TRASLUCIDO",Inventario!B152)),ISNUMBER(SEARCH("TRANSLUCIDO",Inventario!B152))),"TL",
IF(ISNUMBER(SEARCH("NEUTRO",Inventario!B152)),"N",
IF(ISNUMBER(SEARCH("FRIO",Inventario!B152)),"F",""))))))</f>
        <v/>
      </c>
      <c r="H153" t="str">
        <f>IF(ISNUMBER(SEARCH("SILED",Inventario!B152)),"SI",
IF(ISNUMBER(SEARCH("SYDEMEX",Inventario!B152)),"SY",
IF(ISNUMBER(SEARCH("ROHS",Inventario!B152)),"RO",
IF(ISNUMBER(SEARCH("RISHANG",Inventario!B152)),"RS",
IF(ISNUMBER(SEARCH("VYG",Inventario!B152)),"VYG",
IF(ISNUMBER(SEARCH("COLED",Inventario!B152)),"CO",""))))))</f>
        <v/>
      </c>
    </row>
    <row r="154" spans="1:8">
      <c r="A154" t="str">
        <f>IF(ISNUMBER(SEARCH("LONA",Inventario!B153)),"LON",
IF(ISNUMBER(SEARCH("VINIL",Inventario!B153)),"VIN",
IF(ISNUMBER(SEARCH("PANEL DE ALUMINIO COMPUESTO",Inventario!B153)),"PAN-ALU-COM",
IF(ISNUMBER(SEARCH("PVC",Inventario!B153)),"PVC",
IF(ISNUMBER(SEARCH("PAPEL",Inventario!B153)),"PAP",
IF(ISNUMBER(SEARCH("TELA",Inventario!B153)),"TEL",
IF(ISNUMBER(SEARCH("CARTULINA",Inventario!B153)),"CAR",
IF(OR(ISNUMBER(SEARCH("LAMINA",Inventario!B153)),ISNUMBER(SEARCH("LÁMINA",Inventario!B153))),"LAM",
IF(ISNUMBER(SEARCH("ESTIRENO",Inventario!B153)),"EST",
IF(ISNUMBER(SEARCH("FOAMBOARD",Inventario!B153)),"FOA",
IF(ISNUMBER(SEARCH("SOLVENTE",Inventario!B153)),"SOL",
IF(ISNUMBER(SEARCH("TINTA",Inventario!B153)),"TIN",
IF(ISNUMBER(SEARCH("ACRILICO",Inventario!B153)),"ACR",
IF(ISNUMBER(SEARCH("LED",Inventario!B153)),"LED",
IF(ISNUMBER(SEARCH("FUENTE",Inventario!B153)),"FUE",
IF(ISNUMBER(SEARCH("PETG",Inventario!B153)),"PET",
IF(ISNUMBER(SEARCH("ALUMINIO",Inventario!B153)),"ALU",
IF(ISNUMBER(SEARCH("CANAL",Inventario!B153)),"CAN",
IF(ISNUMBER(SEARCH("ESCUADRA",Inventario!B153)),"ESC",
IF(ISNUMBER(SEARCH("SOPORTE",Inventario!B153)),"SOP","OTR")
)))))))))))))))))))</f>
        <v>VIN</v>
      </c>
      <c r="B154" t="str">
        <f>IF(ISNUMBER(SEARCH("CORTE",Inventario!B153)),"COR",
IF(ISNUMBER(SEARCH("CRISTAL",Inventario!B153)),"CR",
IF(OR(ISNUMBER(SEARCH("OPTICO",Inventario!B153)),ISNUMBER(SEARCH("OPTICOS",Inventario!B153)),ISNUMBER(SEARCH("OPTICA",Inventario!B153))),"OP",
IF(ISNUMBER(SEARCH("NANO",Inventario!B153)),"NA",
IF(ISNUMBER(SEARCH("5050",Inventario!B153)),"5050",
IF(ISNUMBER(SEARCH("MICRO",Inventario!B153)),"MI",""))))))</f>
        <v>COR</v>
      </c>
      <c r="C154" t="str">
        <f>IF(ISNUMBER(SEARCH("PARED",Inventario!B153)),"PAR",IF(ISNUMBER(SEARCH("MATE",Inventario!B153)),"MAT",
IF(ISNUMBER(SEARCH("FRONT",Inventario!B153)),"FRO",
IF(ISNUMBER(SEARCH("BACK",Inventario!B153)),"BAC",
IF(ISNUMBER(SEARCH("MESH",Inventario!B153)),"MES",
IF(OR(ISNUMBER(SEARCH("BRILLANTE",Inventario!B153)),ISNUMBER(SEARCH("BTE",Inventario!B153))),"BRI",
IF(ISNUMBER(SEARCH("SINTETICA DELGADA",Inventario!B153)),"SD",
IF(ISNUMBER(SEARCH("SINTETICA GRUESA",Inventario!B153)),"SG",
IF(ISNUMBER(SEARCH("ESTATICO",Inventario!B153)),"EST",
IF(ISNUMBER(SEARCH("FLOOR",Inventario!B153)),"FLO",
IF(ISNUMBER(SEARCH("REFLECTIVO",Inventario!B153)),"REF",
IF(ISNUMBER(SEARCH("MICROPERFORADO",Inventario!B153)),"MI",
IF(ISNUMBER(SEARCH("CEPILLADO",Inventario!B153)),"CEP",
IF(ISNUMBER(SEARCH("ESPEJO",Inventario!B153)),"ESP",
IF(OR(ISNUMBER(SEARCH("UNIDIODO",Inventario!B153)),ISNUMBER(SEARCH("1 DIODO",Inventario!B153))),"1D",
IF(ISNUMBER(SEARCH("2 DIODOS",Inventario!B153)),"2D",
IF(ISNUMBER(SEARCH("3 DIODOS",Inventario!B153)),"3D","")))))))))))))))))</f>
        <v/>
      </c>
      <c r="D154" t="str">
        <f>IF(ISNUMBER(SEARCH("LX700",Inventario!B153)),"LX7",
IF(ISNUMBER(SEARCH("GRANDO",Inventario!B153)),"GRA",
IF(OR(ISNUMBER(SEARCH("CAMA PLANA",Inventario!B153)),ISNUMBER(SEARCH("FB700",Inventario!B153))),"CP",
IF(ISNUMBER(SEARCH("LX360",Inventario!B153)),"LX3",
IF(ISNUMBER(SEARCH("XEROX",Inventario!B153)),"XER",
IF(ISNUMBER(SEARCH("18 OZ",Inventario!B153)),"18OZ",
IF(ISNUMBER(SEARCH("15 OZ",Inventario!B153)),"15OZ",
IF(OR(ISNUMBER(SEARCH("13 OZ",Inventario!B153)),ISNUMBER(SEARCH("13 ONZAS",Inventario!B153))),"13OZ",
IF(OR(ISNUMBER(SEARCH("9 OZ",Inventario!B153)),ISNUMBER(SEARCH("9 ONZAS",Inventario!B153))),"09OZ","")))))))))</f>
        <v/>
      </c>
      <c r="E154" t="str">
        <f>IF(OR(ISNUMBER(SEARCH("TRANSPARENTE",Inventario!B153)),ISNUMBER(SEARCH("TRANSPARENTES",Inventario!B153))),"TR",
IF(OR(ISNUMBER(SEARCH("BLANCO",Inventario!B153)),ISNUMBER(SEARCH("BCO",Inventario!B153))),"BL",
IF(ISNUMBER(SEARCH("VERDE",Inventario!B153)),"VR",
IF(ISNUMBER(SEARCH("MORADO",Inventario!B153)),"MR",
IF(ISNUMBER(SEARCH("PLATA",Inventario!B153)),"PL",
IF(ISNUMBER(SEARCH("ORO",Inventario!B153)),"OR",
IF(ISNUMBER(SEARCH("AMARILLO",Inventario!B153)),"AM",
IF(ISNUMBER(SEARCH("NARANJA",Inventario!B153)),"NR",
IF(ISNUMBER(SEARCH("NEGRO",Inventario!B153)),"NG",
IF(ISNUMBER(SEARCH("ROJO",Inventario!B153)),"RJ",
IF(ISNUMBER(SEARCH("AZUL",Inventario!B153)),"AZ","")))))))))))</f>
        <v>RJ</v>
      </c>
      <c r="F154" t="str">
        <f>IF(ISNUMBER(SEARCH("1,2 MM",Inventario!B153)),"1MM2",
IF(OR(ISNUMBER(SEARCH("2 MM",Inventario!B153)),ISNUMBER(SEARCH("2MM",Inventario!B153))),"2MM",
IF(OR(ISNUMBER(SEARCH("3 MM",Inventario!B153)),ISNUMBER(SEARCH("3MM",Inventario!B153))),"3MM",
IF(OR(ISNUMBER(SEARCH("4 MM",Inventario!B153)),ISNUMBER(SEARCH("4MM",Inventario!B153)),ISNUMBER(SEARCH("4 mm",Inventario!B153))),"4MM",
IF(OR(ISNUMBER(SEARCH("5 MM",Inventario!B153)),ISNUMBER(SEARCH("5MM",Inventario!B153))),"5MM",
IF(OR(ISNUMBER(SEARCH("6 MM",Inventario!B153)),ISNUMBER(SEARCH("6MM",Inventario!B153))),"6MM",
IF(OR(ISNUMBER(SEARCH("10 MM",Inventario!B153)),ISNUMBER(SEARCH("10MM",Inventario!B153))),"10MM","")))))))</f>
        <v/>
      </c>
      <c r="G154" t="str">
        <f>IF(ISNUMBER(SEARCH("ALTA RESISTENCIA",Inventario!B153)),"AR",IF(ISNUMBER(SEARCH("CAMPAÑA",Inventario!B153)),"CA",
IF(OR(ISNUMBER(SEARCH("CALIDO",Inventario!B153)),ISNUMBER(SEARCH("CÁLIDO",Inventario!B153))),"C",
IF(OR(ISNUMBER(SEARCH("TRASLUCIDO",Inventario!B153)),ISNUMBER(SEARCH("TRANSLUCIDO",Inventario!B153))),"TL",
IF(ISNUMBER(SEARCH("NEUTRO",Inventario!B153)),"N",
IF(ISNUMBER(SEARCH("FRIO",Inventario!B153)),"F",""))))))</f>
        <v>TL</v>
      </c>
      <c r="H154" t="str">
        <f>IF(ISNUMBER(SEARCH("SILED",Inventario!B153)),"SI",
IF(ISNUMBER(SEARCH("SYDEMEX",Inventario!B153)),"SY",
IF(ISNUMBER(SEARCH("ROHS",Inventario!B153)),"RO",
IF(ISNUMBER(SEARCH("RISHANG",Inventario!B153)),"RS",
IF(ISNUMBER(SEARCH("VYG",Inventario!B153)),"VYG",
IF(ISNUMBER(SEARCH("COLED",Inventario!B153)),"CO",""))))))</f>
        <v/>
      </c>
    </row>
    <row r="155" spans="1:8">
      <c r="A155" t="str">
        <f>IF(ISNUMBER(SEARCH("LONA",Inventario!B154)),"LON",
IF(ISNUMBER(SEARCH("VINIL",Inventario!B154)),"VIN",
IF(ISNUMBER(SEARCH("PANEL DE ALUMINIO COMPUESTO",Inventario!B154)),"PAN-ALU-COM",
IF(ISNUMBER(SEARCH("PVC",Inventario!B154)),"PVC",
IF(ISNUMBER(SEARCH("PAPEL",Inventario!B154)),"PAP",
IF(ISNUMBER(SEARCH("TELA",Inventario!B154)),"TEL",
IF(ISNUMBER(SEARCH("CARTULINA",Inventario!B154)),"CAR",
IF(OR(ISNUMBER(SEARCH("LAMINA",Inventario!B154)),ISNUMBER(SEARCH("LÁMINA",Inventario!B154))),"LAM",
IF(ISNUMBER(SEARCH("ESTIRENO",Inventario!B154)),"EST",
IF(ISNUMBER(SEARCH("FOAMBOARD",Inventario!B154)),"FOA",
IF(ISNUMBER(SEARCH("SOLVENTE",Inventario!B154)),"SOL",
IF(ISNUMBER(SEARCH("TINTA",Inventario!B154)),"TIN",
IF(ISNUMBER(SEARCH("ACRILICO",Inventario!B154)),"ACR",
IF(ISNUMBER(SEARCH("LED",Inventario!B154)),"LED",
IF(ISNUMBER(SEARCH("FUENTE",Inventario!B154)),"FUE",
IF(ISNUMBER(SEARCH("PETG",Inventario!B154)),"PET",
IF(ISNUMBER(SEARCH("ALUMINIO",Inventario!B154)),"ALU",
IF(ISNUMBER(SEARCH("CANAL",Inventario!B154)),"CAN",
IF(ISNUMBER(SEARCH("ESCUADRA",Inventario!B154)),"ESC",
IF(ISNUMBER(SEARCH("SOPORTE",Inventario!B154)),"SOP","OTR")
)))))))))))))))))))</f>
        <v>VIN</v>
      </c>
      <c r="B155" t="str">
        <f>IF(ISNUMBER(SEARCH("CORTE",Inventario!B154)),"COR",
IF(ISNUMBER(SEARCH("CRISTAL",Inventario!B154)),"CR",
IF(OR(ISNUMBER(SEARCH("OPTICO",Inventario!B154)),ISNUMBER(SEARCH("OPTICOS",Inventario!B154)),ISNUMBER(SEARCH("OPTICA",Inventario!B154))),"OP",
IF(ISNUMBER(SEARCH("NANO",Inventario!B154)),"NA",
IF(ISNUMBER(SEARCH("5050",Inventario!B154)),"5050",
IF(ISNUMBER(SEARCH("MICRO",Inventario!B154)),"MI",""))))))</f>
        <v>COR</v>
      </c>
      <c r="C155" t="str">
        <f>IF(ISNUMBER(SEARCH("PARED",Inventario!B154)),"PAR",IF(ISNUMBER(SEARCH("MATE",Inventario!B154)),"MAT",
IF(ISNUMBER(SEARCH("FRONT",Inventario!B154)),"FRO",
IF(ISNUMBER(SEARCH("BACK",Inventario!B154)),"BAC",
IF(ISNUMBER(SEARCH("MESH",Inventario!B154)),"MES",
IF(OR(ISNUMBER(SEARCH("BRILLANTE",Inventario!B154)),ISNUMBER(SEARCH("BTE",Inventario!B154))),"BRI",
IF(ISNUMBER(SEARCH("SINTETICA DELGADA",Inventario!B154)),"SD",
IF(ISNUMBER(SEARCH("SINTETICA GRUESA",Inventario!B154)),"SG",
IF(ISNUMBER(SEARCH("ESTATICO",Inventario!B154)),"EST",
IF(ISNUMBER(SEARCH("FLOOR",Inventario!B154)),"FLO",
IF(ISNUMBER(SEARCH("REFLECTIVO",Inventario!B154)),"REF",
IF(ISNUMBER(SEARCH("MICROPERFORADO",Inventario!B154)),"MI",
IF(ISNUMBER(SEARCH("CEPILLADO",Inventario!B154)),"CEP",
IF(ISNUMBER(SEARCH("ESPEJO",Inventario!B154)),"ESP",
IF(OR(ISNUMBER(SEARCH("UNIDIODO",Inventario!B154)),ISNUMBER(SEARCH("1 DIODO",Inventario!B154))),"1D",
IF(ISNUMBER(SEARCH("2 DIODOS",Inventario!B154)),"2D",
IF(ISNUMBER(SEARCH("3 DIODOS",Inventario!B154)),"3D","")))))))))))))))))</f>
        <v/>
      </c>
      <c r="D155" t="str">
        <f>IF(ISNUMBER(SEARCH("LX700",Inventario!B154)),"LX7",
IF(ISNUMBER(SEARCH("GRANDO",Inventario!B154)),"GRA",
IF(OR(ISNUMBER(SEARCH("CAMA PLANA",Inventario!B154)),ISNUMBER(SEARCH("FB700",Inventario!B154))),"CP",
IF(ISNUMBER(SEARCH("LX360",Inventario!B154)),"LX3",
IF(ISNUMBER(SEARCH("XEROX",Inventario!B154)),"XER",
IF(ISNUMBER(SEARCH("18 OZ",Inventario!B154)),"18OZ",
IF(ISNUMBER(SEARCH("15 OZ",Inventario!B154)),"15OZ",
IF(OR(ISNUMBER(SEARCH("13 OZ",Inventario!B154)),ISNUMBER(SEARCH("13 ONZAS",Inventario!B154))),"13OZ",
IF(OR(ISNUMBER(SEARCH("9 OZ",Inventario!B154)),ISNUMBER(SEARCH("9 ONZAS",Inventario!B154))),"09OZ","")))))))))</f>
        <v/>
      </c>
      <c r="E155" t="str">
        <f>IF(OR(ISNUMBER(SEARCH("TRANSPARENTE",Inventario!B154)),ISNUMBER(SEARCH("TRANSPARENTES",Inventario!B154))),"TR",
IF(OR(ISNUMBER(SEARCH("BLANCO",Inventario!B154)),ISNUMBER(SEARCH("BCO",Inventario!B154))),"BL",
IF(ISNUMBER(SEARCH("VERDE",Inventario!B154)),"VR",
IF(ISNUMBER(SEARCH("MORADO",Inventario!B154)),"MR",
IF(ISNUMBER(SEARCH("PLATA",Inventario!B154)),"PL",
IF(ISNUMBER(SEARCH("ORO",Inventario!B154)),"OR",
IF(ISNUMBER(SEARCH("AMARILLO",Inventario!B154)),"AM",
IF(ISNUMBER(SEARCH("NARANJA",Inventario!B154)),"NR",
IF(ISNUMBER(SEARCH("NEGRO",Inventario!B154)),"NG",
IF(ISNUMBER(SEARCH("ROJO",Inventario!B154)),"RJ",
IF(ISNUMBER(SEARCH("AZUL",Inventario!B154)),"AZ","")))))))))))</f>
        <v/>
      </c>
      <c r="F155" t="str">
        <f>IF(ISNUMBER(SEARCH("1,2 MM",Inventario!B154)),"1MM2",
IF(OR(ISNUMBER(SEARCH("2 MM",Inventario!B154)),ISNUMBER(SEARCH("2MM",Inventario!B154))),"2MM",
IF(OR(ISNUMBER(SEARCH("3 MM",Inventario!B154)),ISNUMBER(SEARCH("3MM",Inventario!B154))),"3MM",
IF(OR(ISNUMBER(SEARCH("4 MM",Inventario!B154)),ISNUMBER(SEARCH("4MM",Inventario!B154)),ISNUMBER(SEARCH("4 mm",Inventario!B154))),"4MM",
IF(OR(ISNUMBER(SEARCH("5 MM",Inventario!B154)),ISNUMBER(SEARCH("5MM",Inventario!B154))),"5MM",
IF(OR(ISNUMBER(SEARCH("6 MM",Inventario!B154)),ISNUMBER(SEARCH("6MM",Inventario!B154))),"6MM",
IF(OR(ISNUMBER(SEARCH("10 MM",Inventario!B154)),ISNUMBER(SEARCH("10MM",Inventario!B154))),"10MM","")))))))</f>
        <v/>
      </c>
      <c r="G155" t="str">
        <f>IF(ISNUMBER(SEARCH("ALTA RESISTENCIA",Inventario!B154)),"AR",IF(ISNUMBER(SEARCH("CAMPAÑA",Inventario!B154)),"CA",
IF(OR(ISNUMBER(SEARCH("CALIDO",Inventario!B154)),ISNUMBER(SEARCH("CÁLIDO",Inventario!B154))),"C",
IF(OR(ISNUMBER(SEARCH("TRASLUCIDO",Inventario!B154)),ISNUMBER(SEARCH("TRANSLUCIDO",Inventario!B154))),"TL",
IF(ISNUMBER(SEARCH("NEUTRO",Inventario!B154)),"N",
IF(ISNUMBER(SEARCH("FRIO",Inventario!B154)),"F",""))))))</f>
        <v/>
      </c>
      <c r="H155" t="str">
        <f>IF(ISNUMBER(SEARCH("SILED",Inventario!B154)),"SI",
IF(ISNUMBER(SEARCH("SYDEMEX",Inventario!B154)),"SY",
IF(ISNUMBER(SEARCH("ROHS",Inventario!B154)),"RO",
IF(ISNUMBER(SEARCH("RISHANG",Inventario!B154)),"RS",
IF(ISNUMBER(SEARCH("VYG",Inventario!B154)),"VYG",
IF(ISNUMBER(SEARCH("COLED",Inventario!B154)),"CO",""))))))</f>
        <v/>
      </c>
    </row>
    <row r="156" spans="1:8">
      <c r="A156" t="str">
        <f>IF(ISNUMBER(SEARCH("LONA",Inventario!B155)),"LON",
IF(ISNUMBER(SEARCH("VINIL",Inventario!B155)),"VIN",
IF(ISNUMBER(SEARCH("PANEL DE ALUMINIO COMPUESTO",Inventario!B155)),"PAN-ALU-COM",
IF(ISNUMBER(SEARCH("PVC",Inventario!B155)),"PVC",
IF(ISNUMBER(SEARCH("PAPEL",Inventario!B155)),"PAP",
IF(ISNUMBER(SEARCH("TELA",Inventario!B155)),"TEL",
IF(ISNUMBER(SEARCH("CARTULINA",Inventario!B155)),"CAR",
IF(OR(ISNUMBER(SEARCH("LAMINA",Inventario!B155)),ISNUMBER(SEARCH("LÁMINA",Inventario!B155))),"LAM",
IF(ISNUMBER(SEARCH("ESTIRENO",Inventario!B155)),"EST",
IF(ISNUMBER(SEARCH("FOAMBOARD",Inventario!B155)),"FOA",
IF(ISNUMBER(SEARCH("SOLVENTE",Inventario!B155)),"SOL",
IF(ISNUMBER(SEARCH("TINTA",Inventario!B155)),"TIN",
IF(ISNUMBER(SEARCH("ACRILICO",Inventario!B155)),"ACR",
IF(ISNUMBER(SEARCH("LED",Inventario!B155)),"LED",
IF(ISNUMBER(SEARCH("FUENTE",Inventario!B155)),"FUE",
IF(ISNUMBER(SEARCH("PETG",Inventario!B155)),"PET",
IF(ISNUMBER(SEARCH("ALUMINIO",Inventario!B155)),"ALU",
IF(ISNUMBER(SEARCH("CANAL",Inventario!B155)),"CAN",
IF(ISNUMBER(SEARCH("ESCUADRA",Inventario!B155)),"ESC",
IF(ISNUMBER(SEARCH("SOPORTE",Inventario!B155)),"SOP","OTR")
)))))))))))))))))))</f>
        <v>VIN</v>
      </c>
      <c r="B156" t="str">
        <f>IF(ISNUMBER(SEARCH("CORTE",Inventario!B155)),"COR",
IF(ISNUMBER(SEARCH("CRISTAL",Inventario!B155)),"CR",
IF(OR(ISNUMBER(SEARCH("OPTICO",Inventario!B155)),ISNUMBER(SEARCH("OPTICOS",Inventario!B155)),ISNUMBER(SEARCH("OPTICA",Inventario!B155))),"OP",
IF(ISNUMBER(SEARCH("NANO",Inventario!B155)),"NA",
IF(ISNUMBER(SEARCH("5050",Inventario!B155)),"5050",
IF(ISNUMBER(SEARCH("MICRO",Inventario!B155)),"MI",""))))))</f>
        <v>COR</v>
      </c>
      <c r="C156" t="str">
        <f>IF(ISNUMBER(SEARCH("PARED",Inventario!B155)),"PAR",IF(ISNUMBER(SEARCH("MATE",Inventario!B155)),"MAT",
IF(ISNUMBER(SEARCH("FRONT",Inventario!B155)),"FRO",
IF(ISNUMBER(SEARCH("BACK",Inventario!B155)),"BAC",
IF(ISNUMBER(SEARCH("MESH",Inventario!B155)),"MES",
IF(OR(ISNUMBER(SEARCH("BRILLANTE",Inventario!B155)),ISNUMBER(SEARCH("BTE",Inventario!B155))),"BRI",
IF(ISNUMBER(SEARCH("SINTETICA DELGADA",Inventario!B155)),"SD",
IF(ISNUMBER(SEARCH("SINTETICA GRUESA",Inventario!B155)),"SG",
IF(ISNUMBER(SEARCH("ESTATICO",Inventario!B155)),"EST",
IF(ISNUMBER(SEARCH("FLOOR",Inventario!B155)),"FLO",
IF(ISNUMBER(SEARCH("REFLECTIVO",Inventario!B155)),"REF",
IF(ISNUMBER(SEARCH("MICROPERFORADO",Inventario!B155)),"MI",
IF(ISNUMBER(SEARCH("CEPILLADO",Inventario!B155)),"CEP",
IF(ISNUMBER(SEARCH("ESPEJO",Inventario!B155)),"ESP",
IF(OR(ISNUMBER(SEARCH("UNIDIODO",Inventario!B155)),ISNUMBER(SEARCH("1 DIODO",Inventario!B155))),"1D",
IF(ISNUMBER(SEARCH("2 DIODOS",Inventario!B155)),"2D",
IF(ISNUMBER(SEARCH("3 DIODOS",Inventario!B155)),"3D","")))))))))))))))))</f>
        <v/>
      </c>
      <c r="D156" t="str">
        <f>IF(ISNUMBER(SEARCH("LX700",Inventario!B155)),"LX7",
IF(ISNUMBER(SEARCH("GRANDO",Inventario!B155)),"GRA",
IF(OR(ISNUMBER(SEARCH("CAMA PLANA",Inventario!B155)),ISNUMBER(SEARCH("FB700",Inventario!B155))),"CP",
IF(ISNUMBER(SEARCH("LX360",Inventario!B155)),"LX3",
IF(ISNUMBER(SEARCH("XEROX",Inventario!B155)),"XER",
IF(ISNUMBER(SEARCH("18 OZ",Inventario!B155)),"18OZ",
IF(ISNUMBER(SEARCH("15 OZ",Inventario!B155)),"15OZ",
IF(OR(ISNUMBER(SEARCH("13 OZ",Inventario!B155)),ISNUMBER(SEARCH("13 ONZAS",Inventario!B155))),"13OZ",
IF(OR(ISNUMBER(SEARCH("9 OZ",Inventario!B155)),ISNUMBER(SEARCH("9 ONZAS",Inventario!B155))),"09OZ","")))))))))</f>
        <v/>
      </c>
      <c r="E156" t="str">
        <f>IF(OR(ISNUMBER(SEARCH("TRANSPARENTE",Inventario!B155)),ISNUMBER(SEARCH("TRANSPARENTES",Inventario!B155))),"TR",
IF(OR(ISNUMBER(SEARCH("BLANCO",Inventario!B155)),ISNUMBER(SEARCH("BCO",Inventario!B155))),"BL",
IF(ISNUMBER(SEARCH("VERDE",Inventario!B155)),"VR",
IF(ISNUMBER(SEARCH("MORADO",Inventario!B155)),"MR",
IF(ISNUMBER(SEARCH("PLATA",Inventario!B155)),"PL",
IF(ISNUMBER(SEARCH("ORO",Inventario!B155)),"OR",
IF(ISNUMBER(SEARCH("AMARILLO",Inventario!B155)),"AM",
IF(ISNUMBER(SEARCH("NARANJA",Inventario!B155)),"NR",
IF(ISNUMBER(SEARCH("NEGRO",Inventario!B155)),"NG",
IF(ISNUMBER(SEARCH("ROJO",Inventario!B155)),"RJ",
IF(ISNUMBER(SEARCH("AZUL",Inventario!B155)),"AZ","")))))))))))</f>
        <v>AZ</v>
      </c>
      <c r="F156" t="str">
        <f>IF(ISNUMBER(SEARCH("1,2 MM",Inventario!B155)),"1MM2",
IF(OR(ISNUMBER(SEARCH("2 MM",Inventario!B155)),ISNUMBER(SEARCH("2MM",Inventario!B155))),"2MM",
IF(OR(ISNUMBER(SEARCH("3 MM",Inventario!B155)),ISNUMBER(SEARCH("3MM",Inventario!B155))),"3MM",
IF(OR(ISNUMBER(SEARCH("4 MM",Inventario!B155)),ISNUMBER(SEARCH("4MM",Inventario!B155)),ISNUMBER(SEARCH("4 mm",Inventario!B155))),"4MM",
IF(OR(ISNUMBER(SEARCH("5 MM",Inventario!B155)),ISNUMBER(SEARCH("5MM",Inventario!B155))),"5MM",
IF(OR(ISNUMBER(SEARCH("6 MM",Inventario!B155)),ISNUMBER(SEARCH("6MM",Inventario!B155))),"6MM",
IF(OR(ISNUMBER(SEARCH("10 MM",Inventario!B155)),ISNUMBER(SEARCH("10MM",Inventario!B155))),"10MM","")))))))</f>
        <v/>
      </c>
      <c r="G156" t="str">
        <f>IF(ISNUMBER(SEARCH("ALTA RESISTENCIA",Inventario!B155)),"AR",IF(ISNUMBER(SEARCH("CAMPAÑA",Inventario!B155)),"CA",
IF(OR(ISNUMBER(SEARCH("CALIDO",Inventario!B155)),ISNUMBER(SEARCH("CÁLIDO",Inventario!B155))),"C",
IF(OR(ISNUMBER(SEARCH("TRASLUCIDO",Inventario!B155)),ISNUMBER(SEARCH("TRANSLUCIDO",Inventario!B155))),"TL",
IF(ISNUMBER(SEARCH("NEUTRO",Inventario!B155)),"N",
IF(ISNUMBER(SEARCH("FRIO",Inventario!B155)),"F",""))))))</f>
        <v>TL</v>
      </c>
      <c r="H156" t="str">
        <f>IF(ISNUMBER(SEARCH("SILED",Inventario!B155)),"SI",
IF(ISNUMBER(SEARCH("SYDEMEX",Inventario!B155)),"SY",
IF(ISNUMBER(SEARCH("ROHS",Inventario!B155)),"RO",
IF(ISNUMBER(SEARCH("RISHANG",Inventario!B155)),"RS",
IF(ISNUMBER(SEARCH("VYG",Inventario!B155)),"VYG",
IF(ISNUMBER(SEARCH("COLED",Inventario!B155)),"CO",""))))))</f>
        <v/>
      </c>
    </row>
    <row r="157" spans="1:8">
      <c r="A157" t="str">
        <f>IF(ISNUMBER(SEARCH("LONA",Inventario!B156)),"LON",
IF(ISNUMBER(SEARCH("VINIL",Inventario!B156)),"VIN",
IF(ISNUMBER(SEARCH("PANEL DE ALUMINIO COMPUESTO",Inventario!B156)),"PAN-ALU-COM",
IF(ISNUMBER(SEARCH("PVC",Inventario!B156)),"PVC",
IF(ISNUMBER(SEARCH("PAPEL",Inventario!B156)),"PAP",
IF(ISNUMBER(SEARCH("TELA",Inventario!B156)),"TEL",
IF(ISNUMBER(SEARCH("CARTULINA",Inventario!B156)),"CAR",
IF(OR(ISNUMBER(SEARCH("LAMINA",Inventario!B156)),ISNUMBER(SEARCH("LÁMINA",Inventario!B156))),"LAM",
IF(ISNUMBER(SEARCH("ESTIRENO",Inventario!B156)),"EST",
IF(ISNUMBER(SEARCH("FOAMBOARD",Inventario!B156)),"FOA",
IF(ISNUMBER(SEARCH("SOLVENTE",Inventario!B156)),"SOL",
IF(ISNUMBER(SEARCH("TINTA",Inventario!B156)),"TIN",
IF(ISNUMBER(SEARCH("ACRILICO",Inventario!B156)),"ACR",
IF(ISNUMBER(SEARCH("LED",Inventario!B156)),"LED",
IF(ISNUMBER(SEARCH("FUENTE",Inventario!B156)),"FUE",
IF(ISNUMBER(SEARCH("PETG",Inventario!B156)),"PET",
IF(ISNUMBER(SEARCH("ALUMINIO",Inventario!B156)),"ALU",
IF(ISNUMBER(SEARCH("CANAL",Inventario!B156)),"CAN",
IF(ISNUMBER(SEARCH("ESCUADRA",Inventario!B156)),"ESC",
IF(ISNUMBER(SEARCH("SOPORTE",Inventario!B156)),"SOP","OTR")
)))))))))))))))))))</f>
        <v>VIN</v>
      </c>
      <c r="B157" t="str">
        <f>IF(ISNUMBER(SEARCH("CORTE",Inventario!B156)),"COR",
IF(ISNUMBER(SEARCH("CRISTAL",Inventario!B156)),"CR",
IF(OR(ISNUMBER(SEARCH("OPTICO",Inventario!B156)),ISNUMBER(SEARCH("OPTICOS",Inventario!B156)),ISNUMBER(SEARCH("OPTICA",Inventario!B156))),"OP",
IF(ISNUMBER(SEARCH("NANO",Inventario!B156)),"NA",
IF(ISNUMBER(SEARCH("5050",Inventario!B156)),"5050",
IF(ISNUMBER(SEARCH("MICRO",Inventario!B156)),"MI",""))))))</f>
        <v>COR</v>
      </c>
      <c r="C157" t="str">
        <f>IF(ISNUMBER(SEARCH("PARED",Inventario!B156)),"PAR",IF(ISNUMBER(SEARCH("MATE",Inventario!B156)),"MAT",
IF(ISNUMBER(SEARCH("FRONT",Inventario!B156)),"FRO",
IF(ISNUMBER(SEARCH("BACK",Inventario!B156)),"BAC",
IF(ISNUMBER(SEARCH("MESH",Inventario!B156)),"MES",
IF(OR(ISNUMBER(SEARCH("BRILLANTE",Inventario!B156)),ISNUMBER(SEARCH("BTE",Inventario!B156))),"BRI",
IF(ISNUMBER(SEARCH("SINTETICA DELGADA",Inventario!B156)),"SD",
IF(ISNUMBER(SEARCH("SINTETICA GRUESA",Inventario!B156)),"SG",
IF(ISNUMBER(SEARCH("ESTATICO",Inventario!B156)),"EST",
IF(ISNUMBER(SEARCH("FLOOR",Inventario!B156)),"FLO",
IF(ISNUMBER(SEARCH("REFLECTIVO",Inventario!B156)),"REF",
IF(ISNUMBER(SEARCH("MICROPERFORADO",Inventario!B156)),"MI",
IF(ISNUMBER(SEARCH("CEPILLADO",Inventario!B156)),"CEP",
IF(ISNUMBER(SEARCH("ESPEJO",Inventario!B156)),"ESP",
IF(OR(ISNUMBER(SEARCH("UNIDIODO",Inventario!B156)),ISNUMBER(SEARCH("1 DIODO",Inventario!B156))),"1D",
IF(ISNUMBER(SEARCH("2 DIODOS",Inventario!B156)),"2D",
IF(ISNUMBER(SEARCH("3 DIODOS",Inventario!B156)),"3D","")))))))))))))))))</f>
        <v/>
      </c>
      <c r="D157" t="str">
        <f>IF(ISNUMBER(SEARCH("LX700",Inventario!B156)),"LX7",
IF(ISNUMBER(SEARCH("GRANDO",Inventario!B156)),"GRA",
IF(OR(ISNUMBER(SEARCH("CAMA PLANA",Inventario!B156)),ISNUMBER(SEARCH("FB700",Inventario!B156))),"CP",
IF(ISNUMBER(SEARCH("LX360",Inventario!B156)),"LX3",
IF(ISNUMBER(SEARCH("XEROX",Inventario!B156)),"XER",
IF(ISNUMBER(SEARCH("18 OZ",Inventario!B156)),"18OZ",
IF(ISNUMBER(SEARCH("15 OZ",Inventario!B156)),"15OZ",
IF(OR(ISNUMBER(SEARCH("13 OZ",Inventario!B156)),ISNUMBER(SEARCH("13 ONZAS",Inventario!B156))),"13OZ",
IF(OR(ISNUMBER(SEARCH("9 OZ",Inventario!B156)),ISNUMBER(SEARCH("9 ONZAS",Inventario!B156))),"09OZ","")))))))))</f>
        <v/>
      </c>
      <c r="E157" t="str">
        <f>IF(OR(ISNUMBER(SEARCH("TRANSPARENTE",Inventario!B156)),ISNUMBER(SEARCH("TRANSPARENTES",Inventario!B156))),"TR",
IF(OR(ISNUMBER(SEARCH("BLANCO",Inventario!B156)),ISNUMBER(SEARCH("BCO",Inventario!B156))),"BL",
IF(ISNUMBER(SEARCH("VERDE",Inventario!B156)),"VR",
IF(ISNUMBER(SEARCH("MORADO",Inventario!B156)),"MR",
IF(ISNUMBER(SEARCH("PLATA",Inventario!B156)),"PL",
IF(ISNUMBER(SEARCH("ORO",Inventario!B156)),"OR",
IF(ISNUMBER(SEARCH("AMARILLO",Inventario!B156)),"AM",
IF(ISNUMBER(SEARCH("NARANJA",Inventario!B156)),"NR",
IF(ISNUMBER(SEARCH("NEGRO",Inventario!B156)),"NG",
IF(ISNUMBER(SEARCH("ROJO",Inventario!B156)),"RJ",
IF(ISNUMBER(SEARCH("AZUL",Inventario!B156)),"AZ","")))))))))))</f>
        <v>VR</v>
      </c>
      <c r="F157" t="str">
        <f>IF(ISNUMBER(SEARCH("1,2 MM",Inventario!B156)),"1MM2",
IF(OR(ISNUMBER(SEARCH("2 MM",Inventario!B156)),ISNUMBER(SEARCH("2MM",Inventario!B156))),"2MM",
IF(OR(ISNUMBER(SEARCH("3 MM",Inventario!B156)),ISNUMBER(SEARCH("3MM",Inventario!B156))),"3MM",
IF(OR(ISNUMBER(SEARCH("4 MM",Inventario!B156)),ISNUMBER(SEARCH("4MM",Inventario!B156)),ISNUMBER(SEARCH("4 mm",Inventario!B156))),"4MM",
IF(OR(ISNUMBER(SEARCH("5 MM",Inventario!B156)),ISNUMBER(SEARCH("5MM",Inventario!B156))),"5MM",
IF(OR(ISNUMBER(SEARCH("6 MM",Inventario!B156)),ISNUMBER(SEARCH("6MM",Inventario!B156))),"6MM",
IF(OR(ISNUMBER(SEARCH("10 MM",Inventario!B156)),ISNUMBER(SEARCH("10MM",Inventario!B156))),"10MM","")))))))</f>
        <v/>
      </c>
      <c r="G157" t="str">
        <f>IF(ISNUMBER(SEARCH("ALTA RESISTENCIA",Inventario!B156)),"AR",IF(ISNUMBER(SEARCH("CAMPAÑA",Inventario!B156)),"CA",
IF(OR(ISNUMBER(SEARCH("CALIDO",Inventario!B156)),ISNUMBER(SEARCH("CÁLIDO",Inventario!B156))),"C",
IF(OR(ISNUMBER(SEARCH("TRASLUCIDO",Inventario!B156)),ISNUMBER(SEARCH("TRANSLUCIDO",Inventario!B156))),"TL",
IF(ISNUMBER(SEARCH("NEUTRO",Inventario!B156)),"N",
IF(ISNUMBER(SEARCH("FRIO",Inventario!B156)),"F",""))))))</f>
        <v/>
      </c>
      <c r="H157" t="str">
        <f>IF(ISNUMBER(SEARCH("SILED",Inventario!B156)),"SI",
IF(ISNUMBER(SEARCH("SYDEMEX",Inventario!B156)),"SY",
IF(ISNUMBER(SEARCH("ROHS",Inventario!B156)),"RO",
IF(ISNUMBER(SEARCH("RISHANG",Inventario!B156)),"RS",
IF(ISNUMBER(SEARCH("VYG",Inventario!B156)),"VYG",
IF(ISNUMBER(SEARCH("COLED",Inventario!B156)),"CO",""))))))</f>
        <v/>
      </c>
    </row>
    <row r="158" spans="1:8">
      <c r="A158" t="str">
        <f>IF(ISNUMBER(SEARCH("LONA",Inventario!B157)),"LON",
IF(ISNUMBER(SEARCH("VINIL",Inventario!B157)),"VIN",
IF(ISNUMBER(SEARCH("PANEL DE ALUMINIO COMPUESTO",Inventario!B157)),"PAN-ALU-COM",
IF(ISNUMBER(SEARCH("PVC",Inventario!B157)),"PVC",
IF(ISNUMBER(SEARCH("PAPEL",Inventario!B157)),"PAP",
IF(ISNUMBER(SEARCH("TELA",Inventario!B157)),"TEL",
IF(ISNUMBER(SEARCH("CARTULINA",Inventario!B157)),"CAR",
IF(OR(ISNUMBER(SEARCH("LAMINA",Inventario!B157)),ISNUMBER(SEARCH("LÁMINA",Inventario!B157))),"LAM",
IF(ISNUMBER(SEARCH("ESTIRENO",Inventario!B157)),"EST",
IF(ISNUMBER(SEARCH("FOAMBOARD",Inventario!B157)),"FOA",
IF(ISNUMBER(SEARCH("SOLVENTE",Inventario!B157)),"SOL",
IF(ISNUMBER(SEARCH("TINTA",Inventario!B157)),"TIN",
IF(ISNUMBER(SEARCH("ACRILICO",Inventario!B157)),"ACR",
IF(ISNUMBER(SEARCH("LED",Inventario!B157)),"LED",
IF(ISNUMBER(SEARCH("FUENTE",Inventario!B157)),"FUE",
IF(ISNUMBER(SEARCH("PETG",Inventario!B157)),"PET",
IF(ISNUMBER(SEARCH("ALUMINIO",Inventario!B157)),"ALU",
IF(ISNUMBER(SEARCH("CANAL",Inventario!B157)),"CAN",
IF(ISNUMBER(SEARCH("ESCUADRA",Inventario!B157)),"ESC",
IF(ISNUMBER(SEARCH("SOPORTE",Inventario!B157)),"SOP","OTR")
)))))))))))))))))))</f>
        <v>VIN</v>
      </c>
      <c r="B158" t="str">
        <f>IF(ISNUMBER(SEARCH("CORTE",Inventario!B157)),"COR",
IF(ISNUMBER(SEARCH("CRISTAL",Inventario!B157)),"CR",
IF(OR(ISNUMBER(SEARCH("OPTICO",Inventario!B157)),ISNUMBER(SEARCH("OPTICOS",Inventario!B157)),ISNUMBER(SEARCH("OPTICA",Inventario!B157))),"OP",
IF(ISNUMBER(SEARCH("NANO",Inventario!B157)),"NA",
IF(ISNUMBER(SEARCH("5050",Inventario!B157)),"5050",
IF(ISNUMBER(SEARCH("MICRO",Inventario!B157)),"MI",""))))))</f>
        <v>COR</v>
      </c>
      <c r="C158" t="str">
        <f>IF(ISNUMBER(SEARCH("PARED",Inventario!B157)),"PAR",IF(ISNUMBER(SEARCH("MATE",Inventario!B157)),"MAT",
IF(ISNUMBER(SEARCH("FRONT",Inventario!B157)),"FRO",
IF(ISNUMBER(SEARCH("BACK",Inventario!B157)),"BAC",
IF(ISNUMBER(SEARCH("MESH",Inventario!B157)),"MES",
IF(OR(ISNUMBER(SEARCH("BRILLANTE",Inventario!B157)),ISNUMBER(SEARCH("BTE",Inventario!B157))),"BRI",
IF(ISNUMBER(SEARCH("SINTETICA DELGADA",Inventario!B157)),"SD",
IF(ISNUMBER(SEARCH("SINTETICA GRUESA",Inventario!B157)),"SG",
IF(ISNUMBER(SEARCH("ESTATICO",Inventario!B157)),"EST",
IF(ISNUMBER(SEARCH("FLOOR",Inventario!B157)),"FLO",
IF(ISNUMBER(SEARCH("REFLECTIVO",Inventario!B157)),"REF",
IF(ISNUMBER(SEARCH("MICROPERFORADO",Inventario!B157)),"MI",
IF(ISNUMBER(SEARCH("CEPILLADO",Inventario!B157)),"CEP",
IF(ISNUMBER(SEARCH("ESPEJO",Inventario!B157)),"ESP",
IF(OR(ISNUMBER(SEARCH("UNIDIODO",Inventario!B157)),ISNUMBER(SEARCH("1 DIODO",Inventario!B157))),"1D",
IF(ISNUMBER(SEARCH("2 DIODOS",Inventario!B157)),"2D",
IF(ISNUMBER(SEARCH("3 DIODOS",Inventario!B157)),"3D","")))))))))))))))))</f>
        <v/>
      </c>
      <c r="D158" t="str">
        <f>IF(ISNUMBER(SEARCH("LX700",Inventario!B157)),"LX7",
IF(ISNUMBER(SEARCH("GRANDO",Inventario!B157)),"GRA",
IF(OR(ISNUMBER(SEARCH("CAMA PLANA",Inventario!B157)),ISNUMBER(SEARCH("FB700",Inventario!B157))),"CP",
IF(ISNUMBER(SEARCH("LX360",Inventario!B157)),"LX3",
IF(ISNUMBER(SEARCH("XEROX",Inventario!B157)),"XER",
IF(ISNUMBER(SEARCH("18 OZ",Inventario!B157)),"18OZ",
IF(ISNUMBER(SEARCH("15 OZ",Inventario!B157)),"15OZ",
IF(OR(ISNUMBER(SEARCH("13 OZ",Inventario!B157)),ISNUMBER(SEARCH("13 ONZAS",Inventario!B157))),"13OZ",
IF(OR(ISNUMBER(SEARCH("9 OZ",Inventario!B157)),ISNUMBER(SEARCH("9 ONZAS",Inventario!B157))),"09OZ","")))))))))</f>
        <v/>
      </c>
      <c r="E158" t="str">
        <f>IF(OR(ISNUMBER(SEARCH("TRANSPARENTE",Inventario!B157)),ISNUMBER(SEARCH("TRANSPARENTES",Inventario!B157))),"TR",
IF(OR(ISNUMBER(SEARCH("BLANCO",Inventario!B157)),ISNUMBER(SEARCH("BCO",Inventario!B157))),"BL",
IF(ISNUMBER(SEARCH("VERDE",Inventario!B157)),"VR",
IF(ISNUMBER(SEARCH("MORADO",Inventario!B157)),"MR",
IF(ISNUMBER(SEARCH("PLATA",Inventario!B157)),"PL",
IF(ISNUMBER(SEARCH("ORO",Inventario!B157)),"OR",
IF(ISNUMBER(SEARCH("AMARILLO",Inventario!B157)),"AM",
IF(ISNUMBER(SEARCH("NARANJA",Inventario!B157)),"NR",
IF(ISNUMBER(SEARCH("NEGRO",Inventario!B157)),"NG",
IF(ISNUMBER(SEARCH("ROJO",Inventario!B157)),"RJ",
IF(ISNUMBER(SEARCH("AZUL",Inventario!B157)),"AZ","")))))))))))</f>
        <v/>
      </c>
      <c r="F158" t="str">
        <f>IF(ISNUMBER(SEARCH("1,2 MM",Inventario!B157)),"1MM2",
IF(OR(ISNUMBER(SEARCH("2 MM",Inventario!B157)),ISNUMBER(SEARCH("2MM",Inventario!B157))),"2MM",
IF(OR(ISNUMBER(SEARCH("3 MM",Inventario!B157)),ISNUMBER(SEARCH("3MM",Inventario!B157))),"3MM",
IF(OR(ISNUMBER(SEARCH("4 MM",Inventario!B157)),ISNUMBER(SEARCH("4MM",Inventario!B157)),ISNUMBER(SEARCH("4 mm",Inventario!B157))),"4MM",
IF(OR(ISNUMBER(SEARCH("5 MM",Inventario!B157)),ISNUMBER(SEARCH("5MM",Inventario!B157))),"5MM",
IF(OR(ISNUMBER(SEARCH("6 MM",Inventario!B157)),ISNUMBER(SEARCH("6MM",Inventario!B157))),"6MM",
IF(OR(ISNUMBER(SEARCH("10 MM",Inventario!B157)),ISNUMBER(SEARCH("10MM",Inventario!B157))),"10MM","")))))))</f>
        <v/>
      </c>
      <c r="G158" t="str">
        <f>IF(ISNUMBER(SEARCH("ALTA RESISTENCIA",Inventario!B157)),"AR",IF(ISNUMBER(SEARCH("CAMPAÑA",Inventario!B157)),"CA",
IF(OR(ISNUMBER(SEARCH("CALIDO",Inventario!B157)),ISNUMBER(SEARCH("CÁLIDO",Inventario!B157))),"C",
IF(OR(ISNUMBER(SEARCH("TRASLUCIDO",Inventario!B157)),ISNUMBER(SEARCH("TRANSLUCIDO",Inventario!B157))),"TL",
IF(ISNUMBER(SEARCH("NEUTRO",Inventario!B157)),"N",
IF(ISNUMBER(SEARCH("FRIO",Inventario!B157)),"F",""))))))</f>
        <v/>
      </c>
      <c r="H158" t="str">
        <f>IF(ISNUMBER(SEARCH("SILED",Inventario!B157)),"SI",
IF(ISNUMBER(SEARCH("SYDEMEX",Inventario!B157)),"SY",
IF(ISNUMBER(SEARCH("ROHS",Inventario!B157)),"RO",
IF(ISNUMBER(SEARCH("RISHANG",Inventario!B157)),"RS",
IF(ISNUMBER(SEARCH("VYG",Inventario!B157)),"VYG",
IF(ISNUMBER(SEARCH("COLED",Inventario!B157)),"CO",""))))))</f>
        <v/>
      </c>
    </row>
    <row r="159" spans="1:8">
      <c r="A159" t="str">
        <f>IF(ISNUMBER(SEARCH("LONA",Inventario!B158)),"LON",
IF(ISNUMBER(SEARCH("VINIL",Inventario!B158)),"VIN",
IF(ISNUMBER(SEARCH("PANEL DE ALUMINIO COMPUESTO",Inventario!B158)),"PAN-ALU-COM",
IF(ISNUMBER(SEARCH("PVC",Inventario!B158)),"PVC",
IF(ISNUMBER(SEARCH("PAPEL",Inventario!B158)),"PAP",
IF(ISNUMBER(SEARCH("TELA",Inventario!B158)),"TEL",
IF(ISNUMBER(SEARCH("CARTULINA",Inventario!B158)),"CAR",
IF(OR(ISNUMBER(SEARCH("LAMINA",Inventario!B158)),ISNUMBER(SEARCH("LÁMINA",Inventario!B158))),"LAM",
IF(ISNUMBER(SEARCH("ESTIRENO",Inventario!B158)),"EST",
IF(ISNUMBER(SEARCH("FOAMBOARD",Inventario!B158)),"FOA",
IF(ISNUMBER(SEARCH("SOLVENTE",Inventario!B158)),"SOL",
IF(ISNUMBER(SEARCH("TINTA",Inventario!B158)),"TIN",
IF(ISNUMBER(SEARCH("ACRILICO",Inventario!B158)),"ACR",
IF(ISNUMBER(SEARCH("LED",Inventario!B158)),"LED",
IF(ISNUMBER(SEARCH("FUENTE",Inventario!B158)),"FUE",
IF(ISNUMBER(SEARCH("PETG",Inventario!B158)),"PET",
IF(ISNUMBER(SEARCH("ALUMINIO",Inventario!B158)),"ALU",
IF(ISNUMBER(SEARCH("CANAL",Inventario!B158)),"CAN",
IF(ISNUMBER(SEARCH("ESCUADRA",Inventario!B158)),"ESC",
IF(ISNUMBER(SEARCH("SOPORTE",Inventario!B158)),"SOP","OTR")
)))))))))))))))))))</f>
        <v>VIN</v>
      </c>
      <c r="B159" t="str">
        <f>IF(ISNUMBER(SEARCH("CORTE",Inventario!B158)),"COR",
IF(ISNUMBER(SEARCH("CRISTAL",Inventario!B158)),"CR",
IF(OR(ISNUMBER(SEARCH("OPTICO",Inventario!B158)),ISNUMBER(SEARCH("OPTICOS",Inventario!B158)),ISNUMBER(SEARCH("OPTICA",Inventario!B158))),"OP",
IF(ISNUMBER(SEARCH("NANO",Inventario!B158)),"NA",
IF(ISNUMBER(SEARCH("5050",Inventario!B158)),"5050",
IF(ISNUMBER(SEARCH("MICRO",Inventario!B158)),"MI",""))))))</f>
        <v>COR</v>
      </c>
      <c r="C159" t="str">
        <f>IF(ISNUMBER(SEARCH("PARED",Inventario!B158)),"PAR",IF(ISNUMBER(SEARCH("MATE",Inventario!B158)),"MAT",
IF(ISNUMBER(SEARCH("FRONT",Inventario!B158)),"FRO",
IF(ISNUMBER(SEARCH("BACK",Inventario!B158)),"BAC",
IF(ISNUMBER(SEARCH("MESH",Inventario!B158)),"MES",
IF(OR(ISNUMBER(SEARCH("BRILLANTE",Inventario!B158)),ISNUMBER(SEARCH("BTE",Inventario!B158))),"BRI",
IF(ISNUMBER(SEARCH("SINTETICA DELGADA",Inventario!B158)),"SD",
IF(ISNUMBER(SEARCH("SINTETICA GRUESA",Inventario!B158)),"SG",
IF(ISNUMBER(SEARCH("ESTATICO",Inventario!B158)),"EST",
IF(ISNUMBER(SEARCH("FLOOR",Inventario!B158)),"FLO",
IF(ISNUMBER(SEARCH("REFLECTIVO",Inventario!B158)),"REF",
IF(ISNUMBER(SEARCH("MICROPERFORADO",Inventario!B158)),"MI",
IF(ISNUMBER(SEARCH("CEPILLADO",Inventario!B158)),"CEP",
IF(ISNUMBER(SEARCH("ESPEJO",Inventario!B158)),"ESP",
IF(OR(ISNUMBER(SEARCH("UNIDIODO",Inventario!B158)),ISNUMBER(SEARCH("1 DIODO",Inventario!B158))),"1D",
IF(ISNUMBER(SEARCH("2 DIODOS",Inventario!B158)),"2D",
IF(ISNUMBER(SEARCH("3 DIODOS",Inventario!B158)),"3D","")))))))))))))))))</f>
        <v/>
      </c>
      <c r="D159" t="str">
        <f>IF(ISNUMBER(SEARCH("LX700",Inventario!B158)),"LX7",
IF(ISNUMBER(SEARCH("GRANDO",Inventario!B158)),"GRA",
IF(OR(ISNUMBER(SEARCH("CAMA PLANA",Inventario!B158)),ISNUMBER(SEARCH("FB700",Inventario!B158))),"CP",
IF(ISNUMBER(SEARCH("LX360",Inventario!B158)),"LX3",
IF(ISNUMBER(SEARCH("XEROX",Inventario!B158)),"XER",
IF(ISNUMBER(SEARCH("18 OZ",Inventario!B158)),"18OZ",
IF(ISNUMBER(SEARCH("15 OZ",Inventario!B158)),"15OZ",
IF(OR(ISNUMBER(SEARCH("13 OZ",Inventario!B158)),ISNUMBER(SEARCH("13 ONZAS",Inventario!B158))),"13OZ",
IF(OR(ISNUMBER(SEARCH("9 OZ",Inventario!B158)),ISNUMBER(SEARCH("9 ONZAS",Inventario!B158))),"09OZ","")))))))))</f>
        <v/>
      </c>
      <c r="E159" t="str">
        <f>IF(OR(ISNUMBER(SEARCH("TRANSPARENTE",Inventario!B158)),ISNUMBER(SEARCH("TRANSPARENTES",Inventario!B158))),"TR",
IF(OR(ISNUMBER(SEARCH("BLANCO",Inventario!B158)),ISNUMBER(SEARCH("BCO",Inventario!B158))),"BL",
IF(ISNUMBER(SEARCH("VERDE",Inventario!B158)),"VR",
IF(ISNUMBER(SEARCH("MORADO",Inventario!B158)),"MR",
IF(ISNUMBER(SEARCH("PLATA",Inventario!B158)),"PL",
IF(ISNUMBER(SEARCH("ORO",Inventario!B158)),"OR",
IF(ISNUMBER(SEARCH("AMARILLO",Inventario!B158)),"AM",
IF(ISNUMBER(SEARCH("NARANJA",Inventario!B158)),"NR",
IF(ISNUMBER(SEARCH("NEGRO",Inventario!B158)),"NG",
IF(ISNUMBER(SEARCH("ROJO",Inventario!B158)),"RJ",
IF(ISNUMBER(SEARCH("AZUL",Inventario!B158)),"AZ","")))))))))))</f>
        <v/>
      </c>
      <c r="F159" t="str">
        <f>IF(ISNUMBER(SEARCH("1,2 MM",Inventario!B158)),"1MM2",
IF(OR(ISNUMBER(SEARCH("2 MM",Inventario!B158)),ISNUMBER(SEARCH("2MM",Inventario!B158))),"2MM",
IF(OR(ISNUMBER(SEARCH("3 MM",Inventario!B158)),ISNUMBER(SEARCH("3MM",Inventario!B158))),"3MM",
IF(OR(ISNUMBER(SEARCH("4 MM",Inventario!B158)),ISNUMBER(SEARCH("4MM",Inventario!B158)),ISNUMBER(SEARCH("4 mm",Inventario!B158))),"4MM",
IF(OR(ISNUMBER(SEARCH("5 MM",Inventario!B158)),ISNUMBER(SEARCH("5MM",Inventario!B158))),"5MM",
IF(OR(ISNUMBER(SEARCH("6 MM",Inventario!B158)),ISNUMBER(SEARCH("6MM",Inventario!B158))),"6MM",
IF(OR(ISNUMBER(SEARCH("10 MM",Inventario!B158)),ISNUMBER(SEARCH("10MM",Inventario!B158))),"10MM","")))))))</f>
        <v/>
      </c>
      <c r="G159" t="str">
        <f>IF(ISNUMBER(SEARCH("ALTA RESISTENCIA",Inventario!B158)),"AR",IF(ISNUMBER(SEARCH("CAMPAÑA",Inventario!B158)),"CA",
IF(OR(ISNUMBER(SEARCH("CALIDO",Inventario!B158)),ISNUMBER(SEARCH("CÁLIDO",Inventario!B158))),"C",
IF(OR(ISNUMBER(SEARCH("TRASLUCIDO",Inventario!B158)),ISNUMBER(SEARCH("TRANSLUCIDO",Inventario!B158))),"TL",
IF(ISNUMBER(SEARCH("NEUTRO",Inventario!B158)),"N",
IF(ISNUMBER(SEARCH("FRIO",Inventario!B158)),"F",""))))))</f>
        <v/>
      </c>
      <c r="H159" t="str">
        <f>IF(ISNUMBER(SEARCH("SILED",Inventario!B158)),"SI",
IF(ISNUMBER(SEARCH("SYDEMEX",Inventario!B158)),"SY",
IF(ISNUMBER(SEARCH("ROHS",Inventario!B158)),"RO",
IF(ISNUMBER(SEARCH("RISHANG",Inventario!B158)),"RS",
IF(ISNUMBER(SEARCH("VYG",Inventario!B158)),"VYG",
IF(ISNUMBER(SEARCH("COLED",Inventario!B158)),"CO",""))))))</f>
        <v/>
      </c>
    </row>
    <row r="160" spans="1:8">
      <c r="A160" t="str">
        <f>IF(ISNUMBER(SEARCH("LONA",Inventario!B159)),"LON",
IF(ISNUMBER(SEARCH("VINIL",Inventario!B159)),"VIN",
IF(ISNUMBER(SEARCH("PANEL DE ALUMINIO COMPUESTO",Inventario!B159)),"PAN-ALU-COM",
IF(ISNUMBER(SEARCH("PVC",Inventario!B159)),"PVC",
IF(ISNUMBER(SEARCH("PAPEL",Inventario!B159)),"PAP",
IF(ISNUMBER(SEARCH("TELA",Inventario!B159)),"TEL",
IF(ISNUMBER(SEARCH("CARTULINA",Inventario!B159)),"CAR",
IF(OR(ISNUMBER(SEARCH("LAMINA",Inventario!B159)),ISNUMBER(SEARCH("LÁMINA",Inventario!B159))),"LAM",
IF(ISNUMBER(SEARCH("ESTIRENO",Inventario!B159)),"EST",
IF(ISNUMBER(SEARCH("FOAMBOARD",Inventario!B159)),"FOA",
IF(ISNUMBER(SEARCH("SOLVENTE",Inventario!B159)),"SOL",
IF(ISNUMBER(SEARCH("TINTA",Inventario!B159)),"TIN",
IF(ISNUMBER(SEARCH("ACRILICO",Inventario!B159)),"ACR",
IF(ISNUMBER(SEARCH("LED",Inventario!B159)),"LED",
IF(ISNUMBER(SEARCH("FUENTE",Inventario!B159)),"FUE",
IF(ISNUMBER(SEARCH("PETG",Inventario!B159)),"PET",
IF(ISNUMBER(SEARCH("ALUMINIO",Inventario!B159)),"ALU",
IF(ISNUMBER(SEARCH("CANAL",Inventario!B159)),"CAN",
IF(ISNUMBER(SEARCH("ESCUADRA",Inventario!B159)),"ESC",
IF(ISNUMBER(SEARCH("SOPORTE",Inventario!B159)),"SOP","OTR")
)))))))))))))))))))</f>
        <v>VIN</v>
      </c>
      <c r="B160" t="str">
        <f>IF(ISNUMBER(SEARCH("CORTE",Inventario!B159)),"COR",
IF(ISNUMBER(SEARCH("CRISTAL",Inventario!B159)),"CR",
IF(OR(ISNUMBER(SEARCH("OPTICO",Inventario!B159)),ISNUMBER(SEARCH("OPTICOS",Inventario!B159)),ISNUMBER(SEARCH("OPTICA",Inventario!B159))),"OP",
IF(ISNUMBER(SEARCH("NANO",Inventario!B159)),"NA",
IF(ISNUMBER(SEARCH("5050",Inventario!B159)),"5050",
IF(ISNUMBER(SEARCH("MICRO",Inventario!B159)),"MI",""))))))</f>
        <v>COR</v>
      </c>
      <c r="C160" t="str">
        <f>IF(ISNUMBER(SEARCH("PARED",Inventario!B159)),"PAR",IF(ISNUMBER(SEARCH("MATE",Inventario!B159)),"MAT",
IF(ISNUMBER(SEARCH("FRONT",Inventario!B159)),"FRO",
IF(ISNUMBER(SEARCH("BACK",Inventario!B159)),"BAC",
IF(ISNUMBER(SEARCH("MESH",Inventario!B159)),"MES",
IF(OR(ISNUMBER(SEARCH("BRILLANTE",Inventario!B159)),ISNUMBER(SEARCH("BTE",Inventario!B159))),"BRI",
IF(ISNUMBER(SEARCH("SINTETICA DELGADA",Inventario!B159)),"SD",
IF(ISNUMBER(SEARCH("SINTETICA GRUESA",Inventario!B159)),"SG",
IF(ISNUMBER(SEARCH("ESTATICO",Inventario!B159)),"EST",
IF(ISNUMBER(SEARCH("FLOOR",Inventario!B159)),"FLO",
IF(ISNUMBER(SEARCH("REFLECTIVO",Inventario!B159)),"REF",
IF(ISNUMBER(SEARCH("MICROPERFORADO",Inventario!B159)),"MI",
IF(ISNUMBER(SEARCH("CEPILLADO",Inventario!B159)),"CEP",
IF(ISNUMBER(SEARCH("ESPEJO",Inventario!B159)),"ESP",
IF(OR(ISNUMBER(SEARCH("UNIDIODO",Inventario!B159)),ISNUMBER(SEARCH("1 DIODO",Inventario!B159))),"1D",
IF(ISNUMBER(SEARCH("2 DIODOS",Inventario!B159)),"2D",
IF(ISNUMBER(SEARCH("3 DIODOS",Inventario!B159)),"3D","")))))))))))))))))</f>
        <v/>
      </c>
      <c r="D160" t="str">
        <f>IF(ISNUMBER(SEARCH("LX700",Inventario!B159)),"LX7",
IF(ISNUMBER(SEARCH("GRANDO",Inventario!B159)),"GRA",
IF(OR(ISNUMBER(SEARCH("CAMA PLANA",Inventario!B159)),ISNUMBER(SEARCH("FB700",Inventario!B159))),"CP",
IF(ISNUMBER(SEARCH("LX360",Inventario!B159)),"LX3",
IF(ISNUMBER(SEARCH("XEROX",Inventario!B159)),"XER",
IF(ISNUMBER(SEARCH("18 OZ",Inventario!B159)),"18OZ",
IF(ISNUMBER(SEARCH("15 OZ",Inventario!B159)),"15OZ",
IF(OR(ISNUMBER(SEARCH("13 OZ",Inventario!B159)),ISNUMBER(SEARCH("13 ONZAS",Inventario!B159))),"13OZ",
IF(OR(ISNUMBER(SEARCH("9 OZ",Inventario!B159)),ISNUMBER(SEARCH("9 ONZAS",Inventario!B159))),"09OZ","")))))))))</f>
        <v/>
      </c>
      <c r="E160" t="str">
        <f>IF(OR(ISNUMBER(SEARCH("TRANSPARENTE",Inventario!B159)),ISNUMBER(SEARCH("TRANSPARENTES",Inventario!B159))),"TR",
IF(OR(ISNUMBER(SEARCH("BLANCO",Inventario!B159)),ISNUMBER(SEARCH("BCO",Inventario!B159))),"BL",
IF(ISNUMBER(SEARCH("VERDE",Inventario!B159)),"VR",
IF(ISNUMBER(SEARCH("MORADO",Inventario!B159)),"MR",
IF(ISNUMBER(SEARCH("PLATA",Inventario!B159)),"PL",
IF(ISNUMBER(SEARCH("ORO",Inventario!B159)),"OR",
IF(ISNUMBER(SEARCH("AMARILLO",Inventario!B159)),"AM",
IF(ISNUMBER(SEARCH("NARANJA",Inventario!B159)),"NR",
IF(ISNUMBER(SEARCH("NEGRO",Inventario!B159)),"NG",
IF(ISNUMBER(SEARCH("ROJO",Inventario!B159)),"RJ",
IF(ISNUMBER(SEARCH("AZUL",Inventario!B159)),"AZ","")))))))))))</f>
        <v/>
      </c>
      <c r="F160" t="str">
        <f>IF(ISNUMBER(SEARCH("1,2 MM",Inventario!B159)),"1MM2",
IF(OR(ISNUMBER(SEARCH("2 MM",Inventario!B159)),ISNUMBER(SEARCH("2MM",Inventario!B159))),"2MM",
IF(OR(ISNUMBER(SEARCH("3 MM",Inventario!B159)),ISNUMBER(SEARCH("3MM",Inventario!B159))),"3MM",
IF(OR(ISNUMBER(SEARCH("4 MM",Inventario!B159)),ISNUMBER(SEARCH("4MM",Inventario!B159)),ISNUMBER(SEARCH("4 mm",Inventario!B159))),"4MM",
IF(OR(ISNUMBER(SEARCH("5 MM",Inventario!B159)),ISNUMBER(SEARCH("5MM",Inventario!B159))),"5MM",
IF(OR(ISNUMBER(SEARCH("6 MM",Inventario!B159)),ISNUMBER(SEARCH("6MM",Inventario!B159))),"6MM",
IF(OR(ISNUMBER(SEARCH("10 MM",Inventario!B159)),ISNUMBER(SEARCH("10MM",Inventario!B159))),"10MM","")))))))</f>
        <v/>
      </c>
      <c r="G160" t="str">
        <f>IF(ISNUMBER(SEARCH("ALTA RESISTENCIA",Inventario!B159)),"AR",IF(ISNUMBER(SEARCH("CAMPAÑA",Inventario!B159)),"CA",
IF(OR(ISNUMBER(SEARCH("CALIDO",Inventario!B159)),ISNUMBER(SEARCH("CÁLIDO",Inventario!B159))),"C",
IF(OR(ISNUMBER(SEARCH("TRASLUCIDO",Inventario!B159)),ISNUMBER(SEARCH("TRANSLUCIDO",Inventario!B159))),"TL",
IF(ISNUMBER(SEARCH("NEUTRO",Inventario!B159)),"N",
IF(ISNUMBER(SEARCH("FRIO",Inventario!B159)),"F",""))))))</f>
        <v/>
      </c>
      <c r="H160" t="str">
        <f>IF(ISNUMBER(SEARCH("SILED",Inventario!B159)),"SI",
IF(ISNUMBER(SEARCH("SYDEMEX",Inventario!B159)),"SY",
IF(ISNUMBER(SEARCH("ROHS",Inventario!B159)),"RO",
IF(ISNUMBER(SEARCH("RISHANG",Inventario!B159)),"RS",
IF(ISNUMBER(SEARCH("VYG",Inventario!B159)),"VYG",
IF(ISNUMBER(SEARCH("COLED",Inventario!B159)),"CO",""))))))</f>
        <v/>
      </c>
    </row>
    <row r="161" spans="1:8">
      <c r="A161" t="str">
        <f>IF(ISNUMBER(SEARCH("LONA",Inventario!B160)),"LON",
IF(ISNUMBER(SEARCH("VINIL",Inventario!B160)),"VIN",
IF(ISNUMBER(SEARCH("PANEL DE ALUMINIO COMPUESTO",Inventario!B160)),"PAN-ALU-COM",
IF(ISNUMBER(SEARCH("PVC",Inventario!B160)),"PVC",
IF(ISNUMBER(SEARCH("PAPEL",Inventario!B160)),"PAP",
IF(ISNUMBER(SEARCH("TELA",Inventario!B160)),"TEL",
IF(ISNUMBER(SEARCH("CARTULINA",Inventario!B160)),"CAR",
IF(OR(ISNUMBER(SEARCH("LAMINA",Inventario!B160)),ISNUMBER(SEARCH("LÁMINA",Inventario!B160))),"LAM",
IF(ISNUMBER(SEARCH("ESTIRENO",Inventario!B160)),"EST",
IF(ISNUMBER(SEARCH("FOAMBOARD",Inventario!B160)),"FOA",
IF(ISNUMBER(SEARCH("SOLVENTE",Inventario!B160)),"SOL",
IF(ISNUMBER(SEARCH("TINTA",Inventario!B160)),"TIN",
IF(ISNUMBER(SEARCH("ACRILICO",Inventario!B160)),"ACR",
IF(ISNUMBER(SEARCH("LED",Inventario!B160)),"LED",
IF(ISNUMBER(SEARCH("FUENTE",Inventario!B160)),"FUE",
IF(ISNUMBER(SEARCH("PETG",Inventario!B160)),"PET",
IF(ISNUMBER(SEARCH("ALUMINIO",Inventario!B160)),"ALU",
IF(ISNUMBER(SEARCH("CANAL",Inventario!B160)),"CAN",
IF(ISNUMBER(SEARCH("ESCUADRA",Inventario!B160)),"ESC",
IF(ISNUMBER(SEARCH("SOPORTE",Inventario!B160)),"SOP","OTR")
)))))))))))))))))))</f>
        <v>VIN</v>
      </c>
      <c r="B161" t="str">
        <f>IF(ISNUMBER(SEARCH("CORTE",Inventario!B160)),"COR",
IF(ISNUMBER(SEARCH("CRISTAL",Inventario!B160)),"CR",
IF(OR(ISNUMBER(SEARCH("OPTICO",Inventario!B160)),ISNUMBER(SEARCH("OPTICOS",Inventario!B160)),ISNUMBER(SEARCH("OPTICA",Inventario!B160))),"OP",
IF(ISNUMBER(SEARCH("NANO",Inventario!B160)),"NA",
IF(ISNUMBER(SEARCH("5050",Inventario!B160)),"5050",
IF(ISNUMBER(SEARCH("MICRO",Inventario!B160)),"MI",""))))))</f>
        <v>COR</v>
      </c>
      <c r="C161" t="str">
        <f>IF(ISNUMBER(SEARCH("PARED",Inventario!B160)),"PAR",IF(ISNUMBER(SEARCH("MATE",Inventario!B160)),"MAT",
IF(ISNUMBER(SEARCH("FRONT",Inventario!B160)),"FRO",
IF(ISNUMBER(SEARCH("BACK",Inventario!B160)),"BAC",
IF(ISNUMBER(SEARCH("MESH",Inventario!B160)),"MES",
IF(OR(ISNUMBER(SEARCH("BRILLANTE",Inventario!B160)),ISNUMBER(SEARCH("BTE",Inventario!B160))),"BRI",
IF(ISNUMBER(SEARCH("SINTETICA DELGADA",Inventario!B160)),"SD",
IF(ISNUMBER(SEARCH("SINTETICA GRUESA",Inventario!B160)),"SG",
IF(ISNUMBER(SEARCH("ESTATICO",Inventario!B160)),"EST",
IF(ISNUMBER(SEARCH("FLOOR",Inventario!B160)),"FLO",
IF(ISNUMBER(SEARCH("REFLECTIVO",Inventario!B160)),"REF",
IF(ISNUMBER(SEARCH("MICROPERFORADO",Inventario!B160)),"MI",
IF(ISNUMBER(SEARCH("CEPILLADO",Inventario!B160)),"CEP",
IF(ISNUMBER(SEARCH("ESPEJO",Inventario!B160)),"ESP",
IF(OR(ISNUMBER(SEARCH("UNIDIODO",Inventario!B160)),ISNUMBER(SEARCH("1 DIODO",Inventario!B160))),"1D",
IF(ISNUMBER(SEARCH("2 DIODOS",Inventario!B160)),"2D",
IF(ISNUMBER(SEARCH("3 DIODOS",Inventario!B160)),"3D","")))))))))))))))))</f>
        <v/>
      </c>
      <c r="D161" t="str">
        <f>IF(ISNUMBER(SEARCH("LX700",Inventario!B160)),"LX7",
IF(ISNUMBER(SEARCH("GRANDO",Inventario!B160)),"GRA",
IF(OR(ISNUMBER(SEARCH("CAMA PLANA",Inventario!B160)),ISNUMBER(SEARCH("FB700",Inventario!B160))),"CP",
IF(ISNUMBER(SEARCH("LX360",Inventario!B160)),"LX3",
IF(ISNUMBER(SEARCH("XEROX",Inventario!B160)),"XER",
IF(ISNUMBER(SEARCH("18 OZ",Inventario!B160)),"18OZ",
IF(ISNUMBER(SEARCH("15 OZ",Inventario!B160)),"15OZ",
IF(OR(ISNUMBER(SEARCH("13 OZ",Inventario!B160)),ISNUMBER(SEARCH("13 ONZAS",Inventario!B160))),"13OZ",
IF(OR(ISNUMBER(SEARCH("9 OZ",Inventario!B160)),ISNUMBER(SEARCH("9 ONZAS",Inventario!B160))),"09OZ","")))))))))</f>
        <v/>
      </c>
      <c r="E161" t="str">
        <f>IF(OR(ISNUMBER(SEARCH("TRANSPARENTE",Inventario!B160)),ISNUMBER(SEARCH("TRANSPARENTES",Inventario!B160))),"TR",
IF(OR(ISNUMBER(SEARCH("BLANCO",Inventario!B160)),ISNUMBER(SEARCH("BCO",Inventario!B160))),"BL",
IF(ISNUMBER(SEARCH("VERDE",Inventario!B160)),"VR",
IF(ISNUMBER(SEARCH("MORADO",Inventario!B160)),"MR",
IF(ISNUMBER(SEARCH("PLATA",Inventario!B160)),"PL",
IF(ISNUMBER(SEARCH("ORO",Inventario!B160)),"OR",
IF(ISNUMBER(SEARCH("AMARILLO",Inventario!B160)),"AM",
IF(ISNUMBER(SEARCH("NARANJA",Inventario!B160)),"NR",
IF(ISNUMBER(SEARCH("NEGRO",Inventario!B160)),"NG",
IF(ISNUMBER(SEARCH("ROJO",Inventario!B160)),"RJ",
IF(ISNUMBER(SEARCH("AZUL",Inventario!B160)),"AZ","")))))))))))</f>
        <v>OR</v>
      </c>
      <c r="F161" t="str">
        <f>IF(ISNUMBER(SEARCH("1,2 MM",Inventario!B160)),"1MM2",
IF(OR(ISNUMBER(SEARCH("2 MM",Inventario!B160)),ISNUMBER(SEARCH("2MM",Inventario!B160))),"2MM",
IF(OR(ISNUMBER(SEARCH("3 MM",Inventario!B160)),ISNUMBER(SEARCH("3MM",Inventario!B160))),"3MM",
IF(OR(ISNUMBER(SEARCH("4 MM",Inventario!B160)),ISNUMBER(SEARCH("4MM",Inventario!B160)),ISNUMBER(SEARCH("4 mm",Inventario!B160))),"4MM",
IF(OR(ISNUMBER(SEARCH("5 MM",Inventario!B160)),ISNUMBER(SEARCH("5MM",Inventario!B160))),"5MM",
IF(OR(ISNUMBER(SEARCH("6 MM",Inventario!B160)),ISNUMBER(SEARCH("6MM",Inventario!B160))),"6MM",
IF(OR(ISNUMBER(SEARCH("10 MM",Inventario!B160)),ISNUMBER(SEARCH("10MM",Inventario!B160))),"10MM","")))))))</f>
        <v/>
      </c>
      <c r="G161" t="str">
        <f>IF(ISNUMBER(SEARCH("ALTA RESISTENCIA",Inventario!B160)),"AR",IF(ISNUMBER(SEARCH("CAMPAÑA",Inventario!B160)),"CA",
IF(OR(ISNUMBER(SEARCH("CALIDO",Inventario!B160)),ISNUMBER(SEARCH("CÁLIDO",Inventario!B160))),"C",
IF(OR(ISNUMBER(SEARCH("TRASLUCIDO",Inventario!B160)),ISNUMBER(SEARCH("TRANSLUCIDO",Inventario!B160))),"TL",
IF(ISNUMBER(SEARCH("NEUTRO",Inventario!B160)),"N",
IF(ISNUMBER(SEARCH("FRIO",Inventario!B160)),"F",""))))))</f>
        <v/>
      </c>
      <c r="H161" t="str">
        <f>IF(ISNUMBER(SEARCH("SILED",Inventario!B160)),"SI",
IF(ISNUMBER(SEARCH("SYDEMEX",Inventario!B160)),"SY",
IF(ISNUMBER(SEARCH("ROHS",Inventario!B160)),"RO",
IF(ISNUMBER(SEARCH("RISHANG",Inventario!B160)),"RS",
IF(ISNUMBER(SEARCH("VYG",Inventario!B160)),"VYG",
IF(ISNUMBER(SEARCH("COLED",Inventario!B160)),"CO",""))))))</f>
        <v/>
      </c>
    </row>
    <row r="162" spans="1:8">
      <c r="A162" t="str">
        <f>IF(ISNUMBER(SEARCH("LONA",Inventario!B161)),"LON",
IF(ISNUMBER(SEARCH("VINIL",Inventario!B161)),"VIN",
IF(ISNUMBER(SEARCH("PANEL DE ALUMINIO COMPUESTO",Inventario!B161)),"PAN-ALU-COM",
IF(ISNUMBER(SEARCH("PVC",Inventario!B161)),"PVC",
IF(ISNUMBER(SEARCH("PAPEL",Inventario!B161)),"PAP",
IF(ISNUMBER(SEARCH("TELA",Inventario!B161)),"TEL",
IF(ISNUMBER(SEARCH("CARTULINA",Inventario!B161)),"CAR",
IF(OR(ISNUMBER(SEARCH("LAMINA",Inventario!B161)),ISNUMBER(SEARCH("LÁMINA",Inventario!B161))),"LAM",
IF(ISNUMBER(SEARCH("ESTIRENO",Inventario!B161)),"EST",
IF(ISNUMBER(SEARCH("FOAMBOARD",Inventario!B161)),"FOA",
IF(ISNUMBER(SEARCH("SOLVENTE",Inventario!B161)),"SOL",
IF(ISNUMBER(SEARCH("TINTA",Inventario!B161)),"TIN",
IF(ISNUMBER(SEARCH("ACRILICO",Inventario!B161)),"ACR",
IF(ISNUMBER(SEARCH("LED",Inventario!B161)),"LED",
IF(ISNUMBER(SEARCH("FUENTE",Inventario!B161)),"FUE",
IF(ISNUMBER(SEARCH("PETG",Inventario!B161)),"PET",
IF(ISNUMBER(SEARCH("ALUMINIO",Inventario!B161)),"ALU",
IF(ISNUMBER(SEARCH("CANAL",Inventario!B161)),"CAN",
IF(ISNUMBER(SEARCH("ESCUADRA",Inventario!B161)),"ESC",
IF(ISNUMBER(SEARCH("SOPORTE",Inventario!B161)),"SOP","OTR")
)))))))))))))))))))</f>
        <v>VIN</v>
      </c>
      <c r="B162" t="str">
        <f>IF(ISNUMBER(SEARCH("CORTE",Inventario!B161)),"COR",
IF(ISNUMBER(SEARCH("CRISTAL",Inventario!B161)),"CR",
IF(OR(ISNUMBER(SEARCH("OPTICO",Inventario!B161)),ISNUMBER(SEARCH("OPTICOS",Inventario!B161)),ISNUMBER(SEARCH("OPTICA",Inventario!B161))),"OP",
IF(ISNUMBER(SEARCH("NANO",Inventario!B161)),"NA",
IF(ISNUMBER(SEARCH("5050",Inventario!B161)),"5050",
IF(ISNUMBER(SEARCH("MICRO",Inventario!B161)),"MI",""))))))</f>
        <v>COR</v>
      </c>
      <c r="C162" t="str">
        <f>IF(ISNUMBER(SEARCH("PARED",Inventario!B161)),"PAR",IF(ISNUMBER(SEARCH("MATE",Inventario!B161)),"MAT",
IF(ISNUMBER(SEARCH("FRONT",Inventario!B161)),"FRO",
IF(ISNUMBER(SEARCH("BACK",Inventario!B161)),"BAC",
IF(ISNUMBER(SEARCH("MESH",Inventario!B161)),"MES",
IF(OR(ISNUMBER(SEARCH("BRILLANTE",Inventario!B161)),ISNUMBER(SEARCH("BTE",Inventario!B161))),"BRI",
IF(ISNUMBER(SEARCH("SINTETICA DELGADA",Inventario!B161)),"SD",
IF(ISNUMBER(SEARCH("SINTETICA GRUESA",Inventario!B161)),"SG",
IF(ISNUMBER(SEARCH("ESTATICO",Inventario!B161)),"EST",
IF(ISNUMBER(SEARCH("FLOOR",Inventario!B161)),"FLO",
IF(ISNUMBER(SEARCH("REFLECTIVO",Inventario!B161)),"REF",
IF(ISNUMBER(SEARCH("MICROPERFORADO",Inventario!B161)),"MI",
IF(ISNUMBER(SEARCH("CEPILLADO",Inventario!B161)),"CEP",
IF(ISNUMBER(SEARCH("ESPEJO",Inventario!B161)),"ESP",
IF(OR(ISNUMBER(SEARCH("UNIDIODO",Inventario!B161)),ISNUMBER(SEARCH("1 DIODO",Inventario!B161))),"1D",
IF(ISNUMBER(SEARCH("2 DIODOS",Inventario!B161)),"2D",
IF(ISNUMBER(SEARCH("3 DIODOS",Inventario!B161)),"3D","")))))))))))))))))</f>
        <v/>
      </c>
      <c r="D162" t="str">
        <f>IF(ISNUMBER(SEARCH("LX700",Inventario!B161)),"LX7",
IF(ISNUMBER(SEARCH("GRANDO",Inventario!B161)),"GRA",
IF(OR(ISNUMBER(SEARCH("CAMA PLANA",Inventario!B161)),ISNUMBER(SEARCH("FB700",Inventario!B161))),"CP",
IF(ISNUMBER(SEARCH("LX360",Inventario!B161)),"LX3",
IF(ISNUMBER(SEARCH("XEROX",Inventario!B161)),"XER",
IF(ISNUMBER(SEARCH("18 OZ",Inventario!B161)),"18OZ",
IF(ISNUMBER(SEARCH("15 OZ",Inventario!B161)),"15OZ",
IF(OR(ISNUMBER(SEARCH("13 OZ",Inventario!B161)),ISNUMBER(SEARCH("13 ONZAS",Inventario!B161))),"13OZ",
IF(OR(ISNUMBER(SEARCH("9 OZ",Inventario!B161)),ISNUMBER(SEARCH("9 ONZAS",Inventario!B161))),"09OZ","")))))))))</f>
        <v/>
      </c>
      <c r="E162" t="str">
        <f>IF(OR(ISNUMBER(SEARCH("TRANSPARENTE",Inventario!B161)),ISNUMBER(SEARCH("TRANSPARENTES",Inventario!B161))),"TR",
IF(OR(ISNUMBER(SEARCH("BLANCO",Inventario!B161)),ISNUMBER(SEARCH("BCO",Inventario!B161))),"BL",
IF(ISNUMBER(SEARCH("VERDE",Inventario!B161)),"VR",
IF(ISNUMBER(SEARCH("MORADO",Inventario!B161)),"MR",
IF(ISNUMBER(SEARCH("PLATA",Inventario!B161)),"PL",
IF(ISNUMBER(SEARCH("ORO",Inventario!B161)),"OR",
IF(ISNUMBER(SEARCH("AMARILLO",Inventario!B161)),"AM",
IF(ISNUMBER(SEARCH("NARANJA",Inventario!B161)),"NR",
IF(ISNUMBER(SEARCH("NEGRO",Inventario!B161)),"NG",
IF(ISNUMBER(SEARCH("ROJO",Inventario!B161)),"RJ",
IF(ISNUMBER(SEARCH("AZUL",Inventario!B161)),"AZ","")))))))))))</f>
        <v>NR</v>
      </c>
      <c r="F162" t="str">
        <f>IF(ISNUMBER(SEARCH("1,2 MM",Inventario!B161)),"1MM2",
IF(OR(ISNUMBER(SEARCH("2 MM",Inventario!B161)),ISNUMBER(SEARCH("2MM",Inventario!B161))),"2MM",
IF(OR(ISNUMBER(SEARCH("3 MM",Inventario!B161)),ISNUMBER(SEARCH("3MM",Inventario!B161))),"3MM",
IF(OR(ISNUMBER(SEARCH("4 MM",Inventario!B161)),ISNUMBER(SEARCH("4MM",Inventario!B161)),ISNUMBER(SEARCH("4 mm",Inventario!B161))),"4MM",
IF(OR(ISNUMBER(SEARCH("5 MM",Inventario!B161)),ISNUMBER(SEARCH("5MM",Inventario!B161))),"5MM",
IF(OR(ISNUMBER(SEARCH("6 MM",Inventario!B161)),ISNUMBER(SEARCH("6MM",Inventario!B161))),"6MM",
IF(OR(ISNUMBER(SEARCH("10 MM",Inventario!B161)),ISNUMBER(SEARCH("10MM",Inventario!B161))),"10MM","")))))))</f>
        <v/>
      </c>
      <c r="G162" t="str">
        <f>IF(ISNUMBER(SEARCH("ALTA RESISTENCIA",Inventario!B161)),"AR",IF(ISNUMBER(SEARCH("CAMPAÑA",Inventario!B161)),"CA",
IF(OR(ISNUMBER(SEARCH("CALIDO",Inventario!B161)),ISNUMBER(SEARCH("CÁLIDO",Inventario!B161))),"C",
IF(OR(ISNUMBER(SEARCH("TRASLUCIDO",Inventario!B161)),ISNUMBER(SEARCH("TRANSLUCIDO",Inventario!B161))),"TL",
IF(ISNUMBER(SEARCH("NEUTRO",Inventario!B161)),"N",
IF(ISNUMBER(SEARCH("FRIO",Inventario!B161)),"F",""))))))</f>
        <v>TL</v>
      </c>
      <c r="H162" t="str">
        <f>IF(ISNUMBER(SEARCH("SILED",Inventario!B161)),"SI",
IF(ISNUMBER(SEARCH("SYDEMEX",Inventario!B161)),"SY",
IF(ISNUMBER(SEARCH("ROHS",Inventario!B161)),"RO",
IF(ISNUMBER(SEARCH("RISHANG",Inventario!B161)),"RS",
IF(ISNUMBER(SEARCH("VYG",Inventario!B161)),"VYG",
IF(ISNUMBER(SEARCH("COLED",Inventario!B161)),"CO",""))))))</f>
        <v/>
      </c>
    </row>
    <row r="163" spans="1:8">
      <c r="A163" t="str">
        <f>IF(ISNUMBER(SEARCH("LONA",Inventario!B162)),"LON",
IF(ISNUMBER(SEARCH("VINIL",Inventario!B162)),"VIN",
IF(ISNUMBER(SEARCH("PANEL DE ALUMINIO COMPUESTO",Inventario!B162)),"PAN-ALU-COM",
IF(ISNUMBER(SEARCH("PVC",Inventario!B162)),"PVC",
IF(ISNUMBER(SEARCH("PAPEL",Inventario!B162)),"PAP",
IF(ISNUMBER(SEARCH("TELA",Inventario!B162)),"TEL",
IF(ISNUMBER(SEARCH("CARTULINA",Inventario!B162)),"CAR",
IF(OR(ISNUMBER(SEARCH("LAMINA",Inventario!B162)),ISNUMBER(SEARCH("LÁMINA",Inventario!B162))),"LAM",
IF(ISNUMBER(SEARCH("ESTIRENO",Inventario!B162)),"EST",
IF(ISNUMBER(SEARCH("FOAMBOARD",Inventario!B162)),"FOA",
IF(ISNUMBER(SEARCH("SOLVENTE",Inventario!B162)),"SOL",
IF(ISNUMBER(SEARCH("TINTA",Inventario!B162)),"TIN",
IF(ISNUMBER(SEARCH("ACRILICO",Inventario!B162)),"ACR",
IF(ISNUMBER(SEARCH("LED",Inventario!B162)),"LED",
IF(ISNUMBER(SEARCH("FUENTE",Inventario!B162)),"FUE",
IF(ISNUMBER(SEARCH("PETG",Inventario!B162)),"PET",
IF(ISNUMBER(SEARCH("ALUMINIO",Inventario!B162)),"ALU",
IF(ISNUMBER(SEARCH("CANAL",Inventario!B162)),"CAN",
IF(ISNUMBER(SEARCH("ESCUADRA",Inventario!B162)),"ESC",
IF(ISNUMBER(SEARCH("SOPORTE",Inventario!B162)),"SOP","OTR")
)))))))))))))))))))</f>
        <v>VIN</v>
      </c>
      <c r="B163" t="str">
        <f>IF(ISNUMBER(SEARCH("CORTE",Inventario!B162)),"COR",
IF(ISNUMBER(SEARCH("CRISTAL",Inventario!B162)),"CR",
IF(OR(ISNUMBER(SEARCH("OPTICO",Inventario!B162)),ISNUMBER(SEARCH("OPTICOS",Inventario!B162)),ISNUMBER(SEARCH("OPTICA",Inventario!B162))),"OP",
IF(ISNUMBER(SEARCH("NANO",Inventario!B162)),"NA",
IF(ISNUMBER(SEARCH("5050",Inventario!B162)),"5050",
IF(ISNUMBER(SEARCH("MICRO",Inventario!B162)),"MI",""))))))</f>
        <v>COR</v>
      </c>
      <c r="C163" t="str">
        <f>IF(ISNUMBER(SEARCH("PARED",Inventario!B162)),"PAR",IF(ISNUMBER(SEARCH("MATE",Inventario!B162)),"MAT",
IF(ISNUMBER(SEARCH("FRONT",Inventario!B162)),"FRO",
IF(ISNUMBER(SEARCH("BACK",Inventario!B162)),"BAC",
IF(ISNUMBER(SEARCH("MESH",Inventario!B162)),"MES",
IF(OR(ISNUMBER(SEARCH("BRILLANTE",Inventario!B162)),ISNUMBER(SEARCH("BTE",Inventario!B162))),"BRI",
IF(ISNUMBER(SEARCH("SINTETICA DELGADA",Inventario!B162)),"SD",
IF(ISNUMBER(SEARCH("SINTETICA GRUESA",Inventario!B162)),"SG",
IF(ISNUMBER(SEARCH("ESTATICO",Inventario!B162)),"EST",
IF(ISNUMBER(SEARCH("FLOOR",Inventario!B162)),"FLO",
IF(ISNUMBER(SEARCH("REFLECTIVO",Inventario!B162)),"REF",
IF(ISNUMBER(SEARCH("MICROPERFORADO",Inventario!B162)),"MI",
IF(ISNUMBER(SEARCH("CEPILLADO",Inventario!B162)),"CEP",
IF(ISNUMBER(SEARCH("ESPEJO",Inventario!B162)),"ESP",
IF(OR(ISNUMBER(SEARCH("UNIDIODO",Inventario!B162)),ISNUMBER(SEARCH("1 DIODO",Inventario!B162))),"1D",
IF(ISNUMBER(SEARCH("2 DIODOS",Inventario!B162)),"2D",
IF(ISNUMBER(SEARCH("3 DIODOS",Inventario!B162)),"3D","")))))))))))))))))</f>
        <v/>
      </c>
      <c r="D163" t="str">
        <f>IF(ISNUMBER(SEARCH("LX700",Inventario!B162)),"LX7",
IF(ISNUMBER(SEARCH("GRANDO",Inventario!B162)),"GRA",
IF(OR(ISNUMBER(SEARCH("CAMA PLANA",Inventario!B162)),ISNUMBER(SEARCH("FB700",Inventario!B162))),"CP",
IF(ISNUMBER(SEARCH("LX360",Inventario!B162)),"LX3",
IF(ISNUMBER(SEARCH("XEROX",Inventario!B162)),"XER",
IF(ISNUMBER(SEARCH("18 OZ",Inventario!B162)),"18OZ",
IF(ISNUMBER(SEARCH("15 OZ",Inventario!B162)),"15OZ",
IF(OR(ISNUMBER(SEARCH("13 OZ",Inventario!B162)),ISNUMBER(SEARCH("13 ONZAS",Inventario!B162))),"13OZ",
IF(OR(ISNUMBER(SEARCH("9 OZ",Inventario!B162)),ISNUMBER(SEARCH("9 ONZAS",Inventario!B162))),"09OZ","")))))))))</f>
        <v/>
      </c>
      <c r="E163" t="str">
        <f>IF(OR(ISNUMBER(SEARCH("TRANSPARENTE",Inventario!B162)),ISNUMBER(SEARCH("TRANSPARENTES",Inventario!B162))),"TR",
IF(OR(ISNUMBER(SEARCH("BLANCO",Inventario!B162)),ISNUMBER(SEARCH("BCO",Inventario!B162))),"BL",
IF(ISNUMBER(SEARCH("VERDE",Inventario!B162)),"VR",
IF(ISNUMBER(SEARCH("MORADO",Inventario!B162)),"MR",
IF(ISNUMBER(SEARCH("PLATA",Inventario!B162)),"PL",
IF(ISNUMBER(SEARCH("ORO",Inventario!B162)),"OR",
IF(ISNUMBER(SEARCH("AMARILLO",Inventario!B162)),"AM",
IF(ISNUMBER(SEARCH("NARANJA",Inventario!B162)),"NR",
IF(ISNUMBER(SEARCH("NEGRO",Inventario!B162)),"NG",
IF(ISNUMBER(SEARCH("ROJO",Inventario!B162)),"RJ",
IF(ISNUMBER(SEARCH("AZUL",Inventario!B162)),"AZ","")))))))))))</f>
        <v/>
      </c>
      <c r="F163" t="str">
        <f>IF(ISNUMBER(SEARCH("1,2 MM",Inventario!B162)),"1MM2",
IF(OR(ISNUMBER(SEARCH("2 MM",Inventario!B162)),ISNUMBER(SEARCH("2MM",Inventario!B162))),"2MM",
IF(OR(ISNUMBER(SEARCH("3 MM",Inventario!B162)),ISNUMBER(SEARCH("3MM",Inventario!B162))),"3MM",
IF(OR(ISNUMBER(SEARCH("4 MM",Inventario!B162)),ISNUMBER(SEARCH("4MM",Inventario!B162)),ISNUMBER(SEARCH("4 mm",Inventario!B162))),"4MM",
IF(OR(ISNUMBER(SEARCH("5 MM",Inventario!B162)),ISNUMBER(SEARCH("5MM",Inventario!B162))),"5MM",
IF(OR(ISNUMBER(SEARCH("6 MM",Inventario!B162)),ISNUMBER(SEARCH("6MM",Inventario!B162))),"6MM",
IF(OR(ISNUMBER(SEARCH("10 MM",Inventario!B162)),ISNUMBER(SEARCH("10MM",Inventario!B162))),"10MM","")))))))</f>
        <v/>
      </c>
      <c r="G163" t="str">
        <f>IF(ISNUMBER(SEARCH("ALTA RESISTENCIA",Inventario!B162)),"AR",IF(ISNUMBER(SEARCH("CAMPAÑA",Inventario!B162)),"CA",
IF(OR(ISNUMBER(SEARCH("CALIDO",Inventario!B162)),ISNUMBER(SEARCH("CÁLIDO",Inventario!B162))),"C",
IF(OR(ISNUMBER(SEARCH("TRASLUCIDO",Inventario!B162)),ISNUMBER(SEARCH("TRANSLUCIDO",Inventario!B162))),"TL",
IF(ISNUMBER(SEARCH("NEUTRO",Inventario!B162)),"N",
IF(ISNUMBER(SEARCH("FRIO",Inventario!B162)),"F",""))))))</f>
        <v/>
      </c>
      <c r="H163" t="str">
        <f>IF(ISNUMBER(SEARCH("SILED",Inventario!B162)),"SI",
IF(ISNUMBER(SEARCH("SYDEMEX",Inventario!B162)),"SY",
IF(ISNUMBER(SEARCH("ROHS",Inventario!B162)),"RO",
IF(ISNUMBER(SEARCH("RISHANG",Inventario!B162)),"RS",
IF(ISNUMBER(SEARCH("VYG",Inventario!B162)),"VYG",
IF(ISNUMBER(SEARCH("COLED",Inventario!B162)),"CO",""))))))</f>
        <v/>
      </c>
    </row>
    <row r="164" spans="1:8">
      <c r="A164" t="str">
        <f>IF(ISNUMBER(SEARCH("LONA",Inventario!B163)),"LON",
IF(ISNUMBER(SEARCH("VINIL",Inventario!B163)),"VIN",
IF(ISNUMBER(SEARCH("PANEL DE ALUMINIO COMPUESTO",Inventario!B163)),"PAN-ALU-COM",
IF(ISNUMBER(SEARCH("PVC",Inventario!B163)),"PVC",
IF(ISNUMBER(SEARCH("PAPEL",Inventario!B163)),"PAP",
IF(ISNUMBER(SEARCH("TELA",Inventario!B163)),"TEL",
IF(ISNUMBER(SEARCH("CARTULINA",Inventario!B163)),"CAR",
IF(OR(ISNUMBER(SEARCH("LAMINA",Inventario!B163)),ISNUMBER(SEARCH("LÁMINA",Inventario!B163))),"LAM",
IF(ISNUMBER(SEARCH("ESTIRENO",Inventario!B163)),"EST",
IF(ISNUMBER(SEARCH("FOAMBOARD",Inventario!B163)),"FOA",
IF(ISNUMBER(SEARCH("SOLVENTE",Inventario!B163)),"SOL",
IF(ISNUMBER(SEARCH("TINTA",Inventario!B163)),"TIN",
IF(ISNUMBER(SEARCH("ACRILICO",Inventario!B163)),"ACR",
IF(ISNUMBER(SEARCH("LED",Inventario!B163)),"LED",
IF(ISNUMBER(SEARCH("FUENTE",Inventario!B163)),"FUE",
IF(ISNUMBER(SEARCH("PETG",Inventario!B163)),"PET",
IF(ISNUMBER(SEARCH("ALUMINIO",Inventario!B163)),"ALU",
IF(ISNUMBER(SEARCH("CANAL",Inventario!B163)),"CAN",
IF(ISNUMBER(SEARCH("ESCUADRA",Inventario!B163)),"ESC",
IF(ISNUMBER(SEARCH("SOPORTE",Inventario!B163)),"SOP","OTR")
)))))))))))))))))))</f>
        <v>VIN</v>
      </c>
      <c r="B164" t="str">
        <f>IF(ISNUMBER(SEARCH("CORTE",Inventario!B163)),"COR",
IF(ISNUMBER(SEARCH("CRISTAL",Inventario!B163)),"CR",
IF(OR(ISNUMBER(SEARCH("OPTICO",Inventario!B163)),ISNUMBER(SEARCH("OPTICOS",Inventario!B163)),ISNUMBER(SEARCH("OPTICA",Inventario!B163))),"OP",
IF(ISNUMBER(SEARCH("NANO",Inventario!B163)),"NA",
IF(ISNUMBER(SEARCH("5050",Inventario!B163)),"5050",
IF(ISNUMBER(SEARCH("MICRO",Inventario!B163)),"MI",""))))))</f>
        <v>COR</v>
      </c>
      <c r="C164" t="str">
        <f>IF(ISNUMBER(SEARCH("PARED",Inventario!B163)),"PAR",IF(ISNUMBER(SEARCH("MATE",Inventario!B163)),"MAT",
IF(ISNUMBER(SEARCH("FRONT",Inventario!B163)),"FRO",
IF(ISNUMBER(SEARCH("BACK",Inventario!B163)),"BAC",
IF(ISNUMBER(SEARCH("MESH",Inventario!B163)),"MES",
IF(OR(ISNUMBER(SEARCH("BRILLANTE",Inventario!B163)),ISNUMBER(SEARCH("BTE",Inventario!B163))),"BRI",
IF(ISNUMBER(SEARCH("SINTETICA DELGADA",Inventario!B163)),"SD",
IF(ISNUMBER(SEARCH("SINTETICA GRUESA",Inventario!B163)),"SG",
IF(ISNUMBER(SEARCH("ESTATICO",Inventario!B163)),"EST",
IF(ISNUMBER(SEARCH("FLOOR",Inventario!B163)),"FLO",
IF(ISNUMBER(SEARCH("REFLECTIVO",Inventario!B163)),"REF",
IF(ISNUMBER(SEARCH("MICROPERFORADO",Inventario!B163)),"MI",
IF(ISNUMBER(SEARCH("CEPILLADO",Inventario!B163)),"CEP",
IF(ISNUMBER(SEARCH("ESPEJO",Inventario!B163)),"ESP",
IF(OR(ISNUMBER(SEARCH("UNIDIODO",Inventario!B163)),ISNUMBER(SEARCH("1 DIODO",Inventario!B163))),"1D",
IF(ISNUMBER(SEARCH("2 DIODOS",Inventario!B163)),"2D",
IF(ISNUMBER(SEARCH("3 DIODOS",Inventario!B163)),"3D","")))))))))))))))))</f>
        <v/>
      </c>
      <c r="D164" t="str">
        <f>IF(ISNUMBER(SEARCH("LX700",Inventario!B163)),"LX7",
IF(ISNUMBER(SEARCH("GRANDO",Inventario!B163)),"GRA",
IF(OR(ISNUMBER(SEARCH("CAMA PLANA",Inventario!B163)),ISNUMBER(SEARCH("FB700",Inventario!B163))),"CP",
IF(ISNUMBER(SEARCH("LX360",Inventario!B163)),"LX3",
IF(ISNUMBER(SEARCH("XEROX",Inventario!B163)),"XER",
IF(ISNUMBER(SEARCH("18 OZ",Inventario!B163)),"18OZ",
IF(ISNUMBER(SEARCH("15 OZ",Inventario!B163)),"15OZ",
IF(OR(ISNUMBER(SEARCH("13 OZ",Inventario!B163)),ISNUMBER(SEARCH("13 ONZAS",Inventario!B163))),"13OZ",
IF(OR(ISNUMBER(SEARCH("9 OZ",Inventario!B163)),ISNUMBER(SEARCH("9 ONZAS",Inventario!B163))),"09OZ","")))))))))</f>
        <v/>
      </c>
      <c r="E164" t="str">
        <f>IF(OR(ISNUMBER(SEARCH("TRANSPARENTE",Inventario!B163)),ISNUMBER(SEARCH("TRANSPARENTES",Inventario!B163))),"TR",
IF(OR(ISNUMBER(SEARCH("BLANCO",Inventario!B163)),ISNUMBER(SEARCH("BCO",Inventario!B163))),"BL",
IF(ISNUMBER(SEARCH("VERDE",Inventario!B163)),"VR",
IF(ISNUMBER(SEARCH("MORADO",Inventario!B163)),"MR",
IF(ISNUMBER(SEARCH("PLATA",Inventario!B163)),"PL",
IF(ISNUMBER(SEARCH("ORO",Inventario!B163)),"OR",
IF(ISNUMBER(SEARCH("AMARILLO",Inventario!B163)),"AM",
IF(ISNUMBER(SEARCH("NARANJA",Inventario!B163)),"NR",
IF(ISNUMBER(SEARCH("NEGRO",Inventario!B163)),"NG",
IF(ISNUMBER(SEARCH("ROJO",Inventario!B163)),"RJ",
IF(ISNUMBER(SEARCH("AZUL",Inventario!B163)),"AZ","")))))))))))</f>
        <v/>
      </c>
      <c r="F164" t="str">
        <f>IF(ISNUMBER(SEARCH("1,2 MM",Inventario!B163)),"1MM2",
IF(OR(ISNUMBER(SEARCH("2 MM",Inventario!B163)),ISNUMBER(SEARCH("2MM",Inventario!B163))),"2MM",
IF(OR(ISNUMBER(SEARCH("3 MM",Inventario!B163)),ISNUMBER(SEARCH("3MM",Inventario!B163))),"3MM",
IF(OR(ISNUMBER(SEARCH("4 MM",Inventario!B163)),ISNUMBER(SEARCH("4MM",Inventario!B163)),ISNUMBER(SEARCH("4 mm",Inventario!B163))),"4MM",
IF(OR(ISNUMBER(SEARCH("5 MM",Inventario!B163)),ISNUMBER(SEARCH("5MM",Inventario!B163))),"5MM",
IF(OR(ISNUMBER(SEARCH("6 MM",Inventario!B163)),ISNUMBER(SEARCH("6MM",Inventario!B163))),"6MM",
IF(OR(ISNUMBER(SEARCH("10 MM",Inventario!B163)),ISNUMBER(SEARCH("10MM",Inventario!B163))),"10MM","")))))))</f>
        <v/>
      </c>
      <c r="G164" t="str">
        <f>IF(ISNUMBER(SEARCH("ALTA RESISTENCIA",Inventario!B163)),"AR",IF(ISNUMBER(SEARCH("CAMPAÑA",Inventario!B163)),"CA",
IF(OR(ISNUMBER(SEARCH("CALIDO",Inventario!B163)),ISNUMBER(SEARCH("CÁLIDO",Inventario!B163))),"C",
IF(OR(ISNUMBER(SEARCH("TRASLUCIDO",Inventario!B163)),ISNUMBER(SEARCH("TRANSLUCIDO",Inventario!B163))),"TL",
IF(ISNUMBER(SEARCH("NEUTRO",Inventario!B163)),"N",
IF(ISNUMBER(SEARCH("FRIO",Inventario!B163)),"F",""))))))</f>
        <v/>
      </c>
      <c r="H164" t="str">
        <f>IF(ISNUMBER(SEARCH("SILED",Inventario!B163)),"SI",
IF(ISNUMBER(SEARCH("SYDEMEX",Inventario!B163)),"SY",
IF(ISNUMBER(SEARCH("ROHS",Inventario!B163)),"RO",
IF(ISNUMBER(SEARCH("RISHANG",Inventario!B163)),"RS",
IF(ISNUMBER(SEARCH("VYG",Inventario!B163)),"VYG",
IF(ISNUMBER(SEARCH("COLED",Inventario!B163)),"CO",""))))))</f>
        <v/>
      </c>
    </row>
    <row r="165" spans="1:8">
      <c r="A165" t="str">
        <f>IF(ISNUMBER(SEARCH("LONA",Inventario!B164)),"LON",
IF(ISNUMBER(SEARCH("VINIL",Inventario!B164)),"VIN",
IF(ISNUMBER(SEARCH("PANEL DE ALUMINIO COMPUESTO",Inventario!B164)),"PAN-ALU-COM",
IF(ISNUMBER(SEARCH("PVC",Inventario!B164)),"PVC",
IF(ISNUMBER(SEARCH("PAPEL",Inventario!B164)),"PAP",
IF(ISNUMBER(SEARCH("TELA",Inventario!B164)),"TEL",
IF(ISNUMBER(SEARCH("CARTULINA",Inventario!B164)),"CAR",
IF(OR(ISNUMBER(SEARCH("LAMINA",Inventario!B164)),ISNUMBER(SEARCH("LÁMINA",Inventario!B164))),"LAM",
IF(ISNUMBER(SEARCH("ESTIRENO",Inventario!B164)),"EST",
IF(ISNUMBER(SEARCH("FOAMBOARD",Inventario!B164)),"FOA",
IF(ISNUMBER(SEARCH("SOLVENTE",Inventario!B164)),"SOL",
IF(ISNUMBER(SEARCH("TINTA",Inventario!B164)),"TIN",
IF(ISNUMBER(SEARCH("ACRILICO",Inventario!B164)),"ACR",
IF(ISNUMBER(SEARCH("LED",Inventario!B164)),"LED",
IF(ISNUMBER(SEARCH("FUENTE",Inventario!B164)),"FUE",
IF(ISNUMBER(SEARCH("PETG",Inventario!B164)),"PET",
IF(ISNUMBER(SEARCH("ALUMINIO",Inventario!B164)),"ALU",
IF(ISNUMBER(SEARCH("CANAL",Inventario!B164)),"CAN",
IF(ISNUMBER(SEARCH("ESCUADRA",Inventario!B164)),"ESC",
IF(ISNUMBER(SEARCH("SOPORTE",Inventario!B164)),"SOP","OTR")
)))))))))))))))))))</f>
        <v>VIN</v>
      </c>
      <c r="B165" t="str">
        <f>IF(ISNUMBER(SEARCH("CORTE",Inventario!B164)),"COR",
IF(ISNUMBER(SEARCH("CRISTAL",Inventario!B164)),"CR",
IF(OR(ISNUMBER(SEARCH("OPTICO",Inventario!B164)),ISNUMBER(SEARCH("OPTICOS",Inventario!B164)),ISNUMBER(SEARCH("OPTICA",Inventario!B164))),"OP",
IF(ISNUMBER(SEARCH("NANO",Inventario!B164)),"NA",
IF(ISNUMBER(SEARCH("5050",Inventario!B164)),"5050",
IF(ISNUMBER(SEARCH("MICRO",Inventario!B164)),"MI",""))))))</f>
        <v>COR</v>
      </c>
      <c r="C165" t="str">
        <f>IF(ISNUMBER(SEARCH("PARED",Inventario!B164)),"PAR",IF(ISNUMBER(SEARCH("MATE",Inventario!B164)),"MAT",
IF(ISNUMBER(SEARCH("FRONT",Inventario!B164)),"FRO",
IF(ISNUMBER(SEARCH("BACK",Inventario!B164)),"BAC",
IF(ISNUMBER(SEARCH("MESH",Inventario!B164)),"MES",
IF(OR(ISNUMBER(SEARCH("BRILLANTE",Inventario!B164)),ISNUMBER(SEARCH("BTE",Inventario!B164))),"BRI",
IF(ISNUMBER(SEARCH("SINTETICA DELGADA",Inventario!B164)),"SD",
IF(ISNUMBER(SEARCH("SINTETICA GRUESA",Inventario!B164)),"SG",
IF(ISNUMBER(SEARCH("ESTATICO",Inventario!B164)),"EST",
IF(ISNUMBER(SEARCH("FLOOR",Inventario!B164)),"FLO",
IF(ISNUMBER(SEARCH("REFLECTIVO",Inventario!B164)),"REF",
IF(ISNUMBER(SEARCH("MICROPERFORADO",Inventario!B164)),"MI",
IF(ISNUMBER(SEARCH("CEPILLADO",Inventario!B164)),"CEP",
IF(ISNUMBER(SEARCH("ESPEJO",Inventario!B164)),"ESP",
IF(OR(ISNUMBER(SEARCH("UNIDIODO",Inventario!B164)),ISNUMBER(SEARCH("1 DIODO",Inventario!B164))),"1D",
IF(ISNUMBER(SEARCH("2 DIODOS",Inventario!B164)),"2D",
IF(ISNUMBER(SEARCH("3 DIODOS",Inventario!B164)),"3D","")))))))))))))))))</f>
        <v/>
      </c>
      <c r="D165" t="str">
        <f>IF(ISNUMBER(SEARCH("LX700",Inventario!B164)),"LX7",
IF(ISNUMBER(SEARCH("GRANDO",Inventario!B164)),"GRA",
IF(OR(ISNUMBER(SEARCH("CAMA PLANA",Inventario!B164)),ISNUMBER(SEARCH("FB700",Inventario!B164))),"CP",
IF(ISNUMBER(SEARCH("LX360",Inventario!B164)),"LX3",
IF(ISNUMBER(SEARCH("XEROX",Inventario!B164)),"XER",
IF(ISNUMBER(SEARCH("18 OZ",Inventario!B164)),"18OZ",
IF(ISNUMBER(SEARCH("15 OZ",Inventario!B164)),"15OZ",
IF(OR(ISNUMBER(SEARCH("13 OZ",Inventario!B164)),ISNUMBER(SEARCH("13 ONZAS",Inventario!B164))),"13OZ",
IF(OR(ISNUMBER(SEARCH("9 OZ",Inventario!B164)),ISNUMBER(SEARCH("9 ONZAS",Inventario!B164))),"09OZ","")))))))))</f>
        <v/>
      </c>
      <c r="E165" t="str">
        <f>IF(OR(ISNUMBER(SEARCH("TRANSPARENTE",Inventario!B164)),ISNUMBER(SEARCH("TRANSPARENTES",Inventario!B164))),"TR",
IF(OR(ISNUMBER(SEARCH("BLANCO",Inventario!B164)),ISNUMBER(SEARCH("BCO",Inventario!B164))),"BL",
IF(ISNUMBER(SEARCH("VERDE",Inventario!B164)),"VR",
IF(ISNUMBER(SEARCH("MORADO",Inventario!B164)),"MR",
IF(ISNUMBER(SEARCH("PLATA",Inventario!B164)),"PL",
IF(ISNUMBER(SEARCH("ORO",Inventario!B164)),"OR",
IF(ISNUMBER(SEARCH("AMARILLO",Inventario!B164)),"AM",
IF(ISNUMBER(SEARCH("NARANJA",Inventario!B164)),"NR",
IF(ISNUMBER(SEARCH("NEGRO",Inventario!B164)),"NG",
IF(ISNUMBER(SEARCH("ROJO",Inventario!B164)),"RJ",
IF(ISNUMBER(SEARCH("AZUL",Inventario!B164)),"AZ","")))))))))))</f>
        <v/>
      </c>
      <c r="F165" t="str">
        <f>IF(ISNUMBER(SEARCH("1,2 MM",Inventario!B164)),"1MM2",
IF(OR(ISNUMBER(SEARCH("2 MM",Inventario!B164)),ISNUMBER(SEARCH("2MM",Inventario!B164))),"2MM",
IF(OR(ISNUMBER(SEARCH("3 MM",Inventario!B164)),ISNUMBER(SEARCH("3MM",Inventario!B164))),"3MM",
IF(OR(ISNUMBER(SEARCH("4 MM",Inventario!B164)),ISNUMBER(SEARCH("4MM",Inventario!B164)),ISNUMBER(SEARCH("4 mm",Inventario!B164))),"4MM",
IF(OR(ISNUMBER(SEARCH("5 MM",Inventario!B164)),ISNUMBER(SEARCH("5MM",Inventario!B164))),"5MM",
IF(OR(ISNUMBER(SEARCH("6 MM",Inventario!B164)),ISNUMBER(SEARCH("6MM",Inventario!B164))),"6MM",
IF(OR(ISNUMBER(SEARCH("10 MM",Inventario!B164)),ISNUMBER(SEARCH("10MM",Inventario!B164))),"10MM","")))))))</f>
        <v/>
      </c>
      <c r="G165" t="str">
        <f>IF(ISNUMBER(SEARCH("ALTA RESISTENCIA",Inventario!B164)),"AR",IF(ISNUMBER(SEARCH("CAMPAÑA",Inventario!B164)),"CA",
IF(OR(ISNUMBER(SEARCH("CALIDO",Inventario!B164)),ISNUMBER(SEARCH("CÁLIDO",Inventario!B164))),"C",
IF(OR(ISNUMBER(SEARCH("TRASLUCIDO",Inventario!B164)),ISNUMBER(SEARCH("TRANSLUCIDO",Inventario!B164))),"TL",
IF(ISNUMBER(SEARCH("NEUTRO",Inventario!B164)),"N",
IF(ISNUMBER(SEARCH("FRIO",Inventario!B164)),"F",""))))))</f>
        <v/>
      </c>
      <c r="H165" t="str">
        <f>IF(ISNUMBER(SEARCH("SILED",Inventario!B164)),"SI",
IF(ISNUMBER(SEARCH("SYDEMEX",Inventario!B164)),"SY",
IF(ISNUMBER(SEARCH("ROHS",Inventario!B164)),"RO",
IF(ISNUMBER(SEARCH("RISHANG",Inventario!B164)),"RS",
IF(ISNUMBER(SEARCH("VYG",Inventario!B164)),"VYG",
IF(ISNUMBER(SEARCH("COLED",Inventario!B164)),"CO",""))))))</f>
        <v/>
      </c>
    </row>
    <row r="166" spans="1:8">
      <c r="A166" t="str">
        <f>IF(ISNUMBER(SEARCH("LONA",Inventario!B165)),"LON",
IF(ISNUMBER(SEARCH("VINIL",Inventario!B165)),"VIN",
IF(ISNUMBER(SEARCH("PANEL DE ALUMINIO COMPUESTO",Inventario!B165)),"PAN-ALU-COM",
IF(ISNUMBER(SEARCH("PVC",Inventario!B165)),"PVC",
IF(ISNUMBER(SEARCH("PAPEL",Inventario!B165)),"PAP",
IF(ISNUMBER(SEARCH("TELA",Inventario!B165)),"TEL",
IF(ISNUMBER(SEARCH("CARTULINA",Inventario!B165)),"CAR",
IF(OR(ISNUMBER(SEARCH("LAMINA",Inventario!B165)),ISNUMBER(SEARCH("LÁMINA",Inventario!B165))),"LAM",
IF(ISNUMBER(SEARCH("ESTIRENO",Inventario!B165)),"EST",
IF(ISNUMBER(SEARCH("FOAMBOARD",Inventario!B165)),"FOA",
IF(ISNUMBER(SEARCH("SOLVENTE",Inventario!B165)),"SOL",
IF(ISNUMBER(SEARCH("TINTA",Inventario!B165)),"TIN",
IF(ISNUMBER(SEARCH("ACRILICO",Inventario!B165)),"ACR",
IF(ISNUMBER(SEARCH("LED",Inventario!B165)),"LED",
IF(ISNUMBER(SEARCH("FUENTE",Inventario!B165)),"FUE",
IF(ISNUMBER(SEARCH("PETG",Inventario!B165)),"PET",
IF(ISNUMBER(SEARCH("ALUMINIO",Inventario!B165)),"ALU",
IF(ISNUMBER(SEARCH("CANAL",Inventario!B165)),"CAN",
IF(ISNUMBER(SEARCH("ESCUADRA",Inventario!B165)),"ESC",
IF(ISNUMBER(SEARCH("SOPORTE",Inventario!B165)),"SOP","OTR")
)))))))))))))))))))</f>
        <v>ACR</v>
      </c>
      <c r="B166" t="str">
        <f>IF(ISNUMBER(SEARCH("CORTE",Inventario!B165)),"COR",
IF(ISNUMBER(SEARCH("CRISTAL",Inventario!B165)),"CR",
IF(OR(ISNUMBER(SEARCH("OPTICO",Inventario!B165)),ISNUMBER(SEARCH("OPTICOS",Inventario!B165)),ISNUMBER(SEARCH("OPTICA",Inventario!B165))),"OP",
IF(ISNUMBER(SEARCH("NANO",Inventario!B165)),"NA",
IF(ISNUMBER(SEARCH("5050",Inventario!B165)),"5050",
IF(ISNUMBER(SEARCH("MICRO",Inventario!B165)),"MI",""))))))</f>
        <v/>
      </c>
      <c r="C166" t="str">
        <f>IF(ISNUMBER(SEARCH("PARED",Inventario!B165)),"PAR",IF(ISNUMBER(SEARCH("MATE",Inventario!B165)),"MAT",
IF(ISNUMBER(SEARCH("FRONT",Inventario!B165)),"FRO",
IF(ISNUMBER(SEARCH("BACK",Inventario!B165)),"BAC",
IF(ISNUMBER(SEARCH("MESH",Inventario!B165)),"MES",
IF(OR(ISNUMBER(SEARCH("BRILLANTE",Inventario!B165)),ISNUMBER(SEARCH("BTE",Inventario!B165))),"BRI",
IF(ISNUMBER(SEARCH("SINTETICA DELGADA",Inventario!B165)),"SD",
IF(ISNUMBER(SEARCH("SINTETICA GRUESA",Inventario!B165)),"SG",
IF(ISNUMBER(SEARCH("ESTATICO",Inventario!B165)),"EST",
IF(ISNUMBER(SEARCH("FLOOR",Inventario!B165)),"FLO",
IF(ISNUMBER(SEARCH("REFLECTIVO",Inventario!B165)),"REF",
IF(ISNUMBER(SEARCH("MICROPERFORADO",Inventario!B165)),"MI",
IF(ISNUMBER(SEARCH("CEPILLADO",Inventario!B165)),"CEP",
IF(ISNUMBER(SEARCH("ESPEJO",Inventario!B165)),"ESP",
IF(OR(ISNUMBER(SEARCH("UNIDIODO",Inventario!B165)),ISNUMBER(SEARCH("1 DIODO",Inventario!B165))),"1D",
IF(ISNUMBER(SEARCH("2 DIODOS",Inventario!B165)),"2D",
IF(ISNUMBER(SEARCH("3 DIODOS",Inventario!B165)),"3D","")))))))))))))))))</f>
        <v/>
      </c>
      <c r="D166" t="str">
        <f>IF(ISNUMBER(SEARCH("LX700",Inventario!B165)),"LX7",
IF(ISNUMBER(SEARCH("GRANDO",Inventario!B165)),"GRA",
IF(OR(ISNUMBER(SEARCH("CAMA PLANA",Inventario!B165)),ISNUMBER(SEARCH("FB700",Inventario!B165))),"CP",
IF(ISNUMBER(SEARCH("LX360",Inventario!B165)),"LX3",
IF(ISNUMBER(SEARCH("XEROX",Inventario!B165)),"XER",
IF(ISNUMBER(SEARCH("18 OZ",Inventario!B165)),"18OZ",
IF(ISNUMBER(SEARCH("15 OZ",Inventario!B165)),"15OZ",
IF(OR(ISNUMBER(SEARCH("13 OZ",Inventario!B165)),ISNUMBER(SEARCH("13 ONZAS",Inventario!B165))),"13OZ",
IF(OR(ISNUMBER(SEARCH("9 OZ",Inventario!B165)),ISNUMBER(SEARCH("9 ONZAS",Inventario!B165))),"09OZ","")))))))))</f>
        <v/>
      </c>
      <c r="E166" t="str">
        <f>IF(OR(ISNUMBER(SEARCH("TRANSPARENTE",Inventario!B165)),ISNUMBER(SEARCH("TRANSPARENTES",Inventario!B165))),"TR",
IF(OR(ISNUMBER(SEARCH("BLANCO",Inventario!B165)),ISNUMBER(SEARCH("BCO",Inventario!B165))),"BL",
IF(ISNUMBER(SEARCH("VERDE",Inventario!B165)),"VR",
IF(ISNUMBER(SEARCH("MORADO",Inventario!B165)),"MR",
IF(ISNUMBER(SEARCH("PLATA",Inventario!B165)),"PL",
IF(ISNUMBER(SEARCH("ORO",Inventario!B165)),"OR",
IF(ISNUMBER(SEARCH("AMARILLO",Inventario!B165)),"AM",
IF(ISNUMBER(SEARCH("NARANJA",Inventario!B165)),"NR",
IF(ISNUMBER(SEARCH("NEGRO",Inventario!B165)),"NG",
IF(ISNUMBER(SEARCH("ROJO",Inventario!B165)),"RJ",
IF(ISNUMBER(SEARCH("AZUL",Inventario!B165)),"AZ","")))))))))))</f>
        <v>AZ</v>
      </c>
      <c r="F166" t="str">
        <f>IF(ISNUMBER(SEARCH("1,2 MM",Inventario!B165)),"1MM2",
IF(OR(ISNUMBER(SEARCH("2 MM",Inventario!B165)),ISNUMBER(SEARCH("2MM",Inventario!B165))),"2MM",
IF(OR(ISNUMBER(SEARCH("3 MM",Inventario!B165)),ISNUMBER(SEARCH("3MM",Inventario!B165))),"3MM",
IF(OR(ISNUMBER(SEARCH("4 MM",Inventario!B165)),ISNUMBER(SEARCH("4MM",Inventario!B165)),ISNUMBER(SEARCH("4 mm",Inventario!B165))),"4MM",
IF(OR(ISNUMBER(SEARCH("5 MM",Inventario!B165)),ISNUMBER(SEARCH("5MM",Inventario!B165))),"5MM",
IF(OR(ISNUMBER(SEARCH("6 MM",Inventario!B165)),ISNUMBER(SEARCH("6MM",Inventario!B165))),"6MM",
IF(OR(ISNUMBER(SEARCH("10 MM",Inventario!B165)),ISNUMBER(SEARCH("10MM",Inventario!B165))),"10MM","")))))))</f>
        <v>3MM</v>
      </c>
      <c r="G166" t="str">
        <f>IF(ISNUMBER(SEARCH("ALTA RESISTENCIA",Inventario!B165)),"AR",IF(ISNUMBER(SEARCH("CAMPAÑA",Inventario!B165)),"CA",
IF(OR(ISNUMBER(SEARCH("CALIDO",Inventario!B165)),ISNUMBER(SEARCH("CÁLIDO",Inventario!B165))),"C",
IF(OR(ISNUMBER(SEARCH("TRASLUCIDO",Inventario!B165)),ISNUMBER(SEARCH("TRANSLUCIDO",Inventario!B165))),"TL",
IF(ISNUMBER(SEARCH("NEUTRO",Inventario!B165)),"N",
IF(ISNUMBER(SEARCH("FRIO",Inventario!B165)),"F",""))))))</f>
        <v/>
      </c>
      <c r="H166" t="str">
        <f>IF(ISNUMBER(SEARCH("SILED",Inventario!B165)),"SI",
IF(ISNUMBER(SEARCH("SYDEMEX",Inventario!B165)),"SY",
IF(ISNUMBER(SEARCH("ROHS",Inventario!B165)),"RO",
IF(ISNUMBER(SEARCH("RISHANG",Inventario!B165)),"RS",
IF(ISNUMBER(SEARCH("VYG",Inventario!B165)),"VYG",
IF(ISNUMBER(SEARCH("COLED",Inventario!B165)),"CO",""))))))</f>
        <v/>
      </c>
    </row>
    <row r="167" spans="1:8">
      <c r="A167" t="str">
        <f>IF(ISNUMBER(SEARCH("LONA",Inventario!B166)),"LON",
IF(ISNUMBER(SEARCH("VINIL",Inventario!B166)),"VIN",
IF(ISNUMBER(SEARCH("PANEL DE ALUMINIO COMPUESTO",Inventario!B166)),"PAN-ALU-COM",
IF(ISNUMBER(SEARCH("PVC",Inventario!B166)),"PVC",
IF(ISNUMBER(SEARCH("PAPEL",Inventario!B166)),"PAP",
IF(ISNUMBER(SEARCH("TELA",Inventario!B166)),"TEL",
IF(ISNUMBER(SEARCH("CARTULINA",Inventario!B166)),"CAR",
IF(OR(ISNUMBER(SEARCH("LAMINA",Inventario!B166)),ISNUMBER(SEARCH("LÁMINA",Inventario!B166))),"LAM",
IF(ISNUMBER(SEARCH("ESTIRENO",Inventario!B166)),"EST",
IF(ISNUMBER(SEARCH("FOAMBOARD",Inventario!B166)),"FOA",
IF(ISNUMBER(SEARCH("SOLVENTE",Inventario!B166)),"SOL",
IF(ISNUMBER(SEARCH("TINTA",Inventario!B166)),"TIN",
IF(ISNUMBER(SEARCH("ACRILICO",Inventario!B166)),"ACR",
IF(ISNUMBER(SEARCH("LED",Inventario!B166)),"LED",
IF(ISNUMBER(SEARCH("FUENTE",Inventario!B166)),"FUE",
IF(ISNUMBER(SEARCH("PETG",Inventario!B166)),"PET",
IF(ISNUMBER(SEARCH("ALUMINIO",Inventario!B166)),"ALU",
IF(ISNUMBER(SEARCH("CANAL",Inventario!B166)),"CAN",
IF(ISNUMBER(SEARCH("ESCUADRA",Inventario!B166)),"ESC",
IF(ISNUMBER(SEARCH("SOPORTE",Inventario!B166)),"SOP","OTR")
)))))))))))))))))))</f>
        <v>ACR</v>
      </c>
      <c r="B167" t="str">
        <f>IF(ISNUMBER(SEARCH("CORTE",Inventario!B166)),"COR",
IF(ISNUMBER(SEARCH("CRISTAL",Inventario!B166)),"CR",
IF(OR(ISNUMBER(SEARCH("OPTICO",Inventario!B166)),ISNUMBER(SEARCH("OPTICOS",Inventario!B166)),ISNUMBER(SEARCH("OPTICA",Inventario!B166))),"OP",
IF(ISNUMBER(SEARCH("NANO",Inventario!B166)),"NA",
IF(ISNUMBER(SEARCH("5050",Inventario!B166)),"5050",
IF(ISNUMBER(SEARCH("MICRO",Inventario!B166)),"MI",""))))))</f>
        <v/>
      </c>
      <c r="C167" t="str">
        <f>IF(ISNUMBER(SEARCH("PARED",Inventario!B166)),"PAR",IF(ISNUMBER(SEARCH("MATE",Inventario!B166)),"MAT",
IF(ISNUMBER(SEARCH("FRONT",Inventario!B166)),"FRO",
IF(ISNUMBER(SEARCH("BACK",Inventario!B166)),"BAC",
IF(ISNUMBER(SEARCH("MESH",Inventario!B166)),"MES",
IF(OR(ISNUMBER(SEARCH("BRILLANTE",Inventario!B166)),ISNUMBER(SEARCH("BTE",Inventario!B166))),"BRI",
IF(ISNUMBER(SEARCH("SINTETICA DELGADA",Inventario!B166)),"SD",
IF(ISNUMBER(SEARCH("SINTETICA GRUESA",Inventario!B166)),"SG",
IF(ISNUMBER(SEARCH("ESTATICO",Inventario!B166)),"EST",
IF(ISNUMBER(SEARCH("FLOOR",Inventario!B166)),"FLO",
IF(ISNUMBER(SEARCH("REFLECTIVO",Inventario!B166)),"REF",
IF(ISNUMBER(SEARCH("MICROPERFORADO",Inventario!B166)),"MI",
IF(ISNUMBER(SEARCH("CEPILLADO",Inventario!B166)),"CEP",
IF(ISNUMBER(SEARCH("ESPEJO",Inventario!B166)),"ESP",
IF(OR(ISNUMBER(SEARCH("UNIDIODO",Inventario!B166)),ISNUMBER(SEARCH("1 DIODO",Inventario!B166))),"1D",
IF(ISNUMBER(SEARCH("2 DIODOS",Inventario!B166)),"2D",
IF(ISNUMBER(SEARCH("3 DIODOS",Inventario!B166)),"3D","")))))))))))))))))</f>
        <v/>
      </c>
      <c r="D167" t="str">
        <f>IF(ISNUMBER(SEARCH("LX700",Inventario!B166)),"LX7",
IF(ISNUMBER(SEARCH("GRANDO",Inventario!B166)),"GRA",
IF(OR(ISNUMBER(SEARCH("CAMA PLANA",Inventario!B166)),ISNUMBER(SEARCH("FB700",Inventario!B166))),"CP",
IF(ISNUMBER(SEARCH("LX360",Inventario!B166)),"LX3",
IF(ISNUMBER(SEARCH("XEROX",Inventario!B166)),"XER",
IF(ISNUMBER(SEARCH("18 OZ",Inventario!B166)),"18OZ",
IF(ISNUMBER(SEARCH("15 OZ",Inventario!B166)),"15OZ",
IF(OR(ISNUMBER(SEARCH("13 OZ",Inventario!B166)),ISNUMBER(SEARCH("13 ONZAS",Inventario!B166))),"13OZ",
IF(OR(ISNUMBER(SEARCH("9 OZ",Inventario!B166)),ISNUMBER(SEARCH("9 ONZAS",Inventario!B166))),"09OZ","")))))))))</f>
        <v/>
      </c>
      <c r="E167" t="str">
        <f>IF(OR(ISNUMBER(SEARCH("TRANSPARENTE",Inventario!B166)),ISNUMBER(SEARCH("TRANSPARENTES",Inventario!B166))),"TR",
IF(OR(ISNUMBER(SEARCH("BLANCO",Inventario!B166)),ISNUMBER(SEARCH("BCO",Inventario!B166))),"BL",
IF(ISNUMBER(SEARCH("VERDE",Inventario!B166)),"VR",
IF(ISNUMBER(SEARCH("MORADO",Inventario!B166)),"MR",
IF(ISNUMBER(SEARCH("PLATA",Inventario!B166)),"PL",
IF(ISNUMBER(SEARCH("ORO",Inventario!B166)),"OR",
IF(ISNUMBER(SEARCH("AMARILLO",Inventario!B166)),"AM",
IF(ISNUMBER(SEARCH("NARANJA",Inventario!B166)),"NR",
IF(ISNUMBER(SEARCH("NEGRO",Inventario!B166)),"NG",
IF(ISNUMBER(SEARCH("ROJO",Inventario!B166)),"RJ",
IF(ISNUMBER(SEARCH("AZUL",Inventario!B166)),"AZ","")))))))))))</f>
        <v>AZ</v>
      </c>
      <c r="F167" t="str">
        <f>IF(ISNUMBER(SEARCH("1,2 MM",Inventario!B166)),"1MM2",
IF(OR(ISNUMBER(SEARCH("2 MM",Inventario!B166)),ISNUMBER(SEARCH("2MM",Inventario!B166))),"2MM",
IF(OR(ISNUMBER(SEARCH("3 MM",Inventario!B166)),ISNUMBER(SEARCH("3MM",Inventario!B166))),"3MM",
IF(OR(ISNUMBER(SEARCH("4 MM",Inventario!B166)),ISNUMBER(SEARCH("4MM",Inventario!B166)),ISNUMBER(SEARCH("4 mm",Inventario!B166))),"4MM",
IF(OR(ISNUMBER(SEARCH("5 MM",Inventario!B166)),ISNUMBER(SEARCH("5MM",Inventario!B166))),"5MM",
IF(OR(ISNUMBER(SEARCH("6 MM",Inventario!B166)),ISNUMBER(SEARCH("6MM",Inventario!B166))),"6MM",
IF(OR(ISNUMBER(SEARCH("10 MM",Inventario!B166)),ISNUMBER(SEARCH("10MM",Inventario!B166))),"10MM","")))))))</f>
        <v>3MM</v>
      </c>
      <c r="G167" t="str">
        <f>IF(ISNUMBER(SEARCH("ALTA RESISTENCIA",Inventario!B166)),"AR",IF(ISNUMBER(SEARCH("CAMPAÑA",Inventario!B166)),"CA",
IF(OR(ISNUMBER(SEARCH("CALIDO",Inventario!B166)),ISNUMBER(SEARCH("CÁLIDO",Inventario!B166))),"C",
IF(OR(ISNUMBER(SEARCH("TRASLUCIDO",Inventario!B166)),ISNUMBER(SEARCH("TRANSLUCIDO",Inventario!B166))),"TL",
IF(ISNUMBER(SEARCH("NEUTRO",Inventario!B166)),"N",
IF(ISNUMBER(SEARCH("FRIO",Inventario!B166)),"F",""))))))</f>
        <v/>
      </c>
      <c r="H167" t="str">
        <f>IF(ISNUMBER(SEARCH("SILED",Inventario!B166)),"SI",
IF(ISNUMBER(SEARCH("SYDEMEX",Inventario!B166)),"SY",
IF(ISNUMBER(SEARCH("ROHS",Inventario!B166)),"RO",
IF(ISNUMBER(SEARCH("RISHANG",Inventario!B166)),"RS",
IF(ISNUMBER(SEARCH("VYG",Inventario!B166)),"VYG",
IF(ISNUMBER(SEARCH("COLED",Inventario!B166)),"CO",""))))))</f>
        <v/>
      </c>
    </row>
    <row r="168" spans="1:8">
      <c r="A168" t="str">
        <f>IF(ISNUMBER(SEARCH("LONA",Inventario!B167)),"LON",
IF(ISNUMBER(SEARCH("VINIL",Inventario!B167)),"VIN",
IF(ISNUMBER(SEARCH("PANEL DE ALUMINIO COMPUESTO",Inventario!B167)),"PAN-ALU-COM",
IF(ISNUMBER(SEARCH("PVC",Inventario!B167)),"PVC",
IF(ISNUMBER(SEARCH("PAPEL",Inventario!B167)),"PAP",
IF(ISNUMBER(SEARCH("TELA",Inventario!B167)),"TEL",
IF(ISNUMBER(SEARCH("CARTULINA",Inventario!B167)),"CAR",
IF(OR(ISNUMBER(SEARCH("LAMINA",Inventario!B167)),ISNUMBER(SEARCH("LÁMINA",Inventario!B167))),"LAM",
IF(ISNUMBER(SEARCH("ESTIRENO",Inventario!B167)),"EST",
IF(ISNUMBER(SEARCH("FOAMBOARD",Inventario!B167)),"FOA",
IF(ISNUMBER(SEARCH("SOLVENTE",Inventario!B167)),"SOL",
IF(ISNUMBER(SEARCH("TINTA",Inventario!B167)),"TIN",
IF(ISNUMBER(SEARCH("ACRILICO",Inventario!B167)),"ACR",
IF(ISNUMBER(SEARCH("LED",Inventario!B167)),"LED",
IF(ISNUMBER(SEARCH("FUENTE",Inventario!B167)),"FUE",
IF(ISNUMBER(SEARCH("PETG",Inventario!B167)),"PET",
IF(ISNUMBER(SEARCH("ALUMINIO",Inventario!B167)),"ALU",
IF(ISNUMBER(SEARCH("CANAL",Inventario!B167)),"CAN",
IF(ISNUMBER(SEARCH("ESCUADRA",Inventario!B167)),"ESC",
IF(ISNUMBER(SEARCH("SOPORTE",Inventario!B167)),"SOP","OTR")
)))))))))))))))))))</f>
        <v>ACR</v>
      </c>
      <c r="B168" t="str">
        <f>IF(ISNUMBER(SEARCH("CORTE",Inventario!B167)),"COR",
IF(ISNUMBER(SEARCH("CRISTAL",Inventario!B167)),"CR",
IF(OR(ISNUMBER(SEARCH("OPTICO",Inventario!B167)),ISNUMBER(SEARCH("OPTICOS",Inventario!B167)),ISNUMBER(SEARCH("OPTICA",Inventario!B167))),"OP",
IF(ISNUMBER(SEARCH("NANO",Inventario!B167)),"NA",
IF(ISNUMBER(SEARCH("5050",Inventario!B167)),"5050",
IF(ISNUMBER(SEARCH("MICRO",Inventario!B167)),"MI",""))))))</f>
        <v/>
      </c>
      <c r="C168" t="str">
        <f>IF(ISNUMBER(SEARCH("PARED",Inventario!B167)),"PAR",IF(ISNUMBER(SEARCH("MATE",Inventario!B167)),"MAT",
IF(ISNUMBER(SEARCH("FRONT",Inventario!B167)),"FRO",
IF(ISNUMBER(SEARCH("BACK",Inventario!B167)),"BAC",
IF(ISNUMBER(SEARCH("MESH",Inventario!B167)),"MES",
IF(OR(ISNUMBER(SEARCH("BRILLANTE",Inventario!B167)),ISNUMBER(SEARCH("BTE",Inventario!B167))),"BRI",
IF(ISNUMBER(SEARCH("SINTETICA DELGADA",Inventario!B167)),"SD",
IF(ISNUMBER(SEARCH("SINTETICA GRUESA",Inventario!B167)),"SG",
IF(ISNUMBER(SEARCH("ESTATICO",Inventario!B167)),"EST",
IF(ISNUMBER(SEARCH("FLOOR",Inventario!B167)),"FLO",
IF(ISNUMBER(SEARCH("REFLECTIVO",Inventario!B167)),"REF",
IF(ISNUMBER(SEARCH("MICROPERFORADO",Inventario!B167)),"MI",
IF(ISNUMBER(SEARCH("CEPILLADO",Inventario!B167)),"CEP",
IF(ISNUMBER(SEARCH("ESPEJO",Inventario!B167)),"ESP",
IF(OR(ISNUMBER(SEARCH("UNIDIODO",Inventario!B167)),ISNUMBER(SEARCH("1 DIODO",Inventario!B167))),"1D",
IF(ISNUMBER(SEARCH("2 DIODOS",Inventario!B167)),"2D",
IF(ISNUMBER(SEARCH("3 DIODOS",Inventario!B167)),"3D","")))))))))))))))))</f>
        <v/>
      </c>
      <c r="D168" t="str">
        <f>IF(ISNUMBER(SEARCH("LX700",Inventario!B167)),"LX7",
IF(ISNUMBER(SEARCH("GRANDO",Inventario!B167)),"GRA",
IF(OR(ISNUMBER(SEARCH("CAMA PLANA",Inventario!B167)),ISNUMBER(SEARCH("FB700",Inventario!B167))),"CP",
IF(ISNUMBER(SEARCH("LX360",Inventario!B167)),"LX3",
IF(ISNUMBER(SEARCH("XEROX",Inventario!B167)),"XER",
IF(ISNUMBER(SEARCH("18 OZ",Inventario!B167)),"18OZ",
IF(ISNUMBER(SEARCH("15 OZ",Inventario!B167)),"15OZ",
IF(OR(ISNUMBER(SEARCH("13 OZ",Inventario!B167)),ISNUMBER(SEARCH("13 ONZAS",Inventario!B167))),"13OZ",
IF(OR(ISNUMBER(SEARCH("9 OZ",Inventario!B167)),ISNUMBER(SEARCH("9 ONZAS",Inventario!B167))),"09OZ","")))))))))</f>
        <v/>
      </c>
      <c r="E168" t="str">
        <f>IF(OR(ISNUMBER(SEARCH("TRANSPARENTE",Inventario!B167)),ISNUMBER(SEARCH("TRANSPARENTES",Inventario!B167))),"TR",
IF(OR(ISNUMBER(SEARCH("BLANCO",Inventario!B167)),ISNUMBER(SEARCH("BCO",Inventario!B167))),"BL",
IF(ISNUMBER(SEARCH("VERDE",Inventario!B167)),"VR",
IF(ISNUMBER(SEARCH("MORADO",Inventario!B167)),"MR",
IF(ISNUMBER(SEARCH("PLATA",Inventario!B167)),"PL",
IF(ISNUMBER(SEARCH("ORO",Inventario!B167)),"OR",
IF(ISNUMBER(SEARCH("AMARILLO",Inventario!B167)),"AM",
IF(ISNUMBER(SEARCH("NARANJA",Inventario!B167)),"NR",
IF(ISNUMBER(SEARCH("NEGRO",Inventario!B167)),"NG",
IF(ISNUMBER(SEARCH("ROJO",Inventario!B167)),"RJ",
IF(ISNUMBER(SEARCH("AZUL",Inventario!B167)),"AZ","")))))))))))</f>
        <v>BL</v>
      </c>
      <c r="F168" t="str">
        <f>IF(ISNUMBER(SEARCH("1,2 MM",Inventario!B167)),"1MM2",
IF(OR(ISNUMBER(SEARCH("2 MM",Inventario!B167)),ISNUMBER(SEARCH("2MM",Inventario!B167))),"2MM",
IF(OR(ISNUMBER(SEARCH("3 MM",Inventario!B167)),ISNUMBER(SEARCH("3MM",Inventario!B167))),"3MM",
IF(OR(ISNUMBER(SEARCH("4 MM",Inventario!B167)),ISNUMBER(SEARCH("4MM",Inventario!B167)),ISNUMBER(SEARCH("4 mm",Inventario!B167))),"4MM",
IF(OR(ISNUMBER(SEARCH("5 MM",Inventario!B167)),ISNUMBER(SEARCH("5MM",Inventario!B167))),"5MM",
IF(OR(ISNUMBER(SEARCH("6 MM",Inventario!B167)),ISNUMBER(SEARCH("6MM",Inventario!B167))),"6MM",
IF(OR(ISNUMBER(SEARCH("10 MM",Inventario!B167)),ISNUMBER(SEARCH("10MM",Inventario!B167))),"10MM","")))))))</f>
        <v>3MM</v>
      </c>
      <c r="G168" t="str">
        <f>IF(ISNUMBER(SEARCH("ALTA RESISTENCIA",Inventario!B167)),"AR",IF(ISNUMBER(SEARCH("CAMPAÑA",Inventario!B167)),"CA",
IF(OR(ISNUMBER(SEARCH("CALIDO",Inventario!B167)),ISNUMBER(SEARCH("CÁLIDO",Inventario!B167))),"C",
IF(OR(ISNUMBER(SEARCH("TRASLUCIDO",Inventario!B167)),ISNUMBER(SEARCH("TRANSLUCIDO",Inventario!B167))),"TL",
IF(ISNUMBER(SEARCH("NEUTRO",Inventario!B167)),"N",
IF(ISNUMBER(SEARCH("FRIO",Inventario!B167)),"F",""))))))</f>
        <v/>
      </c>
      <c r="H168" t="str">
        <f>IF(ISNUMBER(SEARCH("SILED",Inventario!B167)),"SI",
IF(ISNUMBER(SEARCH("SYDEMEX",Inventario!B167)),"SY",
IF(ISNUMBER(SEARCH("ROHS",Inventario!B167)),"RO",
IF(ISNUMBER(SEARCH("RISHANG",Inventario!B167)),"RS",
IF(ISNUMBER(SEARCH("VYG",Inventario!B167)),"VYG",
IF(ISNUMBER(SEARCH("COLED",Inventario!B167)),"CO",""))))))</f>
        <v/>
      </c>
    </row>
    <row r="169" spans="1:8">
      <c r="A169" t="str">
        <f>IF(ISNUMBER(SEARCH("LONA",Inventario!B168)),"LON",
IF(ISNUMBER(SEARCH("VINIL",Inventario!B168)),"VIN",
IF(ISNUMBER(SEARCH("PANEL DE ALUMINIO COMPUESTO",Inventario!B168)),"PAN-ALU-COM",
IF(ISNUMBER(SEARCH("PVC",Inventario!B168)),"PVC",
IF(ISNUMBER(SEARCH("PAPEL",Inventario!B168)),"PAP",
IF(ISNUMBER(SEARCH("TELA",Inventario!B168)),"TEL",
IF(ISNUMBER(SEARCH("CARTULINA",Inventario!B168)),"CAR",
IF(OR(ISNUMBER(SEARCH("LAMINA",Inventario!B168)),ISNUMBER(SEARCH("LÁMINA",Inventario!B168))),"LAM",
IF(ISNUMBER(SEARCH("ESTIRENO",Inventario!B168)),"EST",
IF(ISNUMBER(SEARCH("FOAMBOARD",Inventario!B168)),"FOA",
IF(ISNUMBER(SEARCH("SOLVENTE",Inventario!B168)),"SOL",
IF(ISNUMBER(SEARCH("TINTA",Inventario!B168)),"TIN",
IF(ISNUMBER(SEARCH("ACRILICO",Inventario!B168)),"ACR",
IF(ISNUMBER(SEARCH("LED",Inventario!B168)),"LED",
IF(ISNUMBER(SEARCH("FUENTE",Inventario!B168)),"FUE",
IF(ISNUMBER(SEARCH("PETG",Inventario!B168)),"PET",
IF(ISNUMBER(SEARCH("ALUMINIO",Inventario!B168)),"ALU",
IF(ISNUMBER(SEARCH("CANAL",Inventario!B168)),"CAN",
IF(ISNUMBER(SEARCH("ESCUADRA",Inventario!B168)),"ESC",
IF(ISNUMBER(SEARCH("SOPORTE",Inventario!B168)),"SOP","OTR")
)))))))))))))))))))</f>
        <v>ACR</v>
      </c>
      <c r="B169" t="str">
        <f>IF(ISNUMBER(SEARCH("CORTE",Inventario!B168)),"COR",
IF(ISNUMBER(SEARCH("CRISTAL",Inventario!B168)),"CR",
IF(OR(ISNUMBER(SEARCH("OPTICO",Inventario!B168)),ISNUMBER(SEARCH("OPTICOS",Inventario!B168)),ISNUMBER(SEARCH("OPTICA",Inventario!B168))),"OP",
IF(ISNUMBER(SEARCH("NANO",Inventario!B168)),"NA",
IF(ISNUMBER(SEARCH("5050",Inventario!B168)),"5050",
IF(ISNUMBER(SEARCH("MICRO",Inventario!B168)),"MI",""))))))</f>
        <v/>
      </c>
      <c r="C169" t="str">
        <f>IF(ISNUMBER(SEARCH("PARED",Inventario!B168)),"PAR",IF(ISNUMBER(SEARCH("MATE",Inventario!B168)),"MAT",
IF(ISNUMBER(SEARCH("FRONT",Inventario!B168)),"FRO",
IF(ISNUMBER(SEARCH("BACK",Inventario!B168)),"BAC",
IF(ISNUMBER(SEARCH("MESH",Inventario!B168)),"MES",
IF(OR(ISNUMBER(SEARCH("BRILLANTE",Inventario!B168)),ISNUMBER(SEARCH("BTE",Inventario!B168))),"BRI",
IF(ISNUMBER(SEARCH("SINTETICA DELGADA",Inventario!B168)),"SD",
IF(ISNUMBER(SEARCH("SINTETICA GRUESA",Inventario!B168)),"SG",
IF(ISNUMBER(SEARCH("ESTATICO",Inventario!B168)),"EST",
IF(ISNUMBER(SEARCH("FLOOR",Inventario!B168)),"FLO",
IF(ISNUMBER(SEARCH("REFLECTIVO",Inventario!B168)),"REF",
IF(ISNUMBER(SEARCH("MICROPERFORADO",Inventario!B168)),"MI",
IF(ISNUMBER(SEARCH("CEPILLADO",Inventario!B168)),"CEP",
IF(ISNUMBER(SEARCH("ESPEJO",Inventario!B168)),"ESP",
IF(OR(ISNUMBER(SEARCH("UNIDIODO",Inventario!B168)),ISNUMBER(SEARCH("1 DIODO",Inventario!B168))),"1D",
IF(ISNUMBER(SEARCH("2 DIODOS",Inventario!B168)),"2D",
IF(ISNUMBER(SEARCH("3 DIODOS",Inventario!B168)),"3D","")))))))))))))))))</f>
        <v/>
      </c>
      <c r="D169" t="str">
        <f>IF(ISNUMBER(SEARCH("LX700",Inventario!B168)),"LX7",
IF(ISNUMBER(SEARCH("GRANDO",Inventario!B168)),"GRA",
IF(OR(ISNUMBER(SEARCH("CAMA PLANA",Inventario!B168)),ISNUMBER(SEARCH("FB700",Inventario!B168))),"CP",
IF(ISNUMBER(SEARCH("LX360",Inventario!B168)),"LX3",
IF(ISNUMBER(SEARCH("XEROX",Inventario!B168)),"XER",
IF(ISNUMBER(SEARCH("18 OZ",Inventario!B168)),"18OZ",
IF(ISNUMBER(SEARCH("15 OZ",Inventario!B168)),"15OZ",
IF(OR(ISNUMBER(SEARCH("13 OZ",Inventario!B168)),ISNUMBER(SEARCH("13 ONZAS",Inventario!B168))),"13OZ",
IF(OR(ISNUMBER(SEARCH("9 OZ",Inventario!B168)),ISNUMBER(SEARCH("9 ONZAS",Inventario!B168))),"09OZ","")))))))))</f>
        <v/>
      </c>
      <c r="E169" t="str">
        <f>IF(OR(ISNUMBER(SEARCH("TRANSPARENTE",Inventario!B168)),ISNUMBER(SEARCH("TRANSPARENTES",Inventario!B168))),"TR",
IF(OR(ISNUMBER(SEARCH("BLANCO",Inventario!B168)),ISNUMBER(SEARCH("BCO",Inventario!B168))),"BL",
IF(ISNUMBER(SEARCH("VERDE",Inventario!B168)),"VR",
IF(ISNUMBER(SEARCH("MORADO",Inventario!B168)),"MR",
IF(ISNUMBER(SEARCH("PLATA",Inventario!B168)),"PL",
IF(ISNUMBER(SEARCH("ORO",Inventario!B168)),"OR",
IF(ISNUMBER(SEARCH("AMARILLO",Inventario!B168)),"AM",
IF(ISNUMBER(SEARCH("NARANJA",Inventario!B168)),"NR",
IF(ISNUMBER(SEARCH("NEGRO",Inventario!B168)),"NG",
IF(ISNUMBER(SEARCH("ROJO",Inventario!B168)),"RJ",
IF(ISNUMBER(SEARCH("AZUL",Inventario!B168)),"AZ","")))))))))))</f>
        <v>BL</v>
      </c>
      <c r="F169" t="str">
        <f>IF(ISNUMBER(SEARCH("1,2 MM",Inventario!B168)),"1MM2",
IF(OR(ISNUMBER(SEARCH("2 MM",Inventario!B168)),ISNUMBER(SEARCH("2MM",Inventario!B168))),"2MM",
IF(OR(ISNUMBER(SEARCH("3 MM",Inventario!B168)),ISNUMBER(SEARCH("3MM",Inventario!B168))),"3MM",
IF(OR(ISNUMBER(SEARCH("4 MM",Inventario!B168)),ISNUMBER(SEARCH("4MM",Inventario!B168)),ISNUMBER(SEARCH("4 mm",Inventario!B168))),"4MM",
IF(OR(ISNUMBER(SEARCH("5 MM",Inventario!B168)),ISNUMBER(SEARCH("5MM",Inventario!B168))),"5MM",
IF(OR(ISNUMBER(SEARCH("6 MM",Inventario!B168)),ISNUMBER(SEARCH("6MM",Inventario!B168))),"6MM",
IF(OR(ISNUMBER(SEARCH("10 MM",Inventario!B168)),ISNUMBER(SEARCH("10MM",Inventario!B168))),"10MM","")))))))</f>
        <v>5MM</v>
      </c>
      <c r="G169" t="str">
        <f>IF(ISNUMBER(SEARCH("ALTA RESISTENCIA",Inventario!B168)),"AR",IF(ISNUMBER(SEARCH("CAMPAÑA",Inventario!B168)),"CA",
IF(OR(ISNUMBER(SEARCH("CALIDO",Inventario!B168)),ISNUMBER(SEARCH("CÁLIDO",Inventario!B168))),"C",
IF(OR(ISNUMBER(SEARCH("TRASLUCIDO",Inventario!B168)),ISNUMBER(SEARCH("TRANSLUCIDO",Inventario!B168))),"TL",
IF(ISNUMBER(SEARCH("NEUTRO",Inventario!B168)),"N",
IF(ISNUMBER(SEARCH("FRIO",Inventario!B168)),"F",""))))))</f>
        <v/>
      </c>
      <c r="H169" t="str">
        <f>IF(ISNUMBER(SEARCH("SILED",Inventario!B168)),"SI",
IF(ISNUMBER(SEARCH("SYDEMEX",Inventario!B168)),"SY",
IF(ISNUMBER(SEARCH("ROHS",Inventario!B168)),"RO",
IF(ISNUMBER(SEARCH("RISHANG",Inventario!B168)),"RS",
IF(ISNUMBER(SEARCH("VYG",Inventario!B168)),"VYG",
IF(ISNUMBER(SEARCH("COLED",Inventario!B168)),"CO",""))))))</f>
        <v/>
      </c>
    </row>
    <row r="170" spans="1:8">
      <c r="A170" t="str">
        <f>IF(ISNUMBER(SEARCH("LONA",Inventario!B169)),"LON",
IF(ISNUMBER(SEARCH("VINIL",Inventario!B169)),"VIN",
IF(ISNUMBER(SEARCH("PANEL DE ALUMINIO COMPUESTO",Inventario!B169)),"PAN-ALU-COM",
IF(ISNUMBER(SEARCH("PVC",Inventario!B169)),"PVC",
IF(ISNUMBER(SEARCH("PAPEL",Inventario!B169)),"PAP",
IF(ISNUMBER(SEARCH("TELA",Inventario!B169)),"TEL",
IF(ISNUMBER(SEARCH("CARTULINA",Inventario!B169)),"CAR",
IF(OR(ISNUMBER(SEARCH("LAMINA",Inventario!B169)),ISNUMBER(SEARCH("LÁMINA",Inventario!B169))),"LAM",
IF(ISNUMBER(SEARCH("ESTIRENO",Inventario!B169)),"EST",
IF(ISNUMBER(SEARCH("FOAMBOARD",Inventario!B169)),"FOA",
IF(ISNUMBER(SEARCH("SOLVENTE",Inventario!B169)),"SOL",
IF(ISNUMBER(SEARCH("TINTA",Inventario!B169)),"TIN",
IF(ISNUMBER(SEARCH("ACRILICO",Inventario!B169)),"ACR",
IF(ISNUMBER(SEARCH("LED",Inventario!B169)),"LED",
IF(ISNUMBER(SEARCH("FUENTE",Inventario!B169)),"FUE",
IF(ISNUMBER(SEARCH("PETG",Inventario!B169)),"PET",
IF(ISNUMBER(SEARCH("ALUMINIO",Inventario!B169)),"ALU",
IF(ISNUMBER(SEARCH("CANAL",Inventario!B169)),"CAN",
IF(ISNUMBER(SEARCH("ESCUADRA",Inventario!B169)),"ESC",
IF(ISNUMBER(SEARCH("SOPORTE",Inventario!B169)),"SOP","OTR")
)))))))))))))))))))</f>
        <v>ACR</v>
      </c>
      <c r="B170" t="str">
        <f>IF(ISNUMBER(SEARCH("CORTE",Inventario!B169)),"COR",
IF(ISNUMBER(SEARCH("CRISTAL",Inventario!B169)),"CR",
IF(OR(ISNUMBER(SEARCH("OPTICO",Inventario!B169)),ISNUMBER(SEARCH("OPTICOS",Inventario!B169)),ISNUMBER(SEARCH("OPTICA",Inventario!B169))),"OP",
IF(ISNUMBER(SEARCH("NANO",Inventario!B169)),"NA",
IF(ISNUMBER(SEARCH("5050",Inventario!B169)),"5050",
IF(ISNUMBER(SEARCH("MICRO",Inventario!B169)),"MI",""))))))</f>
        <v>CR</v>
      </c>
      <c r="C170" t="str">
        <f>IF(ISNUMBER(SEARCH("PARED",Inventario!B169)),"PAR",IF(ISNUMBER(SEARCH("MATE",Inventario!B169)),"MAT",
IF(ISNUMBER(SEARCH("FRONT",Inventario!B169)),"FRO",
IF(ISNUMBER(SEARCH("BACK",Inventario!B169)),"BAC",
IF(ISNUMBER(SEARCH("MESH",Inventario!B169)),"MES",
IF(OR(ISNUMBER(SEARCH("BRILLANTE",Inventario!B169)),ISNUMBER(SEARCH("BTE",Inventario!B169))),"BRI",
IF(ISNUMBER(SEARCH("SINTETICA DELGADA",Inventario!B169)),"SD",
IF(ISNUMBER(SEARCH("SINTETICA GRUESA",Inventario!B169)),"SG",
IF(ISNUMBER(SEARCH("ESTATICO",Inventario!B169)),"EST",
IF(ISNUMBER(SEARCH("FLOOR",Inventario!B169)),"FLO",
IF(ISNUMBER(SEARCH("REFLECTIVO",Inventario!B169)),"REF",
IF(ISNUMBER(SEARCH("MICROPERFORADO",Inventario!B169)),"MI",
IF(ISNUMBER(SEARCH("CEPILLADO",Inventario!B169)),"CEP",
IF(ISNUMBER(SEARCH("ESPEJO",Inventario!B169)),"ESP",
IF(OR(ISNUMBER(SEARCH("UNIDIODO",Inventario!B169)),ISNUMBER(SEARCH("1 DIODO",Inventario!B169))),"1D",
IF(ISNUMBER(SEARCH("2 DIODOS",Inventario!B169)),"2D",
IF(ISNUMBER(SEARCH("3 DIODOS",Inventario!B169)),"3D","")))))))))))))))))</f>
        <v/>
      </c>
      <c r="D170" t="str">
        <f>IF(ISNUMBER(SEARCH("LX700",Inventario!B169)),"LX7",
IF(ISNUMBER(SEARCH("GRANDO",Inventario!B169)),"GRA",
IF(OR(ISNUMBER(SEARCH("CAMA PLANA",Inventario!B169)),ISNUMBER(SEARCH("FB700",Inventario!B169))),"CP",
IF(ISNUMBER(SEARCH("LX360",Inventario!B169)),"LX3",
IF(ISNUMBER(SEARCH("XEROX",Inventario!B169)),"XER",
IF(ISNUMBER(SEARCH("18 OZ",Inventario!B169)),"18OZ",
IF(ISNUMBER(SEARCH("15 OZ",Inventario!B169)),"15OZ",
IF(OR(ISNUMBER(SEARCH("13 OZ",Inventario!B169)),ISNUMBER(SEARCH("13 ONZAS",Inventario!B169))),"13OZ",
IF(OR(ISNUMBER(SEARCH("9 OZ",Inventario!B169)),ISNUMBER(SEARCH("9 ONZAS",Inventario!B169))),"09OZ","")))))))))</f>
        <v/>
      </c>
      <c r="E170" t="str">
        <f>IF(OR(ISNUMBER(SEARCH("TRANSPARENTE",Inventario!B169)),ISNUMBER(SEARCH("TRANSPARENTES",Inventario!B169))),"TR",
IF(OR(ISNUMBER(SEARCH("BLANCO",Inventario!B169)),ISNUMBER(SEARCH("BCO",Inventario!B169))),"BL",
IF(ISNUMBER(SEARCH("VERDE",Inventario!B169)),"VR",
IF(ISNUMBER(SEARCH("MORADO",Inventario!B169)),"MR",
IF(ISNUMBER(SEARCH("PLATA",Inventario!B169)),"PL",
IF(ISNUMBER(SEARCH("ORO",Inventario!B169)),"OR",
IF(ISNUMBER(SEARCH("AMARILLO",Inventario!B169)),"AM",
IF(ISNUMBER(SEARCH("NARANJA",Inventario!B169)),"NR",
IF(ISNUMBER(SEARCH("NEGRO",Inventario!B169)),"NG",
IF(ISNUMBER(SEARCH("ROJO",Inventario!B169)),"RJ",
IF(ISNUMBER(SEARCH("AZUL",Inventario!B169)),"AZ","")))))))))))</f>
        <v/>
      </c>
      <c r="F170" t="str">
        <f>IF(ISNUMBER(SEARCH("1,2 MM",Inventario!B169)),"1MM2",
IF(OR(ISNUMBER(SEARCH("2 MM",Inventario!B169)),ISNUMBER(SEARCH("2MM",Inventario!B169))),"2MM",
IF(OR(ISNUMBER(SEARCH("3 MM",Inventario!B169)),ISNUMBER(SEARCH("3MM",Inventario!B169))),"3MM",
IF(OR(ISNUMBER(SEARCH("4 MM",Inventario!B169)),ISNUMBER(SEARCH("4MM",Inventario!B169)),ISNUMBER(SEARCH("4 mm",Inventario!B169))),"4MM",
IF(OR(ISNUMBER(SEARCH("5 MM",Inventario!B169)),ISNUMBER(SEARCH("5MM",Inventario!B169))),"5MM",
IF(OR(ISNUMBER(SEARCH("6 MM",Inventario!B169)),ISNUMBER(SEARCH("6MM",Inventario!B169))),"6MM",
IF(OR(ISNUMBER(SEARCH("10 MM",Inventario!B169)),ISNUMBER(SEARCH("10MM",Inventario!B169))),"10MM","")))))))</f>
        <v>6MM</v>
      </c>
      <c r="G170" t="str">
        <f>IF(ISNUMBER(SEARCH("ALTA RESISTENCIA",Inventario!B169)),"AR",IF(ISNUMBER(SEARCH("CAMPAÑA",Inventario!B169)),"CA",
IF(OR(ISNUMBER(SEARCH("CALIDO",Inventario!B169)),ISNUMBER(SEARCH("CÁLIDO",Inventario!B169))),"C",
IF(OR(ISNUMBER(SEARCH("TRASLUCIDO",Inventario!B169)),ISNUMBER(SEARCH("TRANSLUCIDO",Inventario!B169))),"TL",
IF(ISNUMBER(SEARCH("NEUTRO",Inventario!B169)),"N",
IF(ISNUMBER(SEARCH("FRIO",Inventario!B169)),"F",""))))))</f>
        <v/>
      </c>
      <c r="H170" t="str">
        <f>IF(ISNUMBER(SEARCH("SILED",Inventario!B169)),"SI",
IF(ISNUMBER(SEARCH("SYDEMEX",Inventario!B169)),"SY",
IF(ISNUMBER(SEARCH("ROHS",Inventario!B169)),"RO",
IF(ISNUMBER(SEARCH("RISHANG",Inventario!B169)),"RS",
IF(ISNUMBER(SEARCH("VYG",Inventario!B169)),"VYG",
IF(ISNUMBER(SEARCH("COLED",Inventario!B169)),"CO",""))))))</f>
        <v/>
      </c>
    </row>
    <row r="171" spans="1:8">
      <c r="A171" t="str">
        <f>IF(ISNUMBER(SEARCH("LONA",Inventario!B170)),"LON",
IF(ISNUMBER(SEARCH("VINIL",Inventario!B170)),"VIN",
IF(ISNUMBER(SEARCH("PANEL DE ALUMINIO COMPUESTO",Inventario!B170)),"PAN-ALU-COM",
IF(ISNUMBER(SEARCH("PVC",Inventario!B170)),"PVC",
IF(ISNUMBER(SEARCH("PAPEL",Inventario!B170)),"PAP",
IF(ISNUMBER(SEARCH("TELA",Inventario!B170)),"TEL",
IF(ISNUMBER(SEARCH("CARTULINA",Inventario!B170)),"CAR",
IF(OR(ISNUMBER(SEARCH("LAMINA",Inventario!B170)),ISNUMBER(SEARCH("LÁMINA",Inventario!B170))),"LAM",
IF(ISNUMBER(SEARCH("ESTIRENO",Inventario!B170)),"EST",
IF(ISNUMBER(SEARCH("FOAMBOARD",Inventario!B170)),"FOA",
IF(ISNUMBER(SEARCH("SOLVENTE",Inventario!B170)),"SOL",
IF(ISNUMBER(SEARCH("TINTA",Inventario!B170)),"TIN",
IF(ISNUMBER(SEARCH("ACRILICO",Inventario!B170)),"ACR",
IF(ISNUMBER(SEARCH("LED",Inventario!B170)),"LED",
IF(ISNUMBER(SEARCH("FUENTE",Inventario!B170)),"FUE",
IF(ISNUMBER(SEARCH("PETG",Inventario!B170)),"PET",
IF(ISNUMBER(SEARCH("ALUMINIO",Inventario!B170)),"ALU",
IF(ISNUMBER(SEARCH("CANAL",Inventario!B170)),"CAN",
IF(ISNUMBER(SEARCH("ESCUADRA",Inventario!B170)),"ESC",
IF(ISNUMBER(SEARCH("SOPORTE",Inventario!B170)),"SOP","OTR")
)))))))))))))))))))</f>
        <v>ACR</v>
      </c>
      <c r="B171" t="str">
        <f>IF(ISNUMBER(SEARCH("CORTE",Inventario!B170)),"COR",
IF(ISNUMBER(SEARCH("CRISTAL",Inventario!B170)),"CR",
IF(OR(ISNUMBER(SEARCH("OPTICO",Inventario!B170)),ISNUMBER(SEARCH("OPTICOS",Inventario!B170)),ISNUMBER(SEARCH("OPTICA",Inventario!B170))),"OP",
IF(ISNUMBER(SEARCH("NANO",Inventario!B170)),"NA",
IF(ISNUMBER(SEARCH("5050",Inventario!B170)),"5050",
IF(ISNUMBER(SEARCH("MICRO",Inventario!B170)),"MI",""))))))</f>
        <v>CR</v>
      </c>
      <c r="C171" t="str">
        <f>IF(ISNUMBER(SEARCH("PARED",Inventario!B170)),"PAR",IF(ISNUMBER(SEARCH("MATE",Inventario!B170)),"MAT",
IF(ISNUMBER(SEARCH("FRONT",Inventario!B170)),"FRO",
IF(ISNUMBER(SEARCH("BACK",Inventario!B170)),"BAC",
IF(ISNUMBER(SEARCH("MESH",Inventario!B170)),"MES",
IF(OR(ISNUMBER(SEARCH("BRILLANTE",Inventario!B170)),ISNUMBER(SEARCH("BTE",Inventario!B170))),"BRI",
IF(ISNUMBER(SEARCH("SINTETICA DELGADA",Inventario!B170)),"SD",
IF(ISNUMBER(SEARCH("SINTETICA GRUESA",Inventario!B170)),"SG",
IF(ISNUMBER(SEARCH("ESTATICO",Inventario!B170)),"EST",
IF(ISNUMBER(SEARCH("FLOOR",Inventario!B170)),"FLO",
IF(ISNUMBER(SEARCH("REFLECTIVO",Inventario!B170)),"REF",
IF(ISNUMBER(SEARCH("MICROPERFORADO",Inventario!B170)),"MI",
IF(ISNUMBER(SEARCH("CEPILLADO",Inventario!B170)),"CEP",
IF(ISNUMBER(SEARCH("ESPEJO",Inventario!B170)),"ESP",
IF(OR(ISNUMBER(SEARCH("UNIDIODO",Inventario!B170)),ISNUMBER(SEARCH("1 DIODO",Inventario!B170))),"1D",
IF(ISNUMBER(SEARCH("2 DIODOS",Inventario!B170)),"2D",
IF(ISNUMBER(SEARCH("3 DIODOS",Inventario!B170)),"3D","")))))))))))))))))</f>
        <v/>
      </c>
      <c r="D171" t="str">
        <f>IF(ISNUMBER(SEARCH("LX700",Inventario!B170)),"LX7",
IF(ISNUMBER(SEARCH("GRANDO",Inventario!B170)),"GRA",
IF(OR(ISNUMBER(SEARCH("CAMA PLANA",Inventario!B170)),ISNUMBER(SEARCH("FB700",Inventario!B170))),"CP",
IF(ISNUMBER(SEARCH("LX360",Inventario!B170)),"LX3",
IF(ISNUMBER(SEARCH("XEROX",Inventario!B170)),"XER",
IF(ISNUMBER(SEARCH("18 OZ",Inventario!B170)),"18OZ",
IF(ISNUMBER(SEARCH("15 OZ",Inventario!B170)),"15OZ",
IF(OR(ISNUMBER(SEARCH("13 OZ",Inventario!B170)),ISNUMBER(SEARCH("13 ONZAS",Inventario!B170))),"13OZ",
IF(OR(ISNUMBER(SEARCH("9 OZ",Inventario!B170)),ISNUMBER(SEARCH("9 ONZAS",Inventario!B170))),"09OZ","")))))))))</f>
        <v/>
      </c>
      <c r="E171" t="str">
        <f>IF(OR(ISNUMBER(SEARCH("TRANSPARENTE",Inventario!B170)),ISNUMBER(SEARCH("TRANSPARENTES",Inventario!B170))),"TR",
IF(OR(ISNUMBER(SEARCH("BLANCO",Inventario!B170)),ISNUMBER(SEARCH("BCO",Inventario!B170))),"BL",
IF(ISNUMBER(SEARCH("VERDE",Inventario!B170)),"VR",
IF(ISNUMBER(SEARCH("MORADO",Inventario!B170)),"MR",
IF(ISNUMBER(SEARCH("PLATA",Inventario!B170)),"PL",
IF(ISNUMBER(SEARCH("ORO",Inventario!B170)),"OR",
IF(ISNUMBER(SEARCH("AMARILLO",Inventario!B170)),"AM",
IF(ISNUMBER(SEARCH("NARANJA",Inventario!B170)),"NR",
IF(ISNUMBER(SEARCH("NEGRO",Inventario!B170)),"NG",
IF(ISNUMBER(SEARCH("ROJO",Inventario!B170)),"RJ",
IF(ISNUMBER(SEARCH("AZUL",Inventario!B170)),"AZ","")))))))))))</f>
        <v/>
      </c>
      <c r="F171" t="str">
        <f>IF(ISNUMBER(SEARCH("1,2 MM",Inventario!B170)),"1MM2",
IF(OR(ISNUMBER(SEARCH("2 MM",Inventario!B170)),ISNUMBER(SEARCH("2MM",Inventario!B170))),"2MM",
IF(OR(ISNUMBER(SEARCH("3 MM",Inventario!B170)),ISNUMBER(SEARCH("3MM",Inventario!B170))),"3MM",
IF(OR(ISNUMBER(SEARCH("4 MM",Inventario!B170)),ISNUMBER(SEARCH("4MM",Inventario!B170)),ISNUMBER(SEARCH("4 mm",Inventario!B170))),"4MM",
IF(OR(ISNUMBER(SEARCH("5 MM",Inventario!B170)),ISNUMBER(SEARCH("5MM",Inventario!B170))),"5MM",
IF(OR(ISNUMBER(SEARCH("6 MM",Inventario!B170)),ISNUMBER(SEARCH("6MM",Inventario!B170))),"6MM",
IF(OR(ISNUMBER(SEARCH("10 MM",Inventario!B170)),ISNUMBER(SEARCH("10MM",Inventario!B170))),"10MM","")))))))</f>
        <v>3MM</v>
      </c>
      <c r="G171" t="str">
        <f>IF(ISNUMBER(SEARCH("ALTA RESISTENCIA",Inventario!B170)),"AR",IF(ISNUMBER(SEARCH("CAMPAÑA",Inventario!B170)),"CA",
IF(OR(ISNUMBER(SEARCH("CALIDO",Inventario!B170)),ISNUMBER(SEARCH("CÁLIDO",Inventario!B170))),"C",
IF(OR(ISNUMBER(SEARCH("TRASLUCIDO",Inventario!B170)),ISNUMBER(SEARCH("TRANSLUCIDO",Inventario!B170))),"TL",
IF(ISNUMBER(SEARCH("NEUTRO",Inventario!B170)),"N",
IF(ISNUMBER(SEARCH("FRIO",Inventario!B170)),"F",""))))))</f>
        <v/>
      </c>
      <c r="H171" t="str">
        <f>IF(ISNUMBER(SEARCH("SILED",Inventario!B170)),"SI",
IF(ISNUMBER(SEARCH("SYDEMEX",Inventario!B170)),"SY",
IF(ISNUMBER(SEARCH("ROHS",Inventario!B170)),"RO",
IF(ISNUMBER(SEARCH("RISHANG",Inventario!B170)),"RS",
IF(ISNUMBER(SEARCH("VYG",Inventario!B170)),"VYG",
IF(ISNUMBER(SEARCH("COLED",Inventario!B170)),"CO",""))))))</f>
        <v/>
      </c>
    </row>
    <row r="172" spans="1:8">
      <c r="A172" t="str">
        <f>IF(ISNUMBER(SEARCH("LONA",Inventario!B171)),"LON",
IF(ISNUMBER(SEARCH("VINIL",Inventario!B171)),"VIN",
IF(ISNUMBER(SEARCH("PANEL DE ALUMINIO COMPUESTO",Inventario!B171)),"PAN-ALU-COM",
IF(ISNUMBER(SEARCH("PVC",Inventario!B171)),"PVC",
IF(ISNUMBER(SEARCH("PAPEL",Inventario!B171)),"PAP",
IF(ISNUMBER(SEARCH("TELA",Inventario!B171)),"TEL",
IF(ISNUMBER(SEARCH("CARTULINA",Inventario!B171)),"CAR",
IF(OR(ISNUMBER(SEARCH("LAMINA",Inventario!B171)),ISNUMBER(SEARCH("LÁMINA",Inventario!B171))),"LAM",
IF(ISNUMBER(SEARCH("ESTIRENO",Inventario!B171)),"EST",
IF(ISNUMBER(SEARCH("FOAMBOARD",Inventario!B171)),"FOA",
IF(ISNUMBER(SEARCH("SOLVENTE",Inventario!B171)),"SOL",
IF(ISNUMBER(SEARCH("TINTA",Inventario!B171)),"TIN",
IF(ISNUMBER(SEARCH("ACRILICO",Inventario!B171)),"ACR",
IF(ISNUMBER(SEARCH("LED",Inventario!B171)),"LED",
IF(ISNUMBER(SEARCH("FUENTE",Inventario!B171)),"FUE",
IF(ISNUMBER(SEARCH("PETG",Inventario!B171)),"PET",
IF(ISNUMBER(SEARCH("ALUMINIO",Inventario!B171)),"ALU",
IF(ISNUMBER(SEARCH("CANAL",Inventario!B171)),"CAN",
IF(ISNUMBER(SEARCH("ESCUADRA",Inventario!B171)),"ESC",
IF(ISNUMBER(SEARCH("SOPORTE",Inventario!B171)),"SOP","OTR")
)))))))))))))))))))</f>
        <v>ACR</v>
      </c>
      <c r="B172" t="str">
        <f>IF(ISNUMBER(SEARCH("CORTE",Inventario!B171)),"COR",
IF(ISNUMBER(SEARCH("CRISTAL",Inventario!B171)),"CR",
IF(OR(ISNUMBER(SEARCH("OPTICO",Inventario!B171)),ISNUMBER(SEARCH("OPTICOS",Inventario!B171)),ISNUMBER(SEARCH("OPTICA",Inventario!B171))),"OP",
IF(ISNUMBER(SEARCH("NANO",Inventario!B171)),"NA",
IF(ISNUMBER(SEARCH("5050",Inventario!B171)),"5050",
IF(ISNUMBER(SEARCH("MICRO",Inventario!B171)),"MI",""))))))</f>
        <v>CR</v>
      </c>
      <c r="C172" t="str">
        <f>IF(ISNUMBER(SEARCH("PARED",Inventario!B171)),"PAR",IF(ISNUMBER(SEARCH("MATE",Inventario!B171)),"MAT",
IF(ISNUMBER(SEARCH("FRONT",Inventario!B171)),"FRO",
IF(ISNUMBER(SEARCH("BACK",Inventario!B171)),"BAC",
IF(ISNUMBER(SEARCH("MESH",Inventario!B171)),"MES",
IF(OR(ISNUMBER(SEARCH("BRILLANTE",Inventario!B171)),ISNUMBER(SEARCH("BTE",Inventario!B171))),"BRI",
IF(ISNUMBER(SEARCH("SINTETICA DELGADA",Inventario!B171)),"SD",
IF(ISNUMBER(SEARCH("SINTETICA GRUESA",Inventario!B171)),"SG",
IF(ISNUMBER(SEARCH("ESTATICO",Inventario!B171)),"EST",
IF(ISNUMBER(SEARCH("FLOOR",Inventario!B171)),"FLO",
IF(ISNUMBER(SEARCH("REFLECTIVO",Inventario!B171)),"REF",
IF(ISNUMBER(SEARCH("MICROPERFORADO",Inventario!B171)),"MI",
IF(ISNUMBER(SEARCH("CEPILLADO",Inventario!B171)),"CEP",
IF(ISNUMBER(SEARCH("ESPEJO",Inventario!B171)),"ESP",
IF(OR(ISNUMBER(SEARCH("UNIDIODO",Inventario!B171)),ISNUMBER(SEARCH("1 DIODO",Inventario!B171))),"1D",
IF(ISNUMBER(SEARCH("2 DIODOS",Inventario!B171)),"2D",
IF(ISNUMBER(SEARCH("3 DIODOS",Inventario!B171)),"3D","")))))))))))))))))</f>
        <v/>
      </c>
      <c r="D172" t="str">
        <f>IF(ISNUMBER(SEARCH("LX700",Inventario!B171)),"LX7",
IF(ISNUMBER(SEARCH("GRANDO",Inventario!B171)),"GRA",
IF(OR(ISNUMBER(SEARCH("CAMA PLANA",Inventario!B171)),ISNUMBER(SEARCH("FB700",Inventario!B171))),"CP",
IF(ISNUMBER(SEARCH("LX360",Inventario!B171)),"LX3",
IF(ISNUMBER(SEARCH("XEROX",Inventario!B171)),"XER",
IF(ISNUMBER(SEARCH("18 OZ",Inventario!B171)),"18OZ",
IF(ISNUMBER(SEARCH("15 OZ",Inventario!B171)),"15OZ",
IF(OR(ISNUMBER(SEARCH("13 OZ",Inventario!B171)),ISNUMBER(SEARCH("13 ONZAS",Inventario!B171))),"13OZ",
IF(OR(ISNUMBER(SEARCH("9 OZ",Inventario!B171)),ISNUMBER(SEARCH("9 ONZAS",Inventario!B171))),"09OZ","")))))))))</f>
        <v/>
      </c>
      <c r="E172" t="str">
        <f>IF(OR(ISNUMBER(SEARCH("TRANSPARENTE",Inventario!B171)),ISNUMBER(SEARCH("TRANSPARENTES",Inventario!B171))),"TR",
IF(OR(ISNUMBER(SEARCH("BLANCO",Inventario!B171)),ISNUMBER(SEARCH("BCO",Inventario!B171))),"BL",
IF(ISNUMBER(SEARCH("VERDE",Inventario!B171)),"VR",
IF(ISNUMBER(SEARCH("MORADO",Inventario!B171)),"MR",
IF(ISNUMBER(SEARCH("PLATA",Inventario!B171)),"PL",
IF(ISNUMBER(SEARCH("ORO",Inventario!B171)),"OR",
IF(ISNUMBER(SEARCH("AMARILLO",Inventario!B171)),"AM",
IF(ISNUMBER(SEARCH("NARANJA",Inventario!B171)),"NR",
IF(ISNUMBER(SEARCH("NEGRO",Inventario!B171)),"NG",
IF(ISNUMBER(SEARCH("ROJO",Inventario!B171)),"RJ",
IF(ISNUMBER(SEARCH("AZUL",Inventario!B171)),"AZ","")))))))))))</f>
        <v/>
      </c>
      <c r="F172" t="str">
        <f>IF(ISNUMBER(SEARCH("1,2 MM",Inventario!B171)),"1MM2",
IF(OR(ISNUMBER(SEARCH("2 MM",Inventario!B171)),ISNUMBER(SEARCH("2MM",Inventario!B171))),"2MM",
IF(OR(ISNUMBER(SEARCH("3 MM",Inventario!B171)),ISNUMBER(SEARCH("3MM",Inventario!B171))),"3MM",
IF(OR(ISNUMBER(SEARCH("4 MM",Inventario!B171)),ISNUMBER(SEARCH("4MM",Inventario!B171)),ISNUMBER(SEARCH("4 mm",Inventario!B171))),"4MM",
IF(OR(ISNUMBER(SEARCH("5 MM",Inventario!B171)),ISNUMBER(SEARCH("5MM",Inventario!B171))),"5MM",
IF(OR(ISNUMBER(SEARCH("6 MM",Inventario!B171)),ISNUMBER(SEARCH("6MM",Inventario!B171))),"6MM",
IF(OR(ISNUMBER(SEARCH("10 MM",Inventario!B171)),ISNUMBER(SEARCH("10MM",Inventario!B171))),"10MM","")))))))</f>
        <v>4MM</v>
      </c>
      <c r="G172" t="str">
        <f>IF(ISNUMBER(SEARCH("ALTA RESISTENCIA",Inventario!B171)),"AR",IF(ISNUMBER(SEARCH("CAMPAÑA",Inventario!B171)),"CA",
IF(OR(ISNUMBER(SEARCH("CALIDO",Inventario!B171)),ISNUMBER(SEARCH("CÁLIDO",Inventario!B171))),"C",
IF(OR(ISNUMBER(SEARCH("TRASLUCIDO",Inventario!B171)),ISNUMBER(SEARCH("TRANSLUCIDO",Inventario!B171))),"TL",
IF(ISNUMBER(SEARCH("NEUTRO",Inventario!B171)),"N",
IF(ISNUMBER(SEARCH("FRIO",Inventario!B171)),"F",""))))))</f>
        <v/>
      </c>
      <c r="H172" t="str">
        <f>IF(ISNUMBER(SEARCH("SILED",Inventario!B171)),"SI",
IF(ISNUMBER(SEARCH("SYDEMEX",Inventario!B171)),"SY",
IF(ISNUMBER(SEARCH("ROHS",Inventario!B171)),"RO",
IF(ISNUMBER(SEARCH("RISHANG",Inventario!B171)),"RS",
IF(ISNUMBER(SEARCH("VYG",Inventario!B171)),"VYG",
IF(ISNUMBER(SEARCH("COLED",Inventario!B171)),"CO",""))))))</f>
        <v/>
      </c>
    </row>
    <row r="173" spans="1:8">
      <c r="A173" t="str">
        <f>IF(ISNUMBER(SEARCH("LONA",Inventario!B172)),"LON",
IF(ISNUMBER(SEARCH("VINIL",Inventario!B172)),"VIN",
IF(ISNUMBER(SEARCH("PANEL DE ALUMINIO COMPUESTO",Inventario!B172)),"PAN-ALU-COM",
IF(ISNUMBER(SEARCH("PVC",Inventario!B172)),"PVC",
IF(ISNUMBER(SEARCH("PAPEL",Inventario!B172)),"PAP",
IF(ISNUMBER(SEARCH("TELA",Inventario!B172)),"TEL",
IF(ISNUMBER(SEARCH("CARTULINA",Inventario!B172)),"CAR",
IF(OR(ISNUMBER(SEARCH("LAMINA",Inventario!B172)),ISNUMBER(SEARCH("LÁMINA",Inventario!B172))),"LAM",
IF(ISNUMBER(SEARCH("ESTIRENO",Inventario!B172)),"EST",
IF(ISNUMBER(SEARCH("FOAMBOARD",Inventario!B172)),"FOA",
IF(ISNUMBER(SEARCH("SOLVENTE",Inventario!B172)),"SOL",
IF(ISNUMBER(SEARCH("TINTA",Inventario!B172)),"TIN",
IF(ISNUMBER(SEARCH("ACRILICO",Inventario!B172)),"ACR",
IF(ISNUMBER(SEARCH("LED",Inventario!B172)),"LED",
IF(ISNUMBER(SEARCH("FUENTE",Inventario!B172)),"FUE",
IF(ISNUMBER(SEARCH("PETG",Inventario!B172)),"PET",
IF(ISNUMBER(SEARCH("ALUMINIO",Inventario!B172)),"ALU",
IF(ISNUMBER(SEARCH("CANAL",Inventario!B172)),"CAN",
IF(ISNUMBER(SEARCH("ESCUADRA",Inventario!B172)),"ESC",
IF(ISNUMBER(SEARCH("SOPORTE",Inventario!B172)),"SOP","OTR")
)))))))))))))))))))</f>
        <v>ACR</v>
      </c>
      <c r="B173" t="str">
        <f>IF(ISNUMBER(SEARCH("CORTE",Inventario!B172)),"COR",
IF(ISNUMBER(SEARCH("CRISTAL",Inventario!B172)),"CR",
IF(OR(ISNUMBER(SEARCH("OPTICO",Inventario!B172)),ISNUMBER(SEARCH("OPTICOS",Inventario!B172)),ISNUMBER(SEARCH("OPTICA",Inventario!B172))),"OP",
IF(ISNUMBER(SEARCH("NANO",Inventario!B172)),"NA",
IF(ISNUMBER(SEARCH("5050",Inventario!B172)),"5050",
IF(ISNUMBER(SEARCH("MICRO",Inventario!B172)),"MI",""))))))</f>
        <v>CR</v>
      </c>
      <c r="C173" t="str">
        <f>IF(ISNUMBER(SEARCH("PARED",Inventario!B172)),"PAR",IF(ISNUMBER(SEARCH("MATE",Inventario!B172)),"MAT",
IF(ISNUMBER(SEARCH("FRONT",Inventario!B172)),"FRO",
IF(ISNUMBER(SEARCH("BACK",Inventario!B172)),"BAC",
IF(ISNUMBER(SEARCH("MESH",Inventario!B172)),"MES",
IF(OR(ISNUMBER(SEARCH("BRILLANTE",Inventario!B172)),ISNUMBER(SEARCH("BTE",Inventario!B172))),"BRI",
IF(ISNUMBER(SEARCH("SINTETICA DELGADA",Inventario!B172)),"SD",
IF(ISNUMBER(SEARCH("SINTETICA GRUESA",Inventario!B172)),"SG",
IF(ISNUMBER(SEARCH("ESTATICO",Inventario!B172)),"EST",
IF(ISNUMBER(SEARCH("FLOOR",Inventario!B172)),"FLO",
IF(ISNUMBER(SEARCH("REFLECTIVO",Inventario!B172)),"REF",
IF(ISNUMBER(SEARCH("MICROPERFORADO",Inventario!B172)),"MI",
IF(ISNUMBER(SEARCH("CEPILLADO",Inventario!B172)),"CEP",
IF(ISNUMBER(SEARCH("ESPEJO",Inventario!B172)),"ESP",
IF(OR(ISNUMBER(SEARCH("UNIDIODO",Inventario!B172)),ISNUMBER(SEARCH("1 DIODO",Inventario!B172))),"1D",
IF(ISNUMBER(SEARCH("2 DIODOS",Inventario!B172)),"2D",
IF(ISNUMBER(SEARCH("3 DIODOS",Inventario!B172)),"3D","")))))))))))))))))</f>
        <v/>
      </c>
      <c r="D173" t="str">
        <f>IF(ISNUMBER(SEARCH("LX700",Inventario!B172)),"LX7",
IF(ISNUMBER(SEARCH("GRANDO",Inventario!B172)),"GRA",
IF(OR(ISNUMBER(SEARCH("CAMA PLANA",Inventario!B172)),ISNUMBER(SEARCH("FB700",Inventario!B172))),"CP",
IF(ISNUMBER(SEARCH("LX360",Inventario!B172)),"LX3",
IF(ISNUMBER(SEARCH("XEROX",Inventario!B172)),"XER",
IF(ISNUMBER(SEARCH("18 OZ",Inventario!B172)),"18OZ",
IF(ISNUMBER(SEARCH("15 OZ",Inventario!B172)),"15OZ",
IF(OR(ISNUMBER(SEARCH("13 OZ",Inventario!B172)),ISNUMBER(SEARCH("13 ONZAS",Inventario!B172))),"13OZ",
IF(OR(ISNUMBER(SEARCH("9 OZ",Inventario!B172)),ISNUMBER(SEARCH("9 ONZAS",Inventario!B172))),"09OZ","")))))))))</f>
        <v/>
      </c>
      <c r="E173" t="str">
        <f>IF(OR(ISNUMBER(SEARCH("TRANSPARENTE",Inventario!B172)),ISNUMBER(SEARCH("TRANSPARENTES",Inventario!B172))),"TR",
IF(OR(ISNUMBER(SEARCH("BLANCO",Inventario!B172)),ISNUMBER(SEARCH("BCO",Inventario!B172))),"BL",
IF(ISNUMBER(SEARCH("VERDE",Inventario!B172)),"VR",
IF(ISNUMBER(SEARCH("MORADO",Inventario!B172)),"MR",
IF(ISNUMBER(SEARCH("PLATA",Inventario!B172)),"PL",
IF(ISNUMBER(SEARCH("ORO",Inventario!B172)),"OR",
IF(ISNUMBER(SEARCH("AMARILLO",Inventario!B172)),"AM",
IF(ISNUMBER(SEARCH("NARANJA",Inventario!B172)),"NR",
IF(ISNUMBER(SEARCH("NEGRO",Inventario!B172)),"NG",
IF(ISNUMBER(SEARCH("ROJO",Inventario!B172)),"RJ",
IF(ISNUMBER(SEARCH("AZUL",Inventario!B172)),"AZ","")))))))))))</f>
        <v/>
      </c>
      <c r="F173" t="str">
        <f>IF(ISNUMBER(SEARCH("1,2 MM",Inventario!B172)),"1MM2",
IF(OR(ISNUMBER(SEARCH("2 MM",Inventario!B172)),ISNUMBER(SEARCH("2MM",Inventario!B172))),"2MM",
IF(OR(ISNUMBER(SEARCH("3 MM",Inventario!B172)),ISNUMBER(SEARCH("3MM",Inventario!B172))),"3MM",
IF(OR(ISNUMBER(SEARCH("4 MM",Inventario!B172)),ISNUMBER(SEARCH("4MM",Inventario!B172)),ISNUMBER(SEARCH("4 mm",Inventario!B172))),"4MM",
IF(OR(ISNUMBER(SEARCH("5 MM",Inventario!B172)),ISNUMBER(SEARCH("5MM",Inventario!B172))),"5MM",
IF(OR(ISNUMBER(SEARCH("6 MM",Inventario!B172)),ISNUMBER(SEARCH("6MM",Inventario!B172))),"6MM",
IF(OR(ISNUMBER(SEARCH("10 MM",Inventario!B172)),ISNUMBER(SEARCH("10MM",Inventario!B172))),"10MM","")))))))</f>
        <v>5MM</v>
      </c>
      <c r="G173" t="str">
        <f>IF(ISNUMBER(SEARCH("ALTA RESISTENCIA",Inventario!B172)),"AR",IF(ISNUMBER(SEARCH("CAMPAÑA",Inventario!B172)),"CA",
IF(OR(ISNUMBER(SEARCH("CALIDO",Inventario!B172)),ISNUMBER(SEARCH("CÁLIDO",Inventario!B172))),"C",
IF(OR(ISNUMBER(SEARCH("TRASLUCIDO",Inventario!B172)),ISNUMBER(SEARCH("TRANSLUCIDO",Inventario!B172))),"TL",
IF(ISNUMBER(SEARCH("NEUTRO",Inventario!B172)),"N",
IF(ISNUMBER(SEARCH("FRIO",Inventario!B172)),"F",""))))))</f>
        <v/>
      </c>
      <c r="H173" t="str">
        <f>IF(ISNUMBER(SEARCH("SILED",Inventario!B172)),"SI",
IF(ISNUMBER(SEARCH("SYDEMEX",Inventario!B172)),"SY",
IF(ISNUMBER(SEARCH("ROHS",Inventario!B172)),"RO",
IF(ISNUMBER(SEARCH("RISHANG",Inventario!B172)),"RS",
IF(ISNUMBER(SEARCH("VYG",Inventario!B172)),"VYG",
IF(ISNUMBER(SEARCH("COLED",Inventario!B172)),"CO",""))))))</f>
        <v/>
      </c>
    </row>
    <row r="174" spans="1:8">
      <c r="A174" t="str">
        <f>IF(ISNUMBER(SEARCH("LONA",Inventario!B173)),"LON",
IF(ISNUMBER(SEARCH("VINIL",Inventario!B173)),"VIN",
IF(ISNUMBER(SEARCH("PANEL DE ALUMINIO COMPUESTO",Inventario!B173)),"PAN-ALU-COM",
IF(ISNUMBER(SEARCH("PVC",Inventario!B173)),"PVC",
IF(ISNUMBER(SEARCH("PAPEL",Inventario!B173)),"PAP",
IF(ISNUMBER(SEARCH("TELA",Inventario!B173)),"TEL",
IF(ISNUMBER(SEARCH("CARTULINA",Inventario!B173)),"CAR",
IF(OR(ISNUMBER(SEARCH("LAMINA",Inventario!B173)),ISNUMBER(SEARCH("LÁMINA",Inventario!B173))),"LAM",
IF(ISNUMBER(SEARCH("ESTIRENO",Inventario!B173)),"EST",
IF(ISNUMBER(SEARCH("FOAMBOARD",Inventario!B173)),"FOA",
IF(ISNUMBER(SEARCH("SOLVENTE",Inventario!B173)),"SOL",
IF(ISNUMBER(SEARCH("TINTA",Inventario!B173)),"TIN",
IF(ISNUMBER(SEARCH("ACRILICO",Inventario!B173)),"ACR",
IF(ISNUMBER(SEARCH("LED",Inventario!B173)),"LED",
IF(ISNUMBER(SEARCH("FUENTE",Inventario!B173)),"FUE",
IF(ISNUMBER(SEARCH("PETG",Inventario!B173)),"PET",
IF(ISNUMBER(SEARCH("ALUMINIO",Inventario!B173)),"ALU",
IF(ISNUMBER(SEARCH("CANAL",Inventario!B173)),"CAN",
IF(ISNUMBER(SEARCH("ESCUADRA",Inventario!B173)),"ESC",
IF(ISNUMBER(SEARCH("SOPORTE",Inventario!B173)),"SOP","OTR")
)))))))))))))))))))</f>
        <v>ACR</v>
      </c>
      <c r="B174" t="str">
        <f>IF(ISNUMBER(SEARCH("CORTE",Inventario!B173)),"COR",
IF(ISNUMBER(SEARCH("CRISTAL",Inventario!B173)),"CR",
IF(OR(ISNUMBER(SEARCH("OPTICO",Inventario!B173)),ISNUMBER(SEARCH("OPTICOS",Inventario!B173)),ISNUMBER(SEARCH("OPTICA",Inventario!B173))),"OP",
IF(ISNUMBER(SEARCH("NANO",Inventario!B173)),"NA",
IF(ISNUMBER(SEARCH("5050",Inventario!B173)),"5050",
IF(ISNUMBER(SEARCH("MICRO",Inventario!B173)),"MI",""))))))</f>
        <v>CR</v>
      </c>
      <c r="C174" t="str">
        <f>IF(ISNUMBER(SEARCH("PARED",Inventario!B173)),"PAR",IF(ISNUMBER(SEARCH("MATE",Inventario!B173)),"MAT",
IF(ISNUMBER(SEARCH("FRONT",Inventario!B173)),"FRO",
IF(ISNUMBER(SEARCH("BACK",Inventario!B173)),"BAC",
IF(ISNUMBER(SEARCH("MESH",Inventario!B173)),"MES",
IF(OR(ISNUMBER(SEARCH("BRILLANTE",Inventario!B173)),ISNUMBER(SEARCH("BTE",Inventario!B173))),"BRI",
IF(ISNUMBER(SEARCH("SINTETICA DELGADA",Inventario!B173)),"SD",
IF(ISNUMBER(SEARCH("SINTETICA GRUESA",Inventario!B173)),"SG",
IF(ISNUMBER(SEARCH("ESTATICO",Inventario!B173)),"EST",
IF(ISNUMBER(SEARCH("FLOOR",Inventario!B173)),"FLO",
IF(ISNUMBER(SEARCH("REFLECTIVO",Inventario!B173)),"REF",
IF(ISNUMBER(SEARCH("MICROPERFORADO",Inventario!B173)),"MI",
IF(ISNUMBER(SEARCH("CEPILLADO",Inventario!B173)),"CEP",
IF(ISNUMBER(SEARCH("ESPEJO",Inventario!B173)),"ESP",
IF(OR(ISNUMBER(SEARCH("UNIDIODO",Inventario!B173)),ISNUMBER(SEARCH("1 DIODO",Inventario!B173))),"1D",
IF(ISNUMBER(SEARCH("2 DIODOS",Inventario!B173)),"2D",
IF(ISNUMBER(SEARCH("3 DIODOS",Inventario!B173)),"3D","")))))))))))))))))</f>
        <v/>
      </c>
      <c r="D174" t="str">
        <f>IF(ISNUMBER(SEARCH("LX700",Inventario!B173)),"LX7",
IF(ISNUMBER(SEARCH("GRANDO",Inventario!B173)),"GRA",
IF(OR(ISNUMBER(SEARCH("CAMA PLANA",Inventario!B173)),ISNUMBER(SEARCH("FB700",Inventario!B173))),"CP",
IF(ISNUMBER(SEARCH("LX360",Inventario!B173)),"LX3",
IF(ISNUMBER(SEARCH("XEROX",Inventario!B173)),"XER",
IF(ISNUMBER(SEARCH("18 OZ",Inventario!B173)),"18OZ",
IF(ISNUMBER(SEARCH("15 OZ",Inventario!B173)),"15OZ",
IF(OR(ISNUMBER(SEARCH("13 OZ",Inventario!B173)),ISNUMBER(SEARCH("13 ONZAS",Inventario!B173))),"13OZ",
IF(OR(ISNUMBER(SEARCH("9 OZ",Inventario!B173)),ISNUMBER(SEARCH("9 ONZAS",Inventario!B173))),"09OZ","")))))))))</f>
        <v/>
      </c>
      <c r="E174" t="str">
        <f>IF(OR(ISNUMBER(SEARCH("TRANSPARENTE",Inventario!B173)),ISNUMBER(SEARCH("TRANSPARENTES",Inventario!B173))),"TR",
IF(OR(ISNUMBER(SEARCH("BLANCO",Inventario!B173)),ISNUMBER(SEARCH("BCO",Inventario!B173))),"BL",
IF(ISNUMBER(SEARCH("VERDE",Inventario!B173)),"VR",
IF(ISNUMBER(SEARCH("MORADO",Inventario!B173)),"MR",
IF(ISNUMBER(SEARCH("PLATA",Inventario!B173)),"PL",
IF(ISNUMBER(SEARCH("ORO",Inventario!B173)),"OR",
IF(ISNUMBER(SEARCH("AMARILLO",Inventario!B173)),"AM",
IF(ISNUMBER(SEARCH("NARANJA",Inventario!B173)),"NR",
IF(ISNUMBER(SEARCH("NEGRO",Inventario!B173)),"NG",
IF(ISNUMBER(SEARCH("ROJO",Inventario!B173)),"RJ",
IF(ISNUMBER(SEARCH("AZUL",Inventario!B173)),"AZ","")))))))))))</f>
        <v/>
      </c>
      <c r="F174" t="str">
        <f>IF(ISNUMBER(SEARCH("1,2 MM",Inventario!B173)),"1MM2",
IF(OR(ISNUMBER(SEARCH("2 MM",Inventario!B173)),ISNUMBER(SEARCH("2MM",Inventario!B173))),"2MM",
IF(OR(ISNUMBER(SEARCH("3 MM",Inventario!B173)),ISNUMBER(SEARCH("3MM",Inventario!B173))),"3MM",
IF(OR(ISNUMBER(SEARCH("4 MM",Inventario!B173)),ISNUMBER(SEARCH("4MM",Inventario!B173)),ISNUMBER(SEARCH("4 mm",Inventario!B173))),"4MM",
IF(OR(ISNUMBER(SEARCH("5 MM",Inventario!B173)),ISNUMBER(SEARCH("5MM",Inventario!B173))),"5MM",
IF(OR(ISNUMBER(SEARCH("6 MM",Inventario!B173)),ISNUMBER(SEARCH("6MM",Inventario!B173))),"6MM",
IF(OR(ISNUMBER(SEARCH("10 MM",Inventario!B173)),ISNUMBER(SEARCH("10MM",Inventario!B173))),"10MM","")))))))</f>
        <v>2MM</v>
      </c>
      <c r="G174" t="str">
        <f>IF(ISNUMBER(SEARCH("ALTA RESISTENCIA",Inventario!B173)),"AR",IF(ISNUMBER(SEARCH("CAMPAÑA",Inventario!B173)),"CA",
IF(OR(ISNUMBER(SEARCH("CALIDO",Inventario!B173)),ISNUMBER(SEARCH("CÁLIDO",Inventario!B173))),"C",
IF(OR(ISNUMBER(SEARCH("TRASLUCIDO",Inventario!B173)),ISNUMBER(SEARCH("TRANSLUCIDO",Inventario!B173))),"TL",
IF(ISNUMBER(SEARCH("NEUTRO",Inventario!B173)),"N",
IF(ISNUMBER(SEARCH("FRIO",Inventario!B173)),"F",""))))))</f>
        <v/>
      </c>
      <c r="H174" t="str">
        <f>IF(ISNUMBER(SEARCH("SILED",Inventario!B173)),"SI",
IF(ISNUMBER(SEARCH("SYDEMEX",Inventario!B173)),"SY",
IF(ISNUMBER(SEARCH("ROHS",Inventario!B173)),"RO",
IF(ISNUMBER(SEARCH("RISHANG",Inventario!B173)),"RS",
IF(ISNUMBER(SEARCH("VYG",Inventario!B173)),"VYG",
IF(ISNUMBER(SEARCH("COLED",Inventario!B173)),"CO",""))))))</f>
        <v/>
      </c>
    </row>
    <row r="175" spans="1:8">
      <c r="A175" t="str">
        <f>IF(ISNUMBER(SEARCH("LONA",Inventario!B174)),"LON",
IF(ISNUMBER(SEARCH("VINIL",Inventario!B174)),"VIN",
IF(ISNUMBER(SEARCH("PANEL DE ALUMINIO COMPUESTO",Inventario!B174)),"PAN-ALU-COM",
IF(ISNUMBER(SEARCH("PVC",Inventario!B174)),"PVC",
IF(ISNUMBER(SEARCH("PAPEL",Inventario!B174)),"PAP",
IF(ISNUMBER(SEARCH("TELA",Inventario!B174)),"TEL",
IF(ISNUMBER(SEARCH("CARTULINA",Inventario!B174)),"CAR",
IF(OR(ISNUMBER(SEARCH("LAMINA",Inventario!B174)),ISNUMBER(SEARCH("LÁMINA",Inventario!B174))),"LAM",
IF(ISNUMBER(SEARCH("ESTIRENO",Inventario!B174)),"EST",
IF(ISNUMBER(SEARCH("FOAMBOARD",Inventario!B174)),"FOA",
IF(ISNUMBER(SEARCH("SOLVENTE",Inventario!B174)),"SOL",
IF(ISNUMBER(SEARCH("TINTA",Inventario!B174)),"TIN",
IF(ISNUMBER(SEARCH("ACRILICO",Inventario!B174)),"ACR",
IF(ISNUMBER(SEARCH("LED",Inventario!B174)),"LED",
IF(ISNUMBER(SEARCH("FUENTE",Inventario!B174)),"FUE",
IF(ISNUMBER(SEARCH("PETG",Inventario!B174)),"PET",
IF(ISNUMBER(SEARCH("ALUMINIO",Inventario!B174)),"ALU",
IF(ISNUMBER(SEARCH("CANAL",Inventario!B174)),"CAN",
IF(ISNUMBER(SEARCH("ESCUADRA",Inventario!B174)),"ESC",
IF(ISNUMBER(SEARCH("SOPORTE",Inventario!B174)),"SOP","OTR")
)))))))))))))))))))</f>
        <v>ACR</v>
      </c>
      <c r="B175" t="str">
        <f>IF(ISNUMBER(SEARCH("CORTE",Inventario!B174)),"COR",
IF(ISNUMBER(SEARCH("CRISTAL",Inventario!B174)),"CR",
IF(OR(ISNUMBER(SEARCH("OPTICO",Inventario!B174)),ISNUMBER(SEARCH("OPTICOS",Inventario!B174)),ISNUMBER(SEARCH("OPTICA",Inventario!B174))),"OP",
IF(ISNUMBER(SEARCH("NANO",Inventario!B174)),"NA",
IF(ISNUMBER(SEARCH("5050",Inventario!B174)),"5050",
IF(ISNUMBER(SEARCH("MICRO",Inventario!B174)),"MI",""))))))</f>
        <v/>
      </c>
      <c r="C175" t="str">
        <f>IF(ISNUMBER(SEARCH("PARED",Inventario!B174)),"PAR",IF(ISNUMBER(SEARCH("MATE",Inventario!B174)),"MAT",
IF(ISNUMBER(SEARCH("FRONT",Inventario!B174)),"FRO",
IF(ISNUMBER(SEARCH("BACK",Inventario!B174)),"BAC",
IF(ISNUMBER(SEARCH("MESH",Inventario!B174)),"MES",
IF(OR(ISNUMBER(SEARCH("BRILLANTE",Inventario!B174)),ISNUMBER(SEARCH("BTE",Inventario!B174))),"BRI",
IF(ISNUMBER(SEARCH("SINTETICA DELGADA",Inventario!B174)),"SD",
IF(ISNUMBER(SEARCH("SINTETICA GRUESA",Inventario!B174)),"SG",
IF(ISNUMBER(SEARCH("ESTATICO",Inventario!B174)),"EST",
IF(ISNUMBER(SEARCH("FLOOR",Inventario!B174)),"FLO",
IF(ISNUMBER(SEARCH("REFLECTIVO",Inventario!B174)),"REF",
IF(ISNUMBER(SEARCH("MICROPERFORADO",Inventario!B174)),"MI",
IF(ISNUMBER(SEARCH("CEPILLADO",Inventario!B174)),"CEP",
IF(ISNUMBER(SEARCH("ESPEJO",Inventario!B174)),"ESP",
IF(OR(ISNUMBER(SEARCH("UNIDIODO",Inventario!B174)),ISNUMBER(SEARCH("1 DIODO",Inventario!B174))),"1D",
IF(ISNUMBER(SEARCH("2 DIODOS",Inventario!B174)),"2D",
IF(ISNUMBER(SEARCH("3 DIODOS",Inventario!B174)),"3D","")))))))))))))))))</f>
        <v/>
      </c>
      <c r="D175" t="str">
        <f>IF(ISNUMBER(SEARCH("LX700",Inventario!B174)),"LX7",
IF(ISNUMBER(SEARCH("GRANDO",Inventario!B174)),"GRA",
IF(OR(ISNUMBER(SEARCH("CAMA PLANA",Inventario!B174)),ISNUMBER(SEARCH("FB700",Inventario!B174))),"CP",
IF(ISNUMBER(SEARCH("LX360",Inventario!B174)),"LX3",
IF(ISNUMBER(SEARCH("XEROX",Inventario!B174)),"XER",
IF(ISNUMBER(SEARCH("18 OZ",Inventario!B174)),"18OZ",
IF(ISNUMBER(SEARCH("15 OZ",Inventario!B174)),"15OZ",
IF(OR(ISNUMBER(SEARCH("13 OZ",Inventario!B174)),ISNUMBER(SEARCH("13 ONZAS",Inventario!B174))),"13OZ",
IF(OR(ISNUMBER(SEARCH("9 OZ",Inventario!B174)),ISNUMBER(SEARCH("9 ONZAS",Inventario!B174))),"09OZ","")))))))))</f>
        <v/>
      </c>
      <c r="E175" t="str">
        <f>IF(OR(ISNUMBER(SEARCH("TRANSPARENTE",Inventario!B174)),ISNUMBER(SEARCH("TRANSPARENTES",Inventario!B174))),"TR",
IF(OR(ISNUMBER(SEARCH("BLANCO",Inventario!B174)),ISNUMBER(SEARCH("BCO",Inventario!B174))),"BL",
IF(ISNUMBER(SEARCH("VERDE",Inventario!B174)),"VR",
IF(ISNUMBER(SEARCH("MORADO",Inventario!B174)),"MR",
IF(ISNUMBER(SEARCH("PLATA",Inventario!B174)),"PL",
IF(ISNUMBER(SEARCH("ORO",Inventario!B174)),"OR",
IF(ISNUMBER(SEARCH("AMARILLO",Inventario!B174)),"AM",
IF(ISNUMBER(SEARCH("NARANJA",Inventario!B174)),"NR",
IF(ISNUMBER(SEARCH("NEGRO",Inventario!B174)),"NG",
IF(ISNUMBER(SEARCH("ROJO",Inventario!B174)),"RJ",
IF(ISNUMBER(SEARCH("AZUL",Inventario!B174)),"AZ","")))))))))))</f>
        <v>RJ</v>
      </c>
      <c r="F175" t="str">
        <f>IF(ISNUMBER(SEARCH("1,2 MM",Inventario!B174)),"1MM2",
IF(OR(ISNUMBER(SEARCH("2 MM",Inventario!B174)),ISNUMBER(SEARCH("2MM",Inventario!B174))),"2MM",
IF(OR(ISNUMBER(SEARCH("3 MM",Inventario!B174)),ISNUMBER(SEARCH("3MM",Inventario!B174))),"3MM",
IF(OR(ISNUMBER(SEARCH("4 MM",Inventario!B174)),ISNUMBER(SEARCH("4MM",Inventario!B174)),ISNUMBER(SEARCH("4 mm",Inventario!B174))),"4MM",
IF(OR(ISNUMBER(SEARCH("5 MM",Inventario!B174)),ISNUMBER(SEARCH("5MM",Inventario!B174))),"5MM",
IF(OR(ISNUMBER(SEARCH("6 MM",Inventario!B174)),ISNUMBER(SEARCH("6MM",Inventario!B174))),"6MM",
IF(OR(ISNUMBER(SEARCH("10 MM",Inventario!B174)),ISNUMBER(SEARCH("10MM",Inventario!B174))),"10MM","")))))))</f>
        <v>3MM</v>
      </c>
      <c r="G175" t="str">
        <f>IF(ISNUMBER(SEARCH("ALTA RESISTENCIA",Inventario!B174)),"AR",IF(ISNUMBER(SEARCH("CAMPAÑA",Inventario!B174)),"CA",
IF(OR(ISNUMBER(SEARCH("CALIDO",Inventario!B174)),ISNUMBER(SEARCH("CÁLIDO",Inventario!B174))),"C",
IF(OR(ISNUMBER(SEARCH("TRASLUCIDO",Inventario!B174)),ISNUMBER(SEARCH("TRANSLUCIDO",Inventario!B174))),"TL",
IF(ISNUMBER(SEARCH("NEUTRO",Inventario!B174)),"N",
IF(ISNUMBER(SEARCH("FRIO",Inventario!B174)),"F",""))))))</f>
        <v/>
      </c>
      <c r="H175" t="str">
        <f>IF(ISNUMBER(SEARCH("SILED",Inventario!B174)),"SI",
IF(ISNUMBER(SEARCH("SYDEMEX",Inventario!B174)),"SY",
IF(ISNUMBER(SEARCH("ROHS",Inventario!B174)),"RO",
IF(ISNUMBER(SEARCH("RISHANG",Inventario!B174)),"RS",
IF(ISNUMBER(SEARCH("VYG",Inventario!B174)),"VYG",
IF(ISNUMBER(SEARCH("COLED",Inventario!B174)),"CO",""))))))</f>
        <v/>
      </c>
    </row>
    <row r="176" spans="1:8">
      <c r="A176" t="str">
        <f>IF(ISNUMBER(SEARCH("LONA",Inventario!B175)),"LON",
IF(ISNUMBER(SEARCH("VINIL",Inventario!B175)),"VIN",
IF(ISNUMBER(SEARCH("PANEL DE ALUMINIO COMPUESTO",Inventario!B175)),"PAN-ALU-COM",
IF(ISNUMBER(SEARCH("PVC",Inventario!B175)),"PVC",
IF(ISNUMBER(SEARCH("PAPEL",Inventario!B175)),"PAP",
IF(ISNUMBER(SEARCH("TELA",Inventario!B175)),"TEL",
IF(ISNUMBER(SEARCH("CARTULINA",Inventario!B175)),"CAR",
IF(OR(ISNUMBER(SEARCH("LAMINA",Inventario!B175)),ISNUMBER(SEARCH("LÁMINA",Inventario!B175))),"LAM",
IF(ISNUMBER(SEARCH("ESTIRENO",Inventario!B175)),"EST",
IF(ISNUMBER(SEARCH("FOAMBOARD",Inventario!B175)),"FOA",
IF(ISNUMBER(SEARCH("SOLVENTE",Inventario!B175)),"SOL",
IF(ISNUMBER(SEARCH("TINTA",Inventario!B175)),"TIN",
IF(ISNUMBER(SEARCH("ACRILICO",Inventario!B175)),"ACR",
IF(ISNUMBER(SEARCH("LED",Inventario!B175)),"LED",
IF(ISNUMBER(SEARCH("FUENTE",Inventario!B175)),"FUE",
IF(ISNUMBER(SEARCH("PETG",Inventario!B175)),"PET",
IF(ISNUMBER(SEARCH("ALUMINIO",Inventario!B175)),"ALU",
IF(ISNUMBER(SEARCH("CANAL",Inventario!B175)),"CAN",
IF(ISNUMBER(SEARCH("ESCUADRA",Inventario!B175)),"ESC",
IF(ISNUMBER(SEARCH("SOPORTE",Inventario!B175)),"SOP","OTR")
)))))))))))))))))))</f>
        <v>ACR</v>
      </c>
      <c r="B176" t="str">
        <f>IF(ISNUMBER(SEARCH("CORTE",Inventario!B175)),"COR",
IF(ISNUMBER(SEARCH("CRISTAL",Inventario!B175)),"CR",
IF(OR(ISNUMBER(SEARCH("OPTICO",Inventario!B175)),ISNUMBER(SEARCH("OPTICOS",Inventario!B175)),ISNUMBER(SEARCH("OPTICA",Inventario!B175))),"OP",
IF(ISNUMBER(SEARCH("NANO",Inventario!B175)),"NA",
IF(ISNUMBER(SEARCH("5050",Inventario!B175)),"5050",
IF(ISNUMBER(SEARCH("MICRO",Inventario!B175)),"MI",""))))))</f>
        <v/>
      </c>
      <c r="C176" t="str">
        <f>IF(ISNUMBER(SEARCH("PARED",Inventario!B175)),"PAR",IF(ISNUMBER(SEARCH("MATE",Inventario!B175)),"MAT",
IF(ISNUMBER(SEARCH("FRONT",Inventario!B175)),"FRO",
IF(ISNUMBER(SEARCH("BACK",Inventario!B175)),"BAC",
IF(ISNUMBER(SEARCH("MESH",Inventario!B175)),"MES",
IF(OR(ISNUMBER(SEARCH("BRILLANTE",Inventario!B175)),ISNUMBER(SEARCH("BTE",Inventario!B175))),"BRI",
IF(ISNUMBER(SEARCH("SINTETICA DELGADA",Inventario!B175)),"SD",
IF(ISNUMBER(SEARCH("SINTETICA GRUESA",Inventario!B175)),"SG",
IF(ISNUMBER(SEARCH("ESTATICO",Inventario!B175)),"EST",
IF(ISNUMBER(SEARCH("FLOOR",Inventario!B175)),"FLO",
IF(ISNUMBER(SEARCH("REFLECTIVO",Inventario!B175)),"REF",
IF(ISNUMBER(SEARCH("MICROPERFORADO",Inventario!B175)),"MI",
IF(ISNUMBER(SEARCH("CEPILLADO",Inventario!B175)),"CEP",
IF(ISNUMBER(SEARCH("ESPEJO",Inventario!B175)),"ESP",
IF(OR(ISNUMBER(SEARCH("UNIDIODO",Inventario!B175)),ISNUMBER(SEARCH("1 DIODO",Inventario!B175))),"1D",
IF(ISNUMBER(SEARCH("2 DIODOS",Inventario!B175)),"2D",
IF(ISNUMBER(SEARCH("3 DIODOS",Inventario!B175)),"3D","")))))))))))))))))</f>
        <v/>
      </c>
      <c r="D176" t="str">
        <f>IF(ISNUMBER(SEARCH("LX700",Inventario!B175)),"LX7",
IF(ISNUMBER(SEARCH("GRANDO",Inventario!B175)),"GRA",
IF(OR(ISNUMBER(SEARCH("CAMA PLANA",Inventario!B175)),ISNUMBER(SEARCH("FB700",Inventario!B175))),"CP",
IF(ISNUMBER(SEARCH("LX360",Inventario!B175)),"LX3",
IF(ISNUMBER(SEARCH("XEROX",Inventario!B175)),"XER",
IF(ISNUMBER(SEARCH("18 OZ",Inventario!B175)),"18OZ",
IF(ISNUMBER(SEARCH("15 OZ",Inventario!B175)),"15OZ",
IF(OR(ISNUMBER(SEARCH("13 OZ",Inventario!B175)),ISNUMBER(SEARCH("13 ONZAS",Inventario!B175))),"13OZ",
IF(OR(ISNUMBER(SEARCH("9 OZ",Inventario!B175)),ISNUMBER(SEARCH("9 ONZAS",Inventario!B175))),"09OZ","")))))))))</f>
        <v/>
      </c>
      <c r="E176" t="str">
        <f>IF(OR(ISNUMBER(SEARCH("TRANSPARENTE",Inventario!B175)),ISNUMBER(SEARCH("TRANSPARENTES",Inventario!B175))),"TR",
IF(OR(ISNUMBER(SEARCH("BLANCO",Inventario!B175)),ISNUMBER(SEARCH("BCO",Inventario!B175))),"BL",
IF(ISNUMBER(SEARCH("VERDE",Inventario!B175)),"VR",
IF(ISNUMBER(SEARCH("MORADO",Inventario!B175)),"MR",
IF(ISNUMBER(SEARCH("PLATA",Inventario!B175)),"PL",
IF(ISNUMBER(SEARCH("ORO",Inventario!B175)),"OR",
IF(ISNUMBER(SEARCH("AMARILLO",Inventario!B175)),"AM",
IF(ISNUMBER(SEARCH("NARANJA",Inventario!B175)),"NR",
IF(ISNUMBER(SEARCH("NEGRO",Inventario!B175)),"NG",
IF(ISNUMBER(SEARCH("ROJO",Inventario!B175)),"RJ",
IF(ISNUMBER(SEARCH("AZUL",Inventario!B175)),"AZ","")))))))))))</f>
        <v>NR</v>
      </c>
      <c r="F176" t="str">
        <f>IF(ISNUMBER(SEARCH("1,2 MM",Inventario!B175)),"1MM2",
IF(OR(ISNUMBER(SEARCH("2 MM",Inventario!B175)),ISNUMBER(SEARCH("2MM",Inventario!B175))),"2MM",
IF(OR(ISNUMBER(SEARCH("3 MM",Inventario!B175)),ISNUMBER(SEARCH("3MM",Inventario!B175))),"3MM",
IF(OR(ISNUMBER(SEARCH("4 MM",Inventario!B175)),ISNUMBER(SEARCH("4MM",Inventario!B175)),ISNUMBER(SEARCH("4 mm",Inventario!B175))),"4MM",
IF(OR(ISNUMBER(SEARCH("5 MM",Inventario!B175)),ISNUMBER(SEARCH("5MM",Inventario!B175))),"5MM",
IF(OR(ISNUMBER(SEARCH("6 MM",Inventario!B175)),ISNUMBER(SEARCH("6MM",Inventario!B175))),"6MM",
IF(OR(ISNUMBER(SEARCH("10 MM",Inventario!B175)),ISNUMBER(SEARCH("10MM",Inventario!B175))),"10MM","")))))))</f>
        <v>3MM</v>
      </c>
      <c r="G176" t="str">
        <f>IF(ISNUMBER(SEARCH("ALTA RESISTENCIA",Inventario!B175)),"AR",IF(ISNUMBER(SEARCH("CAMPAÑA",Inventario!B175)),"CA",
IF(OR(ISNUMBER(SEARCH("CALIDO",Inventario!B175)),ISNUMBER(SEARCH("CÁLIDO",Inventario!B175))),"C",
IF(OR(ISNUMBER(SEARCH("TRASLUCIDO",Inventario!B175)),ISNUMBER(SEARCH("TRANSLUCIDO",Inventario!B175))),"TL",
IF(ISNUMBER(SEARCH("NEUTRO",Inventario!B175)),"N",
IF(ISNUMBER(SEARCH("FRIO",Inventario!B175)),"F",""))))))</f>
        <v/>
      </c>
      <c r="H176" t="str">
        <f>IF(ISNUMBER(SEARCH("SILED",Inventario!B175)),"SI",
IF(ISNUMBER(SEARCH("SYDEMEX",Inventario!B175)),"SY",
IF(ISNUMBER(SEARCH("ROHS",Inventario!B175)),"RO",
IF(ISNUMBER(SEARCH("RISHANG",Inventario!B175)),"RS",
IF(ISNUMBER(SEARCH("VYG",Inventario!B175)),"VYG",
IF(ISNUMBER(SEARCH("COLED",Inventario!B175)),"CO",""))))))</f>
        <v/>
      </c>
    </row>
    <row r="177" spans="1:8">
      <c r="A177" t="str">
        <f>IF(ISNUMBER(SEARCH("LONA",Inventario!B176)),"LON",
IF(ISNUMBER(SEARCH("VINIL",Inventario!B176)),"VIN",
IF(ISNUMBER(SEARCH("PANEL DE ALUMINIO COMPUESTO",Inventario!B176)),"PAN-ALU-COM",
IF(ISNUMBER(SEARCH("PVC",Inventario!B176)),"PVC",
IF(ISNUMBER(SEARCH("PAPEL",Inventario!B176)),"PAP",
IF(ISNUMBER(SEARCH("TELA",Inventario!B176)),"TEL",
IF(ISNUMBER(SEARCH("CARTULINA",Inventario!B176)),"CAR",
IF(OR(ISNUMBER(SEARCH("LAMINA",Inventario!B176)),ISNUMBER(SEARCH("LÁMINA",Inventario!B176))),"LAM",
IF(ISNUMBER(SEARCH("ESTIRENO",Inventario!B176)),"EST",
IF(ISNUMBER(SEARCH("FOAMBOARD",Inventario!B176)),"FOA",
IF(ISNUMBER(SEARCH("SOLVENTE",Inventario!B176)),"SOL",
IF(ISNUMBER(SEARCH("TINTA",Inventario!B176)),"TIN",
IF(ISNUMBER(SEARCH("ACRILICO",Inventario!B176)),"ACR",
IF(ISNUMBER(SEARCH("LED",Inventario!B176)),"LED",
IF(ISNUMBER(SEARCH("FUENTE",Inventario!B176)),"FUE",
IF(ISNUMBER(SEARCH("PETG",Inventario!B176)),"PET",
IF(ISNUMBER(SEARCH("ALUMINIO",Inventario!B176)),"ALU",
IF(ISNUMBER(SEARCH("CANAL",Inventario!B176)),"CAN",
IF(ISNUMBER(SEARCH("ESCUADRA",Inventario!B176)),"ESC",
IF(ISNUMBER(SEARCH("SOPORTE",Inventario!B176)),"SOP","OTR")
)))))))))))))))))))</f>
        <v>ACR</v>
      </c>
      <c r="B177" t="str">
        <f>IF(ISNUMBER(SEARCH("CORTE",Inventario!B176)),"COR",
IF(ISNUMBER(SEARCH("CRISTAL",Inventario!B176)),"CR",
IF(OR(ISNUMBER(SEARCH("OPTICO",Inventario!B176)),ISNUMBER(SEARCH("OPTICOS",Inventario!B176)),ISNUMBER(SEARCH("OPTICA",Inventario!B176))),"OP",
IF(ISNUMBER(SEARCH("NANO",Inventario!B176)),"NA",
IF(ISNUMBER(SEARCH("5050",Inventario!B176)),"5050",
IF(ISNUMBER(SEARCH("MICRO",Inventario!B176)),"MI",""))))))</f>
        <v/>
      </c>
      <c r="C177" t="str">
        <f>IF(ISNUMBER(SEARCH("PARED",Inventario!B176)),"PAR",IF(ISNUMBER(SEARCH("MATE",Inventario!B176)),"MAT",
IF(ISNUMBER(SEARCH("FRONT",Inventario!B176)),"FRO",
IF(ISNUMBER(SEARCH("BACK",Inventario!B176)),"BAC",
IF(ISNUMBER(SEARCH("MESH",Inventario!B176)),"MES",
IF(OR(ISNUMBER(SEARCH("BRILLANTE",Inventario!B176)),ISNUMBER(SEARCH("BTE",Inventario!B176))),"BRI",
IF(ISNUMBER(SEARCH("SINTETICA DELGADA",Inventario!B176)),"SD",
IF(ISNUMBER(SEARCH("SINTETICA GRUESA",Inventario!B176)),"SG",
IF(ISNUMBER(SEARCH("ESTATICO",Inventario!B176)),"EST",
IF(ISNUMBER(SEARCH("FLOOR",Inventario!B176)),"FLO",
IF(ISNUMBER(SEARCH("REFLECTIVO",Inventario!B176)),"REF",
IF(ISNUMBER(SEARCH("MICROPERFORADO",Inventario!B176)),"MI",
IF(ISNUMBER(SEARCH("CEPILLADO",Inventario!B176)),"CEP",
IF(ISNUMBER(SEARCH("ESPEJO",Inventario!B176)),"ESP",
IF(OR(ISNUMBER(SEARCH("UNIDIODO",Inventario!B176)),ISNUMBER(SEARCH("1 DIODO",Inventario!B176))),"1D",
IF(ISNUMBER(SEARCH("2 DIODOS",Inventario!B176)),"2D",
IF(ISNUMBER(SEARCH("3 DIODOS",Inventario!B176)),"3D","")))))))))))))))))</f>
        <v/>
      </c>
      <c r="D177" t="str">
        <f>IF(ISNUMBER(SEARCH("LX700",Inventario!B176)),"LX7",
IF(ISNUMBER(SEARCH("GRANDO",Inventario!B176)),"GRA",
IF(OR(ISNUMBER(SEARCH("CAMA PLANA",Inventario!B176)),ISNUMBER(SEARCH("FB700",Inventario!B176))),"CP",
IF(ISNUMBER(SEARCH("LX360",Inventario!B176)),"LX3",
IF(ISNUMBER(SEARCH("XEROX",Inventario!B176)),"XER",
IF(ISNUMBER(SEARCH("18 OZ",Inventario!B176)),"18OZ",
IF(ISNUMBER(SEARCH("15 OZ",Inventario!B176)),"15OZ",
IF(OR(ISNUMBER(SEARCH("13 OZ",Inventario!B176)),ISNUMBER(SEARCH("13 ONZAS",Inventario!B176))),"13OZ",
IF(OR(ISNUMBER(SEARCH("9 OZ",Inventario!B176)),ISNUMBER(SEARCH("9 ONZAS",Inventario!B176))),"09OZ","")))))))))</f>
        <v/>
      </c>
      <c r="E177" t="str">
        <f>IF(OR(ISNUMBER(SEARCH("TRANSPARENTE",Inventario!B176)),ISNUMBER(SEARCH("TRANSPARENTES",Inventario!B176))),"TR",
IF(OR(ISNUMBER(SEARCH("BLANCO",Inventario!B176)),ISNUMBER(SEARCH("BCO",Inventario!B176))),"BL",
IF(ISNUMBER(SEARCH("VERDE",Inventario!B176)),"VR",
IF(ISNUMBER(SEARCH("MORADO",Inventario!B176)),"MR",
IF(ISNUMBER(SEARCH("PLATA",Inventario!B176)),"PL",
IF(ISNUMBER(SEARCH("ORO",Inventario!B176)),"OR",
IF(ISNUMBER(SEARCH("AMARILLO",Inventario!B176)),"AM",
IF(ISNUMBER(SEARCH("NARANJA",Inventario!B176)),"NR",
IF(ISNUMBER(SEARCH("NEGRO",Inventario!B176)),"NG",
IF(ISNUMBER(SEARCH("ROJO",Inventario!B176)),"RJ",
IF(ISNUMBER(SEARCH("AZUL",Inventario!B176)),"AZ","")))))))))))</f>
        <v>RJ</v>
      </c>
      <c r="F177" t="str">
        <f>IF(ISNUMBER(SEARCH("1,2 MM",Inventario!B176)),"1MM2",
IF(OR(ISNUMBER(SEARCH("2 MM",Inventario!B176)),ISNUMBER(SEARCH("2MM",Inventario!B176))),"2MM",
IF(OR(ISNUMBER(SEARCH("3 MM",Inventario!B176)),ISNUMBER(SEARCH("3MM",Inventario!B176))),"3MM",
IF(OR(ISNUMBER(SEARCH("4 MM",Inventario!B176)),ISNUMBER(SEARCH("4MM",Inventario!B176)),ISNUMBER(SEARCH("4 mm",Inventario!B176))),"4MM",
IF(OR(ISNUMBER(SEARCH("5 MM",Inventario!B176)),ISNUMBER(SEARCH("5MM",Inventario!B176))),"5MM",
IF(OR(ISNUMBER(SEARCH("6 MM",Inventario!B176)),ISNUMBER(SEARCH("6MM",Inventario!B176))),"6MM",
IF(OR(ISNUMBER(SEARCH("10 MM",Inventario!B176)),ISNUMBER(SEARCH("10MM",Inventario!B176))),"10MM","")))))))</f>
        <v>5MM</v>
      </c>
      <c r="G177" t="str">
        <f>IF(ISNUMBER(SEARCH("ALTA RESISTENCIA",Inventario!B176)),"AR",IF(ISNUMBER(SEARCH("CAMPAÑA",Inventario!B176)),"CA",
IF(OR(ISNUMBER(SEARCH("CALIDO",Inventario!B176)),ISNUMBER(SEARCH("CÁLIDO",Inventario!B176))),"C",
IF(OR(ISNUMBER(SEARCH("TRASLUCIDO",Inventario!B176)),ISNUMBER(SEARCH("TRANSLUCIDO",Inventario!B176))),"TL",
IF(ISNUMBER(SEARCH("NEUTRO",Inventario!B176)),"N",
IF(ISNUMBER(SEARCH("FRIO",Inventario!B176)),"F",""))))))</f>
        <v/>
      </c>
      <c r="H177" t="str">
        <f>IF(ISNUMBER(SEARCH("SILED",Inventario!B176)),"SI",
IF(ISNUMBER(SEARCH("SYDEMEX",Inventario!B176)),"SY",
IF(ISNUMBER(SEARCH("ROHS",Inventario!B176)),"RO",
IF(ISNUMBER(SEARCH("RISHANG",Inventario!B176)),"RS",
IF(ISNUMBER(SEARCH("VYG",Inventario!B176)),"VYG",
IF(ISNUMBER(SEARCH("COLED",Inventario!B176)),"CO",""))))))</f>
        <v/>
      </c>
    </row>
    <row r="178" spans="1:8">
      <c r="A178" t="str">
        <f>IF(ISNUMBER(SEARCH("LONA",Inventario!B177)),"LON",
IF(ISNUMBER(SEARCH("VINIL",Inventario!B177)),"VIN",
IF(ISNUMBER(SEARCH("PANEL DE ALUMINIO COMPUESTO",Inventario!B177)),"PAN-ALU-COM",
IF(ISNUMBER(SEARCH("PVC",Inventario!B177)),"PVC",
IF(ISNUMBER(SEARCH("PAPEL",Inventario!B177)),"PAP",
IF(ISNUMBER(SEARCH("TELA",Inventario!B177)),"TEL",
IF(ISNUMBER(SEARCH("CARTULINA",Inventario!B177)),"CAR",
IF(OR(ISNUMBER(SEARCH("LAMINA",Inventario!B177)),ISNUMBER(SEARCH("LÁMINA",Inventario!B177))),"LAM",
IF(ISNUMBER(SEARCH("ESTIRENO",Inventario!B177)),"EST",
IF(ISNUMBER(SEARCH("FOAMBOARD",Inventario!B177)),"FOA",
IF(ISNUMBER(SEARCH("SOLVENTE",Inventario!B177)),"SOL",
IF(ISNUMBER(SEARCH("TINTA",Inventario!B177)),"TIN",
IF(ISNUMBER(SEARCH("ACRILICO",Inventario!B177)),"ACR",
IF(ISNUMBER(SEARCH("LED",Inventario!B177)),"LED",
IF(ISNUMBER(SEARCH("FUENTE",Inventario!B177)),"FUE",
IF(ISNUMBER(SEARCH("PETG",Inventario!B177)),"PET",
IF(ISNUMBER(SEARCH("ALUMINIO",Inventario!B177)),"ALU",
IF(ISNUMBER(SEARCH("CANAL",Inventario!B177)),"CAN",
IF(ISNUMBER(SEARCH("ESCUADRA",Inventario!B177)),"ESC",
IF(ISNUMBER(SEARCH("SOPORTE",Inventario!B177)),"SOP","OTR")
)))))))))))))))))))</f>
        <v>ACR</v>
      </c>
      <c r="B178" t="str">
        <f>IF(ISNUMBER(SEARCH("CORTE",Inventario!B177)),"COR",
IF(ISNUMBER(SEARCH("CRISTAL",Inventario!B177)),"CR",
IF(OR(ISNUMBER(SEARCH("OPTICO",Inventario!B177)),ISNUMBER(SEARCH("OPTICOS",Inventario!B177)),ISNUMBER(SEARCH("OPTICA",Inventario!B177))),"OP",
IF(ISNUMBER(SEARCH("NANO",Inventario!B177)),"NA",
IF(ISNUMBER(SEARCH("5050",Inventario!B177)),"5050",
IF(ISNUMBER(SEARCH("MICRO",Inventario!B177)),"MI",""))))))</f>
        <v/>
      </c>
      <c r="C178" t="str">
        <f>IF(ISNUMBER(SEARCH("PARED",Inventario!B177)),"PAR",IF(ISNUMBER(SEARCH("MATE",Inventario!B177)),"MAT",
IF(ISNUMBER(SEARCH("FRONT",Inventario!B177)),"FRO",
IF(ISNUMBER(SEARCH("BACK",Inventario!B177)),"BAC",
IF(ISNUMBER(SEARCH("MESH",Inventario!B177)),"MES",
IF(OR(ISNUMBER(SEARCH("BRILLANTE",Inventario!B177)),ISNUMBER(SEARCH("BTE",Inventario!B177))),"BRI",
IF(ISNUMBER(SEARCH("SINTETICA DELGADA",Inventario!B177)),"SD",
IF(ISNUMBER(SEARCH("SINTETICA GRUESA",Inventario!B177)),"SG",
IF(ISNUMBER(SEARCH("ESTATICO",Inventario!B177)),"EST",
IF(ISNUMBER(SEARCH("FLOOR",Inventario!B177)),"FLO",
IF(ISNUMBER(SEARCH("REFLECTIVO",Inventario!B177)),"REF",
IF(ISNUMBER(SEARCH("MICROPERFORADO",Inventario!B177)),"MI",
IF(ISNUMBER(SEARCH("CEPILLADO",Inventario!B177)),"CEP",
IF(ISNUMBER(SEARCH("ESPEJO",Inventario!B177)),"ESP",
IF(OR(ISNUMBER(SEARCH("UNIDIODO",Inventario!B177)),ISNUMBER(SEARCH("1 DIODO",Inventario!B177))),"1D",
IF(ISNUMBER(SEARCH("2 DIODOS",Inventario!B177)),"2D",
IF(ISNUMBER(SEARCH("3 DIODOS",Inventario!B177)),"3D","")))))))))))))))))</f>
        <v/>
      </c>
      <c r="D178" t="str">
        <f>IF(ISNUMBER(SEARCH("LX700",Inventario!B177)),"LX7",
IF(ISNUMBER(SEARCH("GRANDO",Inventario!B177)),"GRA",
IF(OR(ISNUMBER(SEARCH("CAMA PLANA",Inventario!B177)),ISNUMBER(SEARCH("FB700",Inventario!B177))),"CP",
IF(ISNUMBER(SEARCH("LX360",Inventario!B177)),"LX3",
IF(ISNUMBER(SEARCH("XEROX",Inventario!B177)),"XER",
IF(ISNUMBER(SEARCH("18 OZ",Inventario!B177)),"18OZ",
IF(ISNUMBER(SEARCH("15 OZ",Inventario!B177)),"15OZ",
IF(OR(ISNUMBER(SEARCH("13 OZ",Inventario!B177)),ISNUMBER(SEARCH("13 ONZAS",Inventario!B177))),"13OZ",
IF(OR(ISNUMBER(SEARCH("9 OZ",Inventario!B177)),ISNUMBER(SEARCH("9 ONZAS",Inventario!B177))),"09OZ","")))))))))</f>
        <v/>
      </c>
      <c r="E178" t="str">
        <f>IF(OR(ISNUMBER(SEARCH("TRANSPARENTE",Inventario!B177)),ISNUMBER(SEARCH("TRANSPARENTES",Inventario!B177))),"TR",
IF(OR(ISNUMBER(SEARCH("BLANCO",Inventario!B177)),ISNUMBER(SEARCH("BCO",Inventario!B177))),"BL",
IF(ISNUMBER(SEARCH("VERDE",Inventario!B177)),"VR",
IF(ISNUMBER(SEARCH("MORADO",Inventario!B177)),"MR",
IF(ISNUMBER(SEARCH("PLATA",Inventario!B177)),"PL",
IF(ISNUMBER(SEARCH("ORO",Inventario!B177)),"OR",
IF(ISNUMBER(SEARCH("AMARILLO",Inventario!B177)),"AM",
IF(ISNUMBER(SEARCH("NARANJA",Inventario!B177)),"NR",
IF(ISNUMBER(SEARCH("NEGRO",Inventario!B177)),"NG",
IF(ISNUMBER(SEARCH("ROJO",Inventario!B177)),"RJ",
IF(ISNUMBER(SEARCH("AZUL",Inventario!B177)),"AZ","")))))))))))</f>
        <v>NG</v>
      </c>
      <c r="F178" t="str">
        <f>IF(ISNUMBER(SEARCH("1,2 MM",Inventario!B177)),"1MM2",
IF(OR(ISNUMBER(SEARCH("2 MM",Inventario!B177)),ISNUMBER(SEARCH("2MM",Inventario!B177))),"2MM",
IF(OR(ISNUMBER(SEARCH("3 MM",Inventario!B177)),ISNUMBER(SEARCH("3MM",Inventario!B177))),"3MM",
IF(OR(ISNUMBER(SEARCH("4 MM",Inventario!B177)),ISNUMBER(SEARCH("4MM",Inventario!B177)),ISNUMBER(SEARCH("4 mm",Inventario!B177))),"4MM",
IF(OR(ISNUMBER(SEARCH("5 MM",Inventario!B177)),ISNUMBER(SEARCH("5MM",Inventario!B177))),"5MM",
IF(OR(ISNUMBER(SEARCH("6 MM",Inventario!B177)),ISNUMBER(SEARCH("6MM",Inventario!B177))),"6MM",
IF(OR(ISNUMBER(SEARCH("10 MM",Inventario!B177)),ISNUMBER(SEARCH("10MM",Inventario!B177))),"10MM","")))))))</f>
        <v>3MM</v>
      </c>
      <c r="G178" t="str">
        <f>IF(ISNUMBER(SEARCH("ALTA RESISTENCIA",Inventario!B177)),"AR",IF(ISNUMBER(SEARCH("CAMPAÑA",Inventario!B177)),"CA",
IF(OR(ISNUMBER(SEARCH("CALIDO",Inventario!B177)),ISNUMBER(SEARCH("CÁLIDO",Inventario!B177))),"C",
IF(OR(ISNUMBER(SEARCH("TRASLUCIDO",Inventario!B177)),ISNUMBER(SEARCH("TRANSLUCIDO",Inventario!B177))),"TL",
IF(ISNUMBER(SEARCH("NEUTRO",Inventario!B177)),"N",
IF(ISNUMBER(SEARCH("FRIO",Inventario!B177)),"F",""))))))</f>
        <v/>
      </c>
      <c r="H178" t="str">
        <f>IF(ISNUMBER(SEARCH("SILED",Inventario!B177)),"SI",
IF(ISNUMBER(SEARCH("SYDEMEX",Inventario!B177)),"SY",
IF(ISNUMBER(SEARCH("ROHS",Inventario!B177)),"RO",
IF(ISNUMBER(SEARCH("RISHANG",Inventario!B177)),"RS",
IF(ISNUMBER(SEARCH("VYG",Inventario!B177)),"VYG",
IF(ISNUMBER(SEARCH("COLED",Inventario!B177)),"CO",""))))))</f>
        <v/>
      </c>
    </row>
    <row r="179" spans="1:8">
      <c r="A179" t="str">
        <f>IF(ISNUMBER(SEARCH("LONA",Inventario!B178)),"LON",
IF(ISNUMBER(SEARCH("VINIL",Inventario!B178)),"VIN",
IF(ISNUMBER(SEARCH("PANEL DE ALUMINIO COMPUESTO",Inventario!B178)),"PAN-ALU-COM",
IF(ISNUMBER(SEARCH("PVC",Inventario!B178)),"PVC",
IF(ISNUMBER(SEARCH("PAPEL",Inventario!B178)),"PAP",
IF(ISNUMBER(SEARCH("TELA",Inventario!B178)),"TEL",
IF(ISNUMBER(SEARCH("CARTULINA",Inventario!B178)),"CAR",
IF(OR(ISNUMBER(SEARCH("LAMINA",Inventario!B178)),ISNUMBER(SEARCH("LÁMINA",Inventario!B178))),"LAM",
IF(ISNUMBER(SEARCH("ESTIRENO",Inventario!B178)),"EST",
IF(ISNUMBER(SEARCH("FOAMBOARD",Inventario!B178)),"FOA",
IF(ISNUMBER(SEARCH("SOLVENTE",Inventario!B178)),"SOL",
IF(ISNUMBER(SEARCH("TINTA",Inventario!B178)),"TIN",
IF(ISNUMBER(SEARCH("ACRILICO",Inventario!B178)),"ACR",
IF(ISNUMBER(SEARCH("LED",Inventario!B178)),"LED",
IF(ISNUMBER(SEARCH("FUENTE",Inventario!B178)),"FUE",
IF(ISNUMBER(SEARCH("PETG",Inventario!B178)),"PET",
IF(ISNUMBER(SEARCH("ALUMINIO",Inventario!B178)),"ALU",
IF(ISNUMBER(SEARCH("CANAL",Inventario!B178)),"CAN",
IF(ISNUMBER(SEARCH("ESCUADRA",Inventario!B178)),"ESC",
IF(ISNUMBER(SEARCH("SOPORTE",Inventario!B178)),"SOP","OTR")
)))))))))))))))))))</f>
        <v>ACR</v>
      </c>
      <c r="B179" t="str">
        <f>IF(ISNUMBER(SEARCH("CORTE",Inventario!B178)),"COR",
IF(ISNUMBER(SEARCH("CRISTAL",Inventario!B178)),"CR",
IF(OR(ISNUMBER(SEARCH("OPTICO",Inventario!B178)),ISNUMBER(SEARCH("OPTICOS",Inventario!B178)),ISNUMBER(SEARCH("OPTICA",Inventario!B178))),"OP",
IF(ISNUMBER(SEARCH("NANO",Inventario!B178)),"NA",
IF(ISNUMBER(SEARCH("5050",Inventario!B178)),"5050",
IF(ISNUMBER(SEARCH("MICRO",Inventario!B178)),"MI",""))))))</f>
        <v/>
      </c>
      <c r="C179" t="str">
        <f>IF(ISNUMBER(SEARCH("PARED",Inventario!B178)),"PAR",IF(ISNUMBER(SEARCH("MATE",Inventario!B178)),"MAT",
IF(ISNUMBER(SEARCH("FRONT",Inventario!B178)),"FRO",
IF(ISNUMBER(SEARCH("BACK",Inventario!B178)),"BAC",
IF(ISNUMBER(SEARCH("MESH",Inventario!B178)),"MES",
IF(OR(ISNUMBER(SEARCH("BRILLANTE",Inventario!B178)),ISNUMBER(SEARCH("BTE",Inventario!B178))),"BRI",
IF(ISNUMBER(SEARCH("SINTETICA DELGADA",Inventario!B178)),"SD",
IF(ISNUMBER(SEARCH("SINTETICA GRUESA",Inventario!B178)),"SG",
IF(ISNUMBER(SEARCH("ESTATICO",Inventario!B178)),"EST",
IF(ISNUMBER(SEARCH("FLOOR",Inventario!B178)),"FLO",
IF(ISNUMBER(SEARCH("REFLECTIVO",Inventario!B178)),"REF",
IF(ISNUMBER(SEARCH("MICROPERFORADO",Inventario!B178)),"MI",
IF(ISNUMBER(SEARCH("CEPILLADO",Inventario!B178)),"CEP",
IF(ISNUMBER(SEARCH("ESPEJO",Inventario!B178)),"ESP",
IF(OR(ISNUMBER(SEARCH("UNIDIODO",Inventario!B178)),ISNUMBER(SEARCH("1 DIODO",Inventario!B178))),"1D",
IF(ISNUMBER(SEARCH("2 DIODOS",Inventario!B178)),"2D",
IF(ISNUMBER(SEARCH("3 DIODOS",Inventario!B178)),"3D","")))))))))))))))))</f>
        <v/>
      </c>
      <c r="D179" t="str">
        <f>IF(ISNUMBER(SEARCH("LX700",Inventario!B178)),"LX7",
IF(ISNUMBER(SEARCH("GRANDO",Inventario!B178)),"GRA",
IF(OR(ISNUMBER(SEARCH("CAMA PLANA",Inventario!B178)),ISNUMBER(SEARCH("FB700",Inventario!B178))),"CP",
IF(ISNUMBER(SEARCH("LX360",Inventario!B178)),"LX3",
IF(ISNUMBER(SEARCH("XEROX",Inventario!B178)),"XER",
IF(ISNUMBER(SEARCH("18 OZ",Inventario!B178)),"18OZ",
IF(ISNUMBER(SEARCH("15 OZ",Inventario!B178)),"15OZ",
IF(OR(ISNUMBER(SEARCH("13 OZ",Inventario!B178)),ISNUMBER(SEARCH("13 ONZAS",Inventario!B178))),"13OZ",
IF(OR(ISNUMBER(SEARCH("9 OZ",Inventario!B178)),ISNUMBER(SEARCH("9 ONZAS",Inventario!B178))),"09OZ","")))))))))</f>
        <v/>
      </c>
      <c r="E179" t="str">
        <f>IF(OR(ISNUMBER(SEARCH("TRANSPARENTE",Inventario!B178)),ISNUMBER(SEARCH("TRANSPARENTES",Inventario!B178))),"TR",
IF(OR(ISNUMBER(SEARCH("BLANCO",Inventario!B178)),ISNUMBER(SEARCH("BCO",Inventario!B178))),"BL",
IF(ISNUMBER(SEARCH("VERDE",Inventario!B178)),"VR",
IF(ISNUMBER(SEARCH("MORADO",Inventario!B178)),"MR",
IF(ISNUMBER(SEARCH("PLATA",Inventario!B178)),"PL",
IF(ISNUMBER(SEARCH("ORO",Inventario!B178)),"OR",
IF(ISNUMBER(SEARCH("AMARILLO",Inventario!B178)),"AM",
IF(ISNUMBER(SEARCH("NARANJA",Inventario!B178)),"NR",
IF(ISNUMBER(SEARCH("NEGRO",Inventario!B178)),"NG",
IF(ISNUMBER(SEARCH("ROJO",Inventario!B178)),"RJ",
IF(ISNUMBER(SEARCH("AZUL",Inventario!B178)),"AZ","")))))))))))</f>
        <v>NG</v>
      </c>
      <c r="F179" t="str">
        <f>IF(ISNUMBER(SEARCH("1,2 MM",Inventario!B178)),"1MM2",
IF(OR(ISNUMBER(SEARCH("2 MM",Inventario!B178)),ISNUMBER(SEARCH("2MM",Inventario!B178))),"2MM",
IF(OR(ISNUMBER(SEARCH("3 MM",Inventario!B178)),ISNUMBER(SEARCH("3MM",Inventario!B178))),"3MM",
IF(OR(ISNUMBER(SEARCH("4 MM",Inventario!B178)),ISNUMBER(SEARCH("4MM",Inventario!B178)),ISNUMBER(SEARCH("4 mm",Inventario!B178))),"4MM",
IF(OR(ISNUMBER(SEARCH("5 MM",Inventario!B178)),ISNUMBER(SEARCH("5MM",Inventario!B178))),"5MM",
IF(OR(ISNUMBER(SEARCH("6 MM",Inventario!B178)),ISNUMBER(SEARCH("6MM",Inventario!B178))),"6MM",
IF(OR(ISNUMBER(SEARCH("10 MM",Inventario!B178)),ISNUMBER(SEARCH("10MM",Inventario!B178))),"10MM","")))))))</f>
        <v>3MM</v>
      </c>
      <c r="G179" t="str">
        <f>IF(ISNUMBER(SEARCH("ALTA RESISTENCIA",Inventario!B178)),"AR",IF(ISNUMBER(SEARCH("CAMPAÑA",Inventario!B178)),"CA",
IF(OR(ISNUMBER(SEARCH("CALIDO",Inventario!B178)),ISNUMBER(SEARCH("CÁLIDO",Inventario!B178))),"C",
IF(OR(ISNUMBER(SEARCH("TRASLUCIDO",Inventario!B178)),ISNUMBER(SEARCH("TRANSLUCIDO",Inventario!B178))),"TL",
IF(ISNUMBER(SEARCH("NEUTRO",Inventario!B178)),"N",
IF(ISNUMBER(SEARCH("FRIO",Inventario!B178)),"F",""))))))</f>
        <v/>
      </c>
      <c r="H179" t="str">
        <f>IF(ISNUMBER(SEARCH("SILED",Inventario!B178)),"SI",
IF(ISNUMBER(SEARCH("SYDEMEX",Inventario!B178)),"SY",
IF(ISNUMBER(SEARCH("ROHS",Inventario!B178)),"RO",
IF(ISNUMBER(SEARCH("RISHANG",Inventario!B178)),"RS",
IF(ISNUMBER(SEARCH("VYG",Inventario!B178)),"VYG",
IF(ISNUMBER(SEARCH("COLED",Inventario!B178)),"CO",""))))))</f>
        <v/>
      </c>
    </row>
    <row r="180" spans="1:8">
      <c r="A180" t="str">
        <f>IF(ISNUMBER(SEARCH("LONA",Inventario!B179)),"LON",
IF(ISNUMBER(SEARCH("VINIL",Inventario!B179)),"VIN",
IF(ISNUMBER(SEARCH("PANEL DE ALUMINIO COMPUESTO",Inventario!B179)),"PAN-ALU-COM",
IF(ISNUMBER(SEARCH("PVC",Inventario!B179)),"PVC",
IF(ISNUMBER(SEARCH("PAPEL",Inventario!B179)),"PAP",
IF(ISNUMBER(SEARCH("TELA",Inventario!B179)),"TEL",
IF(ISNUMBER(SEARCH("CARTULINA",Inventario!B179)),"CAR",
IF(OR(ISNUMBER(SEARCH("LAMINA",Inventario!B179)),ISNUMBER(SEARCH("LÁMINA",Inventario!B179))),"LAM",
IF(ISNUMBER(SEARCH("ESTIRENO",Inventario!B179)),"EST",
IF(ISNUMBER(SEARCH("FOAMBOARD",Inventario!B179)),"FOA",
IF(ISNUMBER(SEARCH("SOLVENTE",Inventario!B179)),"SOL",
IF(ISNUMBER(SEARCH("TINTA",Inventario!B179)),"TIN",
IF(ISNUMBER(SEARCH("ACRILICO",Inventario!B179)),"ACR",
IF(ISNUMBER(SEARCH("LED",Inventario!B179)),"LED",
IF(ISNUMBER(SEARCH("FUENTE",Inventario!B179)),"FUE",
IF(ISNUMBER(SEARCH("PETG",Inventario!B179)),"PET",
IF(ISNUMBER(SEARCH("ALUMINIO",Inventario!B179)),"ALU",
IF(ISNUMBER(SEARCH("CANAL",Inventario!B179)),"CAN",
IF(ISNUMBER(SEARCH("ESCUADRA",Inventario!B179)),"ESC",
IF(ISNUMBER(SEARCH("SOPORTE",Inventario!B179)),"SOP","OTR")
)))))))))))))))))))</f>
        <v>ACR</v>
      </c>
      <c r="B180" t="str">
        <f>IF(ISNUMBER(SEARCH("CORTE",Inventario!B179)),"COR",
IF(ISNUMBER(SEARCH("CRISTAL",Inventario!B179)),"CR",
IF(OR(ISNUMBER(SEARCH("OPTICO",Inventario!B179)),ISNUMBER(SEARCH("OPTICOS",Inventario!B179)),ISNUMBER(SEARCH("OPTICA",Inventario!B179))),"OP",
IF(ISNUMBER(SEARCH("NANO",Inventario!B179)),"NA",
IF(ISNUMBER(SEARCH("5050",Inventario!B179)),"5050",
IF(ISNUMBER(SEARCH("MICRO",Inventario!B179)),"MI",""))))))</f>
        <v/>
      </c>
      <c r="C180" t="str">
        <f>IF(ISNUMBER(SEARCH("PARED",Inventario!B179)),"PAR",IF(ISNUMBER(SEARCH("MATE",Inventario!B179)),"MAT",
IF(ISNUMBER(SEARCH("FRONT",Inventario!B179)),"FRO",
IF(ISNUMBER(SEARCH("BACK",Inventario!B179)),"BAC",
IF(ISNUMBER(SEARCH("MESH",Inventario!B179)),"MES",
IF(OR(ISNUMBER(SEARCH("BRILLANTE",Inventario!B179)),ISNUMBER(SEARCH("BTE",Inventario!B179))),"BRI",
IF(ISNUMBER(SEARCH("SINTETICA DELGADA",Inventario!B179)),"SD",
IF(ISNUMBER(SEARCH("SINTETICA GRUESA",Inventario!B179)),"SG",
IF(ISNUMBER(SEARCH("ESTATICO",Inventario!B179)),"EST",
IF(ISNUMBER(SEARCH("FLOOR",Inventario!B179)),"FLO",
IF(ISNUMBER(SEARCH("REFLECTIVO",Inventario!B179)),"REF",
IF(ISNUMBER(SEARCH("MICROPERFORADO",Inventario!B179)),"MI",
IF(ISNUMBER(SEARCH("CEPILLADO",Inventario!B179)),"CEP",
IF(ISNUMBER(SEARCH("ESPEJO",Inventario!B179)),"ESP",
IF(OR(ISNUMBER(SEARCH("UNIDIODO",Inventario!B179)),ISNUMBER(SEARCH("1 DIODO",Inventario!B179))),"1D",
IF(ISNUMBER(SEARCH("2 DIODOS",Inventario!B179)),"2D",
IF(ISNUMBER(SEARCH("3 DIODOS",Inventario!B179)),"3D","")))))))))))))))))</f>
        <v/>
      </c>
      <c r="D180" t="str">
        <f>IF(ISNUMBER(SEARCH("LX700",Inventario!B179)),"LX7",
IF(ISNUMBER(SEARCH("GRANDO",Inventario!B179)),"GRA",
IF(OR(ISNUMBER(SEARCH("CAMA PLANA",Inventario!B179)),ISNUMBER(SEARCH("FB700",Inventario!B179))),"CP",
IF(ISNUMBER(SEARCH("LX360",Inventario!B179)),"LX3",
IF(ISNUMBER(SEARCH("XEROX",Inventario!B179)),"XER",
IF(ISNUMBER(SEARCH("18 OZ",Inventario!B179)),"18OZ",
IF(ISNUMBER(SEARCH("15 OZ",Inventario!B179)),"15OZ",
IF(OR(ISNUMBER(SEARCH("13 OZ",Inventario!B179)),ISNUMBER(SEARCH("13 ONZAS",Inventario!B179))),"13OZ",
IF(OR(ISNUMBER(SEARCH("9 OZ",Inventario!B179)),ISNUMBER(SEARCH("9 ONZAS",Inventario!B179))),"09OZ","")))))))))</f>
        <v/>
      </c>
      <c r="E180" t="str">
        <f>IF(OR(ISNUMBER(SEARCH("TRANSPARENTE",Inventario!B179)),ISNUMBER(SEARCH("TRANSPARENTES",Inventario!B179))),"TR",
IF(OR(ISNUMBER(SEARCH("BLANCO",Inventario!B179)),ISNUMBER(SEARCH("BCO",Inventario!B179))),"BL",
IF(ISNUMBER(SEARCH("VERDE",Inventario!B179)),"VR",
IF(ISNUMBER(SEARCH("MORADO",Inventario!B179)),"MR",
IF(ISNUMBER(SEARCH("PLATA",Inventario!B179)),"PL",
IF(ISNUMBER(SEARCH("ORO",Inventario!B179)),"OR",
IF(ISNUMBER(SEARCH("AMARILLO",Inventario!B179)),"AM",
IF(ISNUMBER(SEARCH("NARANJA",Inventario!B179)),"NR",
IF(ISNUMBER(SEARCH("NEGRO",Inventario!B179)),"NG",
IF(ISNUMBER(SEARCH("ROJO",Inventario!B179)),"RJ",
IF(ISNUMBER(SEARCH("AZUL",Inventario!B179)),"AZ","")))))))))))</f>
        <v>NG</v>
      </c>
      <c r="F180" t="str">
        <f>IF(ISNUMBER(SEARCH("1,2 MM",Inventario!B179)),"1MM2",
IF(OR(ISNUMBER(SEARCH("2 MM",Inventario!B179)),ISNUMBER(SEARCH("2MM",Inventario!B179))),"2MM",
IF(OR(ISNUMBER(SEARCH("3 MM",Inventario!B179)),ISNUMBER(SEARCH("3MM",Inventario!B179))),"3MM",
IF(OR(ISNUMBER(SEARCH("4 MM",Inventario!B179)),ISNUMBER(SEARCH("4MM",Inventario!B179)),ISNUMBER(SEARCH("4 mm",Inventario!B179))),"4MM",
IF(OR(ISNUMBER(SEARCH("5 MM",Inventario!B179)),ISNUMBER(SEARCH("5MM",Inventario!B179))),"5MM",
IF(OR(ISNUMBER(SEARCH("6 MM",Inventario!B179)),ISNUMBER(SEARCH("6MM",Inventario!B179))),"6MM",
IF(OR(ISNUMBER(SEARCH("10 MM",Inventario!B179)),ISNUMBER(SEARCH("10MM",Inventario!B179))),"10MM","")))))))</f>
        <v>6MM</v>
      </c>
      <c r="G180" t="str">
        <f>IF(ISNUMBER(SEARCH("ALTA RESISTENCIA",Inventario!B179)),"AR",IF(ISNUMBER(SEARCH("CAMPAÑA",Inventario!B179)),"CA",
IF(OR(ISNUMBER(SEARCH("CALIDO",Inventario!B179)),ISNUMBER(SEARCH("CÁLIDO",Inventario!B179))),"C",
IF(OR(ISNUMBER(SEARCH("TRASLUCIDO",Inventario!B179)),ISNUMBER(SEARCH("TRANSLUCIDO",Inventario!B179))),"TL",
IF(ISNUMBER(SEARCH("NEUTRO",Inventario!B179)),"N",
IF(ISNUMBER(SEARCH("FRIO",Inventario!B179)),"F",""))))))</f>
        <v/>
      </c>
      <c r="H180" t="str">
        <f>IF(ISNUMBER(SEARCH("SILED",Inventario!B179)),"SI",
IF(ISNUMBER(SEARCH("SYDEMEX",Inventario!B179)),"SY",
IF(ISNUMBER(SEARCH("ROHS",Inventario!B179)),"RO",
IF(ISNUMBER(SEARCH("RISHANG",Inventario!B179)),"RS",
IF(ISNUMBER(SEARCH("VYG",Inventario!B179)),"VYG",
IF(ISNUMBER(SEARCH("COLED",Inventario!B179)),"CO",""))))))</f>
        <v/>
      </c>
    </row>
    <row r="181" spans="1:8">
      <c r="A181" t="str">
        <f>IF(ISNUMBER(SEARCH("LONA",Inventario!B180)),"LON",
IF(ISNUMBER(SEARCH("VINIL",Inventario!B180)),"VIN",
IF(ISNUMBER(SEARCH("PANEL DE ALUMINIO COMPUESTO",Inventario!B180)),"PAN-ALU-COM",
IF(ISNUMBER(SEARCH("PVC",Inventario!B180)),"PVC",
IF(ISNUMBER(SEARCH("PAPEL",Inventario!B180)),"PAP",
IF(ISNUMBER(SEARCH("TELA",Inventario!B180)),"TEL",
IF(ISNUMBER(SEARCH("CARTULINA",Inventario!B180)),"CAR",
IF(OR(ISNUMBER(SEARCH("LAMINA",Inventario!B180)),ISNUMBER(SEARCH("LÁMINA",Inventario!B180))),"LAM",
IF(ISNUMBER(SEARCH("ESTIRENO",Inventario!B180)),"EST",
IF(ISNUMBER(SEARCH("FOAMBOARD",Inventario!B180)),"FOA",
IF(ISNUMBER(SEARCH("SOLVENTE",Inventario!B180)),"SOL",
IF(ISNUMBER(SEARCH("TINTA",Inventario!B180)),"TIN",
IF(ISNUMBER(SEARCH("ACRILICO",Inventario!B180)),"ACR",
IF(ISNUMBER(SEARCH("LED",Inventario!B180)),"LED",
IF(ISNUMBER(SEARCH("FUENTE",Inventario!B180)),"FUE",
IF(ISNUMBER(SEARCH("PETG",Inventario!B180)),"PET",
IF(ISNUMBER(SEARCH("ALUMINIO",Inventario!B180)),"ALU",
IF(ISNUMBER(SEARCH("CANAL",Inventario!B180)),"CAN",
IF(ISNUMBER(SEARCH("ESCUADRA",Inventario!B180)),"ESC",
IF(ISNUMBER(SEARCH("SOPORTE",Inventario!B180)),"SOP","OTR")
)))))))))))))))))))</f>
        <v>ACR</v>
      </c>
      <c r="B181" t="str">
        <f>IF(ISNUMBER(SEARCH("CORTE",Inventario!B180)),"COR",
IF(ISNUMBER(SEARCH("CRISTAL",Inventario!B180)),"CR",
IF(OR(ISNUMBER(SEARCH("OPTICO",Inventario!B180)),ISNUMBER(SEARCH("OPTICOS",Inventario!B180)),ISNUMBER(SEARCH("OPTICA",Inventario!B180))),"OP",
IF(ISNUMBER(SEARCH("NANO",Inventario!B180)),"NA",
IF(ISNUMBER(SEARCH("5050",Inventario!B180)),"5050",
IF(ISNUMBER(SEARCH("MICRO",Inventario!B180)),"MI",""))))))</f>
        <v/>
      </c>
      <c r="C181" t="str">
        <f>IF(ISNUMBER(SEARCH("PARED",Inventario!B180)),"PAR",IF(ISNUMBER(SEARCH("MATE",Inventario!B180)),"MAT",
IF(ISNUMBER(SEARCH("FRONT",Inventario!B180)),"FRO",
IF(ISNUMBER(SEARCH("BACK",Inventario!B180)),"BAC",
IF(ISNUMBER(SEARCH("MESH",Inventario!B180)),"MES",
IF(OR(ISNUMBER(SEARCH("BRILLANTE",Inventario!B180)),ISNUMBER(SEARCH("BTE",Inventario!B180))),"BRI",
IF(ISNUMBER(SEARCH("SINTETICA DELGADA",Inventario!B180)),"SD",
IF(ISNUMBER(SEARCH("SINTETICA GRUESA",Inventario!B180)),"SG",
IF(ISNUMBER(SEARCH("ESTATICO",Inventario!B180)),"EST",
IF(ISNUMBER(SEARCH("FLOOR",Inventario!B180)),"FLO",
IF(ISNUMBER(SEARCH("REFLECTIVO",Inventario!B180)),"REF",
IF(ISNUMBER(SEARCH("MICROPERFORADO",Inventario!B180)),"MI",
IF(ISNUMBER(SEARCH("CEPILLADO",Inventario!B180)),"CEP",
IF(ISNUMBER(SEARCH("ESPEJO",Inventario!B180)),"ESP",
IF(OR(ISNUMBER(SEARCH("UNIDIODO",Inventario!B180)),ISNUMBER(SEARCH("1 DIODO",Inventario!B180))),"1D",
IF(ISNUMBER(SEARCH("2 DIODOS",Inventario!B180)),"2D",
IF(ISNUMBER(SEARCH("3 DIODOS",Inventario!B180)),"3D","")))))))))))))))))</f>
        <v/>
      </c>
      <c r="D181" t="str">
        <f>IF(ISNUMBER(SEARCH("LX700",Inventario!B180)),"LX7",
IF(ISNUMBER(SEARCH("GRANDO",Inventario!B180)),"GRA",
IF(OR(ISNUMBER(SEARCH("CAMA PLANA",Inventario!B180)),ISNUMBER(SEARCH("FB700",Inventario!B180))),"CP",
IF(ISNUMBER(SEARCH("LX360",Inventario!B180)),"LX3",
IF(ISNUMBER(SEARCH("XEROX",Inventario!B180)),"XER",
IF(ISNUMBER(SEARCH("18 OZ",Inventario!B180)),"18OZ",
IF(ISNUMBER(SEARCH("15 OZ",Inventario!B180)),"15OZ",
IF(OR(ISNUMBER(SEARCH("13 OZ",Inventario!B180)),ISNUMBER(SEARCH("13 ONZAS",Inventario!B180))),"13OZ",
IF(OR(ISNUMBER(SEARCH("9 OZ",Inventario!B180)),ISNUMBER(SEARCH("9 ONZAS",Inventario!B180))),"09OZ","")))))))))</f>
        <v/>
      </c>
      <c r="E181" t="str">
        <f>IF(OR(ISNUMBER(SEARCH("TRANSPARENTE",Inventario!B180)),ISNUMBER(SEARCH("TRANSPARENTES",Inventario!B180))),"TR",
IF(OR(ISNUMBER(SEARCH("BLANCO",Inventario!B180)),ISNUMBER(SEARCH("BCO",Inventario!B180))),"BL",
IF(ISNUMBER(SEARCH("VERDE",Inventario!B180)),"VR",
IF(ISNUMBER(SEARCH("MORADO",Inventario!B180)),"MR",
IF(ISNUMBER(SEARCH("PLATA",Inventario!B180)),"PL",
IF(ISNUMBER(SEARCH("ORO",Inventario!B180)),"OR",
IF(ISNUMBER(SEARCH("AMARILLO",Inventario!B180)),"AM",
IF(ISNUMBER(SEARCH("NARANJA",Inventario!B180)),"NR",
IF(ISNUMBER(SEARCH("NEGRO",Inventario!B180)),"NG",
IF(ISNUMBER(SEARCH("ROJO",Inventario!B180)),"RJ",
IF(ISNUMBER(SEARCH("AZUL",Inventario!B180)),"AZ","")))))))))))</f>
        <v>NG</v>
      </c>
      <c r="F181" t="str">
        <f>IF(ISNUMBER(SEARCH("1,2 MM",Inventario!B180)),"1MM2",
IF(OR(ISNUMBER(SEARCH("2 MM",Inventario!B180)),ISNUMBER(SEARCH("2MM",Inventario!B180))),"2MM",
IF(OR(ISNUMBER(SEARCH("3 MM",Inventario!B180)),ISNUMBER(SEARCH("3MM",Inventario!B180))),"3MM",
IF(OR(ISNUMBER(SEARCH("4 MM",Inventario!B180)),ISNUMBER(SEARCH("4MM",Inventario!B180)),ISNUMBER(SEARCH("4 mm",Inventario!B180))),"4MM",
IF(OR(ISNUMBER(SEARCH("5 MM",Inventario!B180)),ISNUMBER(SEARCH("5MM",Inventario!B180))),"5MM",
IF(OR(ISNUMBER(SEARCH("6 MM",Inventario!B180)),ISNUMBER(SEARCH("6MM",Inventario!B180))),"6MM",
IF(OR(ISNUMBER(SEARCH("10 MM",Inventario!B180)),ISNUMBER(SEARCH("10MM",Inventario!B180))),"10MM","")))))))</f>
        <v>6MM</v>
      </c>
      <c r="G181" t="str">
        <f>IF(ISNUMBER(SEARCH("ALTA RESISTENCIA",Inventario!B180)),"AR",IF(ISNUMBER(SEARCH("CAMPAÑA",Inventario!B180)),"CA",
IF(OR(ISNUMBER(SEARCH("CALIDO",Inventario!B180)),ISNUMBER(SEARCH("CÁLIDO",Inventario!B180))),"C",
IF(OR(ISNUMBER(SEARCH("TRASLUCIDO",Inventario!B180)),ISNUMBER(SEARCH("TRANSLUCIDO",Inventario!B180))),"TL",
IF(ISNUMBER(SEARCH("NEUTRO",Inventario!B180)),"N",
IF(ISNUMBER(SEARCH("FRIO",Inventario!B180)),"F",""))))))</f>
        <v/>
      </c>
      <c r="H181" t="str">
        <f>IF(ISNUMBER(SEARCH("SILED",Inventario!B180)),"SI",
IF(ISNUMBER(SEARCH("SYDEMEX",Inventario!B180)),"SY",
IF(ISNUMBER(SEARCH("ROHS",Inventario!B180)),"RO",
IF(ISNUMBER(SEARCH("RISHANG",Inventario!B180)),"RS",
IF(ISNUMBER(SEARCH("VYG",Inventario!B180)),"VYG",
IF(ISNUMBER(SEARCH("COLED",Inventario!B180)),"CO",""))))))</f>
        <v/>
      </c>
    </row>
    <row r="182" spans="1:8">
      <c r="A182" t="str">
        <f>IF(ISNUMBER(SEARCH("LONA",Inventario!B181)),"LON",
IF(ISNUMBER(SEARCH("VINIL",Inventario!B181)),"VIN",
IF(ISNUMBER(SEARCH("PANEL DE ALUMINIO COMPUESTO",Inventario!B181)),"PAN-ALU-COM",
IF(ISNUMBER(SEARCH("PVC",Inventario!B181)),"PVC",
IF(ISNUMBER(SEARCH("PAPEL",Inventario!B181)),"PAP",
IF(ISNUMBER(SEARCH("TELA",Inventario!B181)),"TEL",
IF(ISNUMBER(SEARCH("CARTULINA",Inventario!B181)),"CAR",
IF(OR(ISNUMBER(SEARCH("LAMINA",Inventario!B181)),ISNUMBER(SEARCH("LÁMINA",Inventario!B181))),"LAM",
IF(ISNUMBER(SEARCH("ESTIRENO",Inventario!B181)),"EST",
IF(ISNUMBER(SEARCH("FOAMBOARD",Inventario!B181)),"FOA",
IF(ISNUMBER(SEARCH("SOLVENTE",Inventario!B181)),"SOL",
IF(ISNUMBER(SEARCH("TINTA",Inventario!B181)),"TIN",
IF(ISNUMBER(SEARCH("ACRILICO",Inventario!B181)),"ACR",
IF(ISNUMBER(SEARCH("LED",Inventario!B181)),"LED",
IF(ISNUMBER(SEARCH("FUENTE",Inventario!B181)),"FUE",
IF(ISNUMBER(SEARCH("PETG",Inventario!B181)),"PET",
IF(ISNUMBER(SEARCH("ALUMINIO",Inventario!B181)),"ALU",
IF(ISNUMBER(SEARCH("CANAL",Inventario!B181)),"CAN",
IF(ISNUMBER(SEARCH("ESCUADRA",Inventario!B181)),"ESC",
IF(ISNUMBER(SEARCH("SOPORTE",Inventario!B181)),"SOP","OTR")
)))))))))))))))))))</f>
        <v>ACR</v>
      </c>
      <c r="B182" t="str">
        <f>IF(ISNUMBER(SEARCH("CORTE",Inventario!B181)),"COR",
IF(ISNUMBER(SEARCH("CRISTAL",Inventario!B181)),"CR",
IF(OR(ISNUMBER(SEARCH("OPTICO",Inventario!B181)),ISNUMBER(SEARCH("OPTICOS",Inventario!B181)),ISNUMBER(SEARCH("OPTICA",Inventario!B181))),"OP",
IF(ISNUMBER(SEARCH("NANO",Inventario!B181)),"NA",
IF(ISNUMBER(SEARCH("5050",Inventario!B181)),"5050",
IF(ISNUMBER(SEARCH("MICRO",Inventario!B181)),"MI",""))))))</f>
        <v/>
      </c>
      <c r="C182" t="str">
        <f>IF(ISNUMBER(SEARCH("PARED",Inventario!B181)),"PAR",IF(ISNUMBER(SEARCH("MATE",Inventario!B181)),"MAT",
IF(ISNUMBER(SEARCH("FRONT",Inventario!B181)),"FRO",
IF(ISNUMBER(SEARCH("BACK",Inventario!B181)),"BAC",
IF(ISNUMBER(SEARCH("MESH",Inventario!B181)),"MES",
IF(OR(ISNUMBER(SEARCH("BRILLANTE",Inventario!B181)),ISNUMBER(SEARCH("BTE",Inventario!B181))),"BRI",
IF(ISNUMBER(SEARCH("SINTETICA DELGADA",Inventario!B181)),"SD",
IF(ISNUMBER(SEARCH("SINTETICA GRUESA",Inventario!B181)),"SG",
IF(ISNUMBER(SEARCH("ESTATICO",Inventario!B181)),"EST",
IF(ISNUMBER(SEARCH("FLOOR",Inventario!B181)),"FLO",
IF(ISNUMBER(SEARCH("REFLECTIVO",Inventario!B181)),"REF",
IF(ISNUMBER(SEARCH("MICROPERFORADO",Inventario!B181)),"MI",
IF(ISNUMBER(SEARCH("CEPILLADO",Inventario!B181)),"CEP",
IF(ISNUMBER(SEARCH("ESPEJO",Inventario!B181)),"ESP",
IF(OR(ISNUMBER(SEARCH("UNIDIODO",Inventario!B181)),ISNUMBER(SEARCH("1 DIODO",Inventario!B181))),"1D",
IF(ISNUMBER(SEARCH("2 DIODOS",Inventario!B181)),"2D",
IF(ISNUMBER(SEARCH("3 DIODOS",Inventario!B181)),"3D","")))))))))))))))))</f>
        <v/>
      </c>
      <c r="D182" t="str">
        <f>IF(ISNUMBER(SEARCH("LX700",Inventario!B181)),"LX7",
IF(ISNUMBER(SEARCH("GRANDO",Inventario!B181)),"GRA",
IF(OR(ISNUMBER(SEARCH("CAMA PLANA",Inventario!B181)),ISNUMBER(SEARCH("FB700",Inventario!B181))),"CP",
IF(ISNUMBER(SEARCH("LX360",Inventario!B181)),"LX3",
IF(ISNUMBER(SEARCH("XEROX",Inventario!B181)),"XER",
IF(ISNUMBER(SEARCH("18 OZ",Inventario!B181)),"18OZ",
IF(ISNUMBER(SEARCH("15 OZ",Inventario!B181)),"15OZ",
IF(OR(ISNUMBER(SEARCH("13 OZ",Inventario!B181)),ISNUMBER(SEARCH("13 ONZAS",Inventario!B181))),"13OZ",
IF(OR(ISNUMBER(SEARCH("9 OZ",Inventario!B181)),ISNUMBER(SEARCH("9 ONZAS",Inventario!B181))),"09OZ","")))))))))</f>
        <v/>
      </c>
      <c r="E182" t="str">
        <f>IF(OR(ISNUMBER(SEARCH("TRANSPARENTE",Inventario!B181)),ISNUMBER(SEARCH("TRANSPARENTES",Inventario!B181))),"TR",
IF(OR(ISNUMBER(SEARCH("BLANCO",Inventario!B181)),ISNUMBER(SEARCH("BCO",Inventario!B181))),"BL",
IF(ISNUMBER(SEARCH("VERDE",Inventario!B181)),"VR",
IF(ISNUMBER(SEARCH("MORADO",Inventario!B181)),"MR",
IF(ISNUMBER(SEARCH("PLATA",Inventario!B181)),"PL",
IF(ISNUMBER(SEARCH("ORO",Inventario!B181)),"OR",
IF(ISNUMBER(SEARCH("AMARILLO",Inventario!B181)),"AM",
IF(ISNUMBER(SEARCH("NARANJA",Inventario!B181)),"NR",
IF(ISNUMBER(SEARCH("NEGRO",Inventario!B181)),"NG",
IF(ISNUMBER(SEARCH("ROJO",Inventario!B181)),"RJ",
IF(ISNUMBER(SEARCH("AZUL",Inventario!B181)),"AZ","")))))))))))</f>
        <v>AM</v>
      </c>
      <c r="F182" t="str">
        <f>IF(ISNUMBER(SEARCH("1,2 MM",Inventario!B181)),"1MM2",
IF(OR(ISNUMBER(SEARCH("2 MM",Inventario!B181)),ISNUMBER(SEARCH("2MM",Inventario!B181))),"2MM",
IF(OR(ISNUMBER(SEARCH("3 MM",Inventario!B181)),ISNUMBER(SEARCH("3MM",Inventario!B181))),"3MM",
IF(OR(ISNUMBER(SEARCH("4 MM",Inventario!B181)),ISNUMBER(SEARCH("4MM",Inventario!B181)),ISNUMBER(SEARCH("4 mm",Inventario!B181))),"4MM",
IF(OR(ISNUMBER(SEARCH("5 MM",Inventario!B181)),ISNUMBER(SEARCH("5MM",Inventario!B181))),"5MM",
IF(OR(ISNUMBER(SEARCH("6 MM",Inventario!B181)),ISNUMBER(SEARCH("6MM",Inventario!B181))),"6MM",
IF(OR(ISNUMBER(SEARCH("10 MM",Inventario!B181)),ISNUMBER(SEARCH("10MM",Inventario!B181))),"10MM","")))))))</f>
        <v>3MM</v>
      </c>
      <c r="G182" t="str">
        <f>IF(ISNUMBER(SEARCH("ALTA RESISTENCIA",Inventario!B181)),"AR",IF(ISNUMBER(SEARCH("CAMPAÑA",Inventario!B181)),"CA",
IF(OR(ISNUMBER(SEARCH("CALIDO",Inventario!B181)),ISNUMBER(SEARCH("CÁLIDO",Inventario!B181))),"C",
IF(OR(ISNUMBER(SEARCH("TRASLUCIDO",Inventario!B181)),ISNUMBER(SEARCH("TRANSLUCIDO",Inventario!B181))),"TL",
IF(ISNUMBER(SEARCH("NEUTRO",Inventario!B181)),"N",
IF(ISNUMBER(SEARCH("FRIO",Inventario!B181)),"F",""))))))</f>
        <v/>
      </c>
      <c r="H182" t="str">
        <f>IF(ISNUMBER(SEARCH("SILED",Inventario!B181)),"SI",
IF(ISNUMBER(SEARCH("SYDEMEX",Inventario!B181)),"SY",
IF(ISNUMBER(SEARCH("ROHS",Inventario!B181)),"RO",
IF(ISNUMBER(SEARCH("RISHANG",Inventario!B181)),"RS",
IF(ISNUMBER(SEARCH("VYG",Inventario!B181)),"VYG",
IF(ISNUMBER(SEARCH("COLED",Inventario!B181)),"CO",""))))))</f>
        <v/>
      </c>
    </row>
    <row r="183" spans="1:8">
      <c r="A183" t="str">
        <f>IF(ISNUMBER(SEARCH("LONA",Inventario!B182)),"LON",
IF(ISNUMBER(SEARCH("VINIL",Inventario!B182)),"VIN",
IF(ISNUMBER(SEARCH("PANEL DE ALUMINIO COMPUESTO",Inventario!B182)),"PAN-ALU-COM",
IF(ISNUMBER(SEARCH("PVC",Inventario!B182)),"PVC",
IF(ISNUMBER(SEARCH("PAPEL",Inventario!B182)),"PAP",
IF(ISNUMBER(SEARCH("TELA",Inventario!B182)),"TEL",
IF(ISNUMBER(SEARCH("CARTULINA",Inventario!B182)),"CAR",
IF(OR(ISNUMBER(SEARCH("LAMINA",Inventario!B182)),ISNUMBER(SEARCH("LÁMINA",Inventario!B182))),"LAM",
IF(ISNUMBER(SEARCH("ESTIRENO",Inventario!B182)),"EST",
IF(ISNUMBER(SEARCH("FOAMBOARD",Inventario!B182)),"FOA",
IF(ISNUMBER(SEARCH("SOLVENTE",Inventario!B182)),"SOL",
IF(ISNUMBER(SEARCH("TINTA",Inventario!B182)),"TIN",
IF(ISNUMBER(SEARCH("ACRILICO",Inventario!B182)),"ACR",
IF(ISNUMBER(SEARCH("LED",Inventario!B182)),"LED",
IF(ISNUMBER(SEARCH("FUENTE",Inventario!B182)),"FUE",
IF(ISNUMBER(SEARCH("PETG",Inventario!B182)),"PET",
IF(ISNUMBER(SEARCH("ALUMINIO",Inventario!B182)),"ALU",
IF(ISNUMBER(SEARCH("CANAL",Inventario!B182)),"CAN",
IF(ISNUMBER(SEARCH("ESCUADRA",Inventario!B182)),"ESC",
IF(ISNUMBER(SEARCH("SOPORTE",Inventario!B182)),"SOP","OTR")
)))))))))))))))))))</f>
        <v>ACR</v>
      </c>
      <c r="B183" t="str">
        <f>IF(ISNUMBER(SEARCH("CORTE",Inventario!B182)),"COR",
IF(ISNUMBER(SEARCH("CRISTAL",Inventario!B182)),"CR",
IF(OR(ISNUMBER(SEARCH("OPTICO",Inventario!B182)),ISNUMBER(SEARCH("OPTICOS",Inventario!B182)),ISNUMBER(SEARCH("OPTICA",Inventario!B182))),"OP",
IF(ISNUMBER(SEARCH("NANO",Inventario!B182)),"NA",
IF(ISNUMBER(SEARCH("5050",Inventario!B182)),"5050",
IF(ISNUMBER(SEARCH("MICRO",Inventario!B182)),"MI",""))))))</f>
        <v/>
      </c>
      <c r="C183" t="str">
        <f>IF(ISNUMBER(SEARCH("PARED",Inventario!B182)),"PAR",IF(ISNUMBER(SEARCH("MATE",Inventario!B182)),"MAT",
IF(ISNUMBER(SEARCH("FRONT",Inventario!B182)),"FRO",
IF(ISNUMBER(SEARCH("BACK",Inventario!B182)),"BAC",
IF(ISNUMBER(SEARCH("MESH",Inventario!B182)),"MES",
IF(OR(ISNUMBER(SEARCH("BRILLANTE",Inventario!B182)),ISNUMBER(SEARCH("BTE",Inventario!B182))),"BRI",
IF(ISNUMBER(SEARCH("SINTETICA DELGADA",Inventario!B182)),"SD",
IF(ISNUMBER(SEARCH("SINTETICA GRUESA",Inventario!B182)),"SG",
IF(ISNUMBER(SEARCH("ESTATICO",Inventario!B182)),"EST",
IF(ISNUMBER(SEARCH("FLOOR",Inventario!B182)),"FLO",
IF(ISNUMBER(SEARCH("REFLECTIVO",Inventario!B182)),"REF",
IF(ISNUMBER(SEARCH("MICROPERFORADO",Inventario!B182)),"MI",
IF(ISNUMBER(SEARCH("CEPILLADO",Inventario!B182)),"CEP",
IF(ISNUMBER(SEARCH("ESPEJO",Inventario!B182)),"ESP",
IF(OR(ISNUMBER(SEARCH("UNIDIODO",Inventario!B182)),ISNUMBER(SEARCH("1 DIODO",Inventario!B182))),"1D",
IF(ISNUMBER(SEARCH("2 DIODOS",Inventario!B182)),"2D",
IF(ISNUMBER(SEARCH("3 DIODOS",Inventario!B182)),"3D","")))))))))))))))))</f>
        <v/>
      </c>
      <c r="D183" t="str">
        <f>IF(ISNUMBER(SEARCH("LX700",Inventario!B182)),"LX7",
IF(ISNUMBER(SEARCH("GRANDO",Inventario!B182)),"GRA",
IF(OR(ISNUMBER(SEARCH("CAMA PLANA",Inventario!B182)),ISNUMBER(SEARCH("FB700",Inventario!B182))),"CP",
IF(ISNUMBER(SEARCH("LX360",Inventario!B182)),"LX3",
IF(ISNUMBER(SEARCH("XEROX",Inventario!B182)),"XER",
IF(ISNUMBER(SEARCH("18 OZ",Inventario!B182)),"18OZ",
IF(ISNUMBER(SEARCH("15 OZ",Inventario!B182)),"15OZ",
IF(OR(ISNUMBER(SEARCH("13 OZ",Inventario!B182)),ISNUMBER(SEARCH("13 ONZAS",Inventario!B182))),"13OZ",
IF(OR(ISNUMBER(SEARCH("9 OZ",Inventario!B182)),ISNUMBER(SEARCH("9 ONZAS",Inventario!B182))),"09OZ","")))))))))</f>
        <v/>
      </c>
      <c r="E183" t="str">
        <f>IF(OR(ISNUMBER(SEARCH("TRANSPARENTE",Inventario!B182)),ISNUMBER(SEARCH("TRANSPARENTES",Inventario!B182))),"TR",
IF(OR(ISNUMBER(SEARCH("BLANCO",Inventario!B182)),ISNUMBER(SEARCH("BCO",Inventario!B182))),"BL",
IF(ISNUMBER(SEARCH("VERDE",Inventario!B182)),"VR",
IF(ISNUMBER(SEARCH("MORADO",Inventario!B182)),"MR",
IF(ISNUMBER(SEARCH("PLATA",Inventario!B182)),"PL",
IF(ISNUMBER(SEARCH("ORO",Inventario!B182)),"OR",
IF(ISNUMBER(SEARCH("AMARILLO",Inventario!B182)),"AM",
IF(ISNUMBER(SEARCH("NARANJA",Inventario!B182)),"NR",
IF(ISNUMBER(SEARCH("NEGRO",Inventario!B182)),"NG",
IF(ISNUMBER(SEARCH("ROJO",Inventario!B182)),"RJ",
IF(ISNUMBER(SEARCH("AZUL",Inventario!B182)),"AZ","")))))))))))</f>
        <v>AM</v>
      </c>
      <c r="F183" t="str">
        <f>IF(ISNUMBER(SEARCH("1,2 MM",Inventario!B182)),"1MM2",
IF(OR(ISNUMBER(SEARCH("2 MM",Inventario!B182)),ISNUMBER(SEARCH("2MM",Inventario!B182))),"2MM",
IF(OR(ISNUMBER(SEARCH("3 MM",Inventario!B182)),ISNUMBER(SEARCH("3MM",Inventario!B182))),"3MM",
IF(OR(ISNUMBER(SEARCH("4 MM",Inventario!B182)),ISNUMBER(SEARCH("4MM",Inventario!B182)),ISNUMBER(SEARCH("4 mm",Inventario!B182))),"4MM",
IF(OR(ISNUMBER(SEARCH("5 MM",Inventario!B182)),ISNUMBER(SEARCH("5MM",Inventario!B182))),"5MM",
IF(OR(ISNUMBER(SEARCH("6 MM",Inventario!B182)),ISNUMBER(SEARCH("6MM",Inventario!B182))),"6MM",
IF(OR(ISNUMBER(SEARCH("10 MM",Inventario!B182)),ISNUMBER(SEARCH("10MM",Inventario!B182))),"10MM","")))))))</f>
        <v>3MM</v>
      </c>
      <c r="G183" t="str">
        <f>IF(ISNUMBER(SEARCH("ALTA RESISTENCIA",Inventario!B182)),"AR",IF(ISNUMBER(SEARCH("CAMPAÑA",Inventario!B182)),"CA",
IF(OR(ISNUMBER(SEARCH("CALIDO",Inventario!B182)),ISNUMBER(SEARCH("CÁLIDO",Inventario!B182))),"C",
IF(OR(ISNUMBER(SEARCH("TRASLUCIDO",Inventario!B182)),ISNUMBER(SEARCH("TRANSLUCIDO",Inventario!B182))),"TL",
IF(ISNUMBER(SEARCH("NEUTRO",Inventario!B182)),"N",
IF(ISNUMBER(SEARCH("FRIO",Inventario!B182)),"F",""))))))</f>
        <v>TL</v>
      </c>
      <c r="H183" t="str">
        <f>IF(ISNUMBER(SEARCH("SILED",Inventario!B182)),"SI",
IF(ISNUMBER(SEARCH("SYDEMEX",Inventario!B182)),"SY",
IF(ISNUMBER(SEARCH("ROHS",Inventario!B182)),"RO",
IF(ISNUMBER(SEARCH("RISHANG",Inventario!B182)),"RS",
IF(ISNUMBER(SEARCH("VYG",Inventario!B182)),"VYG",
IF(ISNUMBER(SEARCH("COLED",Inventario!B182)),"CO",""))))))</f>
        <v/>
      </c>
    </row>
    <row r="184" spans="1:8">
      <c r="A184" t="str">
        <f>IF(ISNUMBER(SEARCH("LONA",Inventario!B183)),"LON",
IF(ISNUMBER(SEARCH("VINIL",Inventario!B183)),"VIN",
IF(ISNUMBER(SEARCH("PANEL DE ALUMINIO COMPUESTO",Inventario!B183)),"PAN-ALU-COM",
IF(ISNUMBER(SEARCH("PVC",Inventario!B183)),"PVC",
IF(ISNUMBER(SEARCH("PAPEL",Inventario!B183)),"PAP",
IF(ISNUMBER(SEARCH("TELA",Inventario!B183)),"TEL",
IF(ISNUMBER(SEARCH("CARTULINA",Inventario!B183)),"CAR",
IF(OR(ISNUMBER(SEARCH("LAMINA",Inventario!B183)),ISNUMBER(SEARCH("LÁMINA",Inventario!B183))),"LAM",
IF(ISNUMBER(SEARCH("ESTIRENO",Inventario!B183)),"EST",
IF(ISNUMBER(SEARCH("FOAMBOARD",Inventario!B183)),"FOA",
IF(ISNUMBER(SEARCH("SOLVENTE",Inventario!B183)),"SOL",
IF(ISNUMBER(SEARCH("TINTA",Inventario!B183)),"TIN",
IF(ISNUMBER(SEARCH("ACRILICO",Inventario!B183)),"ACR",
IF(ISNUMBER(SEARCH("LED",Inventario!B183)),"LED",
IF(ISNUMBER(SEARCH("FUENTE",Inventario!B183)),"FUE",
IF(ISNUMBER(SEARCH("PETG",Inventario!B183)),"PET",
IF(ISNUMBER(SEARCH("ALUMINIO",Inventario!B183)),"ALU",
IF(ISNUMBER(SEARCH("CANAL",Inventario!B183)),"CAN",
IF(ISNUMBER(SEARCH("ESCUADRA",Inventario!B183)),"ESC",
IF(ISNUMBER(SEARCH("SOPORTE",Inventario!B183)),"SOP","OTR")
)))))))))))))))))))</f>
        <v>ACR</v>
      </c>
      <c r="B184" t="str">
        <f>IF(ISNUMBER(SEARCH("CORTE",Inventario!B183)),"COR",
IF(ISNUMBER(SEARCH("CRISTAL",Inventario!B183)),"CR",
IF(OR(ISNUMBER(SEARCH("OPTICO",Inventario!B183)),ISNUMBER(SEARCH("OPTICOS",Inventario!B183)),ISNUMBER(SEARCH("OPTICA",Inventario!B183))),"OP",
IF(ISNUMBER(SEARCH("NANO",Inventario!B183)),"NA",
IF(ISNUMBER(SEARCH("5050",Inventario!B183)),"5050",
IF(ISNUMBER(SEARCH("MICRO",Inventario!B183)),"MI",""))))))</f>
        <v/>
      </c>
      <c r="C184" t="str">
        <f>IF(ISNUMBER(SEARCH("PARED",Inventario!B183)),"PAR",IF(ISNUMBER(SEARCH("MATE",Inventario!B183)),"MAT",
IF(ISNUMBER(SEARCH("FRONT",Inventario!B183)),"FRO",
IF(ISNUMBER(SEARCH("BACK",Inventario!B183)),"BAC",
IF(ISNUMBER(SEARCH("MESH",Inventario!B183)),"MES",
IF(OR(ISNUMBER(SEARCH("BRILLANTE",Inventario!B183)),ISNUMBER(SEARCH("BTE",Inventario!B183))),"BRI",
IF(ISNUMBER(SEARCH("SINTETICA DELGADA",Inventario!B183)),"SD",
IF(ISNUMBER(SEARCH("SINTETICA GRUESA",Inventario!B183)),"SG",
IF(ISNUMBER(SEARCH("ESTATICO",Inventario!B183)),"EST",
IF(ISNUMBER(SEARCH("FLOOR",Inventario!B183)),"FLO",
IF(ISNUMBER(SEARCH("REFLECTIVO",Inventario!B183)),"REF",
IF(ISNUMBER(SEARCH("MICROPERFORADO",Inventario!B183)),"MI",
IF(ISNUMBER(SEARCH("CEPILLADO",Inventario!B183)),"CEP",
IF(ISNUMBER(SEARCH("ESPEJO",Inventario!B183)),"ESP",
IF(OR(ISNUMBER(SEARCH("UNIDIODO",Inventario!B183)),ISNUMBER(SEARCH("1 DIODO",Inventario!B183))),"1D",
IF(ISNUMBER(SEARCH("2 DIODOS",Inventario!B183)),"2D",
IF(ISNUMBER(SEARCH("3 DIODOS",Inventario!B183)),"3D","")))))))))))))))))</f>
        <v/>
      </c>
      <c r="D184" t="str">
        <f>IF(ISNUMBER(SEARCH("LX700",Inventario!B183)),"LX7",
IF(ISNUMBER(SEARCH("GRANDO",Inventario!B183)),"GRA",
IF(OR(ISNUMBER(SEARCH("CAMA PLANA",Inventario!B183)),ISNUMBER(SEARCH("FB700",Inventario!B183))),"CP",
IF(ISNUMBER(SEARCH("LX360",Inventario!B183)),"LX3",
IF(ISNUMBER(SEARCH("XEROX",Inventario!B183)),"XER",
IF(ISNUMBER(SEARCH("18 OZ",Inventario!B183)),"18OZ",
IF(ISNUMBER(SEARCH("15 OZ",Inventario!B183)),"15OZ",
IF(OR(ISNUMBER(SEARCH("13 OZ",Inventario!B183)),ISNUMBER(SEARCH("13 ONZAS",Inventario!B183))),"13OZ",
IF(OR(ISNUMBER(SEARCH("9 OZ",Inventario!B183)),ISNUMBER(SEARCH("9 ONZAS",Inventario!B183))),"09OZ","")))))))))</f>
        <v/>
      </c>
      <c r="E184" t="str">
        <f>IF(OR(ISNUMBER(SEARCH("TRANSPARENTE",Inventario!B183)),ISNUMBER(SEARCH("TRANSPARENTES",Inventario!B183))),"TR",
IF(OR(ISNUMBER(SEARCH("BLANCO",Inventario!B183)),ISNUMBER(SEARCH("BCO",Inventario!B183))),"BL",
IF(ISNUMBER(SEARCH("VERDE",Inventario!B183)),"VR",
IF(ISNUMBER(SEARCH("MORADO",Inventario!B183)),"MR",
IF(ISNUMBER(SEARCH("PLATA",Inventario!B183)),"PL",
IF(ISNUMBER(SEARCH("ORO",Inventario!B183)),"OR",
IF(ISNUMBER(SEARCH("AMARILLO",Inventario!B183)),"AM",
IF(ISNUMBER(SEARCH("NARANJA",Inventario!B183)),"NR",
IF(ISNUMBER(SEARCH("NEGRO",Inventario!B183)),"NG",
IF(ISNUMBER(SEARCH("ROJO",Inventario!B183)),"RJ",
IF(ISNUMBER(SEARCH("AZUL",Inventario!B183)),"AZ","")))))))))))</f>
        <v>VR</v>
      </c>
      <c r="F184" t="str">
        <f>IF(ISNUMBER(SEARCH("1,2 MM",Inventario!B183)),"1MM2",
IF(OR(ISNUMBER(SEARCH("2 MM",Inventario!B183)),ISNUMBER(SEARCH("2MM",Inventario!B183))),"2MM",
IF(OR(ISNUMBER(SEARCH("3 MM",Inventario!B183)),ISNUMBER(SEARCH("3MM",Inventario!B183))),"3MM",
IF(OR(ISNUMBER(SEARCH("4 MM",Inventario!B183)),ISNUMBER(SEARCH("4MM",Inventario!B183)),ISNUMBER(SEARCH("4 mm",Inventario!B183))),"4MM",
IF(OR(ISNUMBER(SEARCH("5 MM",Inventario!B183)),ISNUMBER(SEARCH("5MM",Inventario!B183))),"5MM",
IF(OR(ISNUMBER(SEARCH("6 MM",Inventario!B183)),ISNUMBER(SEARCH("6MM",Inventario!B183))),"6MM",
IF(OR(ISNUMBER(SEARCH("10 MM",Inventario!B183)),ISNUMBER(SEARCH("10MM",Inventario!B183))),"10MM","")))))))</f>
        <v>3MM</v>
      </c>
      <c r="G184" t="str">
        <f>IF(ISNUMBER(SEARCH("ALTA RESISTENCIA",Inventario!B183)),"AR",IF(ISNUMBER(SEARCH("CAMPAÑA",Inventario!B183)),"CA",
IF(OR(ISNUMBER(SEARCH("CALIDO",Inventario!B183)),ISNUMBER(SEARCH("CÁLIDO",Inventario!B183))),"C",
IF(OR(ISNUMBER(SEARCH("TRASLUCIDO",Inventario!B183)),ISNUMBER(SEARCH("TRANSLUCIDO",Inventario!B183))),"TL",
IF(ISNUMBER(SEARCH("NEUTRO",Inventario!B183)),"N",
IF(ISNUMBER(SEARCH("FRIO",Inventario!B183)),"F",""))))))</f>
        <v/>
      </c>
      <c r="H184" t="str">
        <f>IF(ISNUMBER(SEARCH("SILED",Inventario!B183)),"SI",
IF(ISNUMBER(SEARCH("SYDEMEX",Inventario!B183)),"SY",
IF(ISNUMBER(SEARCH("ROHS",Inventario!B183)),"RO",
IF(ISNUMBER(SEARCH("RISHANG",Inventario!B183)),"RS",
IF(ISNUMBER(SEARCH("VYG",Inventario!B183)),"VYG",
IF(ISNUMBER(SEARCH("COLED",Inventario!B183)),"CO",""))))))</f>
        <v/>
      </c>
    </row>
    <row r="185" spans="1:8">
      <c r="A185" t="str">
        <f>IF(ISNUMBER(SEARCH("LONA",Inventario!B184)),"LON",
IF(ISNUMBER(SEARCH("VINIL",Inventario!B184)),"VIN",
IF(ISNUMBER(SEARCH("PANEL DE ALUMINIO COMPUESTO",Inventario!B184)),"PAN-ALU-COM",
IF(ISNUMBER(SEARCH("PVC",Inventario!B184)),"PVC",
IF(ISNUMBER(SEARCH("PAPEL",Inventario!B184)),"PAP",
IF(ISNUMBER(SEARCH("TELA",Inventario!B184)),"TEL",
IF(ISNUMBER(SEARCH("CARTULINA",Inventario!B184)),"CAR",
IF(OR(ISNUMBER(SEARCH("LAMINA",Inventario!B184)),ISNUMBER(SEARCH("LÁMINA",Inventario!B184))),"LAM",
IF(ISNUMBER(SEARCH("ESTIRENO",Inventario!B184)),"EST",
IF(ISNUMBER(SEARCH("FOAMBOARD",Inventario!B184)),"FOA",
IF(ISNUMBER(SEARCH("SOLVENTE",Inventario!B184)),"SOL",
IF(ISNUMBER(SEARCH("TINTA",Inventario!B184)),"TIN",
IF(ISNUMBER(SEARCH("ACRILICO",Inventario!B184)),"ACR",
IF(ISNUMBER(SEARCH("LED",Inventario!B184)),"LED",
IF(ISNUMBER(SEARCH("FUENTE",Inventario!B184)),"FUE",
IF(ISNUMBER(SEARCH("PETG",Inventario!B184)),"PET",
IF(ISNUMBER(SEARCH("ALUMINIO",Inventario!B184)),"ALU",
IF(ISNUMBER(SEARCH("CANAL",Inventario!B184)),"CAN",
IF(ISNUMBER(SEARCH("ESCUADRA",Inventario!B184)),"ESC",
IF(ISNUMBER(SEARCH("SOPORTE",Inventario!B184)),"SOP","OTR")
)))))))))))))))))))</f>
        <v>PAN-ALU-COM</v>
      </c>
      <c r="B185" t="str">
        <f>IF(ISNUMBER(SEARCH("CORTE",Inventario!B184)),"COR",
IF(ISNUMBER(SEARCH("CRISTAL",Inventario!B184)),"CR",
IF(OR(ISNUMBER(SEARCH("OPTICO",Inventario!B184)),ISNUMBER(SEARCH("OPTICOS",Inventario!B184)),ISNUMBER(SEARCH("OPTICA",Inventario!B184))),"OP",
IF(ISNUMBER(SEARCH("NANO",Inventario!B184)),"NA",
IF(ISNUMBER(SEARCH("5050",Inventario!B184)),"5050",
IF(ISNUMBER(SEARCH("MICRO",Inventario!B184)),"MI",""))))))</f>
        <v/>
      </c>
      <c r="C185" t="str">
        <f>IF(ISNUMBER(SEARCH("PARED",Inventario!B184)),"PAR",IF(ISNUMBER(SEARCH("MATE",Inventario!B184)),"MAT",
IF(ISNUMBER(SEARCH("FRONT",Inventario!B184)),"FRO",
IF(ISNUMBER(SEARCH("BACK",Inventario!B184)),"BAC",
IF(ISNUMBER(SEARCH("MESH",Inventario!B184)),"MES",
IF(OR(ISNUMBER(SEARCH("BRILLANTE",Inventario!B184)),ISNUMBER(SEARCH("BTE",Inventario!B184))),"BRI",
IF(ISNUMBER(SEARCH("SINTETICA DELGADA",Inventario!B184)),"SD",
IF(ISNUMBER(SEARCH("SINTETICA GRUESA",Inventario!B184)),"SG",
IF(ISNUMBER(SEARCH("ESTATICO",Inventario!B184)),"EST",
IF(ISNUMBER(SEARCH("FLOOR",Inventario!B184)),"FLO",
IF(ISNUMBER(SEARCH("REFLECTIVO",Inventario!B184)),"REF",
IF(ISNUMBER(SEARCH("MICROPERFORADO",Inventario!B184)),"MI",
IF(ISNUMBER(SEARCH("CEPILLADO",Inventario!B184)),"CEP",
IF(ISNUMBER(SEARCH("ESPEJO",Inventario!B184)),"ESP",
IF(OR(ISNUMBER(SEARCH("UNIDIODO",Inventario!B184)),ISNUMBER(SEARCH("1 DIODO",Inventario!B184))),"1D",
IF(ISNUMBER(SEARCH("2 DIODOS",Inventario!B184)),"2D",
IF(ISNUMBER(SEARCH("3 DIODOS",Inventario!B184)),"3D","")))))))))))))))))</f>
        <v>BRI</v>
      </c>
      <c r="D185" t="str">
        <f>IF(ISNUMBER(SEARCH("LX700",Inventario!B184)),"LX7",
IF(ISNUMBER(SEARCH("GRANDO",Inventario!B184)),"GRA",
IF(OR(ISNUMBER(SEARCH("CAMA PLANA",Inventario!B184)),ISNUMBER(SEARCH("FB700",Inventario!B184))),"CP",
IF(ISNUMBER(SEARCH("LX360",Inventario!B184)),"LX3",
IF(ISNUMBER(SEARCH("XEROX",Inventario!B184)),"XER",
IF(ISNUMBER(SEARCH("18 OZ",Inventario!B184)),"18OZ",
IF(ISNUMBER(SEARCH("15 OZ",Inventario!B184)),"15OZ",
IF(OR(ISNUMBER(SEARCH("13 OZ",Inventario!B184)),ISNUMBER(SEARCH("13 ONZAS",Inventario!B184))),"13OZ",
IF(OR(ISNUMBER(SEARCH("9 OZ",Inventario!B184)),ISNUMBER(SEARCH("9 ONZAS",Inventario!B184))),"09OZ","")))))))))</f>
        <v/>
      </c>
      <c r="E185" t="str">
        <f>IF(OR(ISNUMBER(SEARCH("TRANSPARENTE",Inventario!B184)),ISNUMBER(SEARCH("TRANSPARENTES",Inventario!B184))),"TR",
IF(OR(ISNUMBER(SEARCH("BLANCO",Inventario!B184)),ISNUMBER(SEARCH("BCO",Inventario!B184))),"BL",
IF(ISNUMBER(SEARCH("VERDE",Inventario!B184)),"VR",
IF(ISNUMBER(SEARCH("MORADO",Inventario!B184)),"MR",
IF(ISNUMBER(SEARCH("PLATA",Inventario!B184)),"PL",
IF(ISNUMBER(SEARCH("ORO",Inventario!B184)),"OR",
IF(ISNUMBER(SEARCH("AMARILLO",Inventario!B184)),"AM",
IF(ISNUMBER(SEARCH("NARANJA",Inventario!B184)),"NR",
IF(ISNUMBER(SEARCH("NEGRO",Inventario!B184)),"NG",
IF(ISNUMBER(SEARCH("ROJO",Inventario!B184)),"RJ",
IF(ISNUMBER(SEARCH("AZUL",Inventario!B184)),"AZ","")))))))))))</f>
        <v>PL</v>
      </c>
      <c r="F185" t="str">
        <f>IF(ISNUMBER(SEARCH("1,2 MM",Inventario!B184)),"1MM2",
IF(OR(ISNUMBER(SEARCH("2 MM",Inventario!B184)),ISNUMBER(SEARCH("2MM",Inventario!B184))),"2MM",
IF(OR(ISNUMBER(SEARCH("3 MM",Inventario!B184)),ISNUMBER(SEARCH("3MM",Inventario!B184))),"3MM",
IF(OR(ISNUMBER(SEARCH("4 MM",Inventario!B184)),ISNUMBER(SEARCH("4MM",Inventario!B184)),ISNUMBER(SEARCH("4 mm",Inventario!B184))),"4MM",
IF(OR(ISNUMBER(SEARCH("5 MM",Inventario!B184)),ISNUMBER(SEARCH("5MM",Inventario!B184))),"5MM",
IF(OR(ISNUMBER(SEARCH("6 MM",Inventario!B184)),ISNUMBER(SEARCH("6MM",Inventario!B184))),"6MM",
IF(OR(ISNUMBER(SEARCH("10 MM",Inventario!B184)),ISNUMBER(SEARCH("10MM",Inventario!B184))),"10MM","")))))))</f>
        <v/>
      </c>
      <c r="H185" t="str">
        <f>IF(ISNUMBER(SEARCH("SILED",Inventario!B184)),"SI",
IF(ISNUMBER(SEARCH("SYDEMEX",Inventario!B184)),"SY",
IF(ISNUMBER(SEARCH("ROHS",Inventario!B184)),"RO",
IF(ISNUMBER(SEARCH("RISHANG",Inventario!B184)),"RS",
IF(ISNUMBER(SEARCH("VYG",Inventario!B184)),"VYG",
IF(ISNUMBER(SEARCH("COLED",Inventario!B184)),"CO",""))))))</f>
        <v/>
      </c>
    </row>
    <row r="186" spans="1:8">
      <c r="A186" t="str">
        <f>IF(ISNUMBER(SEARCH("LONA",Inventario!B185)),"LON",
IF(ISNUMBER(SEARCH("VINIL",Inventario!B185)),"VIN",
IF(ISNUMBER(SEARCH("PANEL DE ALUMINIO COMPUESTO",Inventario!B185)),"PAN-ALU-COM",
IF(ISNUMBER(SEARCH("PVC",Inventario!B185)),"PVC",
IF(ISNUMBER(SEARCH("PAPEL",Inventario!B185)),"PAP",
IF(ISNUMBER(SEARCH("TELA",Inventario!B185)),"TEL",
IF(ISNUMBER(SEARCH("CARTULINA",Inventario!B185)),"CAR",
IF(OR(ISNUMBER(SEARCH("LAMINA",Inventario!B185)),ISNUMBER(SEARCH("LÁMINA",Inventario!B185))),"LAM",
IF(ISNUMBER(SEARCH("ESTIRENO",Inventario!B185)),"EST",
IF(ISNUMBER(SEARCH("FOAMBOARD",Inventario!B185)),"FOA",
IF(ISNUMBER(SEARCH("SOLVENTE",Inventario!B185)),"SOL",
IF(ISNUMBER(SEARCH("TINTA",Inventario!B185)),"TIN",
IF(ISNUMBER(SEARCH("ACRILICO",Inventario!B185)),"ACR",
IF(ISNUMBER(SEARCH("LED",Inventario!B185)),"LED",
IF(ISNUMBER(SEARCH("FUENTE",Inventario!B185)),"FUE",
IF(ISNUMBER(SEARCH("PETG",Inventario!B185)),"PET",
IF(ISNUMBER(SEARCH("ALUMINIO",Inventario!B185)),"ALU",
IF(ISNUMBER(SEARCH("CANAL",Inventario!B185)),"CAN",
IF(ISNUMBER(SEARCH("ESCUADRA",Inventario!B185)),"ESC",
IF(ISNUMBER(SEARCH("SOPORTE",Inventario!B185)),"SOP","OTR")
)))))))))))))))))))</f>
        <v>PAN-ALU-COM</v>
      </c>
      <c r="B186" t="str">
        <f>IF(ISNUMBER(SEARCH("CORTE",Inventario!B185)),"COR",
IF(ISNUMBER(SEARCH("CRISTAL",Inventario!B185)),"CR",
IF(OR(ISNUMBER(SEARCH("OPTICO",Inventario!B185)),ISNUMBER(SEARCH("OPTICOS",Inventario!B185)),ISNUMBER(SEARCH("OPTICA",Inventario!B185))),"OP",
IF(ISNUMBER(SEARCH("NANO",Inventario!B185)),"NA",
IF(ISNUMBER(SEARCH("5050",Inventario!B185)),"5050",
IF(ISNUMBER(SEARCH("MICRO",Inventario!B185)),"MI",""))))))</f>
        <v/>
      </c>
      <c r="C186" t="str">
        <f>IF(ISNUMBER(SEARCH("PARED",Inventario!B185)),"PAR",IF(ISNUMBER(SEARCH("MATE",Inventario!B185)),"MAT",
IF(ISNUMBER(SEARCH("FRONT",Inventario!B185)),"FRO",
IF(ISNUMBER(SEARCH("BACK",Inventario!B185)),"BAC",
IF(ISNUMBER(SEARCH("MESH",Inventario!B185)),"MES",
IF(OR(ISNUMBER(SEARCH("BRILLANTE",Inventario!B185)),ISNUMBER(SEARCH("BTE",Inventario!B185))),"BRI",
IF(ISNUMBER(SEARCH("SINTETICA DELGADA",Inventario!B185)),"SD",
IF(ISNUMBER(SEARCH("SINTETICA GRUESA",Inventario!B185)),"SG",
IF(ISNUMBER(SEARCH("ESTATICO",Inventario!B185)),"EST",
IF(ISNUMBER(SEARCH("FLOOR",Inventario!B185)),"FLO",
IF(ISNUMBER(SEARCH("REFLECTIVO",Inventario!B185)),"REF",
IF(ISNUMBER(SEARCH("MICROPERFORADO",Inventario!B185)),"MI",
IF(ISNUMBER(SEARCH("CEPILLADO",Inventario!B185)),"CEP",
IF(ISNUMBER(SEARCH("ESPEJO",Inventario!B185)),"ESP",
IF(OR(ISNUMBER(SEARCH("UNIDIODO",Inventario!B185)),ISNUMBER(SEARCH("1 DIODO",Inventario!B185))),"1D",
IF(ISNUMBER(SEARCH("2 DIODOS",Inventario!B185)),"2D",
IF(ISNUMBER(SEARCH("3 DIODOS",Inventario!B185)),"3D","")))))))))))))))))</f>
        <v>BRI</v>
      </c>
      <c r="D186" t="str">
        <f>IF(ISNUMBER(SEARCH("LX700",Inventario!B185)),"LX7",
IF(ISNUMBER(SEARCH("GRANDO",Inventario!B185)),"GRA",
IF(OR(ISNUMBER(SEARCH("CAMA PLANA",Inventario!B185)),ISNUMBER(SEARCH("FB700",Inventario!B185))),"CP",
IF(ISNUMBER(SEARCH("LX360",Inventario!B185)),"LX3",
IF(ISNUMBER(SEARCH("XEROX",Inventario!B185)),"XER",
IF(ISNUMBER(SEARCH("18 OZ",Inventario!B185)),"18OZ",
IF(ISNUMBER(SEARCH("15 OZ",Inventario!B185)),"15OZ",
IF(OR(ISNUMBER(SEARCH("13 OZ",Inventario!B185)),ISNUMBER(SEARCH("13 ONZAS",Inventario!B185))),"13OZ",
IF(OR(ISNUMBER(SEARCH("9 OZ",Inventario!B185)),ISNUMBER(SEARCH("9 ONZAS",Inventario!B185))),"09OZ","")))))))))</f>
        <v/>
      </c>
      <c r="E186" t="str">
        <f>IF(OR(ISNUMBER(SEARCH("TRANSPARENTE",Inventario!B185)),ISNUMBER(SEARCH("TRANSPARENTES",Inventario!B185))),"TR",
IF(OR(ISNUMBER(SEARCH("BLANCO",Inventario!B185)),ISNUMBER(SEARCH("BCO",Inventario!B185))),"BL",
IF(ISNUMBER(SEARCH("VERDE",Inventario!B185)),"VR",
IF(ISNUMBER(SEARCH("MORADO",Inventario!B185)),"MR",
IF(ISNUMBER(SEARCH("PLATA",Inventario!B185)),"PL",
IF(ISNUMBER(SEARCH("ORO",Inventario!B185)),"OR",
IF(ISNUMBER(SEARCH("AMARILLO",Inventario!B185)),"AM",
IF(ISNUMBER(SEARCH("NARANJA",Inventario!B185)),"NR",
IF(ISNUMBER(SEARCH("NEGRO",Inventario!B185)),"NG",
IF(ISNUMBER(SEARCH("ROJO",Inventario!B185)),"RJ",
IF(ISNUMBER(SEARCH("AZUL",Inventario!B185)),"AZ","")))))))))))</f>
        <v>RJ</v>
      </c>
      <c r="F186" t="str">
        <f>IF(ISNUMBER(SEARCH("1,2 MM",Inventario!B185)),"1MM2",
IF(OR(ISNUMBER(SEARCH("2 MM",Inventario!B185)),ISNUMBER(SEARCH("2MM",Inventario!B185))),"2MM",
IF(OR(ISNUMBER(SEARCH("3 MM",Inventario!B185)),ISNUMBER(SEARCH("3MM",Inventario!B185))),"3MM",
IF(OR(ISNUMBER(SEARCH("4 MM",Inventario!B185)),ISNUMBER(SEARCH("4MM",Inventario!B185)),ISNUMBER(SEARCH("4 mm",Inventario!B185))),"4MM",
IF(OR(ISNUMBER(SEARCH("5 MM",Inventario!B185)),ISNUMBER(SEARCH("5MM",Inventario!B185))),"5MM",
IF(OR(ISNUMBER(SEARCH("6 MM",Inventario!B185)),ISNUMBER(SEARCH("6MM",Inventario!B185))),"6MM",
IF(OR(ISNUMBER(SEARCH("10 MM",Inventario!B185)),ISNUMBER(SEARCH("10MM",Inventario!B185))),"10MM","")))))))</f>
        <v/>
      </c>
      <c r="H186" t="str">
        <f>IF(ISNUMBER(SEARCH("SILED",Inventario!B185)),"SI",
IF(ISNUMBER(SEARCH("SYDEMEX",Inventario!B185)),"SY",
IF(ISNUMBER(SEARCH("ROHS",Inventario!B185)),"RO",
IF(ISNUMBER(SEARCH("RISHANG",Inventario!B185)),"RS",
IF(ISNUMBER(SEARCH("VYG",Inventario!B185)),"VYG",
IF(ISNUMBER(SEARCH("COLED",Inventario!B185)),"CO",""))))))</f>
        <v/>
      </c>
    </row>
    <row r="187" spans="1:8">
      <c r="A187" t="str">
        <f>IF(ISNUMBER(SEARCH("LONA",Inventario!B186)),"LON",
IF(ISNUMBER(SEARCH("VINIL",Inventario!B186)),"VIN",
IF(ISNUMBER(SEARCH("PANEL DE ALUMINIO COMPUESTO",Inventario!B186)),"PAN-ALU-COM",
IF(ISNUMBER(SEARCH("PVC",Inventario!B186)),"PVC",
IF(ISNUMBER(SEARCH("PAPEL",Inventario!B186)),"PAP",
IF(ISNUMBER(SEARCH("TELA",Inventario!B186)),"TEL",
IF(ISNUMBER(SEARCH("CARTULINA",Inventario!B186)),"CAR",
IF(OR(ISNUMBER(SEARCH("LAMINA",Inventario!B186)),ISNUMBER(SEARCH("LÁMINA",Inventario!B186))),"LAM",
IF(ISNUMBER(SEARCH("ESTIRENO",Inventario!B186)),"EST",
IF(ISNUMBER(SEARCH("FOAMBOARD",Inventario!B186)),"FOA",
IF(ISNUMBER(SEARCH("SOLVENTE",Inventario!B186)),"SOL",
IF(ISNUMBER(SEARCH("TINTA",Inventario!B186)),"TIN",
IF(ISNUMBER(SEARCH("ACRILICO",Inventario!B186)),"ACR",
IF(ISNUMBER(SEARCH("LED",Inventario!B186)),"LED",
IF(ISNUMBER(SEARCH("FUENTE",Inventario!B186)),"FUE",
IF(ISNUMBER(SEARCH("PETG",Inventario!B186)),"PET",
IF(ISNUMBER(SEARCH("ALUMINIO",Inventario!B186)),"ALU",
IF(ISNUMBER(SEARCH("CANAL",Inventario!B186)),"CAN",
IF(ISNUMBER(SEARCH("ESCUADRA",Inventario!B186)),"ESC",
IF(ISNUMBER(SEARCH("SOPORTE",Inventario!B186)),"SOP","OTR")
)))))))))))))))))))</f>
        <v>PAN-ALU-COM</v>
      </c>
      <c r="B187" t="str">
        <f>IF(ISNUMBER(SEARCH("CORTE",Inventario!B186)),"COR",
IF(ISNUMBER(SEARCH("CRISTAL",Inventario!B186)),"CR",
IF(OR(ISNUMBER(SEARCH("OPTICO",Inventario!B186)),ISNUMBER(SEARCH("OPTICOS",Inventario!B186)),ISNUMBER(SEARCH("OPTICA",Inventario!B186))),"OP",
IF(ISNUMBER(SEARCH("NANO",Inventario!B186)),"NA",
IF(ISNUMBER(SEARCH("5050",Inventario!B186)),"5050",
IF(ISNUMBER(SEARCH("MICRO",Inventario!B186)),"MI",""))))))</f>
        <v/>
      </c>
      <c r="C187" t="str">
        <f>IF(ISNUMBER(SEARCH("PARED",Inventario!B186)),"PAR",IF(ISNUMBER(SEARCH("MATE",Inventario!B186)),"MAT",
IF(ISNUMBER(SEARCH("FRONT",Inventario!B186)),"FRO",
IF(ISNUMBER(SEARCH("BACK",Inventario!B186)),"BAC",
IF(ISNUMBER(SEARCH("MESH",Inventario!B186)),"MES",
IF(OR(ISNUMBER(SEARCH("BRILLANTE",Inventario!B186)),ISNUMBER(SEARCH("BTE",Inventario!B186))),"BRI",
IF(ISNUMBER(SEARCH("SINTETICA DELGADA",Inventario!B186)),"SD",
IF(ISNUMBER(SEARCH("SINTETICA GRUESA",Inventario!B186)),"SG",
IF(ISNUMBER(SEARCH("ESTATICO",Inventario!B186)),"EST",
IF(ISNUMBER(SEARCH("FLOOR",Inventario!B186)),"FLO",
IF(ISNUMBER(SEARCH("REFLECTIVO",Inventario!B186)),"REF",
IF(ISNUMBER(SEARCH("MICROPERFORADO",Inventario!B186)),"MI",
IF(ISNUMBER(SEARCH("CEPILLADO",Inventario!B186)),"CEP",
IF(ISNUMBER(SEARCH("ESPEJO",Inventario!B186)),"ESP",
IF(OR(ISNUMBER(SEARCH("UNIDIODO",Inventario!B186)),ISNUMBER(SEARCH("1 DIODO",Inventario!B186))),"1D",
IF(ISNUMBER(SEARCH("2 DIODOS",Inventario!B186)),"2D",
IF(ISNUMBER(SEARCH("3 DIODOS",Inventario!B186)),"3D","")))))))))))))))))</f>
        <v>BRI</v>
      </c>
      <c r="D187" t="str">
        <f>IF(ISNUMBER(SEARCH("LX700",Inventario!B186)),"LX7",
IF(ISNUMBER(SEARCH("GRANDO",Inventario!B186)),"GRA",
IF(OR(ISNUMBER(SEARCH("CAMA PLANA",Inventario!B186)),ISNUMBER(SEARCH("FB700",Inventario!B186))),"CP",
IF(ISNUMBER(SEARCH("LX360",Inventario!B186)),"LX3",
IF(ISNUMBER(SEARCH("XEROX",Inventario!B186)),"XER",
IF(ISNUMBER(SEARCH("18 OZ",Inventario!B186)),"18OZ",
IF(ISNUMBER(SEARCH("15 OZ",Inventario!B186)),"15OZ",
IF(OR(ISNUMBER(SEARCH("13 OZ",Inventario!B186)),ISNUMBER(SEARCH("13 ONZAS",Inventario!B186))),"13OZ",
IF(OR(ISNUMBER(SEARCH("9 OZ",Inventario!B186)),ISNUMBER(SEARCH("9 ONZAS",Inventario!B186))),"09OZ","")))))))))</f>
        <v/>
      </c>
      <c r="E187" t="str">
        <f>IF(OR(ISNUMBER(SEARCH("TRANSPARENTE",Inventario!B186)),ISNUMBER(SEARCH("TRANSPARENTES",Inventario!B186))),"TR",
IF(OR(ISNUMBER(SEARCH("BLANCO",Inventario!B186)),ISNUMBER(SEARCH("BCO",Inventario!B186))),"BL",
IF(ISNUMBER(SEARCH("VERDE",Inventario!B186)),"VR",
IF(ISNUMBER(SEARCH("MORADO",Inventario!B186)),"MR",
IF(ISNUMBER(SEARCH("PLATA",Inventario!B186)),"PL",
IF(ISNUMBER(SEARCH("ORO",Inventario!B186)),"OR",
IF(ISNUMBER(SEARCH("AMARILLO",Inventario!B186)),"AM",
IF(ISNUMBER(SEARCH("NARANJA",Inventario!B186)),"NR",
IF(ISNUMBER(SEARCH("NEGRO",Inventario!B186)),"NG",
IF(ISNUMBER(SEARCH("ROJO",Inventario!B186)),"RJ",
IF(ISNUMBER(SEARCH("AZUL",Inventario!B186)),"AZ","")))))))))))</f>
        <v>RJ</v>
      </c>
      <c r="F187" t="str">
        <f>IF(ISNUMBER(SEARCH("1,2 MM",Inventario!B186)),"1MM2",
IF(OR(ISNUMBER(SEARCH("2 MM",Inventario!B186)),ISNUMBER(SEARCH("2MM",Inventario!B186))),"2MM",
IF(OR(ISNUMBER(SEARCH("3 MM",Inventario!B186)),ISNUMBER(SEARCH("3MM",Inventario!B186))),"3MM",
IF(OR(ISNUMBER(SEARCH("4 MM",Inventario!B186)),ISNUMBER(SEARCH("4MM",Inventario!B186)),ISNUMBER(SEARCH("4 mm",Inventario!B186))),"4MM",
IF(OR(ISNUMBER(SEARCH("5 MM",Inventario!B186)),ISNUMBER(SEARCH("5MM",Inventario!B186))),"5MM",
IF(OR(ISNUMBER(SEARCH("6 MM",Inventario!B186)),ISNUMBER(SEARCH("6MM",Inventario!B186))),"6MM",
IF(OR(ISNUMBER(SEARCH("10 MM",Inventario!B186)),ISNUMBER(SEARCH("10MM",Inventario!B186))),"10MM","")))))))</f>
        <v/>
      </c>
      <c r="H187" t="str">
        <f>IF(ISNUMBER(SEARCH("SILED",Inventario!B186)),"SI",
IF(ISNUMBER(SEARCH("SYDEMEX",Inventario!B186)),"SY",
IF(ISNUMBER(SEARCH("ROHS",Inventario!B186)),"RO",
IF(ISNUMBER(SEARCH("RISHANG",Inventario!B186)),"RS",
IF(ISNUMBER(SEARCH("VYG",Inventario!B186)),"VYG",
IF(ISNUMBER(SEARCH("COLED",Inventario!B186)),"CO",""))))))</f>
        <v/>
      </c>
    </row>
    <row r="188" spans="1:8">
      <c r="A188" t="str">
        <f>IF(ISNUMBER(SEARCH("LONA",Inventario!B187)),"LON",
IF(ISNUMBER(SEARCH("VINIL",Inventario!B187)),"VIN",
IF(ISNUMBER(SEARCH("PANEL DE ALUMINIO COMPUESTO",Inventario!B187)),"PAN-ALU-COM",
IF(ISNUMBER(SEARCH("PVC",Inventario!B187)),"PVC",
IF(ISNUMBER(SEARCH("PAPEL",Inventario!B187)),"PAP",
IF(ISNUMBER(SEARCH("TELA",Inventario!B187)),"TEL",
IF(ISNUMBER(SEARCH("CARTULINA",Inventario!B187)),"CAR",
IF(OR(ISNUMBER(SEARCH("LAMINA",Inventario!B187)),ISNUMBER(SEARCH("LÁMINA",Inventario!B187))),"LAM",
IF(ISNUMBER(SEARCH("ESTIRENO",Inventario!B187)),"EST",
IF(ISNUMBER(SEARCH("FOAMBOARD",Inventario!B187)),"FOA",
IF(ISNUMBER(SEARCH("SOLVENTE",Inventario!B187)),"SOL",
IF(ISNUMBER(SEARCH("TINTA",Inventario!B187)),"TIN",
IF(ISNUMBER(SEARCH("ACRILICO",Inventario!B187)),"ACR",
IF(ISNUMBER(SEARCH("LED",Inventario!B187)),"LED",
IF(ISNUMBER(SEARCH("FUENTE",Inventario!B187)),"FUE",
IF(ISNUMBER(SEARCH("PETG",Inventario!B187)),"PET",
IF(ISNUMBER(SEARCH("ALUMINIO",Inventario!B187)),"ALU",
IF(ISNUMBER(SEARCH("CANAL",Inventario!B187)),"CAN",
IF(ISNUMBER(SEARCH("ESCUADRA",Inventario!B187)),"ESC",
IF(ISNUMBER(SEARCH("SOPORTE",Inventario!B187)),"SOP","OTR")
)))))))))))))))))))</f>
        <v>PAN-ALU-COM</v>
      </c>
      <c r="B188" t="str">
        <f>IF(ISNUMBER(SEARCH("CORTE",Inventario!B187)),"COR",
IF(ISNUMBER(SEARCH("CRISTAL",Inventario!B187)),"CR",
IF(OR(ISNUMBER(SEARCH("OPTICO",Inventario!B187)),ISNUMBER(SEARCH("OPTICOS",Inventario!B187)),ISNUMBER(SEARCH("OPTICA",Inventario!B187))),"OP",
IF(ISNUMBER(SEARCH("NANO",Inventario!B187)),"NA",
IF(ISNUMBER(SEARCH("5050",Inventario!B187)),"5050",
IF(ISNUMBER(SEARCH("MICRO",Inventario!B187)),"MI",""))))))</f>
        <v/>
      </c>
      <c r="C188" t="str">
        <f>IF(ISNUMBER(SEARCH("PARED",Inventario!B187)),"PAR",IF(ISNUMBER(SEARCH("MATE",Inventario!B187)),"MAT",
IF(ISNUMBER(SEARCH("FRONT",Inventario!B187)),"FRO",
IF(ISNUMBER(SEARCH("BACK",Inventario!B187)),"BAC",
IF(ISNUMBER(SEARCH("MESH",Inventario!B187)),"MES",
IF(OR(ISNUMBER(SEARCH("BRILLANTE",Inventario!B187)),ISNUMBER(SEARCH("BTE",Inventario!B187))),"BRI",
IF(ISNUMBER(SEARCH("SINTETICA DELGADA",Inventario!B187)),"SD",
IF(ISNUMBER(SEARCH("SINTETICA GRUESA",Inventario!B187)),"SG",
IF(ISNUMBER(SEARCH("ESTATICO",Inventario!B187)),"EST",
IF(ISNUMBER(SEARCH("FLOOR",Inventario!B187)),"FLO",
IF(ISNUMBER(SEARCH("REFLECTIVO",Inventario!B187)),"REF",
IF(ISNUMBER(SEARCH("MICROPERFORADO",Inventario!B187)),"MI",
IF(ISNUMBER(SEARCH("CEPILLADO",Inventario!B187)),"CEP",
IF(ISNUMBER(SEARCH("ESPEJO",Inventario!B187)),"ESP",
IF(OR(ISNUMBER(SEARCH("UNIDIODO",Inventario!B187)),ISNUMBER(SEARCH("1 DIODO",Inventario!B187))),"1D",
IF(ISNUMBER(SEARCH("2 DIODOS",Inventario!B187)),"2D",
IF(ISNUMBER(SEARCH("3 DIODOS",Inventario!B187)),"3D","")))))))))))))))))</f>
        <v>CEP</v>
      </c>
      <c r="D188" t="str">
        <f>IF(ISNUMBER(SEARCH("LX700",Inventario!B187)),"LX7",
IF(ISNUMBER(SEARCH("GRANDO",Inventario!B187)),"GRA",
IF(OR(ISNUMBER(SEARCH("CAMA PLANA",Inventario!B187)),ISNUMBER(SEARCH("FB700",Inventario!B187))),"CP",
IF(ISNUMBER(SEARCH("LX360",Inventario!B187)),"LX3",
IF(ISNUMBER(SEARCH("XEROX",Inventario!B187)),"XER",
IF(ISNUMBER(SEARCH("18 OZ",Inventario!B187)),"18OZ",
IF(ISNUMBER(SEARCH("15 OZ",Inventario!B187)),"15OZ",
IF(OR(ISNUMBER(SEARCH("13 OZ",Inventario!B187)),ISNUMBER(SEARCH("13 ONZAS",Inventario!B187))),"13OZ",
IF(OR(ISNUMBER(SEARCH("9 OZ",Inventario!B187)),ISNUMBER(SEARCH("9 ONZAS",Inventario!B187))),"09OZ","")))))))))</f>
        <v/>
      </c>
      <c r="E188" t="str">
        <f>IF(OR(ISNUMBER(SEARCH("TRANSPARENTE",Inventario!B187)),ISNUMBER(SEARCH("TRANSPARENTES",Inventario!B187))),"TR",
IF(OR(ISNUMBER(SEARCH("BLANCO",Inventario!B187)),ISNUMBER(SEARCH("BCO",Inventario!B187))),"BL",
IF(ISNUMBER(SEARCH("VERDE",Inventario!B187)),"VR",
IF(ISNUMBER(SEARCH("MORADO",Inventario!B187)),"MR",
IF(ISNUMBER(SEARCH("PLATA",Inventario!B187)),"PL",
IF(ISNUMBER(SEARCH("ORO",Inventario!B187)),"OR",
IF(ISNUMBER(SEARCH("AMARILLO",Inventario!B187)),"AM",
IF(ISNUMBER(SEARCH("NARANJA",Inventario!B187)),"NR",
IF(ISNUMBER(SEARCH("NEGRO",Inventario!B187)),"NG",
IF(ISNUMBER(SEARCH("ROJO",Inventario!B187)),"RJ",
IF(ISNUMBER(SEARCH("AZUL",Inventario!B187)),"AZ","")))))))))))</f>
        <v>OR</v>
      </c>
      <c r="F188" t="str">
        <f>IF(ISNUMBER(SEARCH("1,2 MM",Inventario!B187)),"1MM2",
IF(OR(ISNUMBER(SEARCH("2 MM",Inventario!B187)),ISNUMBER(SEARCH("2MM",Inventario!B187))),"2MM",
IF(OR(ISNUMBER(SEARCH("3 MM",Inventario!B187)),ISNUMBER(SEARCH("3MM",Inventario!B187))),"3MM",
IF(OR(ISNUMBER(SEARCH("4 MM",Inventario!B187)),ISNUMBER(SEARCH("4MM",Inventario!B187)),ISNUMBER(SEARCH("4 mm",Inventario!B187))),"4MM",
IF(OR(ISNUMBER(SEARCH("5 MM",Inventario!B187)),ISNUMBER(SEARCH("5MM",Inventario!B187))),"5MM",
IF(OR(ISNUMBER(SEARCH("6 MM",Inventario!B187)),ISNUMBER(SEARCH("6MM",Inventario!B187))),"6MM",
IF(OR(ISNUMBER(SEARCH("10 MM",Inventario!B187)),ISNUMBER(SEARCH("10MM",Inventario!B187))),"10MM","")))))))</f>
        <v/>
      </c>
      <c r="H188" t="str">
        <f>IF(ISNUMBER(SEARCH("SILED",Inventario!B187)),"SI",
IF(ISNUMBER(SEARCH("SYDEMEX",Inventario!B187)),"SY",
IF(ISNUMBER(SEARCH("ROHS",Inventario!B187)),"RO",
IF(ISNUMBER(SEARCH("RISHANG",Inventario!B187)),"RS",
IF(ISNUMBER(SEARCH("VYG",Inventario!B187)),"VYG",
IF(ISNUMBER(SEARCH("COLED",Inventario!B187)),"CO",""))))))</f>
        <v/>
      </c>
    </row>
    <row r="189" spans="1:8">
      <c r="A189" t="str">
        <f>IF(ISNUMBER(SEARCH("LONA",Inventario!B188)),"LON",
IF(ISNUMBER(SEARCH("VINIL",Inventario!B188)),"VIN",
IF(ISNUMBER(SEARCH("PANEL DE ALUMINIO COMPUESTO",Inventario!B188)),"PAN-ALU-COM",
IF(ISNUMBER(SEARCH("PVC",Inventario!B188)),"PVC",
IF(ISNUMBER(SEARCH("PAPEL",Inventario!B188)),"PAP",
IF(ISNUMBER(SEARCH("TELA",Inventario!B188)),"TEL",
IF(ISNUMBER(SEARCH("CARTULINA",Inventario!B188)),"CAR",
IF(OR(ISNUMBER(SEARCH("LAMINA",Inventario!B188)),ISNUMBER(SEARCH("LÁMINA",Inventario!B188))),"LAM",
IF(ISNUMBER(SEARCH("ESTIRENO",Inventario!B188)),"EST",
IF(ISNUMBER(SEARCH("FOAMBOARD",Inventario!B188)),"FOA",
IF(ISNUMBER(SEARCH("SOLVENTE",Inventario!B188)),"SOL",
IF(ISNUMBER(SEARCH("TINTA",Inventario!B188)),"TIN",
IF(ISNUMBER(SEARCH("ACRILICO",Inventario!B188)),"ACR",
IF(ISNUMBER(SEARCH("LED",Inventario!B188)),"LED",
IF(ISNUMBER(SEARCH("FUENTE",Inventario!B188)),"FUE",
IF(ISNUMBER(SEARCH("PETG",Inventario!B188)),"PET",
IF(ISNUMBER(SEARCH("ALUMINIO",Inventario!B188)),"ALU",
IF(ISNUMBER(SEARCH("CANAL",Inventario!B188)),"CAN",
IF(ISNUMBER(SEARCH("ESCUADRA",Inventario!B188)),"ESC",
IF(ISNUMBER(SEARCH("SOPORTE",Inventario!B188)),"SOP","OTR")
)))))))))))))))))))</f>
        <v>PAN-ALU-COM</v>
      </c>
      <c r="B189" t="str">
        <f>IF(ISNUMBER(SEARCH("CORTE",Inventario!B188)),"COR",
IF(ISNUMBER(SEARCH("CRISTAL",Inventario!B188)),"CR",
IF(OR(ISNUMBER(SEARCH("OPTICO",Inventario!B188)),ISNUMBER(SEARCH("OPTICOS",Inventario!B188)),ISNUMBER(SEARCH("OPTICA",Inventario!B188))),"OP",
IF(ISNUMBER(SEARCH("NANO",Inventario!B188)),"NA",
IF(ISNUMBER(SEARCH("5050",Inventario!B188)),"5050",
IF(ISNUMBER(SEARCH("MICRO",Inventario!B188)),"MI",""))))))</f>
        <v/>
      </c>
      <c r="C189" t="str">
        <f>IF(ISNUMBER(SEARCH("PARED",Inventario!B188)),"PAR",IF(ISNUMBER(SEARCH("MATE",Inventario!B188)),"MAT",
IF(ISNUMBER(SEARCH("FRONT",Inventario!B188)),"FRO",
IF(ISNUMBER(SEARCH("BACK",Inventario!B188)),"BAC",
IF(ISNUMBER(SEARCH("MESH",Inventario!B188)),"MES",
IF(OR(ISNUMBER(SEARCH("BRILLANTE",Inventario!B188)),ISNUMBER(SEARCH("BTE",Inventario!B188))),"BRI",
IF(ISNUMBER(SEARCH("SINTETICA DELGADA",Inventario!B188)),"SD",
IF(ISNUMBER(SEARCH("SINTETICA GRUESA",Inventario!B188)),"SG",
IF(ISNUMBER(SEARCH("ESTATICO",Inventario!B188)),"EST",
IF(ISNUMBER(SEARCH("FLOOR",Inventario!B188)),"FLO",
IF(ISNUMBER(SEARCH("REFLECTIVO",Inventario!B188)),"REF",
IF(ISNUMBER(SEARCH("MICROPERFORADO",Inventario!B188)),"MI",
IF(ISNUMBER(SEARCH("CEPILLADO",Inventario!B188)),"CEP",
IF(ISNUMBER(SEARCH("ESPEJO",Inventario!B188)),"ESP",
IF(OR(ISNUMBER(SEARCH("UNIDIODO",Inventario!B188)),ISNUMBER(SEARCH("1 DIODO",Inventario!B188))),"1D",
IF(ISNUMBER(SEARCH("2 DIODOS",Inventario!B188)),"2D",
IF(ISNUMBER(SEARCH("3 DIODOS",Inventario!B188)),"3D","")))))))))))))))))</f>
        <v>BRI</v>
      </c>
      <c r="D189" t="str">
        <f>IF(ISNUMBER(SEARCH("LX700",Inventario!B188)),"LX7",
IF(ISNUMBER(SEARCH("GRANDO",Inventario!B188)),"GRA",
IF(OR(ISNUMBER(SEARCH("CAMA PLANA",Inventario!B188)),ISNUMBER(SEARCH("FB700",Inventario!B188))),"CP",
IF(ISNUMBER(SEARCH("LX360",Inventario!B188)),"LX3",
IF(ISNUMBER(SEARCH("XEROX",Inventario!B188)),"XER",
IF(ISNUMBER(SEARCH("18 OZ",Inventario!B188)),"18OZ",
IF(ISNUMBER(SEARCH("15 OZ",Inventario!B188)),"15OZ",
IF(OR(ISNUMBER(SEARCH("13 OZ",Inventario!B188)),ISNUMBER(SEARCH("13 ONZAS",Inventario!B188))),"13OZ",
IF(OR(ISNUMBER(SEARCH("9 OZ",Inventario!B188)),ISNUMBER(SEARCH("9 ONZAS",Inventario!B188))),"09OZ","")))))))))</f>
        <v/>
      </c>
      <c r="E189" t="str">
        <f>IF(OR(ISNUMBER(SEARCH("TRANSPARENTE",Inventario!B188)),ISNUMBER(SEARCH("TRANSPARENTES",Inventario!B188))),"TR",
IF(OR(ISNUMBER(SEARCH("BLANCO",Inventario!B188)),ISNUMBER(SEARCH("BCO",Inventario!B188))),"BL",
IF(ISNUMBER(SEARCH("VERDE",Inventario!B188)),"VR",
IF(ISNUMBER(SEARCH("MORADO",Inventario!B188)),"MR",
IF(ISNUMBER(SEARCH("PLATA",Inventario!B188)),"PL",
IF(ISNUMBER(SEARCH("ORO",Inventario!B188)),"OR",
IF(ISNUMBER(SEARCH("AMARILLO",Inventario!B188)),"AM",
IF(ISNUMBER(SEARCH("NARANJA",Inventario!B188)),"NR",
IF(ISNUMBER(SEARCH("NEGRO",Inventario!B188)),"NG",
IF(ISNUMBER(SEARCH("ROJO",Inventario!B188)),"RJ",
IF(ISNUMBER(SEARCH("AZUL",Inventario!B188)),"AZ","")))))))))))</f>
        <v>AZ</v>
      </c>
      <c r="F189" t="str">
        <f>IF(ISNUMBER(SEARCH("1,2 MM",Inventario!B188)),"1MM2",
IF(OR(ISNUMBER(SEARCH("2 MM",Inventario!B188)),ISNUMBER(SEARCH("2MM",Inventario!B188))),"2MM",
IF(OR(ISNUMBER(SEARCH("3 MM",Inventario!B188)),ISNUMBER(SEARCH("3MM",Inventario!B188))),"3MM",
IF(OR(ISNUMBER(SEARCH("4 MM",Inventario!B188)),ISNUMBER(SEARCH("4MM",Inventario!B188)),ISNUMBER(SEARCH("4 mm",Inventario!B188))),"4MM",
IF(OR(ISNUMBER(SEARCH("5 MM",Inventario!B188)),ISNUMBER(SEARCH("5MM",Inventario!B188))),"5MM",
IF(OR(ISNUMBER(SEARCH("6 MM",Inventario!B188)),ISNUMBER(SEARCH("6MM",Inventario!B188))),"6MM",
IF(OR(ISNUMBER(SEARCH("10 MM",Inventario!B188)),ISNUMBER(SEARCH("10MM",Inventario!B188))),"10MM","")))))))</f>
        <v/>
      </c>
      <c r="H189" t="str">
        <f>IF(ISNUMBER(SEARCH("SILED",Inventario!B188)),"SI",
IF(ISNUMBER(SEARCH("SYDEMEX",Inventario!B188)),"SY",
IF(ISNUMBER(SEARCH("ROHS",Inventario!B188)),"RO",
IF(ISNUMBER(SEARCH("RISHANG",Inventario!B188)),"RS",
IF(ISNUMBER(SEARCH("VYG",Inventario!B188)),"VYG",
IF(ISNUMBER(SEARCH("COLED",Inventario!B188)),"CO",""))))))</f>
        <v/>
      </c>
    </row>
    <row r="190" spans="1:8">
      <c r="A190" t="str">
        <f>IF(ISNUMBER(SEARCH("LONA",Inventario!B189)),"LON",
IF(ISNUMBER(SEARCH("VINIL",Inventario!B189)),"VIN",
IF(ISNUMBER(SEARCH("PANEL DE ALUMINIO COMPUESTO",Inventario!B189)),"PAN-ALU-COM",
IF(ISNUMBER(SEARCH("PVC",Inventario!B189)),"PVC",
IF(ISNUMBER(SEARCH("PAPEL",Inventario!B189)),"PAP",
IF(ISNUMBER(SEARCH("TELA",Inventario!B189)),"TEL",
IF(ISNUMBER(SEARCH("CARTULINA",Inventario!B189)),"CAR",
IF(OR(ISNUMBER(SEARCH("LAMINA",Inventario!B189)),ISNUMBER(SEARCH("LÁMINA",Inventario!B189))),"LAM",
IF(ISNUMBER(SEARCH("ESTIRENO",Inventario!B189)),"EST",
IF(ISNUMBER(SEARCH("FOAMBOARD",Inventario!B189)),"FOA",
IF(ISNUMBER(SEARCH("SOLVENTE",Inventario!B189)),"SOL",
IF(ISNUMBER(SEARCH("TINTA",Inventario!B189)),"TIN",
IF(ISNUMBER(SEARCH("ACRILICO",Inventario!B189)),"ACR",
IF(ISNUMBER(SEARCH("LED",Inventario!B189)),"LED",
IF(ISNUMBER(SEARCH("FUENTE",Inventario!B189)),"FUE",
IF(ISNUMBER(SEARCH("PETG",Inventario!B189)),"PET",
IF(ISNUMBER(SEARCH("ALUMINIO",Inventario!B189)),"ALU",
IF(ISNUMBER(SEARCH("CANAL",Inventario!B189)),"CAN",
IF(ISNUMBER(SEARCH("ESCUADRA",Inventario!B189)),"ESC",
IF(ISNUMBER(SEARCH("SOPORTE",Inventario!B189)),"SOP","OTR")
)))))))))))))))))))</f>
        <v>PAN-ALU-COM</v>
      </c>
      <c r="B190" t="str">
        <f>IF(ISNUMBER(SEARCH("CORTE",Inventario!B189)),"COR",
IF(ISNUMBER(SEARCH("CRISTAL",Inventario!B189)),"CR",
IF(OR(ISNUMBER(SEARCH("OPTICO",Inventario!B189)),ISNUMBER(SEARCH("OPTICOS",Inventario!B189)),ISNUMBER(SEARCH("OPTICA",Inventario!B189))),"OP",
IF(ISNUMBER(SEARCH("NANO",Inventario!B189)),"NA",
IF(ISNUMBER(SEARCH("5050",Inventario!B189)),"5050",
IF(ISNUMBER(SEARCH("MICRO",Inventario!B189)),"MI",""))))))</f>
        <v/>
      </c>
      <c r="C190" t="str">
        <f>IF(ISNUMBER(SEARCH("PARED",Inventario!B189)),"PAR",IF(ISNUMBER(SEARCH("MATE",Inventario!B189)),"MAT",
IF(ISNUMBER(SEARCH("FRONT",Inventario!B189)),"FRO",
IF(ISNUMBER(SEARCH("BACK",Inventario!B189)),"BAC",
IF(ISNUMBER(SEARCH("MESH",Inventario!B189)),"MES",
IF(OR(ISNUMBER(SEARCH("BRILLANTE",Inventario!B189)),ISNUMBER(SEARCH("BTE",Inventario!B189))),"BRI",
IF(ISNUMBER(SEARCH("SINTETICA DELGADA",Inventario!B189)),"SD",
IF(ISNUMBER(SEARCH("SINTETICA GRUESA",Inventario!B189)),"SG",
IF(ISNUMBER(SEARCH("ESTATICO",Inventario!B189)),"EST",
IF(ISNUMBER(SEARCH("FLOOR",Inventario!B189)),"FLO",
IF(ISNUMBER(SEARCH("REFLECTIVO",Inventario!B189)),"REF",
IF(ISNUMBER(SEARCH("MICROPERFORADO",Inventario!B189)),"MI",
IF(ISNUMBER(SEARCH("CEPILLADO",Inventario!B189)),"CEP",
IF(ISNUMBER(SEARCH("ESPEJO",Inventario!B189)),"ESP",
IF(OR(ISNUMBER(SEARCH("UNIDIODO",Inventario!B189)),ISNUMBER(SEARCH("1 DIODO",Inventario!B189))),"1D",
IF(ISNUMBER(SEARCH("2 DIODOS",Inventario!B189)),"2D",
IF(ISNUMBER(SEARCH("3 DIODOS",Inventario!B189)),"3D","")))))))))))))))))</f>
        <v>BRI</v>
      </c>
      <c r="D190" t="str">
        <f>IF(ISNUMBER(SEARCH("LX700",Inventario!B189)),"LX7",
IF(ISNUMBER(SEARCH("GRANDO",Inventario!B189)),"GRA",
IF(OR(ISNUMBER(SEARCH("CAMA PLANA",Inventario!B189)),ISNUMBER(SEARCH("FB700",Inventario!B189))),"CP",
IF(ISNUMBER(SEARCH("LX360",Inventario!B189)),"LX3",
IF(ISNUMBER(SEARCH("XEROX",Inventario!B189)),"XER",
IF(ISNUMBER(SEARCH("18 OZ",Inventario!B189)),"18OZ",
IF(ISNUMBER(SEARCH("15 OZ",Inventario!B189)),"15OZ",
IF(OR(ISNUMBER(SEARCH("13 OZ",Inventario!B189)),ISNUMBER(SEARCH("13 ONZAS",Inventario!B189))),"13OZ",
IF(OR(ISNUMBER(SEARCH("9 OZ",Inventario!B189)),ISNUMBER(SEARCH("9 ONZAS",Inventario!B189))),"09OZ","")))))))))</f>
        <v/>
      </c>
      <c r="E190" t="str">
        <f>IF(OR(ISNUMBER(SEARCH("TRANSPARENTE",Inventario!B189)),ISNUMBER(SEARCH("TRANSPARENTES",Inventario!B189))),"TR",
IF(OR(ISNUMBER(SEARCH("BLANCO",Inventario!B189)),ISNUMBER(SEARCH("BCO",Inventario!B189))),"BL",
IF(ISNUMBER(SEARCH("VERDE",Inventario!B189)),"VR",
IF(ISNUMBER(SEARCH("MORADO",Inventario!B189)),"MR",
IF(ISNUMBER(SEARCH("PLATA",Inventario!B189)),"PL",
IF(ISNUMBER(SEARCH("ORO",Inventario!B189)),"OR",
IF(ISNUMBER(SEARCH("AMARILLO",Inventario!B189)),"AM",
IF(ISNUMBER(SEARCH("NARANJA",Inventario!B189)),"NR",
IF(ISNUMBER(SEARCH("NEGRO",Inventario!B189)),"NG",
IF(ISNUMBER(SEARCH("ROJO",Inventario!B189)),"RJ",
IF(ISNUMBER(SEARCH("AZUL",Inventario!B189)),"AZ","")))))))))))</f>
        <v>AZ</v>
      </c>
      <c r="F190" t="str">
        <f>IF(ISNUMBER(SEARCH("1,2 MM",Inventario!B189)),"1MM2",
IF(OR(ISNUMBER(SEARCH("2 MM",Inventario!B189)),ISNUMBER(SEARCH("2MM",Inventario!B189))),"2MM",
IF(OR(ISNUMBER(SEARCH("3 MM",Inventario!B189)),ISNUMBER(SEARCH("3MM",Inventario!B189))),"3MM",
IF(OR(ISNUMBER(SEARCH("4 MM",Inventario!B189)),ISNUMBER(SEARCH("4MM",Inventario!B189)),ISNUMBER(SEARCH("4 mm",Inventario!B189))),"4MM",
IF(OR(ISNUMBER(SEARCH("5 MM",Inventario!B189)),ISNUMBER(SEARCH("5MM",Inventario!B189))),"5MM",
IF(OR(ISNUMBER(SEARCH("6 MM",Inventario!B189)),ISNUMBER(SEARCH("6MM",Inventario!B189))),"6MM",
IF(OR(ISNUMBER(SEARCH("10 MM",Inventario!B189)),ISNUMBER(SEARCH("10MM",Inventario!B189))),"10MM","")))))))</f>
        <v/>
      </c>
      <c r="H190" t="str">
        <f>IF(ISNUMBER(SEARCH("SILED",Inventario!B189)),"SI",
IF(ISNUMBER(SEARCH("SYDEMEX",Inventario!B189)),"SY",
IF(ISNUMBER(SEARCH("ROHS",Inventario!B189)),"RO",
IF(ISNUMBER(SEARCH("RISHANG",Inventario!B189)),"RS",
IF(ISNUMBER(SEARCH("VYG",Inventario!B189)),"VYG",
IF(ISNUMBER(SEARCH("COLED",Inventario!B189)),"CO",""))))))</f>
        <v/>
      </c>
    </row>
    <row r="191" spans="1:8">
      <c r="A191" t="str">
        <f>IF(ISNUMBER(SEARCH("LONA",Inventario!B190)),"LON",
IF(ISNUMBER(SEARCH("VINIL",Inventario!B190)),"VIN",
IF(ISNUMBER(SEARCH("PANEL DE ALUMINIO COMPUESTO",Inventario!B190)),"PAN-ALU-COM",
IF(ISNUMBER(SEARCH("PVC",Inventario!B190)),"PVC",
IF(ISNUMBER(SEARCH("PAPEL",Inventario!B190)),"PAP",
IF(ISNUMBER(SEARCH("TELA",Inventario!B190)),"TEL",
IF(ISNUMBER(SEARCH("CARTULINA",Inventario!B190)),"CAR",
IF(OR(ISNUMBER(SEARCH("LAMINA",Inventario!B190)),ISNUMBER(SEARCH("LÁMINA",Inventario!B190))),"LAM",
IF(ISNUMBER(SEARCH("ESTIRENO",Inventario!B190)),"EST",
IF(ISNUMBER(SEARCH("FOAMBOARD",Inventario!B190)),"FOA",
IF(ISNUMBER(SEARCH("SOLVENTE",Inventario!B190)),"SOL",
IF(ISNUMBER(SEARCH("TINTA",Inventario!B190)),"TIN",
IF(ISNUMBER(SEARCH("ACRILICO",Inventario!B190)),"ACR",
IF(ISNUMBER(SEARCH("LED",Inventario!B190)),"LED",
IF(ISNUMBER(SEARCH("FUENTE",Inventario!B190)),"FUE",
IF(ISNUMBER(SEARCH("PETG",Inventario!B190)),"PET",
IF(ISNUMBER(SEARCH("ALUMINIO",Inventario!B190)),"ALU",
IF(ISNUMBER(SEARCH("CANAL",Inventario!B190)),"CAN",
IF(ISNUMBER(SEARCH("ESCUADRA",Inventario!B190)),"ESC",
IF(ISNUMBER(SEARCH("SOPORTE",Inventario!B190)),"SOP","OTR")
)))))))))))))))))))</f>
        <v>PAN-ALU-COM</v>
      </c>
      <c r="B191" t="str">
        <f>IF(ISNUMBER(SEARCH("CORTE",Inventario!B190)),"COR",
IF(ISNUMBER(SEARCH("CRISTAL",Inventario!B190)),"CR",
IF(OR(ISNUMBER(SEARCH("OPTICO",Inventario!B190)),ISNUMBER(SEARCH("OPTICOS",Inventario!B190)),ISNUMBER(SEARCH("OPTICA",Inventario!B190))),"OP",
IF(ISNUMBER(SEARCH("NANO",Inventario!B190)),"NA",
IF(ISNUMBER(SEARCH("5050",Inventario!B190)),"5050",
IF(ISNUMBER(SEARCH("MICRO",Inventario!B190)),"MI",""))))))</f>
        <v/>
      </c>
      <c r="C191" t="str">
        <f>IF(ISNUMBER(SEARCH("PARED",Inventario!B190)),"PAR",IF(ISNUMBER(SEARCH("MATE",Inventario!B190)),"MAT",
IF(ISNUMBER(SEARCH("FRONT",Inventario!B190)),"FRO",
IF(ISNUMBER(SEARCH("BACK",Inventario!B190)),"BAC",
IF(ISNUMBER(SEARCH("MESH",Inventario!B190)),"MES",
IF(OR(ISNUMBER(SEARCH("BRILLANTE",Inventario!B190)),ISNUMBER(SEARCH("BTE",Inventario!B190))),"BRI",
IF(ISNUMBER(SEARCH("SINTETICA DELGADA",Inventario!B190)),"SD",
IF(ISNUMBER(SEARCH("SINTETICA GRUESA",Inventario!B190)),"SG",
IF(ISNUMBER(SEARCH("ESTATICO",Inventario!B190)),"EST",
IF(ISNUMBER(SEARCH("FLOOR",Inventario!B190)),"FLO",
IF(ISNUMBER(SEARCH("REFLECTIVO",Inventario!B190)),"REF",
IF(ISNUMBER(SEARCH("MICROPERFORADO",Inventario!B190)),"MI",
IF(ISNUMBER(SEARCH("CEPILLADO",Inventario!B190)),"CEP",
IF(ISNUMBER(SEARCH("ESPEJO",Inventario!B190)),"ESP",
IF(OR(ISNUMBER(SEARCH("UNIDIODO",Inventario!B190)),ISNUMBER(SEARCH("1 DIODO",Inventario!B190))),"1D",
IF(ISNUMBER(SEARCH("2 DIODOS",Inventario!B190)),"2D",
IF(ISNUMBER(SEARCH("3 DIODOS",Inventario!B190)),"3D","")))))))))))))))))</f>
        <v/>
      </c>
      <c r="D191" t="str">
        <f>IF(ISNUMBER(SEARCH("LX700",Inventario!B190)),"LX7",
IF(ISNUMBER(SEARCH("GRANDO",Inventario!B190)),"GRA",
IF(OR(ISNUMBER(SEARCH("CAMA PLANA",Inventario!B190)),ISNUMBER(SEARCH("FB700",Inventario!B190))),"CP",
IF(ISNUMBER(SEARCH("LX360",Inventario!B190)),"LX3",
IF(ISNUMBER(SEARCH("XEROX",Inventario!B190)),"XER",
IF(ISNUMBER(SEARCH("18 OZ",Inventario!B190)),"18OZ",
IF(ISNUMBER(SEARCH("15 OZ",Inventario!B190)),"15OZ",
IF(OR(ISNUMBER(SEARCH("13 OZ",Inventario!B190)),ISNUMBER(SEARCH("13 ONZAS",Inventario!B190))),"13OZ",
IF(OR(ISNUMBER(SEARCH("9 OZ",Inventario!B190)),ISNUMBER(SEARCH("9 ONZAS",Inventario!B190))),"09OZ","")))))))))</f>
        <v/>
      </c>
      <c r="E191" t="str">
        <f>IF(OR(ISNUMBER(SEARCH("TRANSPARENTE",Inventario!B190)),ISNUMBER(SEARCH("TRANSPARENTES",Inventario!B190))),"TR",
IF(OR(ISNUMBER(SEARCH("BLANCO",Inventario!B190)),ISNUMBER(SEARCH("BCO",Inventario!B190))),"BL",
IF(ISNUMBER(SEARCH("VERDE",Inventario!B190)),"VR",
IF(ISNUMBER(SEARCH("MORADO",Inventario!B190)),"MR",
IF(ISNUMBER(SEARCH("PLATA",Inventario!B190)),"PL",
IF(ISNUMBER(SEARCH("ORO",Inventario!B190)),"OR",
IF(ISNUMBER(SEARCH("AMARILLO",Inventario!B190)),"AM",
IF(ISNUMBER(SEARCH("NARANJA",Inventario!B190)),"NR",
IF(ISNUMBER(SEARCH("NEGRO",Inventario!B190)),"NG",
IF(ISNUMBER(SEARCH("ROJO",Inventario!B190)),"RJ",
IF(ISNUMBER(SEARCH("AZUL",Inventario!B190)),"AZ","")))))))))))</f>
        <v>NR</v>
      </c>
      <c r="F191" t="str">
        <f>IF(ISNUMBER(SEARCH("1,2 MM",Inventario!B190)),"1MM2",
IF(OR(ISNUMBER(SEARCH("2 MM",Inventario!B190)),ISNUMBER(SEARCH("2MM",Inventario!B190))),"2MM",
IF(OR(ISNUMBER(SEARCH("3 MM",Inventario!B190)),ISNUMBER(SEARCH("3MM",Inventario!B190))),"3MM",
IF(OR(ISNUMBER(SEARCH("4 MM",Inventario!B190)),ISNUMBER(SEARCH("4MM",Inventario!B190)),ISNUMBER(SEARCH("4 mm",Inventario!B190))),"4MM",
IF(OR(ISNUMBER(SEARCH("5 MM",Inventario!B190)),ISNUMBER(SEARCH("5MM",Inventario!B190))),"5MM",
IF(OR(ISNUMBER(SEARCH("6 MM",Inventario!B190)),ISNUMBER(SEARCH("6MM",Inventario!B190))),"6MM",
IF(OR(ISNUMBER(SEARCH("10 MM",Inventario!B190)),ISNUMBER(SEARCH("10MM",Inventario!B190))),"10MM","")))))))</f>
        <v>4MM</v>
      </c>
      <c r="H191" t="str">
        <f>IF(ISNUMBER(SEARCH("SILED",Inventario!B190)),"SI",
IF(ISNUMBER(SEARCH("SYDEMEX",Inventario!B190)),"SY",
IF(ISNUMBER(SEARCH("ROHS",Inventario!B190)),"RO",
IF(ISNUMBER(SEARCH("RISHANG",Inventario!B190)),"RS",
IF(ISNUMBER(SEARCH("VYG",Inventario!B190)),"VYG",
IF(ISNUMBER(SEARCH("COLED",Inventario!B190)),"CO",""))))))</f>
        <v/>
      </c>
    </row>
    <row r="192" spans="1:8">
      <c r="A192" t="str">
        <f>IF(ISNUMBER(SEARCH("LONA",Inventario!B191)),"LON",
IF(ISNUMBER(SEARCH("VINIL",Inventario!B191)),"VIN",
IF(ISNUMBER(SEARCH("PANEL DE ALUMINIO COMPUESTO",Inventario!B191)),"PAN-ALU-COM",
IF(ISNUMBER(SEARCH("PVC",Inventario!B191)),"PVC",
IF(ISNUMBER(SEARCH("PAPEL",Inventario!B191)),"PAP",
IF(ISNUMBER(SEARCH("TELA",Inventario!B191)),"TEL",
IF(ISNUMBER(SEARCH("CARTULINA",Inventario!B191)),"CAR",
IF(OR(ISNUMBER(SEARCH("LAMINA",Inventario!B191)),ISNUMBER(SEARCH("LÁMINA",Inventario!B191))),"LAM",
IF(ISNUMBER(SEARCH("ESTIRENO",Inventario!B191)),"EST",
IF(ISNUMBER(SEARCH("FOAMBOARD",Inventario!B191)),"FOA",
IF(ISNUMBER(SEARCH("SOLVENTE",Inventario!B191)),"SOL",
IF(ISNUMBER(SEARCH("TINTA",Inventario!B191)),"TIN",
IF(ISNUMBER(SEARCH("ACRILICO",Inventario!B191)),"ACR",
IF(ISNUMBER(SEARCH("LED",Inventario!B191)),"LED",
IF(ISNUMBER(SEARCH("FUENTE",Inventario!B191)),"FUE",
IF(ISNUMBER(SEARCH("PETG",Inventario!B191)),"PET",
IF(ISNUMBER(SEARCH("ALUMINIO",Inventario!B191)),"ALU",
IF(ISNUMBER(SEARCH("CANAL",Inventario!B191)),"CAN",
IF(ISNUMBER(SEARCH("ESCUADRA",Inventario!B191)),"ESC",
IF(ISNUMBER(SEARCH("SOPORTE",Inventario!B191)),"SOP","OTR")
)))))))))))))))))))</f>
        <v>PAN-ALU-COM</v>
      </c>
      <c r="B192" t="str">
        <f>IF(ISNUMBER(SEARCH("CORTE",Inventario!B191)),"COR",
IF(ISNUMBER(SEARCH("CRISTAL",Inventario!B191)),"CR",
IF(OR(ISNUMBER(SEARCH("OPTICO",Inventario!B191)),ISNUMBER(SEARCH("OPTICOS",Inventario!B191)),ISNUMBER(SEARCH("OPTICA",Inventario!B191))),"OP",
IF(ISNUMBER(SEARCH("NANO",Inventario!B191)),"NA",
IF(ISNUMBER(SEARCH("5050",Inventario!B191)),"5050",
IF(ISNUMBER(SEARCH("MICRO",Inventario!B191)),"MI",""))))))</f>
        <v/>
      </c>
      <c r="C192" t="str">
        <f>IF(ISNUMBER(SEARCH("PARED",Inventario!B191)),"PAR",IF(ISNUMBER(SEARCH("MATE",Inventario!B191)),"MAT",
IF(ISNUMBER(SEARCH("FRONT",Inventario!B191)),"FRO",
IF(ISNUMBER(SEARCH("BACK",Inventario!B191)),"BAC",
IF(ISNUMBER(SEARCH("MESH",Inventario!B191)),"MES",
IF(OR(ISNUMBER(SEARCH("BRILLANTE",Inventario!B191)),ISNUMBER(SEARCH("BTE",Inventario!B191))),"BRI",
IF(ISNUMBER(SEARCH("SINTETICA DELGADA",Inventario!B191)),"SD",
IF(ISNUMBER(SEARCH("SINTETICA GRUESA",Inventario!B191)),"SG",
IF(ISNUMBER(SEARCH("ESTATICO",Inventario!B191)),"EST",
IF(ISNUMBER(SEARCH("FLOOR",Inventario!B191)),"FLO",
IF(ISNUMBER(SEARCH("REFLECTIVO",Inventario!B191)),"REF",
IF(ISNUMBER(SEARCH("MICROPERFORADO",Inventario!B191)),"MI",
IF(ISNUMBER(SEARCH("CEPILLADO",Inventario!B191)),"CEP",
IF(ISNUMBER(SEARCH("ESPEJO",Inventario!B191)),"ESP",
IF(OR(ISNUMBER(SEARCH("UNIDIODO",Inventario!B191)),ISNUMBER(SEARCH("1 DIODO",Inventario!B191))),"1D",
IF(ISNUMBER(SEARCH("2 DIODOS",Inventario!B191)),"2D",
IF(ISNUMBER(SEARCH("3 DIODOS",Inventario!B191)),"3D","")))))))))))))))))</f>
        <v/>
      </c>
      <c r="D192" t="str">
        <f>IF(ISNUMBER(SEARCH("LX700",Inventario!B191)),"LX7",
IF(ISNUMBER(SEARCH("GRANDO",Inventario!B191)),"GRA",
IF(OR(ISNUMBER(SEARCH("CAMA PLANA",Inventario!B191)),ISNUMBER(SEARCH("FB700",Inventario!B191))),"CP",
IF(ISNUMBER(SEARCH("LX360",Inventario!B191)),"LX3",
IF(ISNUMBER(SEARCH("XEROX",Inventario!B191)),"XER",
IF(ISNUMBER(SEARCH("18 OZ",Inventario!B191)),"18OZ",
IF(ISNUMBER(SEARCH("15 OZ",Inventario!B191)),"15OZ",
IF(OR(ISNUMBER(SEARCH("13 OZ",Inventario!B191)),ISNUMBER(SEARCH("13 ONZAS",Inventario!B191))),"13OZ",
IF(OR(ISNUMBER(SEARCH("9 OZ",Inventario!B191)),ISNUMBER(SEARCH("9 ONZAS",Inventario!B191))),"09OZ","")))))))))</f>
        <v/>
      </c>
      <c r="E192" t="str">
        <f>IF(OR(ISNUMBER(SEARCH("TRANSPARENTE",Inventario!B191)),ISNUMBER(SEARCH("TRANSPARENTES",Inventario!B191))),"TR",
IF(OR(ISNUMBER(SEARCH("BLANCO",Inventario!B191)),ISNUMBER(SEARCH("BCO",Inventario!B191))),"BL",
IF(ISNUMBER(SEARCH("VERDE",Inventario!B191)),"VR",
IF(ISNUMBER(SEARCH("MORADO",Inventario!B191)),"MR",
IF(ISNUMBER(SEARCH("PLATA",Inventario!B191)),"PL",
IF(ISNUMBER(SEARCH("ORO",Inventario!B191)),"OR",
IF(ISNUMBER(SEARCH("AMARILLO",Inventario!B191)),"AM",
IF(ISNUMBER(SEARCH("NARANJA",Inventario!B191)),"NR",
IF(ISNUMBER(SEARCH("NEGRO",Inventario!B191)),"NG",
IF(ISNUMBER(SEARCH("ROJO",Inventario!B191)),"RJ",
IF(ISNUMBER(SEARCH("AZUL",Inventario!B191)),"AZ","")))))))))))</f>
        <v>NR</v>
      </c>
      <c r="F192" t="str">
        <f>IF(ISNUMBER(SEARCH("1,2 MM",Inventario!B191)),"1MM2",
IF(OR(ISNUMBER(SEARCH("2 MM",Inventario!B191)),ISNUMBER(SEARCH("2MM",Inventario!B191))),"2MM",
IF(OR(ISNUMBER(SEARCH("3 MM",Inventario!B191)),ISNUMBER(SEARCH("3MM",Inventario!B191))),"3MM",
IF(OR(ISNUMBER(SEARCH("4 MM",Inventario!B191)),ISNUMBER(SEARCH("4MM",Inventario!B191)),ISNUMBER(SEARCH("4 mm",Inventario!B191))),"4MM",
IF(OR(ISNUMBER(SEARCH("5 MM",Inventario!B191)),ISNUMBER(SEARCH("5MM",Inventario!B191))),"5MM",
IF(OR(ISNUMBER(SEARCH("6 MM",Inventario!B191)),ISNUMBER(SEARCH("6MM",Inventario!B191))),"6MM",
IF(OR(ISNUMBER(SEARCH("10 MM",Inventario!B191)),ISNUMBER(SEARCH("10MM",Inventario!B191))),"10MM","")))))))</f>
        <v>4MM</v>
      </c>
      <c r="H192" t="str">
        <f>IF(ISNUMBER(SEARCH("SILED",Inventario!B191)),"SI",
IF(ISNUMBER(SEARCH("SYDEMEX",Inventario!B191)),"SY",
IF(ISNUMBER(SEARCH("ROHS",Inventario!B191)),"RO",
IF(ISNUMBER(SEARCH("RISHANG",Inventario!B191)),"RS",
IF(ISNUMBER(SEARCH("VYG",Inventario!B191)),"VYG",
IF(ISNUMBER(SEARCH("COLED",Inventario!B191)),"CO",""))))))</f>
        <v/>
      </c>
    </row>
    <row r="193" spans="1:8">
      <c r="A193" t="str">
        <f>IF(ISNUMBER(SEARCH("LONA",Inventario!B192)),"LON",
IF(ISNUMBER(SEARCH("VINIL",Inventario!B192)),"VIN",
IF(ISNUMBER(SEARCH("PANEL DE ALUMINIO COMPUESTO",Inventario!B192)),"PAN-ALU-COM",
IF(ISNUMBER(SEARCH("PVC",Inventario!B192)),"PVC",
IF(ISNUMBER(SEARCH("PAPEL",Inventario!B192)),"PAP",
IF(ISNUMBER(SEARCH("TELA",Inventario!B192)),"TEL",
IF(ISNUMBER(SEARCH("CARTULINA",Inventario!B192)),"CAR",
IF(OR(ISNUMBER(SEARCH("LAMINA",Inventario!B192)),ISNUMBER(SEARCH("LÁMINA",Inventario!B192))),"LAM",
IF(ISNUMBER(SEARCH("ESTIRENO",Inventario!B192)),"EST",
IF(ISNUMBER(SEARCH("FOAMBOARD",Inventario!B192)),"FOA",
IF(ISNUMBER(SEARCH("SOLVENTE",Inventario!B192)),"SOL",
IF(ISNUMBER(SEARCH("TINTA",Inventario!B192)),"TIN",
IF(ISNUMBER(SEARCH("ACRILICO",Inventario!B192)),"ACR",
IF(ISNUMBER(SEARCH("LED",Inventario!B192)),"LED",
IF(ISNUMBER(SEARCH("FUENTE",Inventario!B192)),"FUE",
IF(ISNUMBER(SEARCH("PETG",Inventario!B192)),"PET",
IF(ISNUMBER(SEARCH("ALUMINIO",Inventario!B192)),"ALU",
IF(ISNUMBER(SEARCH("CANAL",Inventario!B192)),"CAN",
IF(ISNUMBER(SEARCH("ESCUADRA",Inventario!B192)),"ESC",
IF(ISNUMBER(SEARCH("SOPORTE",Inventario!B192)),"SOP","OTR")
)))))))))))))))))))</f>
        <v>PAN-ALU-COM</v>
      </c>
      <c r="B193" t="str">
        <f>IF(ISNUMBER(SEARCH("CORTE",Inventario!B192)),"COR",
IF(ISNUMBER(SEARCH("CRISTAL",Inventario!B192)),"CR",
IF(OR(ISNUMBER(SEARCH("OPTICO",Inventario!B192)),ISNUMBER(SEARCH("OPTICOS",Inventario!B192)),ISNUMBER(SEARCH("OPTICA",Inventario!B192))),"OP",
IF(ISNUMBER(SEARCH("NANO",Inventario!B192)),"NA",
IF(ISNUMBER(SEARCH("5050",Inventario!B192)),"5050",
IF(ISNUMBER(SEARCH("MICRO",Inventario!B192)),"MI",""))))))</f>
        <v/>
      </c>
      <c r="C193" t="str">
        <f>IF(ISNUMBER(SEARCH("PARED",Inventario!B192)),"PAR",IF(ISNUMBER(SEARCH("MATE",Inventario!B192)),"MAT",
IF(ISNUMBER(SEARCH("FRONT",Inventario!B192)),"FRO",
IF(ISNUMBER(SEARCH("BACK",Inventario!B192)),"BAC",
IF(ISNUMBER(SEARCH("MESH",Inventario!B192)),"MES",
IF(OR(ISNUMBER(SEARCH("BRILLANTE",Inventario!B192)),ISNUMBER(SEARCH("BTE",Inventario!B192))),"BRI",
IF(ISNUMBER(SEARCH("SINTETICA DELGADA",Inventario!B192)),"SD",
IF(ISNUMBER(SEARCH("SINTETICA GRUESA",Inventario!B192)),"SG",
IF(ISNUMBER(SEARCH("ESTATICO",Inventario!B192)),"EST",
IF(ISNUMBER(SEARCH("FLOOR",Inventario!B192)),"FLO",
IF(ISNUMBER(SEARCH("REFLECTIVO",Inventario!B192)),"REF",
IF(ISNUMBER(SEARCH("MICROPERFORADO",Inventario!B192)),"MI",
IF(ISNUMBER(SEARCH("CEPILLADO",Inventario!B192)),"CEP",
IF(ISNUMBER(SEARCH("ESPEJO",Inventario!B192)),"ESP",
IF(OR(ISNUMBER(SEARCH("UNIDIODO",Inventario!B192)),ISNUMBER(SEARCH("1 DIODO",Inventario!B192))),"1D",
IF(ISNUMBER(SEARCH("2 DIODOS",Inventario!B192)),"2D",
IF(ISNUMBER(SEARCH("3 DIODOS",Inventario!B192)),"3D","")))))))))))))))))</f>
        <v/>
      </c>
      <c r="D193" t="str">
        <f>IF(ISNUMBER(SEARCH("LX700",Inventario!B192)),"LX7",
IF(ISNUMBER(SEARCH("GRANDO",Inventario!B192)),"GRA",
IF(OR(ISNUMBER(SEARCH("CAMA PLANA",Inventario!B192)),ISNUMBER(SEARCH("FB700",Inventario!B192))),"CP",
IF(ISNUMBER(SEARCH("LX360",Inventario!B192)),"LX3",
IF(ISNUMBER(SEARCH("XEROX",Inventario!B192)),"XER",
IF(ISNUMBER(SEARCH("18 OZ",Inventario!B192)),"18OZ",
IF(ISNUMBER(SEARCH("15 OZ",Inventario!B192)),"15OZ",
IF(OR(ISNUMBER(SEARCH("13 OZ",Inventario!B192)),ISNUMBER(SEARCH("13 ONZAS",Inventario!B192))),"13OZ",
IF(OR(ISNUMBER(SEARCH("9 OZ",Inventario!B192)),ISNUMBER(SEARCH("9 ONZAS",Inventario!B192))),"09OZ","")))))))))</f>
        <v/>
      </c>
      <c r="E193" t="str">
        <f>IF(OR(ISNUMBER(SEARCH("TRANSPARENTE",Inventario!B192)),ISNUMBER(SEARCH("TRANSPARENTES",Inventario!B192))),"TR",
IF(OR(ISNUMBER(SEARCH("BLANCO",Inventario!B192)),ISNUMBER(SEARCH("BCO",Inventario!B192))),"BL",
IF(ISNUMBER(SEARCH("VERDE",Inventario!B192)),"VR",
IF(ISNUMBER(SEARCH("MORADO",Inventario!B192)),"MR",
IF(ISNUMBER(SEARCH("PLATA",Inventario!B192)),"PL",
IF(ISNUMBER(SEARCH("ORO",Inventario!B192)),"OR",
IF(ISNUMBER(SEARCH("AMARILLO",Inventario!B192)),"AM",
IF(ISNUMBER(SEARCH("NARANJA",Inventario!B192)),"NR",
IF(ISNUMBER(SEARCH("NEGRO",Inventario!B192)),"NG",
IF(ISNUMBER(SEARCH("ROJO",Inventario!B192)),"RJ",
IF(ISNUMBER(SEARCH("AZUL",Inventario!B192)),"AZ","")))))))))))</f>
        <v>AZ</v>
      </c>
      <c r="F193" t="str">
        <f>IF(ISNUMBER(SEARCH("1,2 MM",Inventario!B192)),"1MM2",
IF(OR(ISNUMBER(SEARCH("2 MM",Inventario!B192)),ISNUMBER(SEARCH("2MM",Inventario!B192))),"2MM",
IF(OR(ISNUMBER(SEARCH("3 MM",Inventario!B192)),ISNUMBER(SEARCH("3MM",Inventario!B192))),"3MM",
IF(OR(ISNUMBER(SEARCH("4 MM",Inventario!B192)),ISNUMBER(SEARCH("4MM",Inventario!B192)),ISNUMBER(SEARCH("4 mm",Inventario!B192))),"4MM",
IF(OR(ISNUMBER(SEARCH("5 MM",Inventario!B192)),ISNUMBER(SEARCH("5MM",Inventario!B192))),"5MM",
IF(OR(ISNUMBER(SEARCH("6 MM",Inventario!B192)),ISNUMBER(SEARCH("6MM",Inventario!B192))),"6MM",
IF(OR(ISNUMBER(SEARCH("10 MM",Inventario!B192)),ISNUMBER(SEARCH("10MM",Inventario!B192))),"10MM","")))))))</f>
        <v/>
      </c>
      <c r="H193" t="str">
        <f>IF(ISNUMBER(SEARCH("SILED",Inventario!B192)),"SI",
IF(ISNUMBER(SEARCH("SYDEMEX",Inventario!B192)),"SY",
IF(ISNUMBER(SEARCH("ROHS",Inventario!B192)),"RO",
IF(ISNUMBER(SEARCH("RISHANG",Inventario!B192)),"RS",
IF(ISNUMBER(SEARCH("VYG",Inventario!B192)),"VYG",
IF(ISNUMBER(SEARCH("COLED",Inventario!B192)),"CO",""))))))</f>
        <v/>
      </c>
    </row>
    <row r="194" spans="1:8">
      <c r="A194" t="str">
        <f>IF(ISNUMBER(SEARCH("LONA",Inventario!B193)),"LON",
IF(ISNUMBER(SEARCH("VINIL",Inventario!B193)),"VIN",
IF(ISNUMBER(SEARCH("PANEL DE ALUMINIO COMPUESTO",Inventario!B193)),"PAN-ALU-COM",
IF(ISNUMBER(SEARCH("PVC",Inventario!B193)),"PVC",
IF(ISNUMBER(SEARCH("PAPEL",Inventario!B193)),"PAP",
IF(ISNUMBER(SEARCH("TELA",Inventario!B193)),"TEL",
IF(ISNUMBER(SEARCH("CARTULINA",Inventario!B193)),"CAR",
IF(OR(ISNUMBER(SEARCH("LAMINA",Inventario!B193)),ISNUMBER(SEARCH("LÁMINA",Inventario!B193))),"LAM",
IF(ISNUMBER(SEARCH("ESTIRENO",Inventario!B193)),"EST",
IF(ISNUMBER(SEARCH("FOAMBOARD",Inventario!B193)),"FOA",
IF(ISNUMBER(SEARCH("SOLVENTE",Inventario!B193)),"SOL",
IF(ISNUMBER(SEARCH("TINTA",Inventario!B193)),"TIN",
IF(ISNUMBER(SEARCH("ACRILICO",Inventario!B193)),"ACR",
IF(ISNUMBER(SEARCH("LED",Inventario!B193)),"LED",
IF(ISNUMBER(SEARCH("FUENTE",Inventario!B193)),"FUE",
IF(ISNUMBER(SEARCH("PETG",Inventario!B193)),"PET",
IF(ISNUMBER(SEARCH("ALUMINIO",Inventario!B193)),"ALU",
IF(ISNUMBER(SEARCH("CANAL",Inventario!B193)),"CAN",
IF(ISNUMBER(SEARCH("ESCUADRA",Inventario!B193)),"ESC",
IF(ISNUMBER(SEARCH("SOPORTE",Inventario!B193)),"SOP","OTR")
)))))))))))))))))))</f>
        <v>PAN-ALU-COM</v>
      </c>
      <c r="B194" t="str">
        <f>IF(ISNUMBER(SEARCH("CORTE",Inventario!B193)),"COR",
IF(ISNUMBER(SEARCH("CRISTAL",Inventario!B193)),"CR",
IF(OR(ISNUMBER(SEARCH("OPTICO",Inventario!B193)),ISNUMBER(SEARCH("OPTICOS",Inventario!B193)),ISNUMBER(SEARCH("OPTICA",Inventario!B193))),"OP",
IF(ISNUMBER(SEARCH("NANO",Inventario!B193)),"NA",
IF(ISNUMBER(SEARCH("5050",Inventario!B193)),"5050",
IF(ISNUMBER(SEARCH("MICRO",Inventario!B193)),"MI",""))))))</f>
        <v/>
      </c>
      <c r="C194" t="str">
        <f>IF(ISNUMBER(SEARCH("PARED",Inventario!B193)),"PAR",IF(ISNUMBER(SEARCH("MATE",Inventario!B193)),"MAT",
IF(ISNUMBER(SEARCH("FRONT",Inventario!B193)),"FRO",
IF(ISNUMBER(SEARCH("BACK",Inventario!B193)),"BAC",
IF(ISNUMBER(SEARCH("MESH",Inventario!B193)),"MES",
IF(OR(ISNUMBER(SEARCH("BRILLANTE",Inventario!B193)),ISNUMBER(SEARCH("BTE",Inventario!B193))),"BRI",
IF(ISNUMBER(SEARCH("SINTETICA DELGADA",Inventario!B193)),"SD",
IF(ISNUMBER(SEARCH("SINTETICA GRUESA",Inventario!B193)),"SG",
IF(ISNUMBER(SEARCH("ESTATICO",Inventario!B193)),"EST",
IF(ISNUMBER(SEARCH("FLOOR",Inventario!B193)),"FLO",
IF(ISNUMBER(SEARCH("REFLECTIVO",Inventario!B193)),"REF",
IF(ISNUMBER(SEARCH("MICROPERFORADO",Inventario!B193)),"MI",
IF(ISNUMBER(SEARCH("CEPILLADO",Inventario!B193)),"CEP",
IF(ISNUMBER(SEARCH("ESPEJO",Inventario!B193)),"ESP",
IF(OR(ISNUMBER(SEARCH("UNIDIODO",Inventario!B193)),ISNUMBER(SEARCH("1 DIODO",Inventario!B193))),"1D",
IF(ISNUMBER(SEARCH("2 DIODOS",Inventario!B193)),"2D",
IF(ISNUMBER(SEARCH("3 DIODOS",Inventario!B193)),"3D","")))))))))))))))))</f>
        <v/>
      </c>
      <c r="D194" t="str">
        <f>IF(ISNUMBER(SEARCH("LX700",Inventario!B193)),"LX7",
IF(ISNUMBER(SEARCH("GRANDO",Inventario!B193)),"GRA",
IF(OR(ISNUMBER(SEARCH("CAMA PLANA",Inventario!B193)),ISNUMBER(SEARCH("FB700",Inventario!B193))),"CP",
IF(ISNUMBER(SEARCH("LX360",Inventario!B193)),"LX3",
IF(ISNUMBER(SEARCH("XEROX",Inventario!B193)),"XER",
IF(ISNUMBER(SEARCH("18 OZ",Inventario!B193)),"18OZ",
IF(ISNUMBER(SEARCH("15 OZ",Inventario!B193)),"15OZ",
IF(OR(ISNUMBER(SEARCH("13 OZ",Inventario!B193)),ISNUMBER(SEARCH("13 ONZAS",Inventario!B193))),"13OZ",
IF(OR(ISNUMBER(SEARCH("9 OZ",Inventario!B193)),ISNUMBER(SEARCH("9 ONZAS",Inventario!B193))),"09OZ","")))))))))</f>
        <v/>
      </c>
      <c r="E194" t="str">
        <f>IF(OR(ISNUMBER(SEARCH("TRANSPARENTE",Inventario!B193)),ISNUMBER(SEARCH("TRANSPARENTES",Inventario!B193))),"TR",
IF(OR(ISNUMBER(SEARCH("BLANCO",Inventario!B193)),ISNUMBER(SEARCH("BCO",Inventario!B193))),"BL",
IF(ISNUMBER(SEARCH("VERDE",Inventario!B193)),"VR",
IF(ISNUMBER(SEARCH("MORADO",Inventario!B193)),"MR",
IF(ISNUMBER(SEARCH("PLATA",Inventario!B193)),"PL",
IF(ISNUMBER(SEARCH("ORO",Inventario!B193)),"OR",
IF(ISNUMBER(SEARCH("AMARILLO",Inventario!B193)),"AM",
IF(ISNUMBER(SEARCH("NARANJA",Inventario!B193)),"NR",
IF(ISNUMBER(SEARCH("NEGRO",Inventario!B193)),"NG",
IF(ISNUMBER(SEARCH("ROJO",Inventario!B193)),"RJ",
IF(ISNUMBER(SEARCH("AZUL",Inventario!B193)),"AZ","")))))))))))</f>
        <v>RJ</v>
      </c>
      <c r="F194" t="str">
        <f>IF(ISNUMBER(SEARCH("1,2 MM",Inventario!B193)),"1MM2",
IF(OR(ISNUMBER(SEARCH("2 MM",Inventario!B193)),ISNUMBER(SEARCH("2MM",Inventario!B193))),"2MM",
IF(OR(ISNUMBER(SEARCH("3 MM",Inventario!B193)),ISNUMBER(SEARCH("3MM",Inventario!B193))),"3MM",
IF(OR(ISNUMBER(SEARCH("4 MM",Inventario!B193)),ISNUMBER(SEARCH("4MM",Inventario!B193)),ISNUMBER(SEARCH("4 mm",Inventario!B193))),"4MM",
IF(OR(ISNUMBER(SEARCH("5 MM",Inventario!B193)),ISNUMBER(SEARCH("5MM",Inventario!B193))),"5MM",
IF(OR(ISNUMBER(SEARCH("6 MM",Inventario!B193)),ISNUMBER(SEARCH("6MM",Inventario!B193))),"6MM",
IF(OR(ISNUMBER(SEARCH("10 MM",Inventario!B193)),ISNUMBER(SEARCH("10MM",Inventario!B193))),"10MM","")))))))</f>
        <v>4MM</v>
      </c>
      <c r="H194" t="str">
        <f>IF(ISNUMBER(SEARCH("SILED",Inventario!B193)),"SI",
IF(ISNUMBER(SEARCH("SYDEMEX",Inventario!B193)),"SY",
IF(ISNUMBER(SEARCH("ROHS",Inventario!B193)),"RO",
IF(ISNUMBER(SEARCH("RISHANG",Inventario!B193)),"RS",
IF(ISNUMBER(SEARCH("VYG",Inventario!B193)),"VYG",
IF(ISNUMBER(SEARCH("COLED",Inventario!B193)),"CO",""))))))</f>
        <v/>
      </c>
    </row>
    <row r="195" spans="1:8">
      <c r="A195" t="str">
        <f>IF(ISNUMBER(SEARCH("LONA",Inventario!B194)),"LON",
IF(ISNUMBER(SEARCH("VINIL",Inventario!B194)),"VIN",
IF(ISNUMBER(SEARCH("PANEL DE ALUMINIO COMPUESTO",Inventario!B194)),"PAN-ALU-COM",
IF(ISNUMBER(SEARCH("PVC",Inventario!B194)),"PVC",
IF(ISNUMBER(SEARCH("PAPEL",Inventario!B194)),"PAP",
IF(ISNUMBER(SEARCH("TELA",Inventario!B194)),"TEL",
IF(ISNUMBER(SEARCH("CARTULINA",Inventario!B194)),"CAR",
IF(OR(ISNUMBER(SEARCH("LAMINA",Inventario!B194)),ISNUMBER(SEARCH("LÁMINA",Inventario!B194))),"LAM",
IF(ISNUMBER(SEARCH("ESTIRENO",Inventario!B194)),"EST",
IF(ISNUMBER(SEARCH("FOAMBOARD",Inventario!B194)),"FOA",
IF(ISNUMBER(SEARCH("SOLVENTE",Inventario!B194)),"SOL",
IF(ISNUMBER(SEARCH("TINTA",Inventario!B194)),"TIN",
IF(ISNUMBER(SEARCH("ACRILICO",Inventario!B194)),"ACR",
IF(ISNUMBER(SEARCH("LED",Inventario!B194)),"LED",
IF(ISNUMBER(SEARCH("FUENTE",Inventario!B194)),"FUE",
IF(ISNUMBER(SEARCH("PETG",Inventario!B194)),"PET",
IF(ISNUMBER(SEARCH("ALUMINIO",Inventario!B194)),"ALU",
IF(ISNUMBER(SEARCH("CANAL",Inventario!B194)),"CAN",
IF(ISNUMBER(SEARCH("ESCUADRA",Inventario!B194)),"ESC",
IF(ISNUMBER(SEARCH("SOPORTE",Inventario!B194)),"SOP","OTR")
)))))))))))))))))))</f>
        <v>PAN-ALU-COM</v>
      </c>
      <c r="B195" t="str">
        <f>IF(ISNUMBER(SEARCH("CORTE",Inventario!B194)),"COR",
IF(ISNUMBER(SEARCH("CRISTAL",Inventario!B194)),"CR",
IF(OR(ISNUMBER(SEARCH("OPTICO",Inventario!B194)),ISNUMBER(SEARCH("OPTICOS",Inventario!B194)),ISNUMBER(SEARCH("OPTICA",Inventario!B194))),"OP",
IF(ISNUMBER(SEARCH("NANO",Inventario!B194)),"NA",
IF(ISNUMBER(SEARCH("5050",Inventario!B194)),"5050",
IF(ISNUMBER(SEARCH("MICRO",Inventario!B194)),"MI",""))))))</f>
        <v/>
      </c>
      <c r="C195" t="str">
        <f>IF(ISNUMBER(SEARCH("PARED",Inventario!B194)),"PAR",IF(ISNUMBER(SEARCH("MATE",Inventario!B194)),"MAT",
IF(ISNUMBER(SEARCH("FRONT",Inventario!B194)),"FRO",
IF(ISNUMBER(SEARCH("BACK",Inventario!B194)),"BAC",
IF(ISNUMBER(SEARCH("MESH",Inventario!B194)),"MES",
IF(OR(ISNUMBER(SEARCH("BRILLANTE",Inventario!B194)),ISNUMBER(SEARCH("BTE",Inventario!B194))),"BRI",
IF(ISNUMBER(SEARCH("SINTETICA DELGADA",Inventario!B194)),"SD",
IF(ISNUMBER(SEARCH("SINTETICA GRUESA",Inventario!B194)),"SG",
IF(ISNUMBER(SEARCH("ESTATICO",Inventario!B194)),"EST",
IF(ISNUMBER(SEARCH("FLOOR",Inventario!B194)),"FLO",
IF(ISNUMBER(SEARCH("REFLECTIVO",Inventario!B194)),"REF",
IF(ISNUMBER(SEARCH("MICROPERFORADO",Inventario!B194)),"MI",
IF(ISNUMBER(SEARCH("CEPILLADO",Inventario!B194)),"CEP",
IF(ISNUMBER(SEARCH("ESPEJO",Inventario!B194)),"ESP",
IF(OR(ISNUMBER(SEARCH("UNIDIODO",Inventario!B194)),ISNUMBER(SEARCH("1 DIODO",Inventario!B194))),"1D",
IF(ISNUMBER(SEARCH("2 DIODOS",Inventario!B194)),"2D",
IF(ISNUMBER(SEARCH("3 DIODOS",Inventario!B194)),"3D","")))))))))))))))))</f>
        <v/>
      </c>
      <c r="D195" t="str">
        <f>IF(ISNUMBER(SEARCH("LX700",Inventario!B194)),"LX7",
IF(ISNUMBER(SEARCH("GRANDO",Inventario!B194)),"GRA",
IF(OR(ISNUMBER(SEARCH("CAMA PLANA",Inventario!B194)),ISNUMBER(SEARCH("FB700",Inventario!B194))),"CP",
IF(ISNUMBER(SEARCH("LX360",Inventario!B194)),"LX3",
IF(ISNUMBER(SEARCH("XEROX",Inventario!B194)),"XER",
IF(ISNUMBER(SEARCH("18 OZ",Inventario!B194)),"18OZ",
IF(ISNUMBER(SEARCH("15 OZ",Inventario!B194)),"15OZ",
IF(OR(ISNUMBER(SEARCH("13 OZ",Inventario!B194)),ISNUMBER(SEARCH("13 ONZAS",Inventario!B194))),"13OZ",
IF(OR(ISNUMBER(SEARCH("9 OZ",Inventario!B194)),ISNUMBER(SEARCH("9 ONZAS",Inventario!B194))),"09OZ","")))))))))</f>
        <v/>
      </c>
      <c r="E195" t="str">
        <f>IF(OR(ISNUMBER(SEARCH("TRANSPARENTE",Inventario!B194)),ISNUMBER(SEARCH("TRANSPARENTES",Inventario!B194))),"TR",
IF(OR(ISNUMBER(SEARCH("BLANCO",Inventario!B194)),ISNUMBER(SEARCH("BCO",Inventario!B194))),"BL",
IF(ISNUMBER(SEARCH("VERDE",Inventario!B194)),"VR",
IF(ISNUMBER(SEARCH("MORADO",Inventario!B194)),"MR",
IF(ISNUMBER(SEARCH("PLATA",Inventario!B194)),"PL",
IF(ISNUMBER(SEARCH("ORO",Inventario!B194)),"OR",
IF(ISNUMBER(SEARCH("AMARILLO",Inventario!B194)),"AM",
IF(ISNUMBER(SEARCH("NARANJA",Inventario!B194)),"NR",
IF(ISNUMBER(SEARCH("NEGRO",Inventario!B194)),"NG",
IF(ISNUMBER(SEARCH("ROJO",Inventario!B194)),"RJ",
IF(ISNUMBER(SEARCH("AZUL",Inventario!B194)),"AZ","")))))))))))</f>
        <v>RJ</v>
      </c>
      <c r="F195" t="str">
        <f>IF(ISNUMBER(SEARCH("1,2 MM",Inventario!B194)),"1MM2",
IF(OR(ISNUMBER(SEARCH("2 MM",Inventario!B194)),ISNUMBER(SEARCH("2MM",Inventario!B194))),"2MM",
IF(OR(ISNUMBER(SEARCH("3 MM",Inventario!B194)),ISNUMBER(SEARCH("3MM",Inventario!B194))),"3MM",
IF(OR(ISNUMBER(SEARCH("4 MM",Inventario!B194)),ISNUMBER(SEARCH("4MM",Inventario!B194)),ISNUMBER(SEARCH("4 mm",Inventario!B194))),"4MM",
IF(OR(ISNUMBER(SEARCH("5 MM",Inventario!B194)),ISNUMBER(SEARCH("5MM",Inventario!B194))),"5MM",
IF(OR(ISNUMBER(SEARCH("6 MM",Inventario!B194)),ISNUMBER(SEARCH("6MM",Inventario!B194))),"6MM",
IF(OR(ISNUMBER(SEARCH("10 MM",Inventario!B194)),ISNUMBER(SEARCH("10MM",Inventario!B194))),"10MM","")))))))</f>
        <v>4MM</v>
      </c>
      <c r="H195" t="str">
        <f>IF(ISNUMBER(SEARCH("SILED",Inventario!B194)),"SI",
IF(ISNUMBER(SEARCH("SYDEMEX",Inventario!B194)),"SY",
IF(ISNUMBER(SEARCH("ROHS",Inventario!B194)),"RO",
IF(ISNUMBER(SEARCH("RISHANG",Inventario!B194)),"RS",
IF(ISNUMBER(SEARCH("VYG",Inventario!B194)),"VYG",
IF(ISNUMBER(SEARCH("COLED",Inventario!B194)),"CO",""))))))</f>
        <v/>
      </c>
    </row>
    <row r="196" spans="1:8">
      <c r="A196" t="str">
        <f>IF(ISNUMBER(SEARCH("LONA",Inventario!B195)),"LON",
IF(ISNUMBER(SEARCH("VINIL",Inventario!B195)),"VIN",
IF(ISNUMBER(SEARCH("PANEL DE ALUMINIO COMPUESTO",Inventario!B195)),"PAN-ALU-COM",
IF(ISNUMBER(SEARCH("PVC",Inventario!B195)),"PVC",
IF(ISNUMBER(SEARCH("PAPEL",Inventario!B195)),"PAP",
IF(ISNUMBER(SEARCH("TELA",Inventario!B195)),"TEL",
IF(ISNUMBER(SEARCH("CARTULINA",Inventario!B195)),"CAR",
IF(OR(ISNUMBER(SEARCH("LAMINA",Inventario!B195)),ISNUMBER(SEARCH("LÁMINA",Inventario!B195))),"LAM",
IF(ISNUMBER(SEARCH("ESTIRENO",Inventario!B195)),"EST",
IF(ISNUMBER(SEARCH("FOAMBOARD",Inventario!B195)),"FOA",
IF(ISNUMBER(SEARCH("SOLVENTE",Inventario!B195)),"SOL",
IF(ISNUMBER(SEARCH("TINTA",Inventario!B195)),"TIN",
IF(ISNUMBER(SEARCH("ACRILICO",Inventario!B195)),"ACR",
IF(ISNUMBER(SEARCH("LED",Inventario!B195)),"LED",
IF(ISNUMBER(SEARCH("FUENTE",Inventario!B195)),"FUE",
IF(ISNUMBER(SEARCH("PETG",Inventario!B195)),"PET",
IF(ISNUMBER(SEARCH("ALUMINIO",Inventario!B195)),"ALU",
IF(ISNUMBER(SEARCH("CANAL",Inventario!B195)),"CAN",
IF(ISNUMBER(SEARCH("ESCUADRA",Inventario!B195)),"ESC",
IF(ISNUMBER(SEARCH("SOPORTE",Inventario!B195)),"SOP","OTR")
)))))))))))))))))))</f>
        <v>PAN-ALU-COM</v>
      </c>
      <c r="B196" t="str">
        <f>IF(ISNUMBER(SEARCH("CORTE",Inventario!B195)),"COR",
IF(ISNUMBER(SEARCH("CRISTAL",Inventario!B195)),"CR",
IF(OR(ISNUMBER(SEARCH("OPTICO",Inventario!B195)),ISNUMBER(SEARCH("OPTICOS",Inventario!B195)),ISNUMBER(SEARCH("OPTICA",Inventario!B195))),"OP",
IF(ISNUMBER(SEARCH("NANO",Inventario!B195)),"NA",
IF(ISNUMBER(SEARCH("5050",Inventario!B195)),"5050",
IF(ISNUMBER(SEARCH("MICRO",Inventario!B195)),"MI",""))))))</f>
        <v/>
      </c>
      <c r="C196" t="str">
        <f>IF(ISNUMBER(SEARCH("PARED",Inventario!B195)),"PAR",IF(ISNUMBER(SEARCH("MATE",Inventario!B195)),"MAT",
IF(ISNUMBER(SEARCH("FRONT",Inventario!B195)),"FRO",
IF(ISNUMBER(SEARCH("BACK",Inventario!B195)),"BAC",
IF(ISNUMBER(SEARCH("MESH",Inventario!B195)),"MES",
IF(OR(ISNUMBER(SEARCH("BRILLANTE",Inventario!B195)),ISNUMBER(SEARCH("BTE",Inventario!B195))),"BRI",
IF(ISNUMBER(SEARCH("SINTETICA DELGADA",Inventario!B195)),"SD",
IF(ISNUMBER(SEARCH("SINTETICA GRUESA",Inventario!B195)),"SG",
IF(ISNUMBER(SEARCH("ESTATICO",Inventario!B195)),"EST",
IF(ISNUMBER(SEARCH("FLOOR",Inventario!B195)),"FLO",
IF(ISNUMBER(SEARCH("REFLECTIVO",Inventario!B195)),"REF",
IF(ISNUMBER(SEARCH("MICROPERFORADO",Inventario!B195)),"MI",
IF(ISNUMBER(SEARCH("CEPILLADO",Inventario!B195)),"CEP",
IF(ISNUMBER(SEARCH("ESPEJO",Inventario!B195)),"ESP",
IF(OR(ISNUMBER(SEARCH("UNIDIODO",Inventario!B195)),ISNUMBER(SEARCH("1 DIODO",Inventario!B195))),"1D",
IF(ISNUMBER(SEARCH("2 DIODOS",Inventario!B195)),"2D",
IF(ISNUMBER(SEARCH("3 DIODOS",Inventario!B195)),"3D","")))))))))))))))))</f>
        <v>BRI</v>
      </c>
      <c r="D196" t="str">
        <f>IF(ISNUMBER(SEARCH("LX700",Inventario!B195)),"LX7",
IF(ISNUMBER(SEARCH("GRANDO",Inventario!B195)),"GRA",
IF(OR(ISNUMBER(SEARCH("CAMA PLANA",Inventario!B195)),ISNUMBER(SEARCH("FB700",Inventario!B195))),"CP",
IF(ISNUMBER(SEARCH("LX360",Inventario!B195)),"LX3",
IF(ISNUMBER(SEARCH("XEROX",Inventario!B195)),"XER",
IF(ISNUMBER(SEARCH("18 OZ",Inventario!B195)),"18OZ",
IF(ISNUMBER(SEARCH("15 OZ",Inventario!B195)),"15OZ",
IF(OR(ISNUMBER(SEARCH("13 OZ",Inventario!B195)),ISNUMBER(SEARCH("13 ONZAS",Inventario!B195))),"13OZ",
IF(OR(ISNUMBER(SEARCH("9 OZ",Inventario!B195)),ISNUMBER(SEARCH("9 ONZAS",Inventario!B195))),"09OZ","")))))))))</f>
        <v/>
      </c>
      <c r="E196" t="str">
        <f>IF(OR(ISNUMBER(SEARCH("TRANSPARENTE",Inventario!B195)),ISNUMBER(SEARCH("TRANSPARENTES",Inventario!B195))),"TR",
IF(OR(ISNUMBER(SEARCH("BLANCO",Inventario!B195)),ISNUMBER(SEARCH("BCO",Inventario!B195))),"BL",
IF(ISNUMBER(SEARCH("VERDE",Inventario!B195)),"VR",
IF(ISNUMBER(SEARCH("MORADO",Inventario!B195)),"MR",
IF(ISNUMBER(SEARCH("PLATA",Inventario!B195)),"PL",
IF(ISNUMBER(SEARCH("ORO",Inventario!B195)),"OR",
IF(ISNUMBER(SEARCH("AMARILLO",Inventario!B195)),"AM",
IF(ISNUMBER(SEARCH("NARANJA",Inventario!B195)),"NR",
IF(ISNUMBER(SEARCH("NEGRO",Inventario!B195)),"NG",
IF(ISNUMBER(SEARCH("ROJO",Inventario!B195)),"RJ",
IF(ISNUMBER(SEARCH("AZUL",Inventario!B195)),"AZ","")))))))))))</f>
        <v>PL</v>
      </c>
      <c r="F196" t="str">
        <f>IF(ISNUMBER(SEARCH("1,2 MM",Inventario!B195)),"1MM2",
IF(OR(ISNUMBER(SEARCH("2 MM",Inventario!B195)),ISNUMBER(SEARCH("2MM",Inventario!B195))),"2MM",
IF(OR(ISNUMBER(SEARCH("3 MM",Inventario!B195)),ISNUMBER(SEARCH("3MM",Inventario!B195))),"3MM",
IF(OR(ISNUMBER(SEARCH("4 MM",Inventario!B195)),ISNUMBER(SEARCH("4MM",Inventario!B195)),ISNUMBER(SEARCH("4 mm",Inventario!B195))),"4MM",
IF(OR(ISNUMBER(SEARCH("5 MM",Inventario!B195)),ISNUMBER(SEARCH("5MM",Inventario!B195))),"5MM",
IF(OR(ISNUMBER(SEARCH("6 MM",Inventario!B195)),ISNUMBER(SEARCH("6MM",Inventario!B195))),"6MM",
IF(OR(ISNUMBER(SEARCH("10 MM",Inventario!B195)),ISNUMBER(SEARCH("10MM",Inventario!B195))),"10MM","")))))))</f>
        <v>4MM</v>
      </c>
      <c r="H196" t="str">
        <f>IF(ISNUMBER(SEARCH("SILED",Inventario!B195)),"SI",
IF(ISNUMBER(SEARCH("SYDEMEX",Inventario!B195)),"SY",
IF(ISNUMBER(SEARCH("ROHS",Inventario!B195)),"RO",
IF(ISNUMBER(SEARCH("RISHANG",Inventario!B195)),"RS",
IF(ISNUMBER(SEARCH("VYG",Inventario!B195)),"VYG",
IF(ISNUMBER(SEARCH("COLED",Inventario!B195)),"CO",""))))))</f>
        <v/>
      </c>
    </row>
    <row r="197" spans="1:8">
      <c r="A197" t="str">
        <f>IF(ISNUMBER(SEARCH("LONA",Inventario!B196)),"LON",
IF(ISNUMBER(SEARCH("VINIL",Inventario!B196)),"VIN",
IF(ISNUMBER(SEARCH("PANEL DE ALUMINIO COMPUESTO",Inventario!B196)),"PAN-ALU-COM",
IF(ISNUMBER(SEARCH("PVC",Inventario!B196)),"PVC",
IF(ISNUMBER(SEARCH("PAPEL",Inventario!B196)),"PAP",
IF(ISNUMBER(SEARCH("TELA",Inventario!B196)),"TEL",
IF(ISNUMBER(SEARCH("CARTULINA",Inventario!B196)),"CAR",
IF(OR(ISNUMBER(SEARCH("LAMINA",Inventario!B196)),ISNUMBER(SEARCH("LÁMINA",Inventario!B196))),"LAM",
IF(ISNUMBER(SEARCH("ESTIRENO",Inventario!B196)),"EST",
IF(ISNUMBER(SEARCH("FOAMBOARD",Inventario!B196)),"FOA",
IF(ISNUMBER(SEARCH("SOLVENTE",Inventario!B196)),"SOL",
IF(ISNUMBER(SEARCH("TINTA",Inventario!B196)),"TIN",
IF(ISNUMBER(SEARCH("ACRILICO",Inventario!B196)),"ACR",
IF(ISNUMBER(SEARCH("LED",Inventario!B196)),"LED",
IF(ISNUMBER(SEARCH("FUENTE",Inventario!B196)),"FUE",
IF(ISNUMBER(SEARCH("PETG",Inventario!B196)),"PET",
IF(ISNUMBER(SEARCH("ALUMINIO",Inventario!B196)),"ALU",
IF(ISNUMBER(SEARCH("CANAL",Inventario!B196)),"CAN",
IF(ISNUMBER(SEARCH("ESCUADRA",Inventario!B196)),"ESC",
IF(ISNUMBER(SEARCH("SOPORTE",Inventario!B196)),"SOP","OTR")
)))))))))))))))))))</f>
        <v>PAN-ALU-COM</v>
      </c>
      <c r="B197" t="str">
        <f>IF(ISNUMBER(SEARCH("CORTE",Inventario!B196)),"COR",
IF(ISNUMBER(SEARCH("CRISTAL",Inventario!B196)),"CR",
IF(OR(ISNUMBER(SEARCH("OPTICO",Inventario!B196)),ISNUMBER(SEARCH("OPTICOS",Inventario!B196)),ISNUMBER(SEARCH("OPTICA",Inventario!B196))),"OP",
IF(ISNUMBER(SEARCH("NANO",Inventario!B196)),"NA",
IF(ISNUMBER(SEARCH("5050",Inventario!B196)),"5050",
IF(ISNUMBER(SEARCH("MICRO",Inventario!B196)),"MI",""))))))</f>
        <v/>
      </c>
      <c r="C197" t="str">
        <f>IF(ISNUMBER(SEARCH("PARED",Inventario!B196)),"PAR",IF(ISNUMBER(SEARCH("MATE",Inventario!B196)),"MAT",
IF(ISNUMBER(SEARCH("FRONT",Inventario!B196)),"FRO",
IF(ISNUMBER(SEARCH("BACK",Inventario!B196)),"BAC",
IF(ISNUMBER(SEARCH("MESH",Inventario!B196)),"MES",
IF(OR(ISNUMBER(SEARCH("BRILLANTE",Inventario!B196)),ISNUMBER(SEARCH("BTE",Inventario!B196))),"BRI",
IF(ISNUMBER(SEARCH("SINTETICA DELGADA",Inventario!B196)),"SD",
IF(ISNUMBER(SEARCH("SINTETICA GRUESA",Inventario!B196)),"SG",
IF(ISNUMBER(SEARCH("ESTATICO",Inventario!B196)),"EST",
IF(ISNUMBER(SEARCH("FLOOR",Inventario!B196)),"FLO",
IF(ISNUMBER(SEARCH("REFLECTIVO",Inventario!B196)),"REF",
IF(ISNUMBER(SEARCH("MICROPERFORADO",Inventario!B196)),"MI",
IF(ISNUMBER(SEARCH("CEPILLADO",Inventario!B196)),"CEP",
IF(ISNUMBER(SEARCH("ESPEJO",Inventario!B196)),"ESP",
IF(OR(ISNUMBER(SEARCH("UNIDIODO",Inventario!B196)),ISNUMBER(SEARCH("1 DIODO",Inventario!B196))),"1D",
IF(ISNUMBER(SEARCH("2 DIODOS",Inventario!B196)),"2D",
IF(ISNUMBER(SEARCH("3 DIODOS",Inventario!B196)),"3D","")))))))))))))))))</f>
        <v/>
      </c>
      <c r="D197" t="str">
        <f>IF(ISNUMBER(SEARCH("LX700",Inventario!B196)),"LX7",
IF(ISNUMBER(SEARCH("GRANDO",Inventario!B196)),"GRA",
IF(OR(ISNUMBER(SEARCH("CAMA PLANA",Inventario!B196)),ISNUMBER(SEARCH("FB700",Inventario!B196))),"CP",
IF(ISNUMBER(SEARCH("LX360",Inventario!B196)),"LX3",
IF(ISNUMBER(SEARCH("XEROX",Inventario!B196)),"XER",
IF(ISNUMBER(SEARCH("18 OZ",Inventario!B196)),"18OZ",
IF(ISNUMBER(SEARCH("15 OZ",Inventario!B196)),"15OZ",
IF(OR(ISNUMBER(SEARCH("13 OZ",Inventario!B196)),ISNUMBER(SEARCH("13 ONZAS",Inventario!B196))),"13OZ",
IF(OR(ISNUMBER(SEARCH("9 OZ",Inventario!B196)),ISNUMBER(SEARCH("9 ONZAS",Inventario!B196))),"09OZ","")))))))))</f>
        <v/>
      </c>
      <c r="E197" t="str">
        <f>IF(OR(ISNUMBER(SEARCH("TRANSPARENTE",Inventario!B196)),ISNUMBER(SEARCH("TRANSPARENTES",Inventario!B196))),"TR",
IF(OR(ISNUMBER(SEARCH("BLANCO",Inventario!B196)),ISNUMBER(SEARCH("BCO",Inventario!B196))),"BL",
IF(ISNUMBER(SEARCH("VERDE",Inventario!B196)),"VR",
IF(ISNUMBER(SEARCH("MORADO",Inventario!B196)),"MR",
IF(ISNUMBER(SEARCH("PLATA",Inventario!B196)),"PL",
IF(ISNUMBER(SEARCH("ORO",Inventario!B196)),"OR",
IF(ISNUMBER(SEARCH("AMARILLO",Inventario!B196)),"AM",
IF(ISNUMBER(SEARCH("NARANJA",Inventario!B196)),"NR",
IF(ISNUMBER(SEARCH("NEGRO",Inventario!B196)),"NG",
IF(ISNUMBER(SEARCH("ROJO",Inventario!B196)),"RJ",
IF(ISNUMBER(SEARCH("AZUL",Inventario!B196)),"AZ","")))))))))))</f>
        <v>AZ</v>
      </c>
      <c r="F197" t="str">
        <f>IF(ISNUMBER(SEARCH("1,2 MM",Inventario!B196)),"1MM2",
IF(OR(ISNUMBER(SEARCH("2 MM",Inventario!B196)),ISNUMBER(SEARCH("2MM",Inventario!B196))),"2MM",
IF(OR(ISNUMBER(SEARCH("3 MM",Inventario!B196)),ISNUMBER(SEARCH("3MM",Inventario!B196))),"3MM",
IF(OR(ISNUMBER(SEARCH("4 MM",Inventario!B196)),ISNUMBER(SEARCH("4MM",Inventario!B196)),ISNUMBER(SEARCH("4 mm",Inventario!B196))),"4MM",
IF(OR(ISNUMBER(SEARCH("5 MM",Inventario!B196)),ISNUMBER(SEARCH("5MM",Inventario!B196))),"5MM",
IF(OR(ISNUMBER(SEARCH("6 MM",Inventario!B196)),ISNUMBER(SEARCH("6MM",Inventario!B196))),"6MM",
IF(OR(ISNUMBER(SEARCH("10 MM",Inventario!B196)),ISNUMBER(SEARCH("10MM",Inventario!B196))),"10MM","")))))))</f>
        <v>4MM</v>
      </c>
      <c r="H197" t="str">
        <f>IF(ISNUMBER(SEARCH("SILED",Inventario!B196)),"SI",
IF(ISNUMBER(SEARCH("SYDEMEX",Inventario!B196)),"SY",
IF(ISNUMBER(SEARCH("ROHS",Inventario!B196)),"RO",
IF(ISNUMBER(SEARCH("RISHANG",Inventario!B196)),"RS",
IF(ISNUMBER(SEARCH("VYG",Inventario!B196)),"VYG",
IF(ISNUMBER(SEARCH("COLED",Inventario!B196)),"CO",""))))))</f>
        <v/>
      </c>
    </row>
    <row r="198" spans="1:8">
      <c r="A198" t="str">
        <f>IF(ISNUMBER(SEARCH("LONA",Inventario!B197)),"LON",
IF(ISNUMBER(SEARCH("VINIL",Inventario!B197)),"VIN",
IF(ISNUMBER(SEARCH("PANEL DE ALUMINIO COMPUESTO",Inventario!B197)),"PAN-ALU-COM",
IF(ISNUMBER(SEARCH("PVC",Inventario!B197)),"PVC",
IF(ISNUMBER(SEARCH("PAPEL",Inventario!B197)),"PAP",
IF(ISNUMBER(SEARCH("TELA",Inventario!B197)),"TEL",
IF(ISNUMBER(SEARCH("CARTULINA",Inventario!B197)),"CAR",
IF(OR(ISNUMBER(SEARCH("LAMINA",Inventario!B197)),ISNUMBER(SEARCH("LÁMINA",Inventario!B197))),"LAM",
IF(ISNUMBER(SEARCH("ESTIRENO",Inventario!B197)),"EST",
IF(ISNUMBER(SEARCH("FOAMBOARD",Inventario!B197)),"FOA",
IF(ISNUMBER(SEARCH("SOLVENTE",Inventario!B197)),"SOL",
IF(ISNUMBER(SEARCH("TINTA",Inventario!B197)),"TIN",
IF(ISNUMBER(SEARCH("ACRILICO",Inventario!B197)),"ACR",
IF(ISNUMBER(SEARCH("LED",Inventario!B197)),"LED",
IF(ISNUMBER(SEARCH("FUENTE",Inventario!B197)),"FUE",
IF(ISNUMBER(SEARCH("PETG",Inventario!B197)),"PET",
IF(ISNUMBER(SEARCH("ALUMINIO",Inventario!B197)),"ALU",
IF(ISNUMBER(SEARCH("CANAL",Inventario!B197)),"CAN",
IF(ISNUMBER(SEARCH("ESCUADRA",Inventario!B197)),"ESC",
IF(ISNUMBER(SEARCH("SOPORTE",Inventario!B197)),"SOP","OTR")
)))))))))))))))))))</f>
        <v>PAN-ALU-COM</v>
      </c>
      <c r="B198" t="str">
        <f>IF(ISNUMBER(SEARCH("CORTE",Inventario!B197)),"COR",
IF(ISNUMBER(SEARCH("CRISTAL",Inventario!B197)),"CR",
IF(OR(ISNUMBER(SEARCH("OPTICO",Inventario!B197)),ISNUMBER(SEARCH("OPTICOS",Inventario!B197)),ISNUMBER(SEARCH("OPTICA",Inventario!B197))),"OP",
IF(ISNUMBER(SEARCH("NANO",Inventario!B197)),"NA",
IF(ISNUMBER(SEARCH("5050",Inventario!B197)),"5050",
IF(ISNUMBER(SEARCH("MICRO",Inventario!B197)),"MI",""))))))</f>
        <v/>
      </c>
      <c r="C198" t="str">
        <f>IF(ISNUMBER(SEARCH("PARED",Inventario!B197)),"PAR",IF(ISNUMBER(SEARCH("MATE",Inventario!B197)),"MAT",
IF(ISNUMBER(SEARCH("FRONT",Inventario!B197)),"FRO",
IF(ISNUMBER(SEARCH("BACK",Inventario!B197)),"BAC",
IF(ISNUMBER(SEARCH("MESH",Inventario!B197)),"MES",
IF(OR(ISNUMBER(SEARCH("BRILLANTE",Inventario!B197)),ISNUMBER(SEARCH("BTE",Inventario!B197))),"BRI",
IF(ISNUMBER(SEARCH("SINTETICA DELGADA",Inventario!B197)),"SD",
IF(ISNUMBER(SEARCH("SINTETICA GRUESA",Inventario!B197)),"SG",
IF(ISNUMBER(SEARCH("ESTATICO",Inventario!B197)),"EST",
IF(ISNUMBER(SEARCH("FLOOR",Inventario!B197)),"FLO",
IF(ISNUMBER(SEARCH("REFLECTIVO",Inventario!B197)),"REF",
IF(ISNUMBER(SEARCH("MICROPERFORADO",Inventario!B197)),"MI",
IF(ISNUMBER(SEARCH("CEPILLADO",Inventario!B197)),"CEP",
IF(ISNUMBER(SEARCH("ESPEJO",Inventario!B197)),"ESP",
IF(OR(ISNUMBER(SEARCH("UNIDIODO",Inventario!B197)),ISNUMBER(SEARCH("1 DIODO",Inventario!B197))),"1D",
IF(ISNUMBER(SEARCH("2 DIODOS",Inventario!B197)),"2D",
IF(ISNUMBER(SEARCH("3 DIODOS",Inventario!B197)),"3D","")))))))))))))))))</f>
        <v>BRI</v>
      </c>
      <c r="D198" t="str">
        <f>IF(ISNUMBER(SEARCH("LX700",Inventario!B197)),"LX7",
IF(ISNUMBER(SEARCH("GRANDO",Inventario!B197)),"GRA",
IF(OR(ISNUMBER(SEARCH("CAMA PLANA",Inventario!B197)),ISNUMBER(SEARCH("FB700",Inventario!B197))),"CP",
IF(ISNUMBER(SEARCH("LX360",Inventario!B197)),"LX3",
IF(ISNUMBER(SEARCH("XEROX",Inventario!B197)),"XER",
IF(ISNUMBER(SEARCH("18 OZ",Inventario!B197)),"18OZ",
IF(ISNUMBER(SEARCH("15 OZ",Inventario!B197)),"15OZ",
IF(OR(ISNUMBER(SEARCH("13 OZ",Inventario!B197)),ISNUMBER(SEARCH("13 ONZAS",Inventario!B197))),"13OZ",
IF(OR(ISNUMBER(SEARCH("9 OZ",Inventario!B197)),ISNUMBER(SEARCH("9 ONZAS",Inventario!B197))),"09OZ","")))))))))</f>
        <v/>
      </c>
      <c r="E198" t="str">
        <f>IF(OR(ISNUMBER(SEARCH("TRANSPARENTE",Inventario!B197)),ISNUMBER(SEARCH("TRANSPARENTES",Inventario!B197))),"TR",
IF(OR(ISNUMBER(SEARCH("BLANCO",Inventario!B197)),ISNUMBER(SEARCH("BCO",Inventario!B197))),"BL",
IF(ISNUMBER(SEARCH("VERDE",Inventario!B197)),"VR",
IF(ISNUMBER(SEARCH("MORADO",Inventario!B197)),"MR",
IF(ISNUMBER(SEARCH("PLATA",Inventario!B197)),"PL",
IF(ISNUMBER(SEARCH("ORO",Inventario!B197)),"OR",
IF(ISNUMBER(SEARCH("AMARILLO",Inventario!B197)),"AM",
IF(ISNUMBER(SEARCH("NARANJA",Inventario!B197)),"NR",
IF(ISNUMBER(SEARCH("NEGRO",Inventario!B197)),"NG",
IF(ISNUMBER(SEARCH("ROJO",Inventario!B197)),"RJ",
IF(ISNUMBER(SEARCH("AZUL",Inventario!B197)),"AZ","")))))))))))</f>
        <v>PL</v>
      </c>
      <c r="F198" t="str">
        <f>IF(ISNUMBER(SEARCH("1,2 MM",Inventario!B197)),"1MM2",
IF(OR(ISNUMBER(SEARCH("2 MM",Inventario!B197)),ISNUMBER(SEARCH("2MM",Inventario!B197))),"2MM",
IF(OR(ISNUMBER(SEARCH("3 MM",Inventario!B197)),ISNUMBER(SEARCH("3MM",Inventario!B197))),"3MM",
IF(OR(ISNUMBER(SEARCH("4 MM",Inventario!B197)),ISNUMBER(SEARCH("4MM",Inventario!B197)),ISNUMBER(SEARCH("4 mm",Inventario!B197))),"4MM",
IF(OR(ISNUMBER(SEARCH("5 MM",Inventario!B197)),ISNUMBER(SEARCH("5MM",Inventario!B197))),"5MM",
IF(OR(ISNUMBER(SEARCH("6 MM",Inventario!B197)),ISNUMBER(SEARCH("6MM",Inventario!B197))),"6MM",
IF(OR(ISNUMBER(SEARCH("10 MM",Inventario!B197)),ISNUMBER(SEARCH("10MM",Inventario!B197))),"10MM","")))))))</f>
        <v>3MM</v>
      </c>
      <c r="H198" t="str">
        <f>IF(ISNUMBER(SEARCH("SILED",Inventario!B197)),"SI",
IF(ISNUMBER(SEARCH("SYDEMEX",Inventario!B197)),"SY",
IF(ISNUMBER(SEARCH("ROHS",Inventario!B197)),"RO",
IF(ISNUMBER(SEARCH("RISHANG",Inventario!B197)),"RS",
IF(ISNUMBER(SEARCH("VYG",Inventario!B197)),"VYG",
IF(ISNUMBER(SEARCH("COLED",Inventario!B197)),"CO",""))))))</f>
        <v/>
      </c>
    </row>
    <row r="199" spans="1:8">
      <c r="A199" t="str">
        <f>IF(ISNUMBER(SEARCH("LONA",Inventario!B198)),"LON",
IF(ISNUMBER(SEARCH("VINIL",Inventario!B198)),"VIN",
IF(ISNUMBER(SEARCH("PANEL DE ALUMINIO COMPUESTO",Inventario!B198)),"PAN-ALU-COM",
IF(ISNUMBER(SEARCH("PVC",Inventario!B198)),"PVC",
IF(ISNUMBER(SEARCH("PAPEL",Inventario!B198)),"PAP",
IF(ISNUMBER(SEARCH("TELA",Inventario!B198)),"TEL",
IF(ISNUMBER(SEARCH("CARTULINA",Inventario!B198)),"CAR",
IF(OR(ISNUMBER(SEARCH("LAMINA",Inventario!B198)),ISNUMBER(SEARCH("LÁMINA",Inventario!B198))),"LAM",
IF(ISNUMBER(SEARCH("ESTIRENO",Inventario!B198)),"EST",
IF(ISNUMBER(SEARCH("FOAMBOARD",Inventario!B198)),"FOA",
IF(ISNUMBER(SEARCH("SOLVENTE",Inventario!B198)),"SOL",
IF(ISNUMBER(SEARCH("TINTA",Inventario!B198)),"TIN",
IF(ISNUMBER(SEARCH("ACRILICO",Inventario!B198)),"ACR",
IF(ISNUMBER(SEARCH("LED",Inventario!B198)),"LED",
IF(ISNUMBER(SEARCH("FUENTE",Inventario!B198)),"FUE",
IF(ISNUMBER(SEARCH("PETG",Inventario!B198)),"PET",
IF(ISNUMBER(SEARCH("ALUMINIO",Inventario!B198)),"ALU",
IF(ISNUMBER(SEARCH("CANAL",Inventario!B198)),"CAN",
IF(ISNUMBER(SEARCH("ESCUADRA",Inventario!B198)),"ESC",
IF(ISNUMBER(SEARCH("SOPORTE",Inventario!B198)),"SOP","OTR")
)))))))))))))))))))</f>
        <v>PAN-ALU-COM</v>
      </c>
      <c r="B199" t="str">
        <f>IF(ISNUMBER(SEARCH("CORTE",Inventario!B198)),"COR",
IF(ISNUMBER(SEARCH("CRISTAL",Inventario!B198)),"CR",
IF(OR(ISNUMBER(SEARCH("OPTICO",Inventario!B198)),ISNUMBER(SEARCH("OPTICOS",Inventario!B198)),ISNUMBER(SEARCH("OPTICA",Inventario!B198))),"OP",
IF(ISNUMBER(SEARCH("NANO",Inventario!B198)),"NA",
IF(ISNUMBER(SEARCH("5050",Inventario!B198)),"5050",
IF(ISNUMBER(SEARCH("MICRO",Inventario!B198)),"MI",""))))))</f>
        <v/>
      </c>
      <c r="C199" t="str">
        <f>IF(ISNUMBER(SEARCH("PARED",Inventario!B198)),"PAR",IF(ISNUMBER(SEARCH("MATE",Inventario!B198)),"MAT",
IF(ISNUMBER(SEARCH("FRONT",Inventario!B198)),"FRO",
IF(ISNUMBER(SEARCH("BACK",Inventario!B198)),"BAC",
IF(ISNUMBER(SEARCH("MESH",Inventario!B198)),"MES",
IF(OR(ISNUMBER(SEARCH("BRILLANTE",Inventario!B198)),ISNUMBER(SEARCH("BTE",Inventario!B198))),"BRI",
IF(ISNUMBER(SEARCH("SINTETICA DELGADA",Inventario!B198)),"SD",
IF(ISNUMBER(SEARCH("SINTETICA GRUESA",Inventario!B198)),"SG",
IF(ISNUMBER(SEARCH("ESTATICO",Inventario!B198)),"EST",
IF(ISNUMBER(SEARCH("FLOOR",Inventario!B198)),"FLO",
IF(ISNUMBER(SEARCH("REFLECTIVO",Inventario!B198)),"REF",
IF(ISNUMBER(SEARCH("MICROPERFORADO",Inventario!B198)),"MI",
IF(ISNUMBER(SEARCH("CEPILLADO",Inventario!B198)),"CEP",
IF(ISNUMBER(SEARCH("ESPEJO",Inventario!B198)),"ESP",
IF(OR(ISNUMBER(SEARCH("UNIDIODO",Inventario!B198)),ISNUMBER(SEARCH("1 DIODO",Inventario!B198))),"1D",
IF(ISNUMBER(SEARCH("2 DIODOS",Inventario!B198)),"2D",
IF(ISNUMBER(SEARCH("3 DIODOS",Inventario!B198)),"3D","")))))))))))))))))</f>
        <v>BRI</v>
      </c>
      <c r="D199" t="str">
        <f>IF(ISNUMBER(SEARCH("LX700",Inventario!B198)),"LX7",
IF(ISNUMBER(SEARCH("GRANDO",Inventario!B198)),"GRA",
IF(OR(ISNUMBER(SEARCH("CAMA PLANA",Inventario!B198)),ISNUMBER(SEARCH("FB700",Inventario!B198))),"CP",
IF(ISNUMBER(SEARCH("LX360",Inventario!B198)),"LX3",
IF(ISNUMBER(SEARCH("XEROX",Inventario!B198)),"XER",
IF(ISNUMBER(SEARCH("18 OZ",Inventario!B198)),"18OZ",
IF(ISNUMBER(SEARCH("15 OZ",Inventario!B198)),"15OZ",
IF(OR(ISNUMBER(SEARCH("13 OZ",Inventario!B198)),ISNUMBER(SEARCH("13 ONZAS",Inventario!B198))),"13OZ",
IF(OR(ISNUMBER(SEARCH("9 OZ",Inventario!B198)),ISNUMBER(SEARCH("9 ONZAS",Inventario!B198))),"09OZ","")))))))))</f>
        <v/>
      </c>
      <c r="E199" t="str">
        <f>IF(OR(ISNUMBER(SEARCH("TRANSPARENTE",Inventario!B198)),ISNUMBER(SEARCH("TRANSPARENTES",Inventario!B198))),"TR",
IF(OR(ISNUMBER(SEARCH("BLANCO",Inventario!B198)),ISNUMBER(SEARCH("BCO",Inventario!B198))),"BL",
IF(ISNUMBER(SEARCH("VERDE",Inventario!B198)),"VR",
IF(ISNUMBER(SEARCH("MORADO",Inventario!B198)),"MR",
IF(ISNUMBER(SEARCH("PLATA",Inventario!B198)),"PL",
IF(ISNUMBER(SEARCH("ORO",Inventario!B198)),"OR",
IF(ISNUMBER(SEARCH("AMARILLO",Inventario!B198)),"AM",
IF(ISNUMBER(SEARCH("NARANJA",Inventario!B198)),"NR",
IF(ISNUMBER(SEARCH("NEGRO",Inventario!B198)),"NG",
IF(ISNUMBER(SEARCH("ROJO",Inventario!B198)),"RJ",
IF(ISNUMBER(SEARCH("AZUL",Inventario!B198)),"AZ","")))))))))))</f>
        <v>PL</v>
      </c>
      <c r="F199" t="str">
        <f>IF(ISNUMBER(SEARCH("1,2 MM",Inventario!B198)),"1MM2",
IF(OR(ISNUMBER(SEARCH("2 MM",Inventario!B198)),ISNUMBER(SEARCH("2MM",Inventario!B198))),"2MM",
IF(OR(ISNUMBER(SEARCH("3 MM",Inventario!B198)),ISNUMBER(SEARCH("3MM",Inventario!B198))),"3MM",
IF(OR(ISNUMBER(SEARCH("4 MM",Inventario!B198)),ISNUMBER(SEARCH("4MM",Inventario!B198)),ISNUMBER(SEARCH("4 mm",Inventario!B198))),"4MM",
IF(OR(ISNUMBER(SEARCH("5 MM",Inventario!B198)),ISNUMBER(SEARCH("5MM",Inventario!B198))),"5MM",
IF(OR(ISNUMBER(SEARCH("6 MM",Inventario!B198)),ISNUMBER(SEARCH("6MM",Inventario!B198))),"6MM",
IF(OR(ISNUMBER(SEARCH("10 MM",Inventario!B198)),ISNUMBER(SEARCH("10MM",Inventario!B198))),"10MM","")))))))</f>
        <v>3MM</v>
      </c>
      <c r="H199" t="str">
        <f>IF(ISNUMBER(SEARCH("SILED",Inventario!B198)),"SI",
IF(ISNUMBER(SEARCH("SYDEMEX",Inventario!B198)),"SY",
IF(ISNUMBER(SEARCH("ROHS",Inventario!B198)),"RO",
IF(ISNUMBER(SEARCH("RISHANG",Inventario!B198)),"RS",
IF(ISNUMBER(SEARCH("VYG",Inventario!B198)),"VYG",
IF(ISNUMBER(SEARCH("COLED",Inventario!B198)),"CO",""))))))</f>
        <v/>
      </c>
    </row>
    <row r="200" spans="1:8">
      <c r="A200" t="str">
        <f>IF(ISNUMBER(SEARCH("LONA",Inventario!B199)),"LON",
IF(ISNUMBER(SEARCH("VINIL",Inventario!B199)),"VIN",
IF(ISNUMBER(SEARCH("PANEL DE ALUMINIO COMPUESTO",Inventario!B199)),"PAN-ALU-COM",
IF(ISNUMBER(SEARCH("PVC",Inventario!B199)),"PVC",
IF(ISNUMBER(SEARCH("PAPEL",Inventario!B199)),"PAP",
IF(ISNUMBER(SEARCH("TELA",Inventario!B199)),"TEL",
IF(ISNUMBER(SEARCH("CARTULINA",Inventario!B199)),"CAR",
IF(OR(ISNUMBER(SEARCH("LAMINA",Inventario!B199)),ISNUMBER(SEARCH("LÁMINA",Inventario!B199))),"LAM",
IF(ISNUMBER(SEARCH("ESTIRENO",Inventario!B199)),"EST",
IF(ISNUMBER(SEARCH("FOAMBOARD",Inventario!B199)),"FOA",
IF(ISNUMBER(SEARCH("SOLVENTE",Inventario!B199)),"SOL",
IF(ISNUMBER(SEARCH("TINTA",Inventario!B199)),"TIN",
IF(ISNUMBER(SEARCH("ACRILICO",Inventario!B199)),"ACR",
IF(ISNUMBER(SEARCH("LED",Inventario!B199)),"LED",
IF(ISNUMBER(SEARCH("FUENTE",Inventario!B199)),"FUE",
IF(ISNUMBER(SEARCH("PETG",Inventario!B199)),"PET",
IF(ISNUMBER(SEARCH("ALUMINIO",Inventario!B199)),"ALU",
IF(ISNUMBER(SEARCH("CANAL",Inventario!B199)),"CAN",
IF(ISNUMBER(SEARCH("ESCUADRA",Inventario!B199)),"ESC",
IF(ISNUMBER(SEARCH("SOPORTE",Inventario!B199)),"SOP","OTR")
)))))))))))))))))))</f>
        <v>PAN-ALU-COM</v>
      </c>
      <c r="B200" t="str">
        <f>IF(ISNUMBER(SEARCH("CORTE",Inventario!B199)),"COR",
IF(ISNUMBER(SEARCH("CRISTAL",Inventario!B199)),"CR",
IF(OR(ISNUMBER(SEARCH("OPTICO",Inventario!B199)),ISNUMBER(SEARCH("OPTICOS",Inventario!B199)),ISNUMBER(SEARCH("OPTICA",Inventario!B199))),"OP",
IF(ISNUMBER(SEARCH("NANO",Inventario!B199)),"NA",
IF(ISNUMBER(SEARCH("5050",Inventario!B199)),"5050",
IF(ISNUMBER(SEARCH("MICRO",Inventario!B199)),"MI",""))))))</f>
        <v/>
      </c>
      <c r="C200" t="str">
        <f>IF(ISNUMBER(SEARCH("PARED",Inventario!B199)),"PAR",IF(ISNUMBER(SEARCH("MATE",Inventario!B199)),"MAT",
IF(ISNUMBER(SEARCH("FRONT",Inventario!B199)),"FRO",
IF(ISNUMBER(SEARCH("BACK",Inventario!B199)),"BAC",
IF(ISNUMBER(SEARCH("MESH",Inventario!B199)),"MES",
IF(OR(ISNUMBER(SEARCH("BRILLANTE",Inventario!B199)),ISNUMBER(SEARCH("BTE",Inventario!B199))),"BRI",
IF(ISNUMBER(SEARCH("SINTETICA DELGADA",Inventario!B199)),"SD",
IF(ISNUMBER(SEARCH("SINTETICA GRUESA",Inventario!B199)),"SG",
IF(ISNUMBER(SEARCH("ESTATICO",Inventario!B199)),"EST",
IF(ISNUMBER(SEARCH("FLOOR",Inventario!B199)),"FLO",
IF(ISNUMBER(SEARCH("REFLECTIVO",Inventario!B199)),"REF",
IF(ISNUMBER(SEARCH("MICROPERFORADO",Inventario!B199)),"MI",
IF(ISNUMBER(SEARCH("CEPILLADO",Inventario!B199)),"CEP",
IF(ISNUMBER(SEARCH("ESPEJO",Inventario!B199)),"ESP",
IF(OR(ISNUMBER(SEARCH("UNIDIODO",Inventario!B199)),ISNUMBER(SEARCH("1 DIODO",Inventario!B199))),"1D",
IF(ISNUMBER(SEARCH("2 DIODOS",Inventario!B199)),"2D",
IF(ISNUMBER(SEARCH("3 DIODOS",Inventario!B199)),"3D","")))))))))))))))))</f>
        <v/>
      </c>
      <c r="D200" t="str">
        <f>IF(ISNUMBER(SEARCH("LX700",Inventario!B199)),"LX7",
IF(ISNUMBER(SEARCH("GRANDO",Inventario!B199)),"GRA",
IF(OR(ISNUMBER(SEARCH("CAMA PLANA",Inventario!B199)),ISNUMBER(SEARCH("FB700",Inventario!B199))),"CP",
IF(ISNUMBER(SEARCH("LX360",Inventario!B199)),"LX3",
IF(ISNUMBER(SEARCH("XEROX",Inventario!B199)),"XER",
IF(ISNUMBER(SEARCH("18 OZ",Inventario!B199)),"18OZ",
IF(ISNUMBER(SEARCH("15 OZ",Inventario!B199)),"15OZ",
IF(OR(ISNUMBER(SEARCH("13 OZ",Inventario!B199)),ISNUMBER(SEARCH("13 ONZAS",Inventario!B199))),"13OZ",
IF(OR(ISNUMBER(SEARCH("9 OZ",Inventario!B199)),ISNUMBER(SEARCH("9 ONZAS",Inventario!B199))),"09OZ","")))))))))</f>
        <v/>
      </c>
      <c r="E200" t="str">
        <f>IF(OR(ISNUMBER(SEARCH("TRANSPARENTE",Inventario!B199)),ISNUMBER(SEARCH("TRANSPARENTES",Inventario!B199))),"TR",
IF(OR(ISNUMBER(SEARCH("BLANCO",Inventario!B199)),ISNUMBER(SEARCH("BCO",Inventario!B199))),"BL",
IF(ISNUMBER(SEARCH("VERDE",Inventario!B199)),"VR",
IF(ISNUMBER(SEARCH("MORADO",Inventario!B199)),"MR",
IF(ISNUMBER(SEARCH("PLATA",Inventario!B199)),"PL",
IF(ISNUMBER(SEARCH("ORO",Inventario!B199)),"OR",
IF(ISNUMBER(SEARCH("AMARILLO",Inventario!B199)),"AM",
IF(ISNUMBER(SEARCH("NARANJA",Inventario!B199)),"NR",
IF(ISNUMBER(SEARCH("NEGRO",Inventario!B199)),"NG",
IF(ISNUMBER(SEARCH("ROJO",Inventario!B199)),"RJ",
IF(ISNUMBER(SEARCH("AZUL",Inventario!B199)),"AZ","")))))))))))</f>
        <v>VR</v>
      </c>
      <c r="F200" t="str">
        <f>IF(ISNUMBER(SEARCH("1,2 MM",Inventario!B199)),"1MM2",
IF(OR(ISNUMBER(SEARCH("2 MM",Inventario!B199)),ISNUMBER(SEARCH("2MM",Inventario!B199))),"2MM",
IF(OR(ISNUMBER(SEARCH("3 MM",Inventario!B199)),ISNUMBER(SEARCH("3MM",Inventario!B199))),"3MM",
IF(OR(ISNUMBER(SEARCH("4 MM",Inventario!B199)),ISNUMBER(SEARCH("4MM",Inventario!B199)),ISNUMBER(SEARCH("4 mm",Inventario!B199))),"4MM",
IF(OR(ISNUMBER(SEARCH("5 MM",Inventario!B199)),ISNUMBER(SEARCH("5MM",Inventario!B199))),"5MM",
IF(OR(ISNUMBER(SEARCH("6 MM",Inventario!B199)),ISNUMBER(SEARCH("6MM",Inventario!B199))),"6MM",
IF(OR(ISNUMBER(SEARCH("10 MM",Inventario!B199)),ISNUMBER(SEARCH("10MM",Inventario!B199))),"10MM","")))))))</f>
        <v/>
      </c>
      <c r="H200" t="str">
        <f>IF(ISNUMBER(SEARCH("SILED",Inventario!B199)),"SI",
IF(ISNUMBER(SEARCH("SYDEMEX",Inventario!B199)),"SY",
IF(ISNUMBER(SEARCH("ROHS",Inventario!B199)),"RO",
IF(ISNUMBER(SEARCH("RISHANG",Inventario!B199)),"RS",
IF(ISNUMBER(SEARCH("VYG",Inventario!B199)),"VYG",
IF(ISNUMBER(SEARCH("COLED",Inventario!B199)),"CO",""))))))</f>
        <v/>
      </c>
    </row>
    <row r="201" spans="1:8">
      <c r="A201" t="str">
        <f>IF(ISNUMBER(SEARCH("LONA",Inventario!B200)),"LON",
IF(ISNUMBER(SEARCH("VINIL",Inventario!B200)),"VIN",
IF(ISNUMBER(SEARCH("PANEL DE ALUMINIO COMPUESTO",Inventario!B200)),"PAN-ALU-COM",
IF(ISNUMBER(SEARCH("PVC",Inventario!B200)),"PVC",
IF(ISNUMBER(SEARCH("PAPEL",Inventario!B200)),"PAP",
IF(ISNUMBER(SEARCH("TELA",Inventario!B200)),"TEL",
IF(ISNUMBER(SEARCH("CARTULINA",Inventario!B200)),"CAR",
IF(OR(ISNUMBER(SEARCH("LAMINA",Inventario!B200)),ISNUMBER(SEARCH("LÁMINA",Inventario!B200))),"LAM",
IF(ISNUMBER(SEARCH("ESTIRENO",Inventario!B200)),"EST",
IF(ISNUMBER(SEARCH("FOAMBOARD",Inventario!B200)),"FOA",
IF(ISNUMBER(SEARCH("SOLVENTE",Inventario!B200)),"SOL",
IF(ISNUMBER(SEARCH("TINTA",Inventario!B200)),"TIN",
IF(ISNUMBER(SEARCH("ACRILICO",Inventario!B200)),"ACR",
IF(ISNUMBER(SEARCH("LED",Inventario!B200)),"LED",
IF(ISNUMBER(SEARCH("FUENTE",Inventario!B200)),"FUE",
IF(ISNUMBER(SEARCH("PETG",Inventario!B200)),"PET",
IF(ISNUMBER(SEARCH("ALUMINIO",Inventario!B200)),"ALU",
IF(ISNUMBER(SEARCH("CANAL",Inventario!B200)),"CAN",
IF(ISNUMBER(SEARCH("ESCUADRA",Inventario!B200)),"ESC",
IF(ISNUMBER(SEARCH("SOPORTE",Inventario!B200)),"SOP","OTR")
)))))))))))))))))))</f>
        <v>PAN-ALU-COM</v>
      </c>
      <c r="B201" t="str">
        <f>IF(ISNUMBER(SEARCH("CORTE",Inventario!B200)),"COR",
IF(ISNUMBER(SEARCH("CRISTAL",Inventario!B200)),"CR",
IF(OR(ISNUMBER(SEARCH("OPTICO",Inventario!B200)),ISNUMBER(SEARCH("OPTICOS",Inventario!B200)),ISNUMBER(SEARCH("OPTICA",Inventario!B200))),"OP",
IF(ISNUMBER(SEARCH("NANO",Inventario!B200)),"NA",
IF(ISNUMBER(SEARCH("5050",Inventario!B200)),"5050",
IF(ISNUMBER(SEARCH("MICRO",Inventario!B200)),"MI",""))))))</f>
        <v/>
      </c>
      <c r="C201" t="str">
        <f>IF(ISNUMBER(SEARCH("PARED",Inventario!B200)),"PAR",IF(ISNUMBER(SEARCH("MATE",Inventario!B200)),"MAT",
IF(ISNUMBER(SEARCH("FRONT",Inventario!B200)),"FRO",
IF(ISNUMBER(SEARCH("BACK",Inventario!B200)),"BAC",
IF(ISNUMBER(SEARCH("MESH",Inventario!B200)),"MES",
IF(OR(ISNUMBER(SEARCH("BRILLANTE",Inventario!B200)),ISNUMBER(SEARCH("BTE",Inventario!B200))),"BRI",
IF(ISNUMBER(SEARCH("SINTETICA DELGADA",Inventario!B200)),"SD",
IF(ISNUMBER(SEARCH("SINTETICA GRUESA",Inventario!B200)),"SG",
IF(ISNUMBER(SEARCH("ESTATICO",Inventario!B200)),"EST",
IF(ISNUMBER(SEARCH("FLOOR",Inventario!B200)),"FLO",
IF(ISNUMBER(SEARCH("REFLECTIVO",Inventario!B200)),"REF",
IF(ISNUMBER(SEARCH("MICROPERFORADO",Inventario!B200)),"MI",
IF(ISNUMBER(SEARCH("CEPILLADO",Inventario!B200)),"CEP",
IF(ISNUMBER(SEARCH("ESPEJO",Inventario!B200)),"ESP",
IF(OR(ISNUMBER(SEARCH("UNIDIODO",Inventario!B200)),ISNUMBER(SEARCH("1 DIODO",Inventario!B200))),"1D",
IF(ISNUMBER(SEARCH("2 DIODOS",Inventario!B200)),"2D",
IF(ISNUMBER(SEARCH("3 DIODOS",Inventario!B200)),"3D","")))))))))))))))))</f>
        <v/>
      </c>
      <c r="D201" t="str">
        <f>IF(ISNUMBER(SEARCH("LX700",Inventario!B200)),"LX7",
IF(ISNUMBER(SEARCH("GRANDO",Inventario!B200)),"GRA",
IF(OR(ISNUMBER(SEARCH("CAMA PLANA",Inventario!B200)),ISNUMBER(SEARCH("FB700",Inventario!B200))),"CP",
IF(ISNUMBER(SEARCH("LX360",Inventario!B200)),"LX3",
IF(ISNUMBER(SEARCH("XEROX",Inventario!B200)),"XER",
IF(ISNUMBER(SEARCH("18 OZ",Inventario!B200)),"18OZ",
IF(ISNUMBER(SEARCH("15 OZ",Inventario!B200)),"15OZ",
IF(OR(ISNUMBER(SEARCH("13 OZ",Inventario!B200)),ISNUMBER(SEARCH("13 ONZAS",Inventario!B200))),"13OZ",
IF(OR(ISNUMBER(SEARCH("9 OZ",Inventario!B200)),ISNUMBER(SEARCH("9 ONZAS",Inventario!B200))),"09OZ","")))))))))</f>
        <v/>
      </c>
      <c r="E201" t="str">
        <f>IF(OR(ISNUMBER(SEARCH("TRANSPARENTE",Inventario!B200)),ISNUMBER(SEARCH("TRANSPARENTES",Inventario!B200))),"TR",
IF(OR(ISNUMBER(SEARCH("BLANCO",Inventario!B200)),ISNUMBER(SEARCH("BCO",Inventario!B200))),"BL",
IF(ISNUMBER(SEARCH("VERDE",Inventario!B200)),"VR",
IF(ISNUMBER(SEARCH("MORADO",Inventario!B200)),"MR",
IF(ISNUMBER(SEARCH("PLATA",Inventario!B200)),"PL",
IF(ISNUMBER(SEARCH("ORO",Inventario!B200)),"OR",
IF(ISNUMBER(SEARCH("AMARILLO",Inventario!B200)),"AM",
IF(ISNUMBER(SEARCH("NARANJA",Inventario!B200)),"NR",
IF(ISNUMBER(SEARCH("NEGRO",Inventario!B200)),"NG",
IF(ISNUMBER(SEARCH("ROJO",Inventario!B200)),"RJ",
IF(ISNUMBER(SEARCH("AZUL",Inventario!B200)),"AZ","")))))))))))</f>
        <v>VR</v>
      </c>
      <c r="F201" t="str">
        <f>IF(ISNUMBER(SEARCH("1,2 MM",Inventario!B200)),"1MM2",
IF(OR(ISNUMBER(SEARCH("2 MM",Inventario!B200)),ISNUMBER(SEARCH("2MM",Inventario!B200))),"2MM",
IF(OR(ISNUMBER(SEARCH("3 MM",Inventario!B200)),ISNUMBER(SEARCH("3MM",Inventario!B200))),"3MM",
IF(OR(ISNUMBER(SEARCH("4 MM",Inventario!B200)),ISNUMBER(SEARCH("4MM",Inventario!B200)),ISNUMBER(SEARCH("4 mm",Inventario!B200))),"4MM",
IF(OR(ISNUMBER(SEARCH("5 MM",Inventario!B200)),ISNUMBER(SEARCH("5MM",Inventario!B200))),"5MM",
IF(OR(ISNUMBER(SEARCH("6 MM",Inventario!B200)),ISNUMBER(SEARCH("6MM",Inventario!B200))),"6MM",
IF(OR(ISNUMBER(SEARCH("10 MM",Inventario!B200)),ISNUMBER(SEARCH("10MM",Inventario!B200))),"10MM","")))))))</f>
        <v/>
      </c>
      <c r="H201" t="str">
        <f>IF(ISNUMBER(SEARCH("SILED",Inventario!B200)),"SI",
IF(ISNUMBER(SEARCH("SYDEMEX",Inventario!B200)),"SY",
IF(ISNUMBER(SEARCH("ROHS",Inventario!B200)),"RO",
IF(ISNUMBER(SEARCH("RISHANG",Inventario!B200)),"RS",
IF(ISNUMBER(SEARCH("VYG",Inventario!B200)),"VYG",
IF(ISNUMBER(SEARCH("COLED",Inventario!B200)),"CO",""))))))</f>
        <v/>
      </c>
    </row>
    <row r="202" spans="1:8">
      <c r="A202" t="str">
        <f>IF(ISNUMBER(SEARCH("LONA",Inventario!B201)),"LON",
IF(ISNUMBER(SEARCH("VINIL",Inventario!B201)),"VIN",
IF(ISNUMBER(SEARCH("PANEL DE ALUMINIO COMPUESTO",Inventario!B201)),"PAN-ALU-COM",
IF(ISNUMBER(SEARCH("PVC",Inventario!B201)),"PVC",
IF(ISNUMBER(SEARCH("PAPEL",Inventario!B201)),"PAP",
IF(ISNUMBER(SEARCH("TELA",Inventario!B201)),"TEL",
IF(ISNUMBER(SEARCH("CARTULINA",Inventario!B201)),"CAR",
IF(OR(ISNUMBER(SEARCH("LAMINA",Inventario!B201)),ISNUMBER(SEARCH("LÁMINA",Inventario!B201))),"LAM",
IF(ISNUMBER(SEARCH("ESTIRENO",Inventario!B201)),"EST",
IF(ISNUMBER(SEARCH("FOAMBOARD",Inventario!B201)),"FOA",
IF(ISNUMBER(SEARCH("SOLVENTE",Inventario!B201)),"SOL",
IF(ISNUMBER(SEARCH("TINTA",Inventario!B201)),"TIN",
IF(ISNUMBER(SEARCH("ACRILICO",Inventario!B201)),"ACR",
IF(ISNUMBER(SEARCH("LED",Inventario!B201)),"LED",
IF(ISNUMBER(SEARCH("FUENTE",Inventario!B201)),"FUE",
IF(ISNUMBER(SEARCH("PETG",Inventario!B201)),"PET",
IF(ISNUMBER(SEARCH("ALUMINIO",Inventario!B201)),"ALU",
IF(ISNUMBER(SEARCH("CANAL",Inventario!B201)),"CAN",
IF(ISNUMBER(SEARCH("ESCUADRA",Inventario!B201)),"ESC",
IF(ISNUMBER(SEARCH("SOPORTE",Inventario!B201)),"SOP","OTR")
)))))))))))))))))))</f>
        <v>PAN-ALU-COM</v>
      </c>
      <c r="B202" t="str">
        <f>IF(ISNUMBER(SEARCH("CORTE",Inventario!B201)),"COR",
IF(ISNUMBER(SEARCH("CRISTAL",Inventario!B201)),"CR",
IF(OR(ISNUMBER(SEARCH("OPTICO",Inventario!B201)),ISNUMBER(SEARCH("OPTICOS",Inventario!B201)),ISNUMBER(SEARCH("OPTICA",Inventario!B201))),"OP",
IF(ISNUMBER(SEARCH("NANO",Inventario!B201)),"NA",
IF(ISNUMBER(SEARCH("5050",Inventario!B201)),"5050",
IF(ISNUMBER(SEARCH("MICRO",Inventario!B201)),"MI",""))))))</f>
        <v/>
      </c>
      <c r="C202" t="str">
        <f>IF(ISNUMBER(SEARCH("PARED",Inventario!B201)),"PAR",IF(ISNUMBER(SEARCH("MATE",Inventario!B201)),"MAT",
IF(ISNUMBER(SEARCH("FRONT",Inventario!B201)),"FRO",
IF(ISNUMBER(SEARCH("BACK",Inventario!B201)),"BAC",
IF(ISNUMBER(SEARCH("MESH",Inventario!B201)),"MES",
IF(OR(ISNUMBER(SEARCH("BRILLANTE",Inventario!B201)),ISNUMBER(SEARCH("BTE",Inventario!B201))),"BRI",
IF(ISNUMBER(SEARCH("SINTETICA DELGADA",Inventario!B201)),"SD",
IF(ISNUMBER(SEARCH("SINTETICA GRUESA",Inventario!B201)),"SG",
IF(ISNUMBER(SEARCH("ESTATICO",Inventario!B201)),"EST",
IF(ISNUMBER(SEARCH("FLOOR",Inventario!B201)),"FLO",
IF(ISNUMBER(SEARCH("REFLECTIVO",Inventario!B201)),"REF",
IF(ISNUMBER(SEARCH("MICROPERFORADO",Inventario!B201)),"MI",
IF(ISNUMBER(SEARCH("CEPILLADO",Inventario!B201)),"CEP",
IF(ISNUMBER(SEARCH("ESPEJO",Inventario!B201)),"ESP",
IF(OR(ISNUMBER(SEARCH("UNIDIODO",Inventario!B201)),ISNUMBER(SEARCH("1 DIODO",Inventario!B201))),"1D",
IF(ISNUMBER(SEARCH("2 DIODOS",Inventario!B201)),"2D",
IF(ISNUMBER(SEARCH("3 DIODOS",Inventario!B201)),"3D","")))))))))))))))))</f>
        <v/>
      </c>
      <c r="D202" t="str">
        <f>IF(ISNUMBER(SEARCH("LX700",Inventario!B201)),"LX7",
IF(ISNUMBER(SEARCH("GRANDO",Inventario!B201)),"GRA",
IF(OR(ISNUMBER(SEARCH("CAMA PLANA",Inventario!B201)),ISNUMBER(SEARCH("FB700",Inventario!B201))),"CP",
IF(ISNUMBER(SEARCH("LX360",Inventario!B201)),"LX3",
IF(ISNUMBER(SEARCH("XEROX",Inventario!B201)),"XER",
IF(ISNUMBER(SEARCH("18 OZ",Inventario!B201)),"18OZ",
IF(ISNUMBER(SEARCH("15 OZ",Inventario!B201)),"15OZ",
IF(OR(ISNUMBER(SEARCH("13 OZ",Inventario!B201)),ISNUMBER(SEARCH("13 ONZAS",Inventario!B201))),"13OZ",
IF(OR(ISNUMBER(SEARCH("9 OZ",Inventario!B201)),ISNUMBER(SEARCH("9 ONZAS",Inventario!B201))),"09OZ","")))))))))</f>
        <v/>
      </c>
      <c r="E202" t="str">
        <f>IF(OR(ISNUMBER(SEARCH("TRANSPARENTE",Inventario!B201)),ISNUMBER(SEARCH("TRANSPARENTES",Inventario!B201))),"TR",
IF(OR(ISNUMBER(SEARCH("BLANCO",Inventario!B201)),ISNUMBER(SEARCH("BCO",Inventario!B201))),"BL",
IF(ISNUMBER(SEARCH("VERDE",Inventario!B201)),"VR",
IF(ISNUMBER(SEARCH("MORADO",Inventario!B201)),"MR",
IF(ISNUMBER(SEARCH("PLATA",Inventario!B201)),"PL",
IF(ISNUMBER(SEARCH("ORO",Inventario!B201)),"OR",
IF(ISNUMBER(SEARCH("AMARILLO",Inventario!B201)),"AM",
IF(ISNUMBER(SEARCH("NARANJA",Inventario!B201)),"NR",
IF(ISNUMBER(SEARCH("NEGRO",Inventario!B201)),"NG",
IF(ISNUMBER(SEARCH("ROJO",Inventario!B201)),"RJ",
IF(ISNUMBER(SEARCH("AZUL",Inventario!B201)),"AZ","")))))))))))</f>
        <v>VR</v>
      </c>
      <c r="F202" t="str">
        <f>IF(ISNUMBER(SEARCH("1,2 MM",Inventario!B201)),"1MM2",
IF(OR(ISNUMBER(SEARCH("2 MM",Inventario!B201)),ISNUMBER(SEARCH("2MM",Inventario!B201))),"2MM",
IF(OR(ISNUMBER(SEARCH("3 MM",Inventario!B201)),ISNUMBER(SEARCH("3MM",Inventario!B201))),"3MM",
IF(OR(ISNUMBER(SEARCH("4 MM",Inventario!B201)),ISNUMBER(SEARCH("4MM",Inventario!B201)),ISNUMBER(SEARCH("4 mm",Inventario!B201))),"4MM",
IF(OR(ISNUMBER(SEARCH("5 MM",Inventario!B201)),ISNUMBER(SEARCH("5MM",Inventario!B201))),"5MM",
IF(OR(ISNUMBER(SEARCH("6 MM",Inventario!B201)),ISNUMBER(SEARCH("6MM",Inventario!B201))),"6MM",
IF(OR(ISNUMBER(SEARCH("10 MM",Inventario!B201)),ISNUMBER(SEARCH("10MM",Inventario!B201))),"10MM","")))))))</f>
        <v/>
      </c>
      <c r="H202" t="str">
        <f>IF(ISNUMBER(SEARCH("SILED",Inventario!B201)),"SI",
IF(ISNUMBER(SEARCH("SYDEMEX",Inventario!B201)),"SY",
IF(ISNUMBER(SEARCH("ROHS",Inventario!B201)),"RO",
IF(ISNUMBER(SEARCH("RISHANG",Inventario!B201)),"RS",
IF(ISNUMBER(SEARCH("VYG",Inventario!B201)),"VYG",
IF(ISNUMBER(SEARCH("COLED",Inventario!B201)),"CO",""))))))</f>
        <v/>
      </c>
    </row>
    <row r="203" spans="1:8">
      <c r="A203" t="str">
        <f>IF(ISNUMBER(SEARCH("LONA",Inventario!B202)),"LON",
IF(ISNUMBER(SEARCH("VINIL",Inventario!B202)),"VIN",
IF(ISNUMBER(SEARCH("PANEL DE ALUMINIO COMPUESTO",Inventario!B202)),"PAN-ALU-COM",
IF(ISNUMBER(SEARCH("PVC",Inventario!B202)),"PVC",
IF(ISNUMBER(SEARCH("PAPEL",Inventario!B202)),"PAP",
IF(ISNUMBER(SEARCH("TELA",Inventario!B202)),"TEL",
IF(ISNUMBER(SEARCH("CARTULINA",Inventario!B202)),"CAR",
IF(OR(ISNUMBER(SEARCH("LAMINA",Inventario!B202)),ISNUMBER(SEARCH("LÁMINA",Inventario!B202))),"LAM",
IF(ISNUMBER(SEARCH("ESTIRENO",Inventario!B202)),"EST",
IF(ISNUMBER(SEARCH("FOAMBOARD",Inventario!B202)),"FOA",
IF(ISNUMBER(SEARCH("SOLVENTE",Inventario!B202)),"SOL",
IF(ISNUMBER(SEARCH("TINTA",Inventario!B202)),"TIN",
IF(ISNUMBER(SEARCH("ACRILICO",Inventario!B202)),"ACR",
IF(ISNUMBER(SEARCH("LED",Inventario!B202)),"LED",
IF(ISNUMBER(SEARCH("FUENTE",Inventario!B202)),"FUE",
IF(ISNUMBER(SEARCH("PETG",Inventario!B202)),"PET",
IF(ISNUMBER(SEARCH("ALUMINIO",Inventario!B202)),"ALU",
IF(ISNUMBER(SEARCH("CANAL",Inventario!B202)),"CAN",
IF(ISNUMBER(SEARCH("ESCUADRA",Inventario!B202)),"ESC",
IF(ISNUMBER(SEARCH("SOPORTE",Inventario!B202)),"SOP","OTR")
)))))))))))))))))))</f>
        <v>PAN-ALU-COM</v>
      </c>
      <c r="B203" t="str">
        <f>IF(ISNUMBER(SEARCH("CORTE",Inventario!B202)),"COR",
IF(ISNUMBER(SEARCH("CRISTAL",Inventario!B202)),"CR",
IF(OR(ISNUMBER(SEARCH("OPTICO",Inventario!B202)),ISNUMBER(SEARCH("OPTICOS",Inventario!B202)),ISNUMBER(SEARCH("OPTICA",Inventario!B202))),"OP",
IF(ISNUMBER(SEARCH("NANO",Inventario!B202)),"NA",
IF(ISNUMBER(SEARCH("5050",Inventario!B202)),"5050",
IF(ISNUMBER(SEARCH("MICRO",Inventario!B202)),"MI",""))))))</f>
        <v/>
      </c>
      <c r="C203" t="str">
        <f>IF(ISNUMBER(SEARCH("PARED",Inventario!B202)),"PAR",IF(ISNUMBER(SEARCH("MATE",Inventario!B202)),"MAT",
IF(ISNUMBER(SEARCH("FRONT",Inventario!B202)),"FRO",
IF(ISNUMBER(SEARCH("BACK",Inventario!B202)),"BAC",
IF(ISNUMBER(SEARCH("MESH",Inventario!B202)),"MES",
IF(OR(ISNUMBER(SEARCH("BRILLANTE",Inventario!B202)),ISNUMBER(SEARCH("BTE",Inventario!B202))),"BRI",
IF(ISNUMBER(SEARCH("SINTETICA DELGADA",Inventario!B202)),"SD",
IF(ISNUMBER(SEARCH("SINTETICA GRUESA",Inventario!B202)),"SG",
IF(ISNUMBER(SEARCH("ESTATICO",Inventario!B202)),"EST",
IF(ISNUMBER(SEARCH("FLOOR",Inventario!B202)),"FLO",
IF(ISNUMBER(SEARCH("REFLECTIVO",Inventario!B202)),"REF",
IF(ISNUMBER(SEARCH("MICROPERFORADO",Inventario!B202)),"MI",
IF(ISNUMBER(SEARCH("CEPILLADO",Inventario!B202)),"CEP",
IF(ISNUMBER(SEARCH("ESPEJO",Inventario!B202)),"ESP",
IF(OR(ISNUMBER(SEARCH("UNIDIODO",Inventario!B202)),ISNUMBER(SEARCH("1 DIODO",Inventario!B202))),"1D",
IF(ISNUMBER(SEARCH("2 DIODOS",Inventario!B202)),"2D",
IF(ISNUMBER(SEARCH("3 DIODOS",Inventario!B202)),"3D","")))))))))))))))))</f>
        <v/>
      </c>
      <c r="D203" t="str">
        <f>IF(ISNUMBER(SEARCH("LX700",Inventario!B202)),"LX7",
IF(ISNUMBER(SEARCH("GRANDO",Inventario!B202)),"GRA",
IF(OR(ISNUMBER(SEARCH("CAMA PLANA",Inventario!B202)),ISNUMBER(SEARCH("FB700",Inventario!B202))),"CP",
IF(ISNUMBER(SEARCH("LX360",Inventario!B202)),"LX3",
IF(ISNUMBER(SEARCH("XEROX",Inventario!B202)),"XER",
IF(ISNUMBER(SEARCH("18 OZ",Inventario!B202)),"18OZ",
IF(ISNUMBER(SEARCH("15 OZ",Inventario!B202)),"15OZ",
IF(OR(ISNUMBER(SEARCH("13 OZ",Inventario!B202)),ISNUMBER(SEARCH("13 ONZAS",Inventario!B202))),"13OZ",
IF(OR(ISNUMBER(SEARCH("9 OZ",Inventario!B202)),ISNUMBER(SEARCH("9 ONZAS",Inventario!B202))),"09OZ","")))))))))</f>
        <v/>
      </c>
      <c r="E203" t="str">
        <f>IF(OR(ISNUMBER(SEARCH("TRANSPARENTE",Inventario!B202)),ISNUMBER(SEARCH("TRANSPARENTES",Inventario!B202))),"TR",
IF(OR(ISNUMBER(SEARCH("BLANCO",Inventario!B202)),ISNUMBER(SEARCH("BCO",Inventario!B202))),"BL",
IF(ISNUMBER(SEARCH("VERDE",Inventario!B202)),"VR",
IF(ISNUMBER(SEARCH("MORADO",Inventario!B202)),"MR",
IF(ISNUMBER(SEARCH("PLATA",Inventario!B202)),"PL",
IF(ISNUMBER(SEARCH("ORO",Inventario!B202)),"OR",
IF(ISNUMBER(SEARCH("AMARILLO",Inventario!B202)),"AM",
IF(ISNUMBER(SEARCH("NARANJA",Inventario!B202)),"NR",
IF(ISNUMBER(SEARCH("NEGRO",Inventario!B202)),"NG",
IF(ISNUMBER(SEARCH("ROJO",Inventario!B202)),"RJ",
IF(ISNUMBER(SEARCH("AZUL",Inventario!B202)),"AZ","")))))))))))</f>
        <v>NG</v>
      </c>
      <c r="F203" t="str">
        <f>IF(ISNUMBER(SEARCH("1,2 MM",Inventario!B202)),"1MM2",
IF(OR(ISNUMBER(SEARCH("2 MM",Inventario!B202)),ISNUMBER(SEARCH("2MM",Inventario!B202))),"2MM",
IF(OR(ISNUMBER(SEARCH("3 MM",Inventario!B202)),ISNUMBER(SEARCH("3MM",Inventario!B202))),"3MM",
IF(OR(ISNUMBER(SEARCH("4 MM",Inventario!B202)),ISNUMBER(SEARCH("4MM",Inventario!B202)),ISNUMBER(SEARCH("4 mm",Inventario!B202))),"4MM",
IF(OR(ISNUMBER(SEARCH("5 MM",Inventario!B202)),ISNUMBER(SEARCH("5MM",Inventario!B202))),"5MM",
IF(OR(ISNUMBER(SEARCH("6 MM",Inventario!B202)),ISNUMBER(SEARCH("6MM",Inventario!B202))),"6MM",
IF(OR(ISNUMBER(SEARCH("10 MM",Inventario!B202)),ISNUMBER(SEARCH("10MM",Inventario!B202))),"10MM","")))))))</f>
        <v>4MM</v>
      </c>
      <c r="H203" t="str">
        <f>IF(ISNUMBER(SEARCH("SILED",Inventario!B202)),"SI",
IF(ISNUMBER(SEARCH("SYDEMEX",Inventario!B202)),"SY",
IF(ISNUMBER(SEARCH("ROHS",Inventario!B202)),"RO",
IF(ISNUMBER(SEARCH("RISHANG",Inventario!B202)),"RS",
IF(ISNUMBER(SEARCH("VYG",Inventario!B202)),"VYG",
IF(ISNUMBER(SEARCH("COLED",Inventario!B202)),"CO",""))))))</f>
        <v/>
      </c>
    </row>
    <row r="204" spans="1:8">
      <c r="A204" t="str">
        <f>IF(ISNUMBER(SEARCH("LONA",Inventario!B203)),"LON",
IF(ISNUMBER(SEARCH("VINIL",Inventario!B203)),"VIN",
IF(ISNUMBER(SEARCH("PANEL DE ALUMINIO COMPUESTO",Inventario!B203)),"PAN-ALU-COM",
IF(ISNUMBER(SEARCH("PVC",Inventario!B203)),"PVC",
IF(ISNUMBER(SEARCH("PAPEL",Inventario!B203)),"PAP",
IF(ISNUMBER(SEARCH("TELA",Inventario!B203)),"TEL",
IF(ISNUMBER(SEARCH("CARTULINA",Inventario!B203)),"CAR",
IF(OR(ISNUMBER(SEARCH("LAMINA",Inventario!B203)),ISNUMBER(SEARCH("LÁMINA",Inventario!B203))),"LAM",
IF(ISNUMBER(SEARCH("ESTIRENO",Inventario!B203)),"EST",
IF(ISNUMBER(SEARCH("FOAMBOARD",Inventario!B203)),"FOA",
IF(ISNUMBER(SEARCH("SOLVENTE",Inventario!B203)),"SOL",
IF(ISNUMBER(SEARCH("TINTA",Inventario!B203)),"TIN",
IF(ISNUMBER(SEARCH("ACRILICO",Inventario!B203)),"ACR",
IF(ISNUMBER(SEARCH("LED",Inventario!B203)),"LED",
IF(ISNUMBER(SEARCH("FUENTE",Inventario!B203)),"FUE",
IF(ISNUMBER(SEARCH("PETG",Inventario!B203)),"PET",
IF(ISNUMBER(SEARCH("ALUMINIO",Inventario!B203)),"ALU",
IF(ISNUMBER(SEARCH("CANAL",Inventario!B203)),"CAN",
IF(ISNUMBER(SEARCH("ESCUADRA",Inventario!B203)),"ESC",
IF(ISNUMBER(SEARCH("SOPORTE",Inventario!B203)),"SOP","OTR")
)))))))))))))))))))</f>
        <v>PAN-ALU-COM</v>
      </c>
      <c r="B204" t="str">
        <f>IF(ISNUMBER(SEARCH("CORTE",Inventario!B203)),"COR",
IF(ISNUMBER(SEARCH("CRISTAL",Inventario!B203)),"CR",
IF(OR(ISNUMBER(SEARCH("OPTICO",Inventario!B203)),ISNUMBER(SEARCH("OPTICOS",Inventario!B203)),ISNUMBER(SEARCH("OPTICA",Inventario!B203))),"OP",
IF(ISNUMBER(SEARCH("NANO",Inventario!B203)),"NA",
IF(ISNUMBER(SEARCH("5050",Inventario!B203)),"5050",
IF(ISNUMBER(SEARCH("MICRO",Inventario!B203)),"MI",""))))))</f>
        <v/>
      </c>
      <c r="C204" t="str">
        <f>IF(ISNUMBER(SEARCH("PARED",Inventario!B203)),"PAR",IF(ISNUMBER(SEARCH("MATE",Inventario!B203)),"MAT",
IF(ISNUMBER(SEARCH("FRONT",Inventario!B203)),"FRO",
IF(ISNUMBER(SEARCH("BACK",Inventario!B203)),"BAC",
IF(ISNUMBER(SEARCH("MESH",Inventario!B203)),"MES",
IF(OR(ISNUMBER(SEARCH("BRILLANTE",Inventario!B203)),ISNUMBER(SEARCH("BTE",Inventario!B203))),"BRI",
IF(ISNUMBER(SEARCH("SINTETICA DELGADA",Inventario!B203)),"SD",
IF(ISNUMBER(SEARCH("SINTETICA GRUESA",Inventario!B203)),"SG",
IF(ISNUMBER(SEARCH("ESTATICO",Inventario!B203)),"EST",
IF(ISNUMBER(SEARCH("FLOOR",Inventario!B203)),"FLO",
IF(ISNUMBER(SEARCH("REFLECTIVO",Inventario!B203)),"REF",
IF(ISNUMBER(SEARCH("MICROPERFORADO",Inventario!B203)),"MI",
IF(ISNUMBER(SEARCH("CEPILLADO",Inventario!B203)),"CEP",
IF(ISNUMBER(SEARCH("ESPEJO",Inventario!B203)),"ESP",
IF(OR(ISNUMBER(SEARCH("UNIDIODO",Inventario!B203)),ISNUMBER(SEARCH("1 DIODO",Inventario!B203))),"1D",
IF(ISNUMBER(SEARCH("2 DIODOS",Inventario!B203)),"2D",
IF(ISNUMBER(SEARCH("3 DIODOS",Inventario!B203)),"3D","")))))))))))))))))</f>
        <v/>
      </c>
      <c r="D204" t="str">
        <f>IF(ISNUMBER(SEARCH("LX700",Inventario!B203)),"LX7",
IF(ISNUMBER(SEARCH("GRANDO",Inventario!B203)),"GRA",
IF(OR(ISNUMBER(SEARCH("CAMA PLANA",Inventario!B203)),ISNUMBER(SEARCH("FB700",Inventario!B203))),"CP",
IF(ISNUMBER(SEARCH("LX360",Inventario!B203)),"LX3",
IF(ISNUMBER(SEARCH("XEROX",Inventario!B203)),"XER",
IF(ISNUMBER(SEARCH("18 OZ",Inventario!B203)),"18OZ",
IF(ISNUMBER(SEARCH("15 OZ",Inventario!B203)),"15OZ",
IF(OR(ISNUMBER(SEARCH("13 OZ",Inventario!B203)),ISNUMBER(SEARCH("13 ONZAS",Inventario!B203))),"13OZ",
IF(OR(ISNUMBER(SEARCH("9 OZ",Inventario!B203)),ISNUMBER(SEARCH("9 ONZAS",Inventario!B203))),"09OZ","")))))))))</f>
        <v/>
      </c>
      <c r="E204" t="str">
        <f>IF(OR(ISNUMBER(SEARCH("TRANSPARENTE",Inventario!B203)),ISNUMBER(SEARCH("TRANSPARENTES",Inventario!B203))),"TR",
IF(OR(ISNUMBER(SEARCH("BLANCO",Inventario!B203)),ISNUMBER(SEARCH("BCO",Inventario!B203))),"BL",
IF(ISNUMBER(SEARCH("VERDE",Inventario!B203)),"VR",
IF(ISNUMBER(SEARCH("MORADO",Inventario!B203)),"MR",
IF(ISNUMBER(SEARCH("PLATA",Inventario!B203)),"PL",
IF(ISNUMBER(SEARCH("ORO",Inventario!B203)),"OR",
IF(ISNUMBER(SEARCH("AMARILLO",Inventario!B203)),"AM",
IF(ISNUMBER(SEARCH("NARANJA",Inventario!B203)),"NR",
IF(ISNUMBER(SEARCH("NEGRO",Inventario!B203)),"NG",
IF(ISNUMBER(SEARCH("ROJO",Inventario!B203)),"RJ",
IF(ISNUMBER(SEARCH("AZUL",Inventario!B203)),"AZ","")))))))))))</f>
        <v>NG</v>
      </c>
      <c r="F204" t="str">
        <f>IF(ISNUMBER(SEARCH("1,2 MM",Inventario!B203)),"1MM2",
IF(OR(ISNUMBER(SEARCH("2 MM",Inventario!B203)),ISNUMBER(SEARCH("2MM",Inventario!B203))),"2MM",
IF(OR(ISNUMBER(SEARCH("3 MM",Inventario!B203)),ISNUMBER(SEARCH("3MM",Inventario!B203))),"3MM",
IF(OR(ISNUMBER(SEARCH("4 MM",Inventario!B203)),ISNUMBER(SEARCH("4MM",Inventario!B203)),ISNUMBER(SEARCH("4 mm",Inventario!B203))),"4MM",
IF(OR(ISNUMBER(SEARCH("5 MM",Inventario!B203)),ISNUMBER(SEARCH("5MM",Inventario!B203))),"5MM",
IF(OR(ISNUMBER(SEARCH("6 MM",Inventario!B203)),ISNUMBER(SEARCH("6MM",Inventario!B203))),"6MM",
IF(OR(ISNUMBER(SEARCH("10 MM",Inventario!B203)),ISNUMBER(SEARCH("10MM",Inventario!B203))),"10MM","")))))))</f>
        <v>4MM</v>
      </c>
      <c r="H204" t="str">
        <f>IF(ISNUMBER(SEARCH("SILED",Inventario!B203)),"SI",
IF(ISNUMBER(SEARCH("SYDEMEX",Inventario!B203)),"SY",
IF(ISNUMBER(SEARCH("ROHS",Inventario!B203)),"RO",
IF(ISNUMBER(SEARCH("RISHANG",Inventario!B203)),"RS",
IF(ISNUMBER(SEARCH("VYG",Inventario!B203)),"VYG",
IF(ISNUMBER(SEARCH("COLED",Inventario!B203)),"CO",""))))))</f>
        <v/>
      </c>
    </row>
    <row r="205" spans="1:8">
      <c r="A205" t="str">
        <f>IF(ISNUMBER(SEARCH("LONA",Inventario!B204)),"LON",
IF(ISNUMBER(SEARCH("VINIL",Inventario!B204)),"VIN",
IF(ISNUMBER(SEARCH("PANEL DE ALUMINIO COMPUESTO",Inventario!B204)),"PAN-ALU-COM",
IF(ISNUMBER(SEARCH("PVC",Inventario!B204)),"PVC",
IF(ISNUMBER(SEARCH("PAPEL",Inventario!B204)),"PAP",
IF(ISNUMBER(SEARCH("TELA",Inventario!B204)),"TEL",
IF(ISNUMBER(SEARCH("CARTULINA",Inventario!B204)),"CAR",
IF(OR(ISNUMBER(SEARCH("LAMINA",Inventario!B204)),ISNUMBER(SEARCH("LÁMINA",Inventario!B204))),"LAM",
IF(ISNUMBER(SEARCH("ESTIRENO",Inventario!B204)),"EST",
IF(ISNUMBER(SEARCH("FOAMBOARD",Inventario!B204)),"FOA",
IF(ISNUMBER(SEARCH("SOLVENTE",Inventario!B204)),"SOL",
IF(ISNUMBER(SEARCH("TINTA",Inventario!B204)),"TIN",
IF(ISNUMBER(SEARCH("ACRILICO",Inventario!B204)),"ACR",
IF(ISNUMBER(SEARCH("LED",Inventario!B204)),"LED",
IF(ISNUMBER(SEARCH("FUENTE",Inventario!B204)),"FUE",
IF(ISNUMBER(SEARCH("PETG",Inventario!B204)),"PET",
IF(ISNUMBER(SEARCH("ALUMINIO",Inventario!B204)),"ALU",
IF(ISNUMBER(SEARCH("CANAL",Inventario!B204)),"CAN",
IF(ISNUMBER(SEARCH("ESCUADRA",Inventario!B204)),"ESC",
IF(ISNUMBER(SEARCH("SOPORTE",Inventario!B204)),"SOP","OTR")
)))))))))))))))))))</f>
        <v>PAN-ALU-COM</v>
      </c>
      <c r="B205" t="str">
        <f>IF(ISNUMBER(SEARCH("CORTE",Inventario!B204)),"COR",
IF(ISNUMBER(SEARCH("CRISTAL",Inventario!B204)),"CR",
IF(OR(ISNUMBER(SEARCH("OPTICO",Inventario!B204)),ISNUMBER(SEARCH("OPTICOS",Inventario!B204)),ISNUMBER(SEARCH("OPTICA",Inventario!B204))),"OP",
IF(ISNUMBER(SEARCH("NANO",Inventario!B204)),"NA",
IF(ISNUMBER(SEARCH("5050",Inventario!B204)),"5050",
IF(ISNUMBER(SEARCH("MICRO",Inventario!B204)),"MI",""))))))</f>
        <v/>
      </c>
      <c r="C205" t="str">
        <f>IF(ISNUMBER(SEARCH("PARED",Inventario!B204)),"PAR",IF(ISNUMBER(SEARCH("MATE",Inventario!B204)),"MAT",
IF(ISNUMBER(SEARCH("FRONT",Inventario!B204)),"FRO",
IF(ISNUMBER(SEARCH("BACK",Inventario!B204)),"BAC",
IF(ISNUMBER(SEARCH("MESH",Inventario!B204)),"MES",
IF(OR(ISNUMBER(SEARCH("BRILLANTE",Inventario!B204)),ISNUMBER(SEARCH("BTE",Inventario!B204))),"BRI",
IF(ISNUMBER(SEARCH("SINTETICA DELGADA",Inventario!B204)),"SD",
IF(ISNUMBER(SEARCH("SINTETICA GRUESA",Inventario!B204)),"SG",
IF(ISNUMBER(SEARCH("ESTATICO",Inventario!B204)),"EST",
IF(ISNUMBER(SEARCH("FLOOR",Inventario!B204)),"FLO",
IF(ISNUMBER(SEARCH("REFLECTIVO",Inventario!B204)),"REF",
IF(ISNUMBER(SEARCH("MICROPERFORADO",Inventario!B204)),"MI",
IF(ISNUMBER(SEARCH("CEPILLADO",Inventario!B204)),"CEP",
IF(ISNUMBER(SEARCH("ESPEJO",Inventario!B204)),"ESP",
IF(OR(ISNUMBER(SEARCH("UNIDIODO",Inventario!B204)),ISNUMBER(SEARCH("1 DIODO",Inventario!B204))),"1D",
IF(ISNUMBER(SEARCH("2 DIODOS",Inventario!B204)),"2D",
IF(ISNUMBER(SEARCH("3 DIODOS",Inventario!B204)),"3D","")))))))))))))))))</f>
        <v/>
      </c>
      <c r="D205" t="str">
        <f>IF(ISNUMBER(SEARCH("LX700",Inventario!B204)),"LX7",
IF(ISNUMBER(SEARCH("GRANDO",Inventario!B204)),"GRA",
IF(OR(ISNUMBER(SEARCH("CAMA PLANA",Inventario!B204)),ISNUMBER(SEARCH("FB700",Inventario!B204))),"CP",
IF(ISNUMBER(SEARCH("LX360",Inventario!B204)),"LX3",
IF(ISNUMBER(SEARCH("XEROX",Inventario!B204)),"XER",
IF(ISNUMBER(SEARCH("18 OZ",Inventario!B204)),"18OZ",
IF(ISNUMBER(SEARCH("15 OZ",Inventario!B204)),"15OZ",
IF(OR(ISNUMBER(SEARCH("13 OZ",Inventario!B204)),ISNUMBER(SEARCH("13 ONZAS",Inventario!B204))),"13OZ",
IF(OR(ISNUMBER(SEARCH("9 OZ",Inventario!B204)),ISNUMBER(SEARCH("9 ONZAS",Inventario!B204))),"09OZ","")))))))))</f>
        <v/>
      </c>
      <c r="E205" t="str">
        <f>IF(OR(ISNUMBER(SEARCH("TRANSPARENTE",Inventario!B204)),ISNUMBER(SEARCH("TRANSPARENTES",Inventario!B204))),"TR",
IF(OR(ISNUMBER(SEARCH("BLANCO",Inventario!B204)),ISNUMBER(SEARCH("BCO",Inventario!B204))),"BL",
IF(ISNUMBER(SEARCH("VERDE",Inventario!B204)),"VR",
IF(ISNUMBER(SEARCH("MORADO",Inventario!B204)),"MR",
IF(ISNUMBER(SEARCH("PLATA",Inventario!B204)),"PL",
IF(ISNUMBER(SEARCH("ORO",Inventario!B204)),"OR",
IF(ISNUMBER(SEARCH("AMARILLO",Inventario!B204)),"AM",
IF(ISNUMBER(SEARCH("NARANJA",Inventario!B204)),"NR",
IF(ISNUMBER(SEARCH("NEGRO",Inventario!B204)),"NG",
IF(ISNUMBER(SEARCH("ROJO",Inventario!B204)),"RJ",
IF(ISNUMBER(SEARCH("AZUL",Inventario!B204)),"AZ","")))))))))))</f>
        <v>VR</v>
      </c>
      <c r="F205" t="str">
        <f>IF(ISNUMBER(SEARCH("1,2 MM",Inventario!B204)),"1MM2",
IF(OR(ISNUMBER(SEARCH("2 MM",Inventario!B204)),ISNUMBER(SEARCH("2MM",Inventario!B204))),"2MM",
IF(OR(ISNUMBER(SEARCH("3 MM",Inventario!B204)),ISNUMBER(SEARCH("3MM",Inventario!B204))),"3MM",
IF(OR(ISNUMBER(SEARCH("4 MM",Inventario!B204)),ISNUMBER(SEARCH("4MM",Inventario!B204)),ISNUMBER(SEARCH("4 mm",Inventario!B204))),"4MM",
IF(OR(ISNUMBER(SEARCH("5 MM",Inventario!B204)),ISNUMBER(SEARCH("5MM",Inventario!B204))),"5MM",
IF(OR(ISNUMBER(SEARCH("6 MM",Inventario!B204)),ISNUMBER(SEARCH("6MM",Inventario!B204))),"6MM",
IF(OR(ISNUMBER(SEARCH("10 MM",Inventario!B204)),ISNUMBER(SEARCH("10MM",Inventario!B204))),"10MM","")))))))</f>
        <v/>
      </c>
      <c r="H205" t="str">
        <f>IF(ISNUMBER(SEARCH("SILED",Inventario!B204)),"SI",
IF(ISNUMBER(SEARCH("SYDEMEX",Inventario!B204)),"SY",
IF(ISNUMBER(SEARCH("ROHS",Inventario!B204)),"RO",
IF(ISNUMBER(SEARCH("RISHANG",Inventario!B204)),"RS",
IF(ISNUMBER(SEARCH("VYG",Inventario!B204)),"VYG",
IF(ISNUMBER(SEARCH("COLED",Inventario!B204)),"CO",""))))))</f>
        <v/>
      </c>
    </row>
    <row r="206" spans="1:8">
      <c r="A206" t="str">
        <f>IF(ISNUMBER(SEARCH("LONA",Inventario!B205)),"LON",
IF(ISNUMBER(SEARCH("VINIL",Inventario!B205)),"VIN",
IF(ISNUMBER(SEARCH("PANEL DE ALUMINIO COMPUESTO",Inventario!B205)),"PAN-ALU-COM",
IF(ISNUMBER(SEARCH("PVC",Inventario!B205)),"PVC",
IF(ISNUMBER(SEARCH("PAPEL",Inventario!B205)),"PAP",
IF(ISNUMBER(SEARCH("TELA",Inventario!B205)),"TEL",
IF(ISNUMBER(SEARCH("CARTULINA",Inventario!B205)),"CAR",
IF(OR(ISNUMBER(SEARCH("LAMINA",Inventario!B205)),ISNUMBER(SEARCH("LÁMINA",Inventario!B205))),"LAM",
IF(ISNUMBER(SEARCH("ESTIRENO",Inventario!B205)),"EST",
IF(ISNUMBER(SEARCH("FOAMBOARD",Inventario!B205)),"FOA",
IF(ISNUMBER(SEARCH("SOLVENTE",Inventario!B205)),"SOL",
IF(ISNUMBER(SEARCH("TINTA",Inventario!B205)),"TIN",
IF(ISNUMBER(SEARCH("ACRILICO",Inventario!B205)),"ACR",
IF(ISNUMBER(SEARCH("LED",Inventario!B205)),"LED",
IF(ISNUMBER(SEARCH("FUENTE",Inventario!B205)),"FUE",
IF(ISNUMBER(SEARCH("PETG",Inventario!B205)),"PET",
IF(ISNUMBER(SEARCH("ALUMINIO",Inventario!B205)),"ALU",
IF(ISNUMBER(SEARCH("CANAL",Inventario!B205)),"CAN",
IF(ISNUMBER(SEARCH("ESCUADRA",Inventario!B205)),"ESC",
IF(ISNUMBER(SEARCH("SOPORTE",Inventario!B205)),"SOP","OTR")
)))))))))))))))))))</f>
        <v>PAN-ALU-COM</v>
      </c>
      <c r="B206" t="str">
        <f>IF(ISNUMBER(SEARCH("CORTE",Inventario!B205)),"COR",
IF(ISNUMBER(SEARCH("CRISTAL",Inventario!B205)),"CR",
IF(OR(ISNUMBER(SEARCH("OPTICO",Inventario!B205)),ISNUMBER(SEARCH("OPTICOS",Inventario!B205)),ISNUMBER(SEARCH("OPTICA",Inventario!B205))),"OP",
IF(ISNUMBER(SEARCH("NANO",Inventario!B205)),"NA",
IF(ISNUMBER(SEARCH("5050",Inventario!B205)),"5050",
IF(ISNUMBER(SEARCH("MICRO",Inventario!B205)),"MI",""))))))</f>
        <v/>
      </c>
      <c r="C206" t="str">
        <f>IF(ISNUMBER(SEARCH("PARED",Inventario!B205)),"PAR",IF(ISNUMBER(SEARCH("MATE",Inventario!B205)),"MAT",
IF(ISNUMBER(SEARCH("FRONT",Inventario!B205)),"FRO",
IF(ISNUMBER(SEARCH("BACK",Inventario!B205)),"BAC",
IF(ISNUMBER(SEARCH("MESH",Inventario!B205)),"MES",
IF(OR(ISNUMBER(SEARCH("BRILLANTE",Inventario!B205)),ISNUMBER(SEARCH("BTE",Inventario!B205))),"BRI",
IF(ISNUMBER(SEARCH("SINTETICA DELGADA",Inventario!B205)),"SD",
IF(ISNUMBER(SEARCH("SINTETICA GRUESA",Inventario!B205)),"SG",
IF(ISNUMBER(SEARCH("ESTATICO",Inventario!B205)),"EST",
IF(ISNUMBER(SEARCH("FLOOR",Inventario!B205)),"FLO",
IF(ISNUMBER(SEARCH("REFLECTIVO",Inventario!B205)),"REF",
IF(ISNUMBER(SEARCH("MICROPERFORADO",Inventario!B205)),"MI",
IF(ISNUMBER(SEARCH("CEPILLADO",Inventario!B205)),"CEP",
IF(ISNUMBER(SEARCH("ESPEJO",Inventario!B205)),"ESP",
IF(OR(ISNUMBER(SEARCH("UNIDIODO",Inventario!B205)),ISNUMBER(SEARCH("1 DIODO",Inventario!B205))),"1D",
IF(ISNUMBER(SEARCH("2 DIODOS",Inventario!B205)),"2D",
IF(ISNUMBER(SEARCH("3 DIODOS",Inventario!B205)),"3D","")))))))))))))))))</f>
        <v>BRI</v>
      </c>
      <c r="D206" t="str">
        <f>IF(ISNUMBER(SEARCH("LX700",Inventario!B205)),"LX7",
IF(ISNUMBER(SEARCH("GRANDO",Inventario!B205)),"GRA",
IF(OR(ISNUMBER(SEARCH("CAMA PLANA",Inventario!B205)),ISNUMBER(SEARCH("FB700",Inventario!B205))),"CP",
IF(ISNUMBER(SEARCH("LX360",Inventario!B205)),"LX3",
IF(ISNUMBER(SEARCH("XEROX",Inventario!B205)),"XER",
IF(ISNUMBER(SEARCH("18 OZ",Inventario!B205)),"18OZ",
IF(ISNUMBER(SEARCH("15 OZ",Inventario!B205)),"15OZ",
IF(OR(ISNUMBER(SEARCH("13 OZ",Inventario!B205)),ISNUMBER(SEARCH("13 ONZAS",Inventario!B205))),"13OZ",
IF(OR(ISNUMBER(SEARCH("9 OZ",Inventario!B205)),ISNUMBER(SEARCH("9 ONZAS",Inventario!B205))),"09OZ","")))))))))</f>
        <v/>
      </c>
      <c r="E206" t="str">
        <f>IF(OR(ISNUMBER(SEARCH("TRANSPARENTE",Inventario!B205)),ISNUMBER(SEARCH("TRANSPARENTES",Inventario!B205))),"TR",
IF(OR(ISNUMBER(SEARCH("BLANCO",Inventario!B205)),ISNUMBER(SEARCH("BCO",Inventario!B205))),"BL",
IF(ISNUMBER(SEARCH("VERDE",Inventario!B205)),"VR",
IF(ISNUMBER(SEARCH("MORADO",Inventario!B205)),"MR",
IF(ISNUMBER(SEARCH("PLATA",Inventario!B205)),"PL",
IF(ISNUMBER(SEARCH("ORO",Inventario!B205)),"OR",
IF(ISNUMBER(SEARCH("AMARILLO",Inventario!B205)),"AM",
IF(ISNUMBER(SEARCH("NARANJA",Inventario!B205)),"NR",
IF(ISNUMBER(SEARCH("NEGRO",Inventario!B205)),"NG",
IF(ISNUMBER(SEARCH("ROJO",Inventario!B205)),"RJ",
IF(ISNUMBER(SEARCH("AZUL",Inventario!B205)),"AZ","")))))))))))</f>
        <v>NG</v>
      </c>
      <c r="F206" t="str">
        <f>IF(ISNUMBER(SEARCH("1,2 MM",Inventario!B205)),"1MM2",
IF(OR(ISNUMBER(SEARCH("2 MM",Inventario!B205)),ISNUMBER(SEARCH("2MM",Inventario!B205))),"2MM",
IF(OR(ISNUMBER(SEARCH("3 MM",Inventario!B205)),ISNUMBER(SEARCH("3MM",Inventario!B205))),"3MM",
IF(OR(ISNUMBER(SEARCH("4 MM",Inventario!B205)),ISNUMBER(SEARCH("4MM",Inventario!B205)),ISNUMBER(SEARCH("4 mm",Inventario!B205))),"4MM",
IF(OR(ISNUMBER(SEARCH("5 MM",Inventario!B205)),ISNUMBER(SEARCH("5MM",Inventario!B205))),"5MM",
IF(OR(ISNUMBER(SEARCH("6 MM",Inventario!B205)),ISNUMBER(SEARCH("6MM",Inventario!B205))),"6MM",
IF(OR(ISNUMBER(SEARCH("10 MM",Inventario!B205)),ISNUMBER(SEARCH("10MM",Inventario!B205))),"10MM","")))))))</f>
        <v>4MM</v>
      </c>
      <c r="H206" t="str">
        <f>IF(ISNUMBER(SEARCH("SILED",Inventario!B205)),"SI",
IF(ISNUMBER(SEARCH("SYDEMEX",Inventario!B205)),"SY",
IF(ISNUMBER(SEARCH("ROHS",Inventario!B205)),"RO",
IF(ISNUMBER(SEARCH("RISHANG",Inventario!B205)),"RS",
IF(ISNUMBER(SEARCH("VYG",Inventario!B205)),"VYG",
IF(ISNUMBER(SEARCH("COLED",Inventario!B205)),"CO",""))))))</f>
        <v/>
      </c>
    </row>
    <row r="207" spans="1:8">
      <c r="A207" t="str">
        <f>IF(ISNUMBER(SEARCH("LONA",Inventario!B206)),"LON",
IF(ISNUMBER(SEARCH("VINIL",Inventario!B206)),"VIN",
IF(ISNUMBER(SEARCH("PANEL DE ALUMINIO COMPUESTO",Inventario!B206)),"PAN-ALU-COM",
IF(ISNUMBER(SEARCH("PVC",Inventario!B206)),"PVC",
IF(ISNUMBER(SEARCH("PAPEL",Inventario!B206)),"PAP",
IF(ISNUMBER(SEARCH("TELA",Inventario!B206)),"TEL",
IF(ISNUMBER(SEARCH("CARTULINA",Inventario!B206)),"CAR",
IF(OR(ISNUMBER(SEARCH("LAMINA",Inventario!B206)),ISNUMBER(SEARCH("LÁMINA",Inventario!B206))),"LAM",
IF(ISNUMBER(SEARCH("ESTIRENO",Inventario!B206)),"EST",
IF(ISNUMBER(SEARCH("FOAMBOARD",Inventario!B206)),"FOA",
IF(ISNUMBER(SEARCH("SOLVENTE",Inventario!B206)),"SOL",
IF(ISNUMBER(SEARCH("TINTA",Inventario!B206)),"TIN",
IF(ISNUMBER(SEARCH("ACRILICO",Inventario!B206)),"ACR",
IF(ISNUMBER(SEARCH("LED",Inventario!B206)),"LED",
IF(ISNUMBER(SEARCH("FUENTE",Inventario!B206)),"FUE",
IF(ISNUMBER(SEARCH("PETG",Inventario!B206)),"PET",
IF(ISNUMBER(SEARCH("ALUMINIO",Inventario!B206)),"ALU",
IF(ISNUMBER(SEARCH("CANAL",Inventario!B206)),"CAN",
IF(ISNUMBER(SEARCH("ESCUADRA",Inventario!B206)),"ESC",
IF(ISNUMBER(SEARCH("SOPORTE",Inventario!B206)),"SOP","OTR")
)))))))))))))))))))</f>
        <v>PAN-ALU-COM</v>
      </c>
      <c r="B207" t="str">
        <f>IF(ISNUMBER(SEARCH("CORTE",Inventario!B206)),"COR",
IF(ISNUMBER(SEARCH("CRISTAL",Inventario!B206)),"CR",
IF(OR(ISNUMBER(SEARCH("OPTICO",Inventario!B206)),ISNUMBER(SEARCH("OPTICOS",Inventario!B206)),ISNUMBER(SEARCH("OPTICA",Inventario!B206))),"OP",
IF(ISNUMBER(SEARCH("NANO",Inventario!B206)),"NA",
IF(ISNUMBER(SEARCH("5050",Inventario!B206)),"5050",
IF(ISNUMBER(SEARCH("MICRO",Inventario!B206)),"MI",""))))))</f>
        <v/>
      </c>
      <c r="C207" t="str">
        <f>IF(ISNUMBER(SEARCH("PARED",Inventario!B206)),"PAR",IF(ISNUMBER(SEARCH("MATE",Inventario!B206)),"MAT",
IF(ISNUMBER(SEARCH("FRONT",Inventario!B206)),"FRO",
IF(ISNUMBER(SEARCH("BACK",Inventario!B206)),"BAC",
IF(ISNUMBER(SEARCH("MESH",Inventario!B206)),"MES",
IF(OR(ISNUMBER(SEARCH("BRILLANTE",Inventario!B206)),ISNUMBER(SEARCH("BTE",Inventario!B206))),"BRI",
IF(ISNUMBER(SEARCH("SINTETICA DELGADA",Inventario!B206)),"SD",
IF(ISNUMBER(SEARCH("SINTETICA GRUESA",Inventario!B206)),"SG",
IF(ISNUMBER(SEARCH("ESTATICO",Inventario!B206)),"EST",
IF(ISNUMBER(SEARCH("FLOOR",Inventario!B206)),"FLO",
IF(ISNUMBER(SEARCH("REFLECTIVO",Inventario!B206)),"REF",
IF(ISNUMBER(SEARCH("MICROPERFORADO",Inventario!B206)),"MI",
IF(ISNUMBER(SEARCH("CEPILLADO",Inventario!B206)),"CEP",
IF(ISNUMBER(SEARCH("ESPEJO",Inventario!B206)),"ESP",
IF(OR(ISNUMBER(SEARCH("UNIDIODO",Inventario!B206)),ISNUMBER(SEARCH("1 DIODO",Inventario!B206))),"1D",
IF(ISNUMBER(SEARCH("2 DIODOS",Inventario!B206)),"2D",
IF(ISNUMBER(SEARCH("3 DIODOS",Inventario!B206)),"3D","")))))))))))))))))</f>
        <v/>
      </c>
      <c r="D207" t="str">
        <f>IF(ISNUMBER(SEARCH("LX700",Inventario!B206)),"LX7",
IF(ISNUMBER(SEARCH("GRANDO",Inventario!B206)),"GRA",
IF(OR(ISNUMBER(SEARCH("CAMA PLANA",Inventario!B206)),ISNUMBER(SEARCH("FB700",Inventario!B206))),"CP",
IF(ISNUMBER(SEARCH("LX360",Inventario!B206)),"LX3",
IF(ISNUMBER(SEARCH("XEROX",Inventario!B206)),"XER",
IF(ISNUMBER(SEARCH("18 OZ",Inventario!B206)),"18OZ",
IF(ISNUMBER(SEARCH("15 OZ",Inventario!B206)),"15OZ",
IF(OR(ISNUMBER(SEARCH("13 OZ",Inventario!B206)),ISNUMBER(SEARCH("13 ONZAS",Inventario!B206))),"13OZ",
IF(OR(ISNUMBER(SEARCH("9 OZ",Inventario!B206)),ISNUMBER(SEARCH("9 ONZAS",Inventario!B206))),"09OZ","")))))))))</f>
        <v/>
      </c>
      <c r="E207" t="str">
        <f>IF(OR(ISNUMBER(SEARCH("TRANSPARENTE",Inventario!B206)),ISNUMBER(SEARCH("TRANSPARENTES",Inventario!B206))),"TR",
IF(OR(ISNUMBER(SEARCH("BLANCO",Inventario!B206)),ISNUMBER(SEARCH("BCO",Inventario!B206))),"BL",
IF(ISNUMBER(SEARCH("VERDE",Inventario!B206)),"VR",
IF(ISNUMBER(SEARCH("MORADO",Inventario!B206)),"MR",
IF(ISNUMBER(SEARCH("PLATA",Inventario!B206)),"PL",
IF(ISNUMBER(SEARCH("ORO",Inventario!B206)),"OR",
IF(ISNUMBER(SEARCH("AMARILLO",Inventario!B206)),"AM",
IF(ISNUMBER(SEARCH("NARANJA",Inventario!B206)),"NR",
IF(ISNUMBER(SEARCH("NEGRO",Inventario!B206)),"NG",
IF(ISNUMBER(SEARCH("ROJO",Inventario!B206)),"RJ",
IF(ISNUMBER(SEARCH("AZUL",Inventario!B206)),"AZ","")))))))))))</f>
        <v>NG</v>
      </c>
      <c r="F207" t="str">
        <f>IF(ISNUMBER(SEARCH("1,2 MM",Inventario!B206)),"1MM2",
IF(OR(ISNUMBER(SEARCH("2 MM",Inventario!B206)),ISNUMBER(SEARCH("2MM",Inventario!B206))),"2MM",
IF(OR(ISNUMBER(SEARCH("3 MM",Inventario!B206)),ISNUMBER(SEARCH("3MM",Inventario!B206))),"3MM",
IF(OR(ISNUMBER(SEARCH("4 MM",Inventario!B206)),ISNUMBER(SEARCH("4MM",Inventario!B206)),ISNUMBER(SEARCH("4 mm",Inventario!B206))),"4MM",
IF(OR(ISNUMBER(SEARCH("5 MM",Inventario!B206)),ISNUMBER(SEARCH("5MM",Inventario!B206))),"5MM",
IF(OR(ISNUMBER(SEARCH("6 MM",Inventario!B206)),ISNUMBER(SEARCH("6MM",Inventario!B206))),"6MM",
IF(OR(ISNUMBER(SEARCH("10 MM",Inventario!B206)),ISNUMBER(SEARCH("10MM",Inventario!B206))),"10MM","")))))))</f>
        <v/>
      </c>
      <c r="H207" t="str">
        <f>IF(ISNUMBER(SEARCH("SILED",Inventario!B206)),"SI",
IF(ISNUMBER(SEARCH("SYDEMEX",Inventario!B206)),"SY",
IF(ISNUMBER(SEARCH("ROHS",Inventario!B206)),"RO",
IF(ISNUMBER(SEARCH("RISHANG",Inventario!B206)),"RS",
IF(ISNUMBER(SEARCH("VYG",Inventario!B206)),"VYG",
IF(ISNUMBER(SEARCH("COLED",Inventario!B206)),"CO",""))))))</f>
        <v/>
      </c>
    </row>
    <row r="208" spans="1:8">
      <c r="A208" t="str">
        <f>IF(ISNUMBER(SEARCH("LONA",Inventario!B207)),"LON",
IF(ISNUMBER(SEARCH("VINIL",Inventario!B207)),"VIN",
IF(ISNUMBER(SEARCH("PANEL DE ALUMINIO COMPUESTO",Inventario!B207)),"PAN-ALU-COM",
IF(ISNUMBER(SEARCH("PVC",Inventario!B207)),"PVC",
IF(ISNUMBER(SEARCH("PAPEL",Inventario!B207)),"PAP",
IF(ISNUMBER(SEARCH("TELA",Inventario!B207)),"TEL",
IF(ISNUMBER(SEARCH("CARTULINA",Inventario!B207)),"CAR",
IF(OR(ISNUMBER(SEARCH("LAMINA",Inventario!B207)),ISNUMBER(SEARCH("LÁMINA",Inventario!B207))),"LAM",
IF(ISNUMBER(SEARCH("ESTIRENO",Inventario!B207)),"EST",
IF(ISNUMBER(SEARCH("FOAMBOARD",Inventario!B207)),"FOA",
IF(ISNUMBER(SEARCH("SOLVENTE",Inventario!B207)),"SOL",
IF(ISNUMBER(SEARCH("TINTA",Inventario!B207)),"TIN",
IF(ISNUMBER(SEARCH("ACRILICO",Inventario!B207)),"ACR",
IF(ISNUMBER(SEARCH("LED",Inventario!B207)),"LED",
IF(ISNUMBER(SEARCH("FUENTE",Inventario!B207)),"FUE",
IF(ISNUMBER(SEARCH("PETG",Inventario!B207)),"PET",
IF(ISNUMBER(SEARCH("ALUMINIO",Inventario!B207)),"ALU",
IF(ISNUMBER(SEARCH("CANAL",Inventario!B207)),"CAN",
IF(ISNUMBER(SEARCH("ESCUADRA",Inventario!B207)),"ESC",
IF(ISNUMBER(SEARCH("SOPORTE",Inventario!B207)),"SOP","OTR")
)))))))))))))))))))</f>
        <v>PAN-ALU-COM</v>
      </c>
      <c r="B208" t="str">
        <f>IF(ISNUMBER(SEARCH("CORTE",Inventario!B207)),"COR",
IF(ISNUMBER(SEARCH("CRISTAL",Inventario!B207)),"CR",
IF(OR(ISNUMBER(SEARCH("OPTICO",Inventario!B207)),ISNUMBER(SEARCH("OPTICOS",Inventario!B207)),ISNUMBER(SEARCH("OPTICA",Inventario!B207))),"OP",
IF(ISNUMBER(SEARCH("NANO",Inventario!B207)),"NA",
IF(ISNUMBER(SEARCH("5050",Inventario!B207)),"5050",
IF(ISNUMBER(SEARCH("MICRO",Inventario!B207)),"MI",""))))))</f>
        <v/>
      </c>
      <c r="C208" t="str">
        <f>IF(ISNUMBER(SEARCH("PARED",Inventario!B207)),"PAR",IF(ISNUMBER(SEARCH("MATE",Inventario!B207)),"MAT",
IF(ISNUMBER(SEARCH("FRONT",Inventario!B207)),"FRO",
IF(ISNUMBER(SEARCH("BACK",Inventario!B207)),"BAC",
IF(ISNUMBER(SEARCH("MESH",Inventario!B207)),"MES",
IF(OR(ISNUMBER(SEARCH("BRILLANTE",Inventario!B207)),ISNUMBER(SEARCH("BTE",Inventario!B207))),"BRI",
IF(ISNUMBER(SEARCH("SINTETICA DELGADA",Inventario!B207)),"SD",
IF(ISNUMBER(SEARCH("SINTETICA GRUESA",Inventario!B207)),"SG",
IF(ISNUMBER(SEARCH("ESTATICO",Inventario!B207)),"EST",
IF(ISNUMBER(SEARCH("FLOOR",Inventario!B207)),"FLO",
IF(ISNUMBER(SEARCH("REFLECTIVO",Inventario!B207)),"REF",
IF(ISNUMBER(SEARCH("MICROPERFORADO",Inventario!B207)),"MI",
IF(ISNUMBER(SEARCH("CEPILLADO",Inventario!B207)),"CEP",
IF(ISNUMBER(SEARCH("ESPEJO",Inventario!B207)),"ESP",
IF(OR(ISNUMBER(SEARCH("UNIDIODO",Inventario!B207)),ISNUMBER(SEARCH("1 DIODO",Inventario!B207))),"1D",
IF(ISNUMBER(SEARCH("2 DIODOS",Inventario!B207)),"2D",
IF(ISNUMBER(SEARCH("3 DIODOS",Inventario!B207)),"3D","")))))))))))))))))</f>
        <v>MAT</v>
      </c>
      <c r="D208" t="str">
        <f>IF(ISNUMBER(SEARCH("LX700",Inventario!B207)),"LX7",
IF(ISNUMBER(SEARCH("GRANDO",Inventario!B207)),"GRA",
IF(OR(ISNUMBER(SEARCH("CAMA PLANA",Inventario!B207)),ISNUMBER(SEARCH("FB700",Inventario!B207))),"CP",
IF(ISNUMBER(SEARCH("LX360",Inventario!B207)),"LX3",
IF(ISNUMBER(SEARCH("XEROX",Inventario!B207)),"XER",
IF(ISNUMBER(SEARCH("18 OZ",Inventario!B207)),"18OZ",
IF(ISNUMBER(SEARCH("15 OZ",Inventario!B207)),"15OZ",
IF(OR(ISNUMBER(SEARCH("13 OZ",Inventario!B207)),ISNUMBER(SEARCH("13 ONZAS",Inventario!B207))),"13OZ",
IF(OR(ISNUMBER(SEARCH("9 OZ",Inventario!B207)),ISNUMBER(SEARCH("9 ONZAS",Inventario!B207))),"09OZ","")))))))))</f>
        <v/>
      </c>
      <c r="E208" t="str">
        <f>IF(OR(ISNUMBER(SEARCH("TRANSPARENTE",Inventario!B207)),ISNUMBER(SEARCH("TRANSPARENTES",Inventario!B207))),"TR",
IF(OR(ISNUMBER(SEARCH("BLANCO",Inventario!B207)),ISNUMBER(SEARCH("BCO",Inventario!B207))),"BL",
IF(ISNUMBER(SEARCH("VERDE",Inventario!B207)),"VR",
IF(ISNUMBER(SEARCH("MORADO",Inventario!B207)),"MR",
IF(ISNUMBER(SEARCH("PLATA",Inventario!B207)),"PL",
IF(ISNUMBER(SEARCH("ORO",Inventario!B207)),"OR",
IF(ISNUMBER(SEARCH("AMARILLO",Inventario!B207)),"AM",
IF(ISNUMBER(SEARCH("NARANJA",Inventario!B207)),"NR",
IF(ISNUMBER(SEARCH("NEGRO",Inventario!B207)),"NG",
IF(ISNUMBER(SEARCH("ROJO",Inventario!B207)),"RJ",
IF(ISNUMBER(SEARCH("AZUL",Inventario!B207)),"AZ","")))))))))))</f>
        <v>NG</v>
      </c>
      <c r="F208" t="str">
        <f>IF(ISNUMBER(SEARCH("1,2 MM",Inventario!B207)),"1MM2",
IF(OR(ISNUMBER(SEARCH("2 MM",Inventario!B207)),ISNUMBER(SEARCH("2MM",Inventario!B207))),"2MM",
IF(OR(ISNUMBER(SEARCH("3 MM",Inventario!B207)),ISNUMBER(SEARCH("3MM",Inventario!B207))),"3MM",
IF(OR(ISNUMBER(SEARCH("4 MM",Inventario!B207)),ISNUMBER(SEARCH("4MM",Inventario!B207)),ISNUMBER(SEARCH("4 mm",Inventario!B207))),"4MM",
IF(OR(ISNUMBER(SEARCH("5 MM",Inventario!B207)),ISNUMBER(SEARCH("5MM",Inventario!B207))),"5MM",
IF(OR(ISNUMBER(SEARCH("6 MM",Inventario!B207)),ISNUMBER(SEARCH("6MM",Inventario!B207))),"6MM",
IF(OR(ISNUMBER(SEARCH("10 MM",Inventario!B207)),ISNUMBER(SEARCH("10MM",Inventario!B207))),"10MM","")))))))</f>
        <v>4MM</v>
      </c>
      <c r="H208" t="str">
        <f>IF(ISNUMBER(SEARCH("SILED",Inventario!B207)),"SI",
IF(ISNUMBER(SEARCH("SYDEMEX",Inventario!B207)),"SY",
IF(ISNUMBER(SEARCH("ROHS",Inventario!B207)),"RO",
IF(ISNUMBER(SEARCH("RISHANG",Inventario!B207)),"RS",
IF(ISNUMBER(SEARCH("VYG",Inventario!B207)),"VYG",
IF(ISNUMBER(SEARCH("COLED",Inventario!B207)),"CO",""))))))</f>
        <v/>
      </c>
    </row>
    <row r="209" spans="1:8">
      <c r="A209" t="str">
        <f>IF(ISNUMBER(SEARCH("LONA",Inventario!B208)),"LON",
IF(ISNUMBER(SEARCH("VINIL",Inventario!B208)),"VIN",
IF(ISNUMBER(SEARCH("PANEL DE ALUMINIO COMPUESTO",Inventario!B208)),"PAN-ALU-COM",
IF(ISNUMBER(SEARCH("PVC",Inventario!B208)),"PVC",
IF(ISNUMBER(SEARCH("PAPEL",Inventario!B208)),"PAP",
IF(ISNUMBER(SEARCH("TELA",Inventario!B208)),"TEL",
IF(ISNUMBER(SEARCH("CARTULINA",Inventario!B208)),"CAR",
IF(OR(ISNUMBER(SEARCH("LAMINA",Inventario!B208)),ISNUMBER(SEARCH("LÁMINA",Inventario!B208))),"LAM",
IF(ISNUMBER(SEARCH("ESTIRENO",Inventario!B208)),"EST",
IF(ISNUMBER(SEARCH("FOAMBOARD",Inventario!B208)),"FOA",
IF(ISNUMBER(SEARCH("SOLVENTE",Inventario!B208)),"SOL",
IF(ISNUMBER(SEARCH("TINTA",Inventario!B208)),"TIN",
IF(ISNUMBER(SEARCH("ACRILICO",Inventario!B208)),"ACR",
IF(ISNUMBER(SEARCH("LED",Inventario!B208)),"LED",
IF(ISNUMBER(SEARCH("FUENTE",Inventario!B208)),"FUE",
IF(ISNUMBER(SEARCH("PETG",Inventario!B208)),"PET",
IF(ISNUMBER(SEARCH("ALUMINIO",Inventario!B208)),"ALU",
IF(ISNUMBER(SEARCH("CANAL",Inventario!B208)),"CAN",
IF(ISNUMBER(SEARCH("ESCUADRA",Inventario!B208)),"ESC",
IF(ISNUMBER(SEARCH("SOPORTE",Inventario!B208)),"SOP","OTR")
)))))))))))))))))))</f>
        <v>PAN-ALU-COM</v>
      </c>
      <c r="B209" t="str">
        <f>IF(ISNUMBER(SEARCH("CORTE",Inventario!B208)),"COR",
IF(ISNUMBER(SEARCH("CRISTAL",Inventario!B208)),"CR",
IF(OR(ISNUMBER(SEARCH("OPTICO",Inventario!B208)),ISNUMBER(SEARCH("OPTICOS",Inventario!B208)),ISNUMBER(SEARCH("OPTICA",Inventario!B208))),"OP",
IF(ISNUMBER(SEARCH("NANO",Inventario!B208)),"NA",
IF(ISNUMBER(SEARCH("5050",Inventario!B208)),"5050",
IF(ISNUMBER(SEARCH("MICRO",Inventario!B208)),"MI",""))))))</f>
        <v/>
      </c>
      <c r="C209" t="str">
        <f>IF(ISNUMBER(SEARCH("PARED",Inventario!B208)),"PAR",IF(ISNUMBER(SEARCH("MATE",Inventario!B208)),"MAT",
IF(ISNUMBER(SEARCH("FRONT",Inventario!B208)),"FRO",
IF(ISNUMBER(SEARCH("BACK",Inventario!B208)),"BAC",
IF(ISNUMBER(SEARCH("MESH",Inventario!B208)),"MES",
IF(OR(ISNUMBER(SEARCH("BRILLANTE",Inventario!B208)),ISNUMBER(SEARCH("BTE",Inventario!B208))),"BRI",
IF(ISNUMBER(SEARCH("SINTETICA DELGADA",Inventario!B208)),"SD",
IF(ISNUMBER(SEARCH("SINTETICA GRUESA",Inventario!B208)),"SG",
IF(ISNUMBER(SEARCH("ESTATICO",Inventario!B208)),"EST",
IF(ISNUMBER(SEARCH("FLOOR",Inventario!B208)),"FLO",
IF(ISNUMBER(SEARCH("REFLECTIVO",Inventario!B208)),"REF",
IF(ISNUMBER(SEARCH("MICROPERFORADO",Inventario!B208)),"MI",
IF(ISNUMBER(SEARCH("CEPILLADO",Inventario!B208)),"CEP",
IF(ISNUMBER(SEARCH("ESPEJO",Inventario!B208)),"ESP",
IF(OR(ISNUMBER(SEARCH("UNIDIODO",Inventario!B208)),ISNUMBER(SEARCH("1 DIODO",Inventario!B208))),"1D",
IF(ISNUMBER(SEARCH("2 DIODOS",Inventario!B208)),"2D",
IF(ISNUMBER(SEARCH("3 DIODOS",Inventario!B208)),"3D","")))))))))))))))))</f>
        <v>CEP</v>
      </c>
      <c r="D209" t="str">
        <f>IF(ISNUMBER(SEARCH("LX700",Inventario!B208)),"LX7",
IF(ISNUMBER(SEARCH("GRANDO",Inventario!B208)),"GRA",
IF(OR(ISNUMBER(SEARCH("CAMA PLANA",Inventario!B208)),ISNUMBER(SEARCH("FB700",Inventario!B208))),"CP",
IF(ISNUMBER(SEARCH("LX360",Inventario!B208)),"LX3",
IF(ISNUMBER(SEARCH("XEROX",Inventario!B208)),"XER",
IF(ISNUMBER(SEARCH("18 OZ",Inventario!B208)),"18OZ",
IF(ISNUMBER(SEARCH("15 OZ",Inventario!B208)),"15OZ",
IF(OR(ISNUMBER(SEARCH("13 OZ",Inventario!B208)),ISNUMBER(SEARCH("13 ONZAS",Inventario!B208))),"13OZ",
IF(OR(ISNUMBER(SEARCH("9 OZ",Inventario!B208)),ISNUMBER(SEARCH("9 ONZAS",Inventario!B208))),"09OZ","")))))))))</f>
        <v/>
      </c>
      <c r="E209" t="str">
        <f>IF(OR(ISNUMBER(SEARCH("TRANSPARENTE",Inventario!B208)),ISNUMBER(SEARCH("TRANSPARENTES",Inventario!B208))),"TR",
IF(OR(ISNUMBER(SEARCH("BLANCO",Inventario!B208)),ISNUMBER(SEARCH("BCO",Inventario!B208))),"BL",
IF(ISNUMBER(SEARCH("VERDE",Inventario!B208)),"VR",
IF(ISNUMBER(SEARCH("MORADO",Inventario!B208)),"MR",
IF(ISNUMBER(SEARCH("PLATA",Inventario!B208)),"PL",
IF(ISNUMBER(SEARCH("ORO",Inventario!B208)),"OR",
IF(ISNUMBER(SEARCH("AMARILLO",Inventario!B208)),"AM",
IF(ISNUMBER(SEARCH("NARANJA",Inventario!B208)),"NR",
IF(ISNUMBER(SEARCH("NEGRO",Inventario!B208)),"NG",
IF(ISNUMBER(SEARCH("ROJO",Inventario!B208)),"RJ",
IF(ISNUMBER(SEARCH("AZUL",Inventario!B208)),"AZ","")))))))))))</f>
        <v>PL</v>
      </c>
      <c r="F209" t="str">
        <f>IF(ISNUMBER(SEARCH("1,2 MM",Inventario!B208)),"1MM2",
IF(OR(ISNUMBER(SEARCH("2 MM",Inventario!B208)),ISNUMBER(SEARCH("2MM",Inventario!B208))),"2MM",
IF(OR(ISNUMBER(SEARCH("3 MM",Inventario!B208)),ISNUMBER(SEARCH("3MM",Inventario!B208))),"3MM",
IF(OR(ISNUMBER(SEARCH("4 MM",Inventario!B208)),ISNUMBER(SEARCH("4MM",Inventario!B208)),ISNUMBER(SEARCH("4 mm",Inventario!B208))),"4MM",
IF(OR(ISNUMBER(SEARCH("5 MM",Inventario!B208)),ISNUMBER(SEARCH("5MM",Inventario!B208))),"5MM",
IF(OR(ISNUMBER(SEARCH("6 MM",Inventario!B208)),ISNUMBER(SEARCH("6MM",Inventario!B208))),"6MM",
IF(OR(ISNUMBER(SEARCH("10 MM",Inventario!B208)),ISNUMBER(SEARCH("10MM",Inventario!B208))),"10MM","")))))))</f>
        <v>3MM</v>
      </c>
      <c r="H209" t="str">
        <f>IF(ISNUMBER(SEARCH("SILED",Inventario!B208)),"SI",
IF(ISNUMBER(SEARCH("SYDEMEX",Inventario!B208)),"SY",
IF(ISNUMBER(SEARCH("ROHS",Inventario!B208)),"RO",
IF(ISNUMBER(SEARCH("RISHANG",Inventario!B208)),"RS",
IF(ISNUMBER(SEARCH("VYG",Inventario!B208)),"VYG",
IF(ISNUMBER(SEARCH("COLED",Inventario!B208)),"CO",""))))))</f>
        <v/>
      </c>
    </row>
    <row r="210" spans="1:8">
      <c r="A210" t="str">
        <f>IF(ISNUMBER(SEARCH("LONA",Inventario!B209)),"LON",
IF(ISNUMBER(SEARCH("VINIL",Inventario!B209)),"VIN",
IF(ISNUMBER(SEARCH("PANEL DE ALUMINIO COMPUESTO",Inventario!B209)),"PAN-ALU-COM",
IF(ISNUMBER(SEARCH("PVC",Inventario!B209)),"PVC",
IF(ISNUMBER(SEARCH("PAPEL",Inventario!B209)),"PAP",
IF(ISNUMBER(SEARCH("TELA",Inventario!B209)),"TEL",
IF(ISNUMBER(SEARCH("CARTULINA",Inventario!B209)),"CAR",
IF(OR(ISNUMBER(SEARCH("LAMINA",Inventario!B209)),ISNUMBER(SEARCH("LÁMINA",Inventario!B209))),"LAM",
IF(ISNUMBER(SEARCH("ESTIRENO",Inventario!B209)),"EST",
IF(ISNUMBER(SEARCH("FOAMBOARD",Inventario!B209)),"FOA",
IF(ISNUMBER(SEARCH("SOLVENTE",Inventario!B209)),"SOL",
IF(ISNUMBER(SEARCH("TINTA",Inventario!B209)),"TIN",
IF(ISNUMBER(SEARCH("ACRILICO",Inventario!B209)),"ACR",
IF(ISNUMBER(SEARCH("LED",Inventario!B209)),"LED",
IF(ISNUMBER(SEARCH("FUENTE",Inventario!B209)),"FUE",
IF(ISNUMBER(SEARCH("PETG",Inventario!B209)),"PET",
IF(ISNUMBER(SEARCH("ALUMINIO",Inventario!B209)),"ALU",
IF(ISNUMBER(SEARCH("CANAL",Inventario!B209)),"CAN",
IF(ISNUMBER(SEARCH("ESCUADRA",Inventario!B209)),"ESC",
IF(ISNUMBER(SEARCH("SOPORTE",Inventario!B209)),"SOP","OTR")
)))))))))))))))))))</f>
        <v>PAN-ALU-COM</v>
      </c>
      <c r="B210" t="str">
        <f>IF(ISNUMBER(SEARCH("CORTE",Inventario!B209)),"COR",
IF(ISNUMBER(SEARCH("CRISTAL",Inventario!B209)),"CR",
IF(OR(ISNUMBER(SEARCH("OPTICO",Inventario!B209)),ISNUMBER(SEARCH("OPTICOS",Inventario!B209)),ISNUMBER(SEARCH("OPTICA",Inventario!B209))),"OP",
IF(ISNUMBER(SEARCH("NANO",Inventario!B209)),"NA",
IF(ISNUMBER(SEARCH("5050",Inventario!B209)),"5050",
IF(ISNUMBER(SEARCH("MICRO",Inventario!B209)),"MI",""))))))</f>
        <v/>
      </c>
      <c r="C210" t="str">
        <f>IF(ISNUMBER(SEARCH("PARED",Inventario!B209)),"PAR",IF(ISNUMBER(SEARCH("MATE",Inventario!B209)),"MAT",
IF(ISNUMBER(SEARCH("FRONT",Inventario!B209)),"FRO",
IF(ISNUMBER(SEARCH("BACK",Inventario!B209)),"BAC",
IF(ISNUMBER(SEARCH("MESH",Inventario!B209)),"MES",
IF(OR(ISNUMBER(SEARCH("BRILLANTE",Inventario!B209)),ISNUMBER(SEARCH("BTE",Inventario!B209))),"BRI",
IF(ISNUMBER(SEARCH("SINTETICA DELGADA",Inventario!B209)),"SD",
IF(ISNUMBER(SEARCH("SINTETICA GRUESA",Inventario!B209)),"SG",
IF(ISNUMBER(SEARCH("ESTATICO",Inventario!B209)),"EST",
IF(ISNUMBER(SEARCH("FLOOR",Inventario!B209)),"FLO",
IF(ISNUMBER(SEARCH("REFLECTIVO",Inventario!B209)),"REF",
IF(ISNUMBER(SEARCH("MICROPERFORADO",Inventario!B209)),"MI",
IF(ISNUMBER(SEARCH("CEPILLADO",Inventario!B209)),"CEP",
IF(ISNUMBER(SEARCH("ESPEJO",Inventario!B209)),"ESP",
IF(OR(ISNUMBER(SEARCH("UNIDIODO",Inventario!B209)),ISNUMBER(SEARCH("1 DIODO",Inventario!B209))),"1D",
IF(ISNUMBER(SEARCH("2 DIODOS",Inventario!B209)),"2D",
IF(ISNUMBER(SEARCH("3 DIODOS",Inventario!B209)),"3D","")))))))))))))))))</f>
        <v>CEP</v>
      </c>
      <c r="D210" t="str">
        <f>IF(ISNUMBER(SEARCH("LX700",Inventario!B209)),"LX7",
IF(ISNUMBER(SEARCH("GRANDO",Inventario!B209)),"GRA",
IF(OR(ISNUMBER(SEARCH("CAMA PLANA",Inventario!B209)),ISNUMBER(SEARCH("FB700",Inventario!B209))),"CP",
IF(ISNUMBER(SEARCH("LX360",Inventario!B209)),"LX3",
IF(ISNUMBER(SEARCH("XEROX",Inventario!B209)),"XER",
IF(ISNUMBER(SEARCH("18 OZ",Inventario!B209)),"18OZ",
IF(ISNUMBER(SEARCH("15 OZ",Inventario!B209)),"15OZ",
IF(OR(ISNUMBER(SEARCH("13 OZ",Inventario!B209)),ISNUMBER(SEARCH("13 ONZAS",Inventario!B209))),"13OZ",
IF(OR(ISNUMBER(SEARCH("9 OZ",Inventario!B209)),ISNUMBER(SEARCH("9 ONZAS",Inventario!B209))),"09OZ","")))))))))</f>
        <v/>
      </c>
      <c r="E210" t="str">
        <f>IF(OR(ISNUMBER(SEARCH("TRANSPARENTE",Inventario!B209)),ISNUMBER(SEARCH("TRANSPARENTES",Inventario!B209))),"TR",
IF(OR(ISNUMBER(SEARCH("BLANCO",Inventario!B209)),ISNUMBER(SEARCH("BCO",Inventario!B209))),"BL",
IF(ISNUMBER(SEARCH("VERDE",Inventario!B209)),"VR",
IF(ISNUMBER(SEARCH("MORADO",Inventario!B209)),"MR",
IF(ISNUMBER(SEARCH("PLATA",Inventario!B209)),"PL",
IF(ISNUMBER(SEARCH("ORO",Inventario!B209)),"OR",
IF(ISNUMBER(SEARCH("AMARILLO",Inventario!B209)),"AM",
IF(ISNUMBER(SEARCH("NARANJA",Inventario!B209)),"NR",
IF(ISNUMBER(SEARCH("NEGRO",Inventario!B209)),"NG",
IF(ISNUMBER(SEARCH("ROJO",Inventario!B209)),"RJ",
IF(ISNUMBER(SEARCH("AZUL",Inventario!B209)),"AZ","")))))))))))</f>
        <v>PL</v>
      </c>
      <c r="F210" t="str">
        <f>IF(ISNUMBER(SEARCH("1,2 MM",Inventario!B209)),"1MM2",
IF(OR(ISNUMBER(SEARCH("2 MM",Inventario!B209)),ISNUMBER(SEARCH("2MM",Inventario!B209))),"2MM",
IF(OR(ISNUMBER(SEARCH("3 MM",Inventario!B209)),ISNUMBER(SEARCH("3MM",Inventario!B209))),"3MM",
IF(OR(ISNUMBER(SEARCH("4 MM",Inventario!B209)),ISNUMBER(SEARCH("4MM",Inventario!B209)),ISNUMBER(SEARCH("4 mm",Inventario!B209))),"4MM",
IF(OR(ISNUMBER(SEARCH("5 MM",Inventario!B209)),ISNUMBER(SEARCH("5MM",Inventario!B209))),"5MM",
IF(OR(ISNUMBER(SEARCH("6 MM",Inventario!B209)),ISNUMBER(SEARCH("6MM",Inventario!B209))),"6MM",
IF(OR(ISNUMBER(SEARCH("10 MM",Inventario!B209)),ISNUMBER(SEARCH("10MM",Inventario!B209))),"10MM","")))))))</f>
        <v>4MM</v>
      </c>
      <c r="H210" t="str">
        <f>IF(ISNUMBER(SEARCH("SILED",Inventario!B209)),"SI",
IF(ISNUMBER(SEARCH("SYDEMEX",Inventario!B209)),"SY",
IF(ISNUMBER(SEARCH("ROHS",Inventario!B209)),"RO",
IF(ISNUMBER(SEARCH("RISHANG",Inventario!B209)),"RS",
IF(ISNUMBER(SEARCH("VYG",Inventario!B209)),"VYG",
IF(ISNUMBER(SEARCH("COLED",Inventario!B209)),"CO",""))))))</f>
        <v/>
      </c>
    </row>
    <row r="211" spans="1:8">
      <c r="A211" t="str">
        <f>IF(ISNUMBER(SEARCH("LONA",Inventario!B210)),"LON",
IF(ISNUMBER(SEARCH("VINIL",Inventario!B210)),"VIN",
IF(ISNUMBER(SEARCH("PANEL DE ALUMINIO COMPUESTO",Inventario!B210)),"PAN-ALU-COM",
IF(ISNUMBER(SEARCH("PVC",Inventario!B210)),"PVC",
IF(ISNUMBER(SEARCH("PAPEL",Inventario!B210)),"PAP",
IF(ISNUMBER(SEARCH("TELA",Inventario!B210)),"TEL",
IF(ISNUMBER(SEARCH("CARTULINA",Inventario!B210)),"CAR",
IF(OR(ISNUMBER(SEARCH("LAMINA",Inventario!B210)),ISNUMBER(SEARCH("LÁMINA",Inventario!B210))),"LAM",
IF(ISNUMBER(SEARCH("ESTIRENO",Inventario!B210)),"EST",
IF(ISNUMBER(SEARCH("FOAMBOARD",Inventario!B210)),"FOA",
IF(ISNUMBER(SEARCH("SOLVENTE",Inventario!B210)),"SOL",
IF(ISNUMBER(SEARCH("TINTA",Inventario!B210)),"TIN",
IF(ISNUMBER(SEARCH("ACRILICO",Inventario!B210)),"ACR",
IF(ISNUMBER(SEARCH("LED",Inventario!B210)),"LED",
IF(ISNUMBER(SEARCH("FUENTE",Inventario!B210)),"FUE",
IF(ISNUMBER(SEARCH("PETG",Inventario!B210)),"PET",
IF(ISNUMBER(SEARCH("ALUMINIO",Inventario!B210)),"ALU",
IF(ISNUMBER(SEARCH("CANAL",Inventario!B210)),"CAN",
IF(ISNUMBER(SEARCH("ESCUADRA",Inventario!B210)),"ESC",
IF(ISNUMBER(SEARCH("SOPORTE",Inventario!B210)),"SOP","OTR")
)))))))))))))))))))</f>
        <v>PAN-ALU-COM</v>
      </c>
      <c r="B211" t="str">
        <f>IF(ISNUMBER(SEARCH("CORTE",Inventario!B210)),"COR",
IF(ISNUMBER(SEARCH("CRISTAL",Inventario!B210)),"CR",
IF(OR(ISNUMBER(SEARCH("OPTICO",Inventario!B210)),ISNUMBER(SEARCH("OPTICOS",Inventario!B210)),ISNUMBER(SEARCH("OPTICA",Inventario!B210))),"OP",
IF(ISNUMBER(SEARCH("NANO",Inventario!B210)),"NA",
IF(ISNUMBER(SEARCH("5050",Inventario!B210)),"5050",
IF(ISNUMBER(SEARCH("MICRO",Inventario!B210)),"MI",""))))))</f>
        <v/>
      </c>
      <c r="C211" t="str">
        <f>IF(ISNUMBER(SEARCH("PARED",Inventario!B210)),"PAR",IF(ISNUMBER(SEARCH("MATE",Inventario!B210)),"MAT",
IF(ISNUMBER(SEARCH("FRONT",Inventario!B210)),"FRO",
IF(ISNUMBER(SEARCH("BACK",Inventario!B210)),"BAC",
IF(ISNUMBER(SEARCH("MESH",Inventario!B210)),"MES",
IF(OR(ISNUMBER(SEARCH("BRILLANTE",Inventario!B210)),ISNUMBER(SEARCH("BTE",Inventario!B210))),"BRI",
IF(ISNUMBER(SEARCH("SINTETICA DELGADA",Inventario!B210)),"SD",
IF(ISNUMBER(SEARCH("SINTETICA GRUESA",Inventario!B210)),"SG",
IF(ISNUMBER(SEARCH("ESTATICO",Inventario!B210)),"EST",
IF(ISNUMBER(SEARCH("FLOOR",Inventario!B210)),"FLO",
IF(ISNUMBER(SEARCH("REFLECTIVO",Inventario!B210)),"REF",
IF(ISNUMBER(SEARCH("MICROPERFORADO",Inventario!B210)),"MI",
IF(ISNUMBER(SEARCH("CEPILLADO",Inventario!B210)),"CEP",
IF(ISNUMBER(SEARCH("ESPEJO",Inventario!B210)),"ESP",
IF(OR(ISNUMBER(SEARCH("UNIDIODO",Inventario!B210)),ISNUMBER(SEARCH("1 DIODO",Inventario!B210))),"1D",
IF(ISNUMBER(SEARCH("2 DIODOS",Inventario!B210)),"2D",
IF(ISNUMBER(SEARCH("3 DIODOS",Inventario!B210)),"3D","")))))))))))))))))</f>
        <v>MAT</v>
      </c>
      <c r="D211" t="str">
        <f>IF(ISNUMBER(SEARCH("LX700",Inventario!B210)),"LX7",
IF(ISNUMBER(SEARCH("GRANDO",Inventario!B210)),"GRA",
IF(OR(ISNUMBER(SEARCH("CAMA PLANA",Inventario!B210)),ISNUMBER(SEARCH("FB700",Inventario!B210))),"CP",
IF(ISNUMBER(SEARCH("LX360",Inventario!B210)),"LX3",
IF(ISNUMBER(SEARCH("XEROX",Inventario!B210)),"XER",
IF(ISNUMBER(SEARCH("18 OZ",Inventario!B210)),"18OZ",
IF(ISNUMBER(SEARCH("15 OZ",Inventario!B210)),"15OZ",
IF(OR(ISNUMBER(SEARCH("13 OZ",Inventario!B210)),ISNUMBER(SEARCH("13 ONZAS",Inventario!B210))),"13OZ",
IF(OR(ISNUMBER(SEARCH("9 OZ",Inventario!B210)),ISNUMBER(SEARCH("9 ONZAS",Inventario!B210))),"09OZ","")))))))))</f>
        <v/>
      </c>
      <c r="E211" t="str">
        <f>IF(OR(ISNUMBER(SEARCH("TRANSPARENTE",Inventario!B210)),ISNUMBER(SEARCH("TRANSPARENTES",Inventario!B210))),"TR",
IF(OR(ISNUMBER(SEARCH("BLANCO",Inventario!B210)),ISNUMBER(SEARCH("BCO",Inventario!B210))),"BL",
IF(ISNUMBER(SEARCH("VERDE",Inventario!B210)),"VR",
IF(ISNUMBER(SEARCH("MORADO",Inventario!B210)),"MR",
IF(ISNUMBER(SEARCH("PLATA",Inventario!B210)),"PL",
IF(ISNUMBER(SEARCH("ORO",Inventario!B210)),"OR",
IF(ISNUMBER(SEARCH("AMARILLO",Inventario!B210)),"AM",
IF(ISNUMBER(SEARCH("NARANJA",Inventario!B210)),"NR",
IF(ISNUMBER(SEARCH("NEGRO",Inventario!B210)),"NG",
IF(ISNUMBER(SEARCH("ROJO",Inventario!B210)),"RJ",
IF(ISNUMBER(SEARCH("AZUL",Inventario!B210)),"AZ","")))))))))))</f>
        <v>NG</v>
      </c>
      <c r="F211" t="str">
        <f>IF(ISNUMBER(SEARCH("1,2 MM",Inventario!B210)),"1MM2",
IF(OR(ISNUMBER(SEARCH("2 MM",Inventario!B210)),ISNUMBER(SEARCH("2MM",Inventario!B210))),"2MM",
IF(OR(ISNUMBER(SEARCH("3 MM",Inventario!B210)),ISNUMBER(SEARCH("3MM",Inventario!B210))),"3MM",
IF(OR(ISNUMBER(SEARCH("4 MM",Inventario!B210)),ISNUMBER(SEARCH("4MM",Inventario!B210)),ISNUMBER(SEARCH("4 mm",Inventario!B210))),"4MM",
IF(OR(ISNUMBER(SEARCH("5 MM",Inventario!B210)),ISNUMBER(SEARCH("5MM",Inventario!B210))),"5MM",
IF(OR(ISNUMBER(SEARCH("6 MM",Inventario!B210)),ISNUMBER(SEARCH("6MM",Inventario!B210))),"6MM",
IF(OR(ISNUMBER(SEARCH("10 MM",Inventario!B210)),ISNUMBER(SEARCH("10MM",Inventario!B210))),"10MM","")))))))</f>
        <v>3MM</v>
      </c>
      <c r="H211" t="str">
        <f>IF(ISNUMBER(SEARCH("SILED",Inventario!B210)),"SI",
IF(ISNUMBER(SEARCH("SYDEMEX",Inventario!B210)),"SY",
IF(ISNUMBER(SEARCH("ROHS",Inventario!B210)),"RO",
IF(ISNUMBER(SEARCH("RISHANG",Inventario!B210)),"RS",
IF(ISNUMBER(SEARCH("VYG",Inventario!B210)),"VYG",
IF(ISNUMBER(SEARCH("COLED",Inventario!B210)),"CO",""))))))</f>
        <v/>
      </c>
    </row>
    <row r="212" spans="1:8">
      <c r="A212" t="str">
        <f>IF(ISNUMBER(SEARCH("LONA",Inventario!B211)),"LON",
IF(ISNUMBER(SEARCH("VINIL",Inventario!B211)),"VIN",
IF(ISNUMBER(SEARCH("PANEL DE ALUMINIO COMPUESTO",Inventario!B211)),"PAN-ALU-COM",
IF(ISNUMBER(SEARCH("PVC",Inventario!B211)),"PVC",
IF(ISNUMBER(SEARCH("PAPEL",Inventario!B211)),"PAP",
IF(ISNUMBER(SEARCH("TELA",Inventario!B211)),"TEL",
IF(ISNUMBER(SEARCH("CARTULINA",Inventario!B211)),"CAR",
IF(OR(ISNUMBER(SEARCH("LAMINA",Inventario!B211)),ISNUMBER(SEARCH("LÁMINA",Inventario!B211))),"LAM",
IF(ISNUMBER(SEARCH("ESTIRENO",Inventario!B211)),"EST",
IF(ISNUMBER(SEARCH("FOAMBOARD",Inventario!B211)),"FOA",
IF(ISNUMBER(SEARCH("SOLVENTE",Inventario!B211)),"SOL",
IF(ISNUMBER(SEARCH("TINTA",Inventario!B211)),"TIN",
IF(ISNUMBER(SEARCH("ACRILICO",Inventario!B211)),"ACR",
IF(ISNUMBER(SEARCH("LED",Inventario!B211)),"LED",
IF(ISNUMBER(SEARCH("FUENTE",Inventario!B211)),"FUE",
IF(ISNUMBER(SEARCH("PETG",Inventario!B211)),"PET",
IF(ISNUMBER(SEARCH("ALUMINIO",Inventario!B211)),"ALU",
IF(ISNUMBER(SEARCH("CANAL",Inventario!B211)),"CAN",
IF(ISNUMBER(SEARCH("ESCUADRA",Inventario!B211)),"ESC",
IF(ISNUMBER(SEARCH("SOPORTE",Inventario!B211)),"SOP","OTR")
)))))))))))))))))))</f>
        <v>PAN-ALU-COM</v>
      </c>
      <c r="B212" t="str">
        <f>IF(ISNUMBER(SEARCH("CORTE",Inventario!B211)),"COR",
IF(ISNUMBER(SEARCH("CRISTAL",Inventario!B211)),"CR",
IF(OR(ISNUMBER(SEARCH("OPTICO",Inventario!B211)),ISNUMBER(SEARCH("OPTICOS",Inventario!B211)),ISNUMBER(SEARCH("OPTICA",Inventario!B211))),"OP",
IF(ISNUMBER(SEARCH("NANO",Inventario!B211)),"NA",
IF(ISNUMBER(SEARCH("5050",Inventario!B211)),"5050",
IF(ISNUMBER(SEARCH("MICRO",Inventario!B211)),"MI",""))))))</f>
        <v/>
      </c>
      <c r="C212" t="str">
        <f>IF(ISNUMBER(SEARCH("PARED",Inventario!B211)),"PAR",IF(ISNUMBER(SEARCH("MATE",Inventario!B211)),"MAT",
IF(ISNUMBER(SEARCH("FRONT",Inventario!B211)),"FRO",
IF(ISNUMBER(SEARCH("BACK",Inventario!B211)),"BAC",
IF(ISNUMBER(SEARCH("MESH",Inventario!B211)),"MES",
IF(OR(ISNUMBER(SEARCH("BRILLANTE",Inventario!B211)),ISNUMBER(SEARCH("BTE",Inventario!B211))),"BRI",
IF(ISNUMBER(SEARCH("SINTETICA DELGADA",Inventario!B211)),"SD",
IF(ISNUMBER(SEARCH("SINTETICA GRUESA",Inventario!B211)),"SG",
IF(ISNUMBER(SEARCH("ESTATICO",Inventario!B211)),"EST",
IF(ISNUMBER(SEARCH("FLOOR",Inventario!B211)),"FLO",
IF(ISNUMBER(SEARCH("REFLECTIVO",Inventario!B211)),"REF",
IF(ISNUMBER(SEARCH("MICROPERFORADO",Inventario!B211)),"MI",
IF(ISNUMBER(SEARCH("CEPILLADO",Inventario!B211)),"CEP",
IF(ISNUMBER(SEARCH("ESPEJO",Inventario!B211)),"ESP",
IF(OR(ISNUMBER(SEARCH("UNIDIODO",Inventario!B211)),ISNUMBER(SEARCH("1 DIODO",Inventario!B211))),"1D",
IF(ISNUMBER(SEARCH("2 DIODOS",Inventario!B211)),"2D",
IF(ISNUMBER(SEARCH("3 DIODOS",Inventario!B211)),"3D","")))))))))))))))))</f>
        <v>MAT</v>
      </c>
      <c r="D212" t="str">
        <f>IF(ISNUMBER(SEARCH("LX700",Inventario!B211)),"LX7",
IF(ISNUMBER(SEARCH("GRANDO",Inventario!B211)),"GRA",
IF(OR(ISNUMBER(SEARCH("CAMA PLANA",Inventario!B211)),ISNUMBER(SEARCH("FB700",Inventario!B211))),"CP",
IF(ISNUMBER(SEARCH("LX360",Inventario!B211)),"LX3",
IF(ISNUMBER(SEARCH("XEROX",Inventario!B211)),"XER",
IF(ISNUMBER(SEARCH("18 OZ",Inventario!B211)),"18OZ",
IF(ISNUMBER(SEARCH("15 OZ",Inventario!B211)),"15OZ",
IF(OR(ISNUMBER(SEARCH("13 OZ",Inventario!B211)),ISNUMBER(SEARCH("13 ONZAS",Inventario!B211))),"13OZ",
IF(OR(ISNUMBER(SEARCH("9 OZ",Inventario!B211)),ISNUMBER(SEARCH("9 ONZAS",Inventario!B211))),"09OZ","")))))))))</f>
        <v/>
      </c>
      <c r="E212" t="str">
        <f>IF(OR(ISNUMBER(SEARCH("TRANSPARENTE",Inventario!B211)),ISNUMBER(SEARCH("TRANSPARENTES",Inventario!B211))),"TR",
IF(OR(ISNUMBER(SEARCH("BLANCO",Inventario!B211)),ISNUMBER(SEARCH("BCO",Inventario!B211))),"BL",
IF(ISNUMBER(SEARCH("VERDE",Inventario!B211)),"VR",
IF(ISNUMBER(SEARCH("MORADO",Inventario!B211)),"MR",
IF(ISNUMBER(SEARCH("PLATA",Inventario!B211)),"PL",
IF(ISNUMBER(SEARCH("ORO",Inventario!B211)),"OR",
IF(ISNUMBER(SEARCH("AMARILLO",Inventario!B211)),"AM",
IF(ISNUMBER(SEARCH("NARANJA",Inventario!B211)),"NR",
IF(ISNUMBER(SEARCH("NEGRO",Inventario!B211)),"NG",
IF(ISNUMBER(SEARCH("ROJO",Inventario!B211)),"RJ",
IF(ISNUMBER(SEARCH("AZUL",Inventario!B211)),"AZ","")))))))))))</f>
        <v>NG</v>
      </c>
      <c r="F212" t="str">
        <f>IF(ISNUMBER(SEARCH("1,2 MM",Inventario!B211)),"1MM2",
IF(OR(ISNUMBER(SEARCH("2 MM",Inventario!B211)),ISNUMBER(SEARCH("2MM",Inventario!B211))),"2MM",
IF(OR(ISNUMBER(SEARCH("3 MM",Inventario!B211)),ISNUMBER(SEARCH("3MM",Inventario!B211))),"3MM",
IF(OR(ISNUMBER(SEARCH("4 MM",Inventario!B211)),ISNUMBER(SEARCH("4MM",Inventario!B211)),ISNUMBER(SEARCH("4 mm",Inventario!B211))),"4MM",
IF(OR(ISNUMBER(SEARCH("5 MM",Inventario!B211)),ISNUMBER(SEARCH("5MM",Inventario!B211))),"5MM",
IF(OR(ISNUMBER(SEARCH("6 MM",Inventario!B211)),ISNUMBER(SEARCH("6MM",Inventario!B211))),"6MM",
IF(OR(ISNUMBER(SEARCH("10 MM",Inventario!B211)),ISNUMBER(SEARCH("10MM",Inventario!B211))),"10MM","")))))))</f>
        <v>3MM</v>
      </c>
      <c r="H212" t="str">
        <f>IF(ISNUMBER(SEARCH("SILED",Inventario!B211)),"SI",
IF(ISNUMBER(SEARCH("SYDEMEX",Inventario!B211)),"SY",
IF(ISNUMBER(SEARCH("ROHS",Inventario!B211)),"RO",
IF(ISNUMBER(SEARCH("RISHANG",Inventario!B211)),"RS",
IF(ISNUMBER(SEARCH("VYG",Inventario!B211)),"VYG",
IF(ISNUMBER(SEARCH("COLED",Inventario!B211)),"CO",""))))))</f>
        <v/>
      </c>
    </row>
    <row r="213" spans="1:8">
      <c r="A213" t="str">
        <f>IF(ISNUMBER(SEARCH("LONA",Inventario!B212)),"LON",
IF(ISNUMBER(SEARCH("VINIL",Inventario!B212)),"VIN",
IF(ISNUMBER(SEARCH("PANEL DE ALUMINIO COMPUESTO",Inventario!B212)),"PAN-ALU-COM",
IF(ISNUMBER(SEARCH("PVC",Inventario!B212)),"PVC",
IF(ISNUMBER(SEARCH("PAPEL",Inventario!B212)),"PAP",
IF(ISNUMBER(SEARCH("TELA",Inventario!B212)),"TEL",
IF(ISNUMBER(SEARCH("CARTULINA",Inventario!B212)),"CAR",
IF(OR(ISNUMBER(SEARCH("LAMINA",Inventario!B212)),ISNUMBER(SEARCH("LÁMINA",Inventario!B212))),"LAM",
IF(ISNUMBER(SEARCH("ESTIRENO",Inventario!B212)),"EST",
IF(ISNUMBER(SEARCH("FOAMBOARD",Inventario!B212)),"FOA",
IF(ISNUMBER(SEARCH("SOLVENTE",Inventario!B212)),"SOL",
IF(ISNUMBER(SEARCH("TINTA",Inventario!B212)),"TIN",
IF(ISNUMBER(SEARCH("ACRILICO",Inventario!B212)),"ACR",
IF(ISNUMBER(SEARCH("LED",Inventario!B212)),"LED",
IF(ISNUMBER(SEARCH("FUENTE",Inventario!B212)),"FUE",
IF(ISNUMBER(SEARCH("PETG",Inventario!B212)),"PET",
IF(ISNUMBER(SEARCH("ALUMINIO",Inventario!B212)),"ALU",
IF(ISNUMBER(SEARCH("CANAL",Inventario!B212)),"CAN",
IF(ISNUMBER(SEARCH("ESCUADRA",Inventario!B212)),"ESC",
IF(ISNUMBER(SEARCH("SOPORTE",Inventario!B212)),"SOP","OTR")
)))))))))))))))))))</f>
        <v>PAN-ALU-COM</v>
      </c>
      <c r="B213" t="str">
        <f>IF(ISNUMBER(SEARCH("CORTE",Inventario!B212)),"COR",
IF(ISNUMBER(SEARCH("CRISTAL",Inventario!B212)),"CR",
IF(OR(ISNUMBER(SEARCH("OPTICO",Inventario!B212)),ISNUMBER(SEARCH("OPTICOS",Inventario!B212)),ISNUMBER(SEARCH("OPTICA",Inventario!B212))),"OP",
IF(ISNUMBER(SEARCH("NANO",Inventario!B212)),"NA",
IF(ISNUMBER(SEARCH("5050",Inventario!B212)),"5050",
IF(ISNUMBER(SEARCH("MICRO",Inventario!B212)),"MI",""))))))</f>
        <v/>
      </c>
      <c r="C213" t="str">
        <f>IF(ISNUMBER(SEARCH("PARED",Inventario!B212)),"PAR",IF(ISNUMBER(SEARCH("MATE",Inventario!B212)),"MAT",
IF(ISNUMBER(SEARCH("FRONT",Inventario!B212)),"FRO",
IF(ISNUMBER(SEARCH("BACK",Inventario!B212)),"BAC",
IF(ISNUMBER(SEARCH("MESH",Inventario!B212)),"MES",
IF(OR(ISNUMBER(SEARCH("BRILLANTE",Inventario!B212)),ISNUMBER(SEARCH("BTE",Inventario!B212))),"BRI",
IF(ISNUMBER(SEARCH("SINTETICA DELGADA",Inventario!B212)),"SD",
IF(ISNUMBER(SEARCH("SINTETICA GRUESA",Inventario!B212)),"SG",
IF(ISNUMBER(SEARCH("ESTATICO",Inventario!B212)),"EST",
IF(ISNUMBER(SEARCH("FLOOR",Inventario!B212)),"FLO",
IF(ISNUMBER(SEARCH("REFLECTIVO",Inventario!B212)),"REF",
IF(ISNUMBER(SEARCH("MICROPERFORADO",Inventario!B212)),"MI",
IF(ISNUMBER(SEARCH("CEPILLADO",Inventario!B212)),"CEP",
IF(ISNUMBER(SEARCH("ESPEJO",Inventario!B212)),"ESP",
IF(OR(ISNUMBER(SEARCH("UNIDIODO",Inventario!B212)),ISNUMBER(SEARCH("1 DIODO",Inventario!B212))),"1D",
IF(ISNUMBER(SEARCH("2 DIODOS",Inventario!B212)),"2D",
IF(ISNUMBER(SEARCH("3 DIODOS",Inventario!B212)),"3D","")))))))))))))))))</f>
        <v>MAT</v>
      </c>
      <c r="D213" t="str">
        <f>IF(ISNUMBER(SEARCH("LX700",Inventario!B212)),"LX7",
IF(ISNUMBER(SEARCH("GRANDO",Inventario!B212)),"GRA",
IF(OR(ISNUMBER(SEARCH("CAMA PLANA",Inventario!B212)),ISNUMBER(SEARCH("FB700",Inventario!B212))),"CP",
IF(ISNUMBER(SEARCH("LX360",Inventario!B212)),"LX3",
IF(ISNUMBER(SEARCH("XEROX",Inventario!B212)),"XER",
IF(ISNUMBER(SEARCH("18 OZ",Inventario!B212)),"18OZ",
IF(ISNUMBER(SEARCH("15 OZ",Inventario!B212)),"15OZ",
IF(OR(ISNUMBER(SEARCH("13 OZ",Inventario!B212)),ISNUMBER(SEARCH("13 ONZAS",Inventario!B212))),"13OZ",
IF(OR(ISNUMBER(SEARCH("9 OZ",Inventario!B212)),ISNUMBER(SEARCH("9 ONZAS",Inventario!B212))),"09OZ","")))))))))</f>
        <v/>
      </c>
      <c r="E213" t="str">
        <f>IF(OR(ISNUMBER(SEARCH("TRANSPARENTE",Inventario!B212)),ISNUMBER(SEARCH("TRANSPARENTES",Inventario!B212))),"TR",
IF(OR(ISNUMBER(SEARCH("BLANCO",Inventario!B212)),ISNUMBER(SEARCH("BCO",Inventario!B212))),"BL",
IF(ISNUMBER(SEARCH("VERDE",Inventario!B212)),"VR",
IF(ISNUMBER(SEARCH("MORADO",Inventario!B212)),"MR",
IF(ISNUMBER(SEARCH("PLATA",Inventario!B212)),"PL",
IF(ISNUMBER(SEARCH("ORO",Inventario!B212)),"OR",
IF(ISNUMBER(SEARCH("AMARILLO",Inventario!B212)),"AM",
IF(ISNUMBER(SEARCH("NARANJA",Inventario!B212)),"NR",
IF(ISNUMBER(SEARCH("NEGRO",Inventario!B212)),"NG",
IF(ISNUMBER(SEARCH("ROJO",Inventario!B212)),"RJ",
IF(ISNUMBER(SEARCH("AZUL",Inventario!B212)),"AZ","")))))))))))</f>
        <v>BL</v>
      </c>
      <c r="F213" t="str">
        <f>IF(ISNUMBER(SEARCH("1,2 MM",Inventario!B212)),"1MM2",
IF(OR(ISNUMBER(SEARCH("2 MM",Inventario!B212)),ISNUMBER(SEARCH("2MM",Inventario!B212))),"2MM",
IF(OR(ISNUMBER(SEARCH("3 MM",Inventario!B212)),ISNUMBER(SEARCH("3MM",Inventario!B212))),"3MM",
IF(OR(ISNUMBER(SEARCH("4 MM",Inventario!B212)),ISNUMBER(SEARCH("4MM",Inventario!B212)),ISNUMBER(SEARCH("4 mm",Inventario!B212))),"4MM",
IF(OR(ISNUMBER(SEARCH("5 MM",Inventario!B212)),ISNUMBER(SEARCH("5MM",Inventario!B212))),"5MM",
IF(OR(ISNUMBER(SEARCH("6 MM",Inventario!B212)),ISNUMBER(SEARCH("6MM",Inventario!B212))),"6MM",
IF(OR(ISNUMBER(SEARCH("10 MM",Inventario!B212)),ISNUMBER(SEARCH("10MM",Inventario!B212))),"10MM","")))))))</f>
        <v>4MM</v>
      </c>
      <c r="H213" t="str">
        <f>IF(ISNUMBER(SEARCH("SILED",Inventario!B212)),"SI",
IF(ISNUMBER(SEARCH("SYDEMEX",Inventario!B212)),"SY",
IF(ISNUMBER(SEARCH("ROHS",Inventario!B212)),"RO",
IF(ISNUMBER(SEARCH("RISHANG",Inventario!B212)),"RS",
IF(ISNUMBER(SEARCH("VYG",Inventario!B212)),"VYG",
IF(ISNUMBER(SEARCH("COLED",Inventario!B212)),"CO",""))))))</f>
        <v/>
      </c>
    </row>
    <row r="214" spans="1:8">
      <c r="A214" t="str">
        <f>IF(ISNUMBER(SEARCH("LONA",Inventario!B213)),"LON",
IF(ISNUMBER(SEARCH("VINIL",Inventario!B213)),"VIN",
IF(ISNUMBER(SEARCH("PANEL DE ALUMINIO COMPUESTO",Inventario!B213)),"PAN-ALU-COM",
IF(ISNUMBER(SEARCH("PVC",Inventario!B213)),"PVC",
IF(ISNUMBER(SEARCH("PAPEL",Inventario!B213)),"PAP",
IF(ISNUMBER(SEARCH("TELA",Inventario!B213)),"TEL",
IF(ISNUMBER(SEARCH("CARTULINA",Inventario!B213)),"CAR",
IF(OR(ISNUMBER(SEARCH("LAMINA",Inventario!B213)),ISNUMBER(SEARCH("LÁMINA",Inventario!B213))),"LAM",
IF(ISNUMBER(SEARCH("ESTIRENO",Inventario!B213)),"EST",
IF(ISNUMBER(SEARCH("FOAMBOARD",Inventario!B213)),"FOA",
IF(ISNUMBER(SEARCH("SOLVENTE",Inventario!B213)),"SOL",
IF(ISNUMBER(SEARCH("TINTA",Inventario!B213)),"TIN",
IF(ISNUMBER(SEARCH("ACRILICO",Inventario!B213)),"ACR",
IF(ISNUMBER(SEARCH("LED",Inventario!B213)),"LED",
IF(ISNUMBER(SEARCH("FUENTE",Inventario!B213)),"FUE",
IF(ISNUMBER(SEARCH("PETG",Inventario!B213)),"PET",
IF(ISNUMBER(SEARCH("ALUMINIO",Inventario!B213)),"ALU",
IF(ISNUMBER(SEARCH("CANAL",Inventario!B213)),"CAN",
IF(ISNUMBER(SEARCH("ESCUADRA",Inventario!B213)),"ESC",
IF(ISNUMBER(SEARCH("SOPORTE",Inventario!B213)),"SOP","OTR")
)))))))))))))))))))</f>
        <v>PAN-ALU-COM</v>
      </c>
      <c r="B214" t="str">
        <f>IF(ISNUMBER(SEARCH("CORTE",Inventario!B213)),"COR",
IF(ISNUMBER(SEARCH("CRISTAL",Inventario!B213)),"CR",
IF(OR(ISNUMBER(SEARCH("OPTICO",Inventario!B213)),ISNUMBER(SEARCH("OPTICOS",Inventario!B213)),ISNUMBER(SEARCH("OPTICA",Inventario!B213))),"OP",
IF(ISNUMBER(SEARCH("NANO",Inventario!B213)),"NA",
IF(ISNUMBER(SEARCH("5050",Inventario!B213)),"5050",
IF(ISNUMBER(SEARCH("MICRO",Inventario!B213)),"MI",""))))))</f>
        <v/>
      </c>
      <c r="C214" t="str">
        <f>IF(ISNUMBER(SEARCH("PARED",Inventario!B213)),"PAR",IF(ISNUMBER(SEARCH("MATE",Inventario!B213)),"MAT",
IF(ISNUMBER(SEARCH("FRONT",Inventario!B213)),"FRO",
IF(ISNUMBER(SEARCH("BACK",Inventario!B213)),"BAC",
IF(ISNUMBER(SEARCH("MESH",Inventario!B213)),"MES",
IF(OR(ISNUMBER(SEARCH("BRILLANTE",Inventario!B213)),ISNUMBER(SEARCH("BTE",Inventario!B213))),"BRI",
IF(ISNUMBER(SEARCH("SINTETICA DELGADA",Inventario!B213)),"SD",
IF(ISNUMBER(SEARCH("SINTETICA GRUESA",Inventario!B213)),"SG",
IF(ISNUMBER(SEARCH("ESTATICO",Inventario!B213)),"EST",
IF(ISNUMBER(SEARCH("FLOOR",Inventario!B213)),"FLO",
IF(ISNUMBER(SEARCH("REFLECTIVO",Inventario!B213)),"REF",
IF(ISNUMBER(SEARCH("MICROPERFORADO",Inventario!B213)),"MI",
IF(ISNUMBER(SEARCH("CEPILLADO",Inventario!B213)),"CEP",
IF(ISNUMBER(SEARCH("ESPEJO",Inventario!B213)),"ESP",
IF(OR(ISNUMBER(SEARCH("UNIDIODO",Inventario!B213)),ISNUMBER(SEARCH("1 DIODO",Inventario!B213))),"1D",
IF(ISNUMBER(SEARCH("2 DIODOS",Inventario!B213)),"2D",
IF(ISNUMBER(SEARCH("3 DIODOS",Inventario!B213)),"3D","")))))))))))))))))</f>
        <v>MAT</v>
      </c>
      <c r="D214" t="str">
        <f>IF(ISNUMBER(SEARCH("LX700",Inventario!B213)),"LX7",
IF(ISNUMBER(SEARCH("GRANDO",Inventario!B213)),"GRA",
IF(OR(ISNUMBER(SEARCH("CAMA PLANA",Inventario!B213)),ISNUMBER(SEARCH("FB700",Inventario!B213))),"CP",
IF(ISNUMBER(SEARCH("LX360",Inventario!B213)),"LX3",
IF(ISNUMBER(SEARCH("XEROX",Inventario!B213)),"XER",
IF(ISNUMBER(SEARCH("18 OZ",Inventario!B213)),"18OZ",
IF(ISNUMBER(SEARCH("15 OZ",Inventario!B213)),"15OZ",
IF(OR(ISNUMBER(SEARCH("13 OZ",Inventario!B213)),ISNUMBER(SEARCH("13 ONZAS",Inventario!B213))),"13OZ",
IF(OR(ISNUMBER(SEARCH("9 OZ",Inventario!B213)),ISNUMBER(SEARCH("9 ONZAS",Inventario!B213))),"09OZ","")))))))))</f>
        <v/>
      </c>
      <c r="E214" t="str">
        <f>IF(OR(ISNUMBER(SEARCH("TRANSPARENTE",Inventario!B213)),ISNUMBER(SEARCH("TRANSPARENTES",Inventario!B213))),"TR",
IF(OR(ISNUMBER(SEARCH("BLANCO",Inventario!B213)),ISNUMBER(SEARCH("BCO",Inventario!B213))),"BL",
IF(ISNUMBER(SEARCH("VERDE",Inventario!B213)),"VR",
IF(ISNUMBER(SEARCH("MORADO",Inventario!B213)),"MR",
IF(ISNUMBER(SEARCH("PLATA",Inventario!B213)),"PL",
IF(ISNUMBER(SEARCH("ORO",Inventario!B213)),"OR",
IF(ISNUMBER(SEARCH("AMARILLO",Inventario!B213)),"AM",
IF(ISNUMBER(SEARCH("NARANJA",Inventario!B213)),"NR",
IF(ISNUMBER(SEARCH("NEGRO",Inventario!B213)),"NG",
IF(ISNUMBER(SEARCH("ROJO",Inventario!B213)),"RJ",
IF(ISNUMBER(SEARCH("AZUL",Inventario!B213)),"AZ","")))))))))))</f>
        <v>BL</v>
      </c>
      <c r="F214" t="str">
        <f>IF(ISNUMBER(SEARCH("1,2 MM",Inventario!B213)),"1MM2",
IF(OR(ISNUMBER(SEARCH("2 MM",Inventario!B213)),ISNUMBER(SEARCH("2MM",Inventario!B213))),"2MM",
IF(OR(ISNUMBER(SEARCH("3 MM",Inventario!B213)),ISNUMBER(SEARCH("3MM",Inventario!B213))),"3MM",
IF(OR(ISNUMBER(SEARCH("4 MM",Inventario!B213)),ISNUMBER(SEARCH("4MM",Inventario!B213)),ISNUMBER(SEARCH("4 mm",Inventario!B213))),"4MM",
IF(OR(ISNUMBER(SEARCH("5 MM",Inventario!B213)),ISNUMBER(SEARCH("5MM",Inventario!B213))),"5MM",
IF(OR(ISNUMBER(SEARCH("6 MM",Inventario!B213)),ISNUMBER(SEARCH("6MM",Inventario!B213))),"6MM",
IF(OR(ISNUMBER(SEARCH("10 MM",Inventario!B213)),ISNUMBER(SEARCH("10MM",Inventario!B213))),"10MM","")))))))</f>
        <v>3MM</v>
      </c>
      <c r="H214" t="str">
        <f>IF(ISNUMBER(SEARCH("SILED",Inventario!B213)),"SI",
IF(ISNUMBER(SEARCH("SYDEMEX",Inventario!B213)),"SY",
IF(ISNUMBER(SEARCH("ROHS",Inventario!B213)),"RO",
IF(ISNUMBER(SEARCH("RISHANG",Inventario!B213)),"RS",
IF(ISNUMBER(SEARCH("VYG",Inventario!B213)),"VYG",
IF(ISNUMBER(SEARCH("COLED",Inventario!B213)),"CO",""))))))</f>
        <v/>
      </c>
    </row>
    <row r="215" spans="1:8">
      <c r="A215" t="str">
        <f>IF(ISNUMBER(SEARCH("LONA",Inventario!B214)),"LON",
IF(ISNUMBER(SEARCH("VINIL",Inventario!B214)),"VIN",
IF(ISNUMBER(SEARCH("PANEL DE ALUMINIO COMPUESTO",Inventario!B214)),"PAN-ALU-COM",
IF(ISNUMBER(SEARCH("PVC",Inventario!B214)),"PVC",
IF(ISNUMBER(SEARCH("PAPEL",Inventario!B214)),"PAP",
IF(ISNUMBER(SEARCH("TELA",Inventario!B214)),"TEL",
IF(ISNUMBER(SEARCH("CARTULINA",Inventario!B214)),"CAR",
IF(OR(ISNUMBER(SEARCH("LAMINA",Inventario!B214)),ISNUMBER(SEARCH("LÁMINA",Inventario!B214))),"LAM",
IF(ISNUMBER(SEARCH("ESTIRENO",Inventario!B214)),"EST",
IF(ISNUMBER(SEARCH("FOAMBOARD",Inventario!B214)),"FOA",
IF(ISNUMBER(SEARCH("SOLVENTE",Inventario!B214)),"SOL",
IF(ISNUMBER(SEARCH("TINTA",Inventario!B214)),"TIN",
IF(ISNUMBER(SEARCH("ACRILICO",Inventario!B214)),"ACR",
IF(ISNUMBER(SEARCH("LED",Inventario!B214)),"LED",
IF(ISNUMBER(SEARCH("FUENTE",Inventario!B214)),"FUE",
IF(ISNUMBER(SEARCH("PETG",Inventario!B214)),"PET",
IF(ISNUMBER(SEARCH("ALUMINIO",Inventario!B214)),"ALU",
IF(ISNUMBER(SEARCH("CANAL",Inventario!B214)),"CAN",
IF(ISNUMBER(SEARCH("ESCUADRA",Inventario!B214)),"ESC",
IF(ISNUMBER(SEARCH("SOPORTE",Inventario!B214)),"SOP","OTR")
)))))))))))))))))))</f>
        <v>PVC</v>
      </c>
      <c r="B215" t="str">
        <f>IF(ISNUMBER(SEARCH("CORTE",Inventario!B214)),"COR",
IF(ISNUMBER(SEARCH("CRISTAL",Inventario!B214)),"CR",
IF(OR(ISNUMBER(SEARCH("OPTICO",Inventario!B214)),ISNUMBER(SEARCH("OPTICOS",Inventario!B214)),ISNUMBER(SEARCH("OPTICA",Inventario!B214))),"OP",
IF(ISNUMBER(SEARCH("NANO",Inventario!B214)),"NA",
IF(ISNUMBER(SEARCH("5050",Inventario!B214)),"5050",
IF(ISNUMBER(SEARCH("MICRO",Inventario!B214)),"MI",""))))))</f>
        <v/>
      </c>
      <c r="C215" t="str">
        <f>IF(ISNUMBER(SEARCH("PARED",Inventario!B214)),"PAR",IF(ISNUMBER(SEARCH("MATE",Inventario!B214)),"MAT",
IF(ISNUMBER(SEARCH("FRONT",Inventario!B214)),"FRO",
IF(ISNUMBER(SEARCH("BACK",Inventario!B214)),"BAC",
IF(ISNUMBER(SEARCH("MESH",Inventario!B214)),"MES",
IF(OR(ISNUMBER(SEARCH("BRILLANTE",Inventario!B214)),ISNUMBER(SEARCH("BTE",Inventario!B214))),"BRI",
IF(ISNUMBER(SEARCH("SINTETICA DELGADA",Inventario!B214)),"SD",
IF(ISNUMBER(SEARCH("SINTETICA GRUESA",Inventario!B214)),"SG",
IF(ISNUMBER(SEARCH("ESTATICO",Inventario!B214)),"EST",
IF(ISNUMBER(SEARCH("FLOOR",Inventario!B214)),"FLO",
IF(ISNUMBER(SEARCH("REFLECTIVO",Inventario!B214)),"REF",
IF(ISNUMBER(SEARCH("MICROPERFORADO",Inventario!B214)),"MI",
IF(ISNUMBER(SEARCH("CEPILLADO",Inventario!B214)),"CEP",
IF(ISNUMBER(SEARCH("ESPEJO",Inventario!B214)),"ESP",
IF(OR(ISNUMBER(SEARCH("UNIDIODO",Inventario!B214)),ISNUMBER(SEARCH("1 DIODO",Inventario!B214))),"1D",
IF(ISNUMBER(SEARCH("2 DIODOS",Inventario!B214)),"2D",
IF(ISNUMBER(SEARCH("3 DIODOS",Inventario!B214)),"3D","")))))))))))))))))</f>
        <v/>
      </c>
      <c r="D215" t="str">
        <f>IF(ISNUMBER(SEARCH("LX700",Inventario!B214)),"LX7",
IF(ISNUMBER(SEARCH("GRANDO",Inventario!B214)),"GRA",
IF(OR(ISNUMBER(SEARCH("CAMA PLANA",Inventario!B214)),ISNUMBER(SEARCH("FB700",Inventario!B214))),"CP",
IF(ISNUMBER(SEARCH("LX360",Inventario!B214)),"LX3",
IF(ISNUMBER(SEARCH("XEROX",Inventario!B214)),"XER",
IF(ISNUMBER(SEARCH("18 OZ",Inventario!B214)),"18OZ",
IF(ISNUMBER(SEARCH("15 OZ",Inventario!B214)),"15OZ",
IF(OR(ISNUMBER(SEARCH("13 OZ",Inventario!B214)),ISNUMBER(SEARCH("13 ONZAS",Inventario!B214))),"13OZ",
IF(OR(ISNUMBER(SEARCH("9 OZ",Inventario!B214)),ISNUMBER(SEARCH("9 ONZAS",Inventario!B214))),"09OZ","")))))))))</f>
        <v/>
      </c>
      <c r="E215" t="str">
        <f>IF(OR(ISNUMBER(SEARCH("TRANSPARENTE",Inventario!B214)),ISNUMBER(SEARCH("TRANSPARENTES",Inventario!B214))),"TR",
IF(OR(ISNUMBER(SEARCH("BLANCO",Inventario!B214)),ISNUMBER(SEARCH("BCO",Inventario!B214))),"BL",
IF(ISNUMBER(SEARCH("VERDE",Inventario!B214)),"VR",
IF(ISNUMBER(SEARCH("MORADO",Inventario!B214)),"MR",
IF(ISNUMBER(SEARCH("PLATA",Inventario!B214)),"PL",
IF(ISNUMBER(SEARCH("ORO",Inventario!B214)),"OR",
IF(ISNUMBER(SEARCH("AMARILLO",Inventario!B214)),"AM",
IF(ISNUMBER(SEARCH("NARANJA",Inventario!B214)),"NR",
IF(ISNUMBER(SEARCH("NEGRO",Inventario!B214)),"NG",
IF(ISNUMBER(SEARCH("ROJO",Inventario!B214)),"RJ",
IF(ISNUMBER(SEARCH("AZUL",Inventario!B214)),"AZ","")))))))))))</f>
        <v>AM</v>
      </c>
      <c r="F215" t="str">
        <f>IF(ISNUMBER(SEARCH("1,2 MM",Inventario!B214)),"1MM2",
IF(OR(ISNUMBER(SEARCH("2 MM",Inventario!B214)),ISNUMBER(SEARCH("2MM",Inventario!B214))),"2MM",
IF(OR(ISNUMBER(SEARCH("3 MM",Inventario!B214)),ISNUMBER(SEARCH("3MM",Inventario!B214))),"3MM",
IF(OR(ISNUMBER(SEARCH("4 MM",Inventario!B214)),ISNUMBER(SEARCH("4MM",Inventario!B214)),ISNUMBER(SEARCH("4 mm",Inventario!B214))),"4MM",
IF(OR(ISNUMBER(SEARCH("5 MM",Inventario!B214)),ISNUMBER(SEARCH("5MM",Inventario!B214))),"5MM",
IF(OR(ISNUMBER(SEARCH("6 MM",Inventario!B214)),ISNUMBER(SEARCH("6MM",Inventario!B214))),"6MM",
IF(OR(ISNUMBER(SEARCH("10 MM",Inventario!B214)),ISNUMBER(SEARCH("10MM",Inventario!B214))),"10MM","")))))))</f>
        <v>3MM</v>
      </c>
      <c r="H215" t="str">
        <f>IF(ISNUMBER(SEARCH("SILED",Inventario!B214)),"SI",
IF(ISNUMBER(SEARCH("SYDEMEX",Inventario!B214)),"SY",
IF(ISNUMBER(SEARCH("ROHS",Inventario!B214)),"RO",
IF(ISNUMBER(SEARCH("RISHANG",Inventario!B214)),"RS",
IF(ISNUMBER(SEARCH("VYG",Inventario!B214)),"VYG",
IF(ISNUMBER(SEARCH("COLED",Inventario!B214)),"CO",""))))))</f>
        <v/>
      </c>
    </row>
    <row r="216" spans="1:8">
      <c r="A216" t="str">
        <f>IF(ISNUMBER(SEARCH("LONA",Inventario!B215)),"LON",
IF(ISNUMBER(SEARCH("VINIL",Inventario!B215)),"VIN",
IF(ISNUMBER(SEARCH("PANEL DE ALUMINIO COMPUESTO",Inventario!B215)),"PAN-ALU-COM",
IF(ISNUMBER(SEARCH("PVC",Inventario!B215)),"PVC",
IF(ISNUMBER(SEARCH("PAPEL",Inventario!B215)),"PAP",
IF(ISNUMBER(SEARCH("TELA",Inventario!B215)),"TEL",
IF(ISNUMBER(SEARCH("CARTULINA",Inventario!B215)),"CAR",
IF(OR(ISNUMBER(SEARCH("LAMINA",Inventario!B215)),ISNUMBER(SEARCH("LÁMINA",Inventario!B215))),"LAM",
IF(ISNUMBER(SEARCH("ESTIRENO",Inventario!B215)),"EST",
IF(ISNUMBER(SEARCH("FOAMBOARD",Inventario!B215)),"FOA",
IF(ISNUMBER(SEARCH("SOLVENTE",Inventario!B215)),"SOL",
IF(ISNUMBER(SEARCH("TINTA",Inventario!B215)),"TIN",
IF(ISNUMBER(SEARCH("ACRILICO",Inventario!B215)),"ACR",
IF(ISNUMBER(SEARCH("LED",Inventario!B215)),"LED",
IF(ISNUMBER(SEARCH("FUENTE",Inventario!B215)),"FUE",
IF(ISNUMBER(SEARCH("PETG",Inventario!B215)),"PET",
IF(ISNUMBER(SEARCH("ALUMINIO",Inventario!B215)),"ALU",
IF(ISNUMBER(SEARCH("CANAL",Inventario!B215)),"CAN",
IF(ISNUMBER(SEARCH("ESCUADRA",Inventario!B215)),"ESC",
IF(ISNUMBER(SEARCH("SOPORTE",Inventario!B215)),"SOP","OTR")
)))))))))))))))))))</f>
        <v>PVC</v>
      </c>
      <c r="B216" t="str">
        <f>IF(ISNUMBER(SEARCH("CORTE",Inventario!B215)),"COR",
IF(ISNUMBER(SEARCH("CRISTAL",Inventario!B215)),"CR",
IF(OR(ISNUMBER(SEARCH("OPTICO",Inventario!B215)),ISNUMBER(SEARCH("OPTICOS",Inventario!B215)),ISNUMBER(SEARCH("OPTICA",Inventario!B215))),"OP",
IF(ISNUMBER(SEARCH("NANO",Inventario!B215)),"NA",
IF(ISNUMBER(SEARCH("5050",Inventario!B215)),"5050",
IF(ISNUMBER(SEARCH("MICRO",Inventario!B215)),"MI",""))))))</f>
        <v/>
      </c>
      <c r="C216" t="str">
        <f>IF(ISNUMBER(SEARCH("PARED",Inventario!B215)),"PAR",IF(ISNUMBER(SEARCH("MATE",Inventario!B215)),"MAT",
IF(ISNUMBER(SEARCH("FRONT",Inventario!B215)),"FRO",
IF(ISNUMBER(SEARCH("BACK",Inventario!B215)),"BAC",
IF(ISNUMBER(SEARCH("MESH",Inventario!B215)),"MES",
IF(OR(ISNUMBER(SEARCH("BRILLANTE",Inventario!B215)),ISNUMBER(SEARCH("BTE",Inventario!B215))),"BRI",
IF(ISNUMBER(SEARCH("SINTETICA DELGADA",Inventario!B215)),"SD",
IF(ISNUMBER(SEARCH("SINTETICA GRUESA",Inventario!B215)),"SG",
IF(ISNUMBER(SEARCH("ESTATICO",Inventario!B215)),"EST",
IF(ISNUMBER(SEARCH("FLOOR",Inventario!B215)),"FLO",
IF(ISNUMBER(SEARCH("REFLECTIVO",Inventario!B215)),"REF",
IF(ISNUMBER(SEARCH("MICROPERFORADO",Inventario!B215)),"MI",
IF(ISNUMBER(SEARCH("CEPILLADO",Inventario!B215)),"CEP",
IF(ISNUMBER(SEARCH("ESPEJO",Inventario!B215)),"ESP",
IF(OR(ISNUMBER(SEARCH("UNIDIODO",Inventario!B215)),ISNUMBER(SEARCH("1 DIODO",Inventario!B215))),"1D",
IF(ISNUMBER(SEARCH("2 DIODOS",Inventario!B215)),"2D",
IF(ISNUMBER(SEARCH("3 DIODOS",Inventario!B215)),"3D","")))))))))))))))))</f>
        <v/>
      </c>
      <c r="D216" t="str">
        <f>IF(ISNUMBER(SEARCH("LX700",Inventario!B215)),"LX7",
IF(ISNUMBER(SEARCH("GRANDO",Inventario!B215)),"GRA",
IF(OR(ISNUMBER(SEARCH("CAMA PLANA",Inventario!B215)),ISNUMBER(SEARCH("FB700",Inventario!B215))),"CP",
IF(ISNUMBER(SEARCH("LX360",Inventario!B215)),"LX3",
IF(ISNUMBER(SEARCH("XEROX",Inventario!B215)),"XER",
IF(ISNUMBER(SEARCH("18 OZ",Inventario!B215)),"18OZ",
IF(ISNUMBER(SEARCH("15 OZ",Inventario!B215)),"15OZ",
IF(OR(ISNUMBER(SEARCH("13 OZ",Inventario!B215)),ISNUMBER(SEARCH("13 ONZAS",Inventario!B215))),"13OZ",
IF(OR(ISNUMBER(SEARCH("9 OZ",Inventario!B215)),ISNUMBER(SEARCH("9 ONZAS",Inventario!B215))),"09OZ","")))))))))</f>
        <v/>
      </c>
      <c r="E216" t="str">
        <f>IF(OR(ISNUMBER(SEARCH("TRANSPARENTE",Inventario!B215)),ISNUMBER(SEARCH("TRANSPARENTES",Inventario!B215))),"TR",
IF(OR(ISNUMBER(SEARCH("BLANCO",Inventario!B215)),ISNUMBER(SEARCH("BCO",Inventario!B215))),"BL",
IF(ISNUMBER(SEARCH("VERDE",Inventario!B215)),"VR",
IF(ISNUMBER(SEARCH("MORADO",Inventario!B215)),"MR",
IF(ISNUMBER(SEARCH("PLATA",Inventario!B215)),"PL",
IF(ISNUMBER(SEARCH("ORO",Inventario!B215)),"OR",
IF(ISNUMBER(SEARCH("AMARILLO",Inventario!B215)),"AM",
IF(ISNUMBER(SEARCH("NARANJA",Inventario!B215)),"NR",
IF(ISNUMBER(SEARCH("NEGRO",Inventario!B215)),"NG",
IF(ISNUMBER(SEARCH("ROJO",Inventario!B215)),"RJ",
IF(ISNUMBER(SEARCH("AZUL",Inventario!B215)),"AZ","")))))))))))</f>
        <v>NR</v>
      </c>
      <c r="F216" t="str">
        <f>IF(ISNUMBER(SEARCH("1,2 MM",Inventario!B215)),"1MM2",
IF(OR(ISNUMBER(SEARCH("2 MM",Inventario!B215)),ISNUMBER(SEARCH("2MM",Inventario!B215))),"2MM",
IF(OR(ISNUMBER(SEARCH("3 MM",Inventario!B215)),ISNUMBER(SEARCH("3MM",Inventario!B215))),"3MM",
IF(OR(ISNUMBER(SEARCH("4 MM",Inventario!B215)),ISNUMBER(SEARCH("4MM",Inventario!B215)),ISNUMBER(SEARCH("4 mm",Inventario!B215))),"4MM",
IF(OR(ISNUMBER(SEARCH("5 MM",Inventario!B215)),ISNUMBER(SEARCH("5MM",Inventario!B215))),"5MM",
IF(OR(ISNUMBER(SEARCH("6 MM",Inventario!B215)),ISNUMBER(SEARCH("6MM",Inventario!B215))),"6MM",
IF(OR(ISNUMBER(SEARCH("10 MM",Inventario!B215)),ISNUMBER(SEARCH("10MM",Inventario!B215))),"10MM","")))))))</f>
        <v>3MM</v>
      </c>
      <c r="H216" t="str">
        <f>IF(ISNUMBER(SEARCH("SILED",Inventario!B215)),"SI",
IF(ISNUMBER(SEARCH("SYDEMEX",Inventario!B215)),"SY",
IF(ISNUMBER(SEARCH("ROHS",Inventario!B215)),"RO",
IF(ISNUMBER(SEARCH("RISHANG",Inventario!B215)),"RS",
IF(ISNUMBER(SEARCH("VYG",Inventario!B215)),"VYG",
IF(ISNUMBER(SEARCH("COLED",Inventario!B215)),"CO",""))))))</f>
        <v/>
      </c>
    </row>
    <row r="217" spans="1:8">
      <c r="A217" t="str">
        <f>IF(ISNUMBER(SEARCH("LONA",Inventario!B216)),"LON",
IF(ISNUMBER(SEARCH("VINIL",Inventario!B216)),"VIN",
IF(ISNUMBER(SEARCH("PANEL DE ALUMINIO COMPUESTO",Inventario!B216)),"PAN-ALU-COM",
IF(ISNUMBER(SEARCH("PVC",Inventario!B216)),"PVC",
IF(ISNUMBER(SEARCH("PAPEL",Inventario!B216)),"PAP",
IF(ISNUMBER(SEARCH("TELA",Inventario!B216)),"TEL",
IF(ISNUMBER(SEARCH("CARTULINA",Inventario!B216)),"CAR",
IF(OR(ISNUMBER(SEARCH("LAMINA",Inventario!B216)),ISNUMBER(SEARCH("LÁMINA",Inventario!B216))),"LAM",
IF(ISNUMBER(SEARCH("ESTIRENO",Inventario!B216)),"EST",
IF(ISNUMBER(SEARCH("FOAMBOARD",Inventario!B216)),"FOA",
IF(ISNUMBER(SEARCH("SOLVENTE",Inventario!B216)),"SOL",
IF(ISNUMBER(SEARCH("TINTA",Inventario!B216)),"TIN",
IF(ISNUMBER(SEARCH("ACRILICO",Inventario!B216)),"ACR",
IF(ISNUMBER(SEARCH("LED",Inventario!B216)),"LED",
IF(ISNUMBER(SEARCH("FUENTE",Inventario!B216)),"FUE",
IF(ISNUMBER(SEARCH("PETG",Inventario!B216)),"PET",
IF(ISNUMBER(SEARCH("ALUMINIO",Inventario!B216)),"ALU",
IF(ISNUMBER(SEARCH("CANAL",Inventario!B216)),"CAN",
IF(ISNUMBER(SEARCH("ESCUADRA",Inventario!B216)),"ESC",
IF(ISNUMBER(SEARCH("SOPORTE",Inventario!B216)),"SOP","OTR")
)))))))))))))))))))</f>
        <v>PVC</v>
      </c>
      <c r="B217" t="str">
        <f>IF(ISNUMBER(SEARCH("CORTE",Inventario!B216)),"COR",
IF(ISNUMBER(SEARCH("CRISTAL",Inventario!B216)),"CR",
IF(OR(ISNUMBER(SEARCH("OPTICO",Inventario!B216)),ISNUMBER(SEARCH("OPTICOS",Inventario!B216)),ISNUMBER(SEARCH("OPTICA",Inventario!B216))),"OP",
IF(ISNUMBER(SEARCH("NANO",Inventario!B216)),"NA",
IF(ISNUMBER(SEARCH("5050",Inventario!B216)),"5050",
IF(ISNUMBER(SEARCH("MICRO",Inventario!B216)),"MI",""))))))</f>
        <v/>
      </c>
      <c r="C217" t="str">
        <f>IF(ISNUMBER(SEARCH("PARED",Inventario!B216)),"PAR",IF(ISNUMBER(SEARCH("MATE",Inventario!B216)),"MAT",
IF(ISNUMBER(SEARCH("FRONT",Inventario!B216)),"FRO",
IF(ISNUMBER(SEARCH("BACK",Inventario!B216)),"BAC",
IF(ISNUMBER(SEARCH("MESH",Inventario!B216)),"MES",
IF(OR(ISNUMBER(SEARCH("BRILLANTE",Inventario!B216)),ISNUMBER(SEARCH("BTE",Inventario!B216))),"BRI",
IF(ISNUMBER(SEARCH("SINTETICA DELGADA",Inventario!B216)),"SD",
IF(ISNUMBER(SEARCH("SINTETICA GRUESA",Inventario!B216)),"SG",
IF(ISNUMBER(SEARCH("ESTATICO",Inventario!B216)),"EST",
IF(ISNUMBER(SEARCH("FLOOR",Inventario!B216)),"FLO",
IF(ISNUMBER(SEARCH("REFLECTIVO",Inventario!B216)),"REF",
IF(ISNUMBER(SEARCH("MICROPERFORADO",Inventario!B216)),"MI",
IF(ISNUMBER(SEARCH("CEPILLADO",Inventario!B216)),"CEP",
IF(ISNUMBER(SEARCH("ESPEJO",Inventario!B216)),"ESP",
IF(OR(ISNUMBER(SEARCH("UNIDIODO",Inventario!B216)),ISNUMBER(SEARCH("1 DIODO",Inventario!B216))),"1D",
IF(ISNUMBER(SEARCH("2 DIODOS",Inventario!B216)),"2D",
IF(ISNUMBER(SEARCH("3 DIODOS",Inventario!B216)),"3D","")))))))))))))))))</f>
        <v/>
      </c>
      <c r="D217" t="str">
        <f>IF(ISNUMBER(SEARCH("LX700",Inventario!B216)),"LX7",
IF(ISNUMBER(SEARCH("GRANDO",Inventario!B216)),"GRA",
IF(OR(ISNUMBER(SEARCH("CAMA PLANA",Inventario!B216)),ISNUMBER(SEARCH("FB700",Inventario!B216))),"CP",
IF(ISNUMBER(SEARCH("LX360",Inventario!B216)),"LX3",
IF(ISNUMBER(SEARCH("XEROX",Inventario!B216)),"XER",
IF(ISNUMBER(SEARCH("18 OZ",Inventario!B216)),"18OZ",
IF(ISNUMBER(SEARCH("15 OZ",Inventario!B216)),"15OZ",
IF(OR(ISNUMBER(SEARCH("13 OZ",Inventario!B216)),ISNUMBER(SEARCH("13 ONZAS",Inventario!B216))),"13OZ",
IF(OR(ISNUMBER(SEARCH("9 OZ",Inventario!B216)),ISNUMBER(SEARCH("9 ONZAS",Inventario!B216))),"09OZ","")))))))))</f>
        <v/>
      </c>
      <c r="E217" t="str">
        <f>IF(OR(ISNUMBER(SEARCH("TRANSPARENTE",Inventario!B216)),ISNUMBER(SEARCH("TRANSPARENTES",Inventario!B216))),"TR",
IF(OR(ISNUMBER(SEARCH("BLANCO",Inventario!B216)),ISNUMBER(SEARCH("BCO",Inventario!B216))),"BL",
IF(ISNUMBER(SEARCH("VERDE",Inventario!B216)),"VR",
IF(ISNUMBER(SEARCH("MORADO",Inventario!B216)),"MR",
IF(ISNUMBER(SEARCH("PLATA",Inventario!B216)),"PL",
IF(ISNUMBER(SEARCH("ORO",Inventario!B216)),"OR",
IF(ISNUMBER(SEARCH("AMARILLO",Inventario!B216)),"AM",
IF(ISNUMBER(SEARCH("NARANJA",Inventario!B216)),"NR",
IF(ISNUMBER(SEARCH("NEGRO",Inventario!B216)),"NG",
IF(ISNUMBER(SEARCH("ROJO",Inventario!B216)),"RJ",
IF(ISNUMBER(SEARCH("AZUL",Inventario!B216)),"AZ","")))))))))))</f>
        <v>VR</v>
      </c>
      <c r="F217" t="str">
        <f>IF(ISNUMBER(SEARCH("1,2 MM",Inventario!B216)),"1MM2",
IF(OR(ISNUMBER(SEARCH("2 MM",Inventario!B216)),ISNUMBER(SEARCH("2MM",Inventario!B216))),"2MM",
IF(OR(ISNUMBER(SEARCH("3 MM",Inventario!B216)),ISNUMBER(SEARCH("3MM",Inventario!B216))),"3MM",
IF(OR(ISNUMBER(SEARCH("4 MM",Inventario!B216)),ISNUMBER(SEARCH("4MM",Inventario!B216)),ISNUMBER(SEARCH("4 mm",Inventario!B216))),"4MM",
IF(OR(ISNUMBER(SEARCH("5 MM",Inventario!B216)),ISNUMBER(SEARCH("5MM",Inventario!B216))),"5MM",
IF(OR(ISNUMBER(SEARCH("6 MM",Inventario!B216)),ISNUMBER(SEARCH("6MM",Inventario!B216))),"6MM",
IF(OR(ISNUMBER(SEARCH("10 MM",Inventario!B216)),ISNUMBER(SEARCH("10MM",Inventario!B216))),"10MM","")))))))</f>
        <v>3MM</v>
      </c>
      <c r="H217" t="str">
        <f>IF(ISNUMBER(SEARCH("SILED",Inventario!B216)),"SI",
IF(ISNUMBER(SEARCH("SYDEMEX",Inventario!B216)),"SY",
IF(ISNUMBER(SEARCH("ROHS",Inventario!B216)),"RO",
IF(ISNUMBER(SEARCH("RISHANG",Inventario!B216)),"RS",
IF(ISNUMBER(SEARCH("VYG",Inventario!B216)),"VYG",
IF(ISNUMBER(SEARCH("COLED",Inventario!B216)),"CO",""))))))</f>
        <v/>
      </c>
    </row>
    <row r="218" spans="1:8">
      <c r="A218" t="str">
        <f>IF(ISNUMBER(SEARCH("LONA",Inventario!B217)),"LON",
IF(ISNUMBER(SEARCH("VINIL",Inventario!B217)),"VIN",
IF(ISNUMBER(SEARCH("PANEL DE ALUMINIO COMPUESTO",Inventario!B217)),"PAN-ALU-COM",
IF(ISNUMBER(SEARCH("PVC",Inventario!B217)),"PVC",
IF(ISNUMBER(SEARCH("PAPEL",Inventario!B217)),"PAP",
IF(ISNUMBER(SEARCH("TELA",Inventario!B217)),"TEL",
IF(ISNUMBER(SEARCH("CARTULINA",Inventario!B217)),"CAR",
IF(OR(ISNUMBER(SEARCH("LAMINA",Inventario!B217)),ISNUMBER(SEARCH("LÁMINA",Inventario!B217))),"LAM",
IF(ISNUMBER(SEARCH("ESTIRENO",Inventario!B217)),"EST",
IF(ISNUMBER(SEARCH("FOAMBOARD",Inventario!B217)),"FOA",
IF(ISNUMBER(SEARCH("SOLVENTE",Inventario!B217)),"SOL",
IF(ISNUMBER(SEARCH("TINTA",Inventario!B217)),"TIN",
IF(ISNUMBER(SEARCH("ACRILICO",Inventario!B217)),"ACR",
IF(ISNUMBER(SEARCH("LED",Inventario!B217)),"LED",
IF(ISNUMBER(SEARCH("FUENTE",Inventario!B217)),"FUE",
IF(ISNUMBER(SEARCH("PETG",Inventario!B217)),"PET",
IF(ISNUMBER(SEARCH("ALUMINIO",Inventario!B217)),"ALU",
IF(ISNUMBER(SEARCH("CANAL",Inventario!B217)),"CAN",
IF(ISNUMBER(SEARCH("ESCUADRA",Inventario!B217)),"ESC",
IF(ISNUMBER(SEARCH("SOPORTE",Inventario!B217)),"SOP","OTR")
)))))))))))))))))))</f>
        <v>PVC</v>
      </c>
      <c r="B218" t="str">
        <f>IF(ISNUMBER(SEARCH("CORTE",Inventario!B217)),"COR",
IF(ISNUMBER(SEARCH("CRISTAL",Inventario!B217)),"CR",
IF(OR(ISNUMBER(SEARCH("OPTICO",Inventario!B217)),ISNUMBER(SEARCH("OPTICOS",Inventario!B217)),ISNUMBER(SEARCH("OPTICA",Inventario!B217))),"OP",
IF(ISNUMBER(SEARCH("NANO",Inventario!B217)),"NA",
IF(ISNUMBER(SEARCH("5050",Inventario!B217)),"5050",
IF(ISNUMBER(SEARCH("MICRO",Inventario!B217)),"MI",""))))))</f>
        <v/>
      </c>
      <c r="C218" t="str">
        <f>IF(ISNUMBER(SEARCH("PARED",Inventario!B217)),"PAR",IF(ISNUMBER(SEARCH("MATE",Inventario!B217)),"MAT",
IF(ISNUMBER(SEARCH("FRONT",Inventario!B217)),"FRO",
IF(ISNUMBER(SEARCH("BACK",Inventario!B217)),"BAC",
IF(ISNUMBER(SEARCH("MESH",Inventario!B217)),"MES",
IF(OR(ISNUMBER(SEARCH("BRILLANTE",Inventario!B217)),ISNUMBER(SEARCH("BTE",Inventario!B217))),"BRI",
IF(ISNUMBER(SEARCH("SINTETICA DELGADA",Inventario!B217)),"SD",
IF(ISNUMBER(SEARCH("SINTETICA GRUESA",Inventario!B217)),"SG",
IF(ISNUMBER(SEARCH("ESTATICO",Inventario!B217)),"EST",
IF(ISNUMBER(SEARCH("FLOOR",Inventario!B217)),"FLO",
IF(ISNUMBER(SEARCH("REFLECTIVO",Inventario!B217)),"REF",
IF(ISNUMBER(SEARCH("MICROPERFORADO",Inventario!B217)),"MI",
IF(ISNUMBER(SEARCH("CEPILLADO",Inventario!B217)),"CEP",
IF(ISNUMBER(SEARCH("ESPEJO",Inventario!B217)),"ESP",
IF(OR(ISNUMBER(SEARCH("UNIDIODO",Inventario!B217)),ISNUMBER(SEARCH("1 DIODO",Inventario!B217))),"1D",
IF(ISNUMBER(SEARCH("2 DIODOS",Inventario!B217)),"2D",
IF(ISNUMBER(SEARCH("3 DIODOS",Inventario!B217)),"3D","")))))))))))))))))</f>
        <v/>
      </c>
      <c r="D218" t="str">
        <f>IF(ISNUMBER(SEARCH("LX700",Inventario!B217)),"LX7",
IF(ISNUMBER(SEARCH("GRANDO",Inventario!B217)),"GRA",
IF(OR(ISNUMBER(SEARCH("CAMA PLANA",Inventario!B217)),ISNUMBER(SEARCH("FB700",Inventario!B217))),"CP",
IF(ISNUMBER(SEARCH("LX360",Inventario!B217)),"LX3",
IF(ISNUMBER(SEARCH("XEROX",Inventario!B217)),"XER",
IF(ISNUMBER(SEARCH("18 OZ",Inventario!B217)),"18OZ",
IF(ISNUMBER(SEARCH("15 OZ",Inventario!B217)),"15OZ",
IF(OR(ISNUMBER(SEARCH("13 OZ",Inventario!B217)),ISNUMBER(SEARCH("13 ONZAS",Inventario!B217))),"13OZ",
IF(OR(ISNUMBER(SEARCH("9 OZ",Inventario!B217)),ISNUMBER(SEARCH("9 ONZAS",Inventario!B217))),"09OZ","")))))))))</f>
        <v/>
      </c>
      <c r="E218" t="str">
        <f>IF(OR(ISNUMBER(SEARCH("TRANSPARENTE",Inventario!B217)),ISNUMBER(SEARCH("TRANSPARENTES",Inventario!B217))),"TR",
IF(OR(ISNUMBER(SEARCH("BLANCO",Inventario!B217)),ISNUMBER(SEARCH("BCO",Inventario!B217))),"BL",
IF(ISNUMBER(SEARCH("VERDE",Inventario!B217)),"VR",
IF(ISNUMBER(SEARCH("MORADO",Inventario!B217)),"MR",
IF(ISNUMBER(SEARCH("PLATA",Inventario!B217)),"PL",
IF(ISNUMBER(SEARCH("ORO",Inventario!B217)),"OR",
IF(ISNUMBER(SEARCH("AMARILLO",Inventario!B217)),"AM",
IF(ISNUMBER(SEARCH("NARANJA",Inventario!B217)),"NR",
IF(ISNUMBER(SEARCH("NEGRO",Inventario!B217)),"NG",
IF(ISNUMBER(SEARCH("ROJO",Inventario!B217)),"RJ",
IF(ISNUMBER(SEARCH("AZUL",Inventario!B217)),"AZ","")))))))))))</f>
        <v>NG</v>
      </c>
      <c r="F218" t="str">
        <f>IF(ISNUMBER(SEARCH("1,2 MM",Inventario!B217)),"1MM2",
IF(OR(ISNUMBER(SEARCH("2 MM",Inventario!B217)),ISNUMBER(SEARCH("2MM",Inventario!B217))),"2MM",
IF(OR(ISNUMBER(SEARCH("3 MM",Inventario!B217)),ISNUMBER(SEARCH("3MM",Inventario!B217))),"3MM",
IF(OR(ISNUMBER(SEARCH("4 MM",Inventario!B217)),ISNUMBER(SEARCH("4MM",Inventario!B217)),ISNUMBER(SEARCH("4 mm",Inventario!B217))),"4MM",
IF(OR(ISNUMBER(SEARCH("5 MM",Inventario!B217)),ISNUMBER(SEARCH("5MM",Inventario!B217))),"5MM",
IF(OR(ISNUMBER(SEARCH("6 MM",Inventario!B217)),ISNUMBER(SEARCH("6MM",Inventario!B217))),"6MM",
IF(OR(ISNUMBER(SEARCH("10 MM",Inventario!B217)),ISNUMBER(SEARCH("10MM",Inventario!B217))),"10MM","")))))))</f>
        <v>3MM</v>
      </c>
      <c r="H218" t="str">
        <f>IF(ISNUMBER(SEARCH("SILED",Inventario!B217)),"SI",
IF(ISNUMBER(SEARCH("SYDEMEX",Inventario!B217)),"SY",
IF(ISNUMBER(SEARCH("ROHS",Inventario!B217)),"RO",
IF(ISNUMBER(SEARCH("RISHANG",Inventario!B217)),"RS",
IF(ISNUMBER(SEARCH("VYG",Inventario!B217)),"VYG",
IF(ISNUMBER(SEARCH("COLED",Inventario!B217)),"CO",""))))))</f>
        <v/>
      </c>
    </row>
    <row r="219" spans="1:8">
      <c r="A219" t="str">
        <f>IF(ISNUMBER(SEARCH("LONA",Inventario!B218)),"LON",
IF(ISNUMBER(SEARCH("VINIL",Inventario!B218)),"VIN",
IF(ISNUMBER(SEARCH("PANEL DE ALUMINIO COMPUESTO",Inventario!B218)),"PAN-ALU-COM",
IF(ISNUMBER(SEARCH("PVC",Inventario!B218)),"PVC",
IF(ISNUMBER(SEARCH("PAPEL",Inventario!B218)),"PAP",
IF(ISNUMBER(SEARCH("TELA",Inventario!B218)),"TEL",
IF(ISNUMBER(SEARCH("CARTULINA",Inventario!B218)),"CAR",
IF(OR(ISNUMBER(SEARCH("LAMINA",Inventario!B218)),ISNUMBER(SEARCH("LÁMINA",Inventario!B218))),"LAM",
IF(ISNUMBER(SEARCH("ESTIRENO",Inventario!B218)),"EST",
IF(ISNUMBER(SEARCH("FOAMBOARD",Inventario!B218)),"FOA",
IF(ISNUMBER(SEARCH("SOLVENTE",Inventario!B218)),"SOL",
IF(ISNUMBER(SEARCH("TINTA",Inventario!B218)),"TIN",
IF(ISNUMBER(SEARCH("ACRILICO",Inventario!B218)),"ACR",
IF(ISNUMBER(SEARCH("LED",Inventario!B218)),"LED",
IF(ISNUMBER(SEARCH("FUENTE",Inventario!B218)),"FUE",
IF(ISNUMBER(SEARCH("PETG",Inventario!B218)),"PET",
IF(ISNUMBER(SEARCH("ALUMINIO",Inventario!B218)),"ALU",
IF(ISNUMBER(SEARCH("CANAL",Inventario!B218)),"CAN",
IF(ISNUMBER(SEARCH("ESCUADRA",Inventario!B218)),"ESC",
IF(ISNUMBER(SEARCH("SOPORTE",Inventario!B218)),"SOP","OTR")
)))))))))))))))))))</f>
        <v>PVC</v>
      </c>
      <c r="B219" t="str">
        <f>IF(ISNUMBER(SEARCH("CORTE",Inventario!B218)),"COR",
IF(ISNUMBER(SEARCH("CRISTAL",Inventario!B218)),"CR",
IF(OR(ISNUMBER(SEARCH("OPTICO",Inventario!B218)),ISNUMBER(SEARCH("OPTICOS",Inventario!B218)),ISNUMBER(SEARCH("OPTICA",Inventario!B218))),"OP",
IF(ISNUMBER(SEARCH("NANO",Inventario!B218)),"NA",
IF(ISNUMBER(SEARCH("5050",Inventario!B218)),"5050",
IF(ISNUMBER(SEARCH("MICRO",Inventario!B218)),"MI",""))))))</f>
        <v/>
      </c>
      <c r="C219" t="str">
        <f>IF(ISNUMBER(SEARCH("PARED",Inventario!B218)),"PAR",IF(ISNUMBER(SEARCH("MATE",Inventario!B218)),"MAT",
IF(ISNUMBER(SEARCH("FRONT",Inventario!B218)),"FRO",
IF(ISNUMBER(SEARCH("BACK",Inventario!B218)),"BAC",
IF(ISNUMBER(SEARCH("MESH",Inventario!B218)),"MES",
IF(OR(ISNUMBER(SEARCH("BRILLANTE",Inventario!B218)),ISNUMBER(SEARCH("BTE",Inventario!B218))),"BRI",
IF(ISNUMBER(SEARCH("SINTETICA DELGADA",Inventario!B218)),"SD",
IF(ISNUMBER(SEARCH("SINTETICA GRUESA",Inventario!B218)),"SG",
IF(ISNUMBER(SEARCH("ESTATICO",Inventario!B218)),"EST",
IF(ISNUMBER(SEARCH("FLOOR",Inventario!B218)),"FLO",
IF(ISNUMBER(SEARCH("REFLECTIVO",Inventario!B218)),"REF",
IF(ISNUMBER(SEARCH("MICROPERFORADO",Inventario!B218)),"MI",
IF(ISNUMBER(SEARCH("CEPILLADO",Inventario!B218)),"CEP",
IF(ISNUMBER(SEARCH("ESPEJO",Inventario!B218)),"ESP",
IF(OR(ISNUMBER(SEARCH("UNIDIODO",Inventario!B218)),ISNUMBER(SEARCH("1 DIODO",Inventario!B218))),"1D",
IF(ISNUMBER(SEARCH("2 DIODOS",Inventario!B218)),"2D",
IF(ISNUMBER(SEARCH("3 DIODOS",Inventario!B218)),"3D","")))))))))))))))))</f>
        <v/>
      </c>
      <c r="D219" t="str">
        <f>IF(ISNUMBER(SEARCH("LX700",Inventario!B218)),"LX7",
IF(ISNUMBER(SEARCH("GRANDO",Inventario!B218)),"GRA",
IF(OR(ISNUMBER(SEARCH("CAMA PLANA",Inventario!B218)),ISNUMBER(SEARCH("FB700",Inventario!B218))),"CP",
IF(ISNUMBER(SEARCH("LX360",Inventario!B218)),"LX3",
IF(ISNUMBER(SEARCH("XEROX",Inventario!B218)),"XER",
IF(ISNUMBER(SEARCH("18 OZ",Inventario!B218)),"18OZ",
IF(ISNUMBER(SEARCH("15 OZ",Inventario!B218)),"15OZ",
IF(OR(ISNUMBER(SEARCH("13 OZ",Inventario!B218)),ISNUMBER(SEARCH("13 ONZAS",Inventario!B218))),"13OZ",
IF(OR(ISNUMBER(SEARCH("9 OZ",Inventario!B218)),ISNUMBER(SEARCH("9 ONZAS",Inventario!B218))),"09OZ","")))))))))</f>
        <v/>
      </c>
      <c r="E219" t="str">
        <f>IF(OR(ISNUMBER(SEARCH("TRANSPARENTE",Inventario!B218)),ISNUMBER(SEARCH("TRANSPARENTES",Inventario!B218))),"TR",
IF(OR(ISNUMBER(SEARCH("BLANCO",Inventario!B218)),ISNUMBER(SEARCH("BCO",Inventario!B218))),"BL",
IF(ISNUMBER(SEARCH("VERDE",Inventario!B218)),"VR",
IF(ISNUMBER(SEARCH("MORADO",Inventario!B218)),"MR",
IF(ISNUMBER(SEARCH("PLATA",Inventario!B218)),"PL",
IF(ISNUMBER(SEARCH("ORO",Inventario!B218)),"OR",
IF(ISNUMBER(SEARCH("AMARILLO",Inventario!B218)),"AM",
IF(ISNUMBER(SEARCH("NARANJA",Inventario!B218)),"NR",
IF(ISNUMBER(SEARCH("NEGRO",Inventario!B218)),"NG",
IF(ISNUMBER(SEARCH("ROJO",Inventario!B218)),"RJ",
IF(ISNUMBER(SEARCH("AZUL",Inventario!B218)),"AZ","")))))))))))</f>
        <v>NG</v>
      </c>
      <c r="F219" t="str">
        <f>IF(ISNUMBER(SEARCH("1,2 MM",Inventario!B218)),"1MM2",
IF(OR(ISNUMBER(SEARCH("2 MM",Inventario!B218)),ISNUMBER(SEARCH("2MM",Inventario!B218))),"2MM",
IF(OR(ISNUMBER(SEARCH("3 MM",Inventario!B218)),ISNUMBER(SEARCH("3MM",Inventario!B218))),"3MM",
IF(OR(ISNUMBER(SEARCH("4 MM",Inventario!B218)),ISNUMBER(SEARCH("4MM",Inventario!B218)),ISNUMBER(SEARCH("4 mm",Inventario!B218))),"4MM",
IF(OR(ISNUMBER(SEARCH("5 MM",Inventario!B218)),ISNUMBER(SEARCH("5MM",Inventario!B218))),"5MM",
IF(OR(ISNUMBER(SEARCH("6 MM",Inventario!B218)),ISNUMBER(SEARCH("6MM",Inventario!B218))),"6MM",
IF(OR(ISNUMBER(SEARCH("10 MM",Inventario!B218)),ISNUMBER(SEARCH("10MM",Inventario!B218))),"10MM","")))))))</f>
        <v>3MM</v>
      </c>
      <c r="H219" t="str">
        <f>IF(ISNUMBER(SEARCH("SILED",Inventario!B218)),"SI",
IF(ISNUMBER(SEARCH("SYDEMEX",Inventario!B218)),"SY",
IF(ISNUMBER(SEARCH("ROHS",Inventario!B218)),"RO",
IF(ISNUMBER(SEARCH("RISHANG",Inventario!B218)),"RS",
IF(ISNUMBER(SEARCH("VYG",Inventario!B218)),"VYG",
IF(ISNUMBER(SEARCH("COLED",Inventario!B218)),"CO",""))))))</f>
        <v/>
      </c>
    </row>
    <row r="220" spans="1:8">
      <c r="A220" t="str">
        <f>IF(ISNUMBER(SEARCH("LONA",Inventario!B219)),"LON",
IF(ISNUMBER(SEARCH("VINIL",Inventario!B219)),"VIN",
IF(ISNUMBER(SEARCH("PANEL DE ALUMINIO COMPUESTO",Inventario!B219)),"PAN-ALU-COM",
IF(ISNUMBER(SEARCH("PVC",Inventario!B219)),"PVC",
IF(ISNUMBER(SEARCH("PAPEL",Inventario!B219)),"PAP",
IF(ISNUMBER(SEARCH("TELA",Inventario!B219)),"TEL",
IF(ISNUMBER(SEARCH("CARTULINA",Inventario!B219)),"CAR",
IF(OR(ISNUMBER(SEARCH("LAMINA",Inventario!B219)),ISNUMBER(SEARCH("LÁMINA",Inventario!B219))),"LAM",
IF(ISNUMBER(SEARCH("ESTIRENO",Inventario!B219)),"EST",
IF(ISNUMBER(SEARCH("FOAMBOARD",Inventario!B219)),"FOA",
IF(ISNUMBER(SEARCH("SOLVENTE",Inventario!B219)),"SOL",
IF(ISNUMBER(SEARCH("TINTA",Inventario!B219)),"TIN",
IF(ISNUMBER(SEARCH("ACRILICO",Inventario!B219)),"ACR",
IF(ISNUMBER(SEARCH("LED",Inventario!B219)),"LED",
IF(ISNUMBER(SEARCH("FUENTE",Inventario!B219)),"FUE",
IF(ISNUMBER(SEARCH("PETG",Inventario!B219)),"PET",
IF(ISNUMBER(SEARCH("ALUMINIO",Inventario!B219)),"ALU",
IF(ISNUMBER(SEARCH("CANAL",Inventario!B219)),"CAN",
IF(ISNUMBER(SEARCH("ESCUADRA",Inventario!B219)),"ESC",
IF(ISNUMBER(SEARCH("SOPORTE",Inventario!B219)),"SOP","OTR")
)))))))))))))))))))</f>
        <v>PVC</v>
      </c>
      <c r="B220" t="str">
        <f>IF(ISNUMBER(SEARCH("CORTE",Inventario!B219)),"COR",
IF(ISNUMBER(SEARCH("CRISTAL",Inventario!B219)),"CR",
IF(OR(ISNUMBER(SEARCH("OPTICO",Inventario!B219)),ISNUMBER(SEARCH("OPTICOS",Inventario!B219)),ISNUMBER(SEARCH("OPTICA",Inventario!B219))),"OP",
IF(ISNUMBER(SEARCH("NANO",Inventario!B219)),"NA",
IF(ISNUMBER(SEARCH("5050",Inventario!B219)),"5050",
IF(ISNUMBER(SEARCH("MICRO",Inventario!B219)),"MI",""))))))</f>
        <v/>
      </c>
      <c r="C220" t="str">
        <f>IF(ISNUMBER(SEARCH("PARED",Inventario!B219)),"PAR",IF(ISNUMBER(SEARCH("MATE",Inventario!B219)),"MAT",
IF(ISNUMBER(SEARCH("FRONT",Inventario!B219)),"FRO",
IF(ISNUMBER(SEARCH("BACK",Inventario!B219)),"BAC",
IF(ISNUMBER(SEARCH("MESH",Inventario!B219)),"MES",
IF(OR(ISNUMBER(SEARCH("BRILLANTE",Inventario!B219)),ISNUMBER(SEARCH("BTE",Inventario!B219))),"BRI",
IF(ISNUMBER(SEARCH("SINTETICA DELGADA",Inventario!B219)),"SD",
IF(ISNUMBER(SEARCH("SINTETICA GRUESA",Inventario!B219)),"SG",
IF(ISNUMBER(SEARCH("ESTATICO",Inventario!B219)),"EST",
IF(ISNUMBER(SEARCH("FLOOR",Inventario!B219)),"FLO",
IF(ISNUMBER(SEARCH("REFLECTIVO",Inventario!B219)),"REF",
IF(ISNUMBER(SEARCH("MICROPERFORADO",Inventario!B219)),"MI",
IF(ISNUMBER(SEARCH("CEPILLADO",Inventario!B219)),"CEP",
IF(ISNUMBER(SEARCH("ESPEJO",Inventario!B219)),"ESP",
IF(OR(ISNUMBER(SEARCH("UNIDIODO",Inventario!B219)),ISNUMBER(SEARCH("1 DIODO",Inventario!B219))),"1D",
IF(ISNUMBER(SEARCH("2 DIODOS",Inventario!B219)),"2D",
IF(ISNUMBER(SEARCH("3 DIODOS",Inventario!B219)),"3D","")))))))))))))))))</f>
        <v/>
      </c>
      <c r="D220" t="str">
        <f>IF(ISNUMBER(SEARCH("LX700",Inventario!B219)),"LX7",
IF(ISNUMBER(SEARCH("GRANDO",Inventario!B219)),"GRA",
IF(OR(ISNUMBER(SEARCH("CAMA PLANA",Inventario!B219)),ISNUMBER(SEARCH("FB700",Inventario!B219))),"CP",
IF(ISNUMBER(SEARCH("LX360",Inventario!B219)),"LX3",
IF(ISNUMBER(SEARCH("XEROX",Inventario!B219)),"XER",
IF(ISNUMBER(SEARCH("18 OZ",Inventario!B219)),"18OZ",
IF(ISNUMBER(SEARCH("15 OZ",Inventario!B219)),"15OZ",
IF(OR(ISNUMBER(SEARCH("13 OZ",Inventario!B219)),ISNUMBER(SEARCH("13 ONZAS",Inventario!B219))),"13OZ",
IF(OR(ISNUMBER(SEARCH("9 OZ",Inventario!B219)),ISNUMBER(SEARCH("9 ONZAS",Inventario!B219))),"09OZ","")))))))))</f>
        <v/>
      </c>
      <c r="E220" t="str">
        <f>IF(OR(ISNUMBER(SEARCH("TRANSPARENTE",Inventario!B219)),ISNUMBER(SEARCH("TRANSPARENTES",Inventario!B219))),"TR",
IF(OR(ISNUMBER(SEARCH("BLANCO",Inventario!B219)),ISNUMBER(SEARCH("BCO",Inventario!B219))),"BL",
IF(ISNUMBER(SEARCH("VERDE",Inventario!B219)),"VR",
IF(ISNUMBER(SEARCH("MORADO",Inventario!B219)),"MR",
IF(ISNUMBER(SEARCH("PLATA",Inventario!B219)),"PL",
IF(ISNUMBER(SEARCH("ORO",Inventario!B219)),"OR",
IF(ISNUMBER(SEARCH("AMARILLO",Inventario!B219)),"AM",
IF(ISNUMBER(SEARCH("NARANJA",Inventario!B219)),"NR",
IF(ISNUMBER(SEARCH("NEGRO",Inventario!B219)),"NG",
IF(ISNUMBER(SEARCH("ROJO",Inventario!B219)),"RJ",
IF(ISNUMBER(SEARCH("AZUL",Inventario!B219)),"AZ","")))))))))))</f>
        <v>NG</v>
      </c>
      <c r="F220" t="str">
        <f>IF(ISNUMBER(SEARCH("1,2 MM",Inventario!B219)),"1MM2",
IF(OR(ISNUMBER(SEARCH("2 MM",Inventario!B219)),ISNUMBER(SEARCH("2MM",Inventario!B219))),"2MM",
IF(OR(ISNUMBER(SEARCH("3 MM",Inventario!B219)),ISNUMBER(SEARCH("3MM",Inventario!B219))),"3MM",
IF(OR(ISNUMBER(SEARCH("4 MM",Inventario!B219)),ISNUMBER(SEARCH("4MM",Inventario!B219)),ISNUMBER(SEARCH("4 mm",Inventario!B219))),"4MM",
IF(OR(ISNUMBER(SEARCH("5 MM",Inventario!B219)),ISNUMBER(SEARCH("5MM",Inventario!B219))),"5MM",
IF(OR(ISNUMBER(SEARCH("6 MM",Inventario!B219)),ISNUMBER(SEARCH("6MM",Inventario!B219))),"6MM",
IF(OR(ISNUMBER(SEARCH("10 MM",Inventario!B219)),ISNUMBER(SEARCH("10MM",Inventario!B219))),"10MM","")))))))</f>
        <v>6MM</v>
      </c>
      <c r="H220" t="str">
        <f>IF(ISNUMBER(SEARCH("SILED",Inventario!B219)),"SI",
IF(ISNUMBER(SEARCH("SYDEMEX",Inventario!B219)),"SY",
IF(ISNUMBER(SEARCH("ROHS",Inventario!B219)),"RO",
IF(ISNUMBER(SEARCH("RISHANG",Inventario!B219)),"RS",
IF(ISNUMBER(SEARCH("VYG",Inventario!B219)),"VYG",
IF(ISNUMBER(SEARCH("COLED",Inventario!B219)),"CO",""))))))</f>
        <v/>
      </c>
    </row>
    <row r="221" spans="1:8">
      <c r="A221" t="str">
        <f>IF(ISNUMBER(SEARCH("LONA",Inventario!B220)),"LON",
IF(ISNUMBER(SEARCH("VINIL",Inventario!B220)),"VIN",
IF(ISNUMBER(SEARCH("PANEL DE ALUMINIO COMPUESTO",Inventario!B220)),"PAN-ALU-COM",
IF(ISNUMBER(SEARCH("PVC",Inventario!B220)),"PVC",
IF(ISNUMBER(SEARCH("PAPEL",Inventario!B220)),"PAP",
IF(ISNUMBER(SEARCH("TELA",Inventario!B220)),"TEL",
IF(ISNUMBER(SEARCH("CARTULINA",Inventario!B220)),"CAR",
IF(OR(ISNUMBER(SEARCH("LAMINA",Inventario!B220)),ISNUMBER(SEARCH("LÁMINA",Inventario!B220))),"LAM",
IF(ISNUMBER(SEARCH("ESTIRENO",Inventario!B220)),"EST",
IF(ISNUMBER(SEARCH("FOAMBOARD",Inventario!B220)),"FOA",
IF(ISNUMBER(SEARCH("SOLVENTE",Inventario!B220)),"SOL",
IF(ISNUMBER(SEARCH("TINTA",Inventario!B220)),"TIN",
IF(ISNUMBER(SEARCH("ACRILICO",Inventario!B220)),"ACR",
IF(ISNUMBER(SEARCH("LED",Inventario!B220)),"LED",
IF(ISNUMBER(SEARCH("FUENTE",Inventario!B220)),"FUE",
IF(ISNUMBER(SEARCH("PETG",Inventario!B220)),"PET",
IF(ISNUMBER(SEARCH("ALUMINIO",Inventario!B220)),"ALU",
IF(ISNUMBER(SEARCH("CANAL",Inventario!B220)),"CAN",
IF(ISNUMBER(SEARCH("ESCUADRA",Inventario!B220)),"ESC",
IF(ISNUMBER(SEARCH("SOPORTE",Inventario!B220)),"SOP","OTR")
)))))))))))))))))))</f>
        <v>PVC</v>
      </c>
      <c r="B221" t="str">
        <f>IF(ISNUMBER(SEARCH("CORTE",Inventario!B220)),"COR",
IF(ISNUMBER(SEARCH("CRISTAL",Inventario!B220)),"CR",
IF(OR(ISNUMBER(SEARCH("OPTICO",Inventario!B220)),ISNUMBER(SEARCH("OPTICOS",Inventario!B220)),ISNUMBER(SEARCH("OPTICA",Inventario!B220))),"OP",
IF(ISNUMBER(SEARCH("NANO",Inventario!B220)),"NA",
IF(ISNUMBER(SEARCH("5050",Inventario!B220)),"5050",
IF(ISNUMBER(SEARCH("MICRO",Inventario!B220)),"MI",""))))))</f>
        <v/>
      </c>
      <c r="C221" t="str">
        <f>IF(ISNUMBER(SEARCH("PARED",Inventario!B220)),"PAR",IF(ISNUMBER(SEARCH("MATE",Inventario!B220)),"MAT",
IF(ISNUMBER(SEARCH("FRONT",Inventario!B220)),"FRO",
IF(ISNUMBER(SEARCH("BACK",Inventario!B220)),"BAC",
IF(ISNUMBER(SEARCH("MESH",Inventario!B220)),"MES",
IF(OR(ISNUMBER(SEARCH("BRILLANTE",Inventario!B220)),ISNUMBER(SEARCH("BTE",Inventario!B220))),"BRI",
IF(ISNUMBER(SEARCH("SINTETICA DELGADA",Inventario!B220)),"SD",
IF(ISNUMBER(SEARCH("SINTETICA GRUESA",Inventario!B220)),"SG",
IF(ISNUMBER(SEARCH("ESTATICO",Inventario!B220)),"EST",
IF(ISNUMBER(SEARCH("FLOOR",Inventario!B220)),"FLO",
IF(ISNUMBER(SEARCH("REFLECTIVO",Inventario!B220)),"REF",
IF(ISNUMBER(SEARCH("MICROPERFORADO",Inventario!B220)),"MI",
IF(ISNUMBER(SEARCH("CEPILLADO",Inventario!B220)),"CEP",
IF(ISNUMBER(SEARCH("ESPEJO",Inventario!B220)),"ESP",
IF(OR(ISNUMBER(SEARCH("UNIDIODO",Inventario!B220)),ISNUMBER(SEARCH("1 DIODO",Inventario!B220))),"1D",
IF(ISNUMBER(SEARCH("2 DIODOS",Inventario!B220)),"2D",
IF(ISNUMBER(SEARCH("3 DIODOS",Inventario!B220)),"3D","")))))))))))))))))</f>
        <v/>
      </c>
      <c r="D221" t="str">
        <f>IF(ISNUMBER(SEARCH("LX700",Inventario!B220)),"LX7",
IF(ISNUMBER(SEARCH("GRANDO",Inventario!B220)),"GRA",
IF(OR(ISNUMBER(SEARCH("CAMA PLANA",Inventario!B220)),ISNUMBER(SEARCH("FB700",Inventario!B220))),"CP",
IF(ISNUMBER(SEARCH("LX360",Inventario!B220)),"LX3",
IF(ISNUMBER(SEARCH("XEROX",Inventario!B220)),"XER",
IF(ISNUMBER(SEARCH("18 OZ",Inventario!B220)),"18OZ",
IF(ISNUMBER(SEARCH("15 OZ",Inventario!B220)),"15OZ",
IF(OR(ISNUMBER(SEARCH("13 OZ",Inventario!B220)),ISNUMBER(SEARCH("13 ONZAS",Inventario!B220))),"13OZ",
IF(OR(ISNUMBER(SEARCH("9 OZ",Inventario!B220)),ISNUMBER(SEARCH("9 ONZAS",Inventario!B220))),"09OZ","")))))))))</f>
        <v/>
      </c>
      <c r="E221" t="str">
        <f>IF(OR(ISNUMBER(SEARCH("TRANSPARENTE",Inventario!B220)),ISNUMBER(SEARCH("TRANSPARENTES",Inventario!B220))),"TR",
IF(OR(ISNUMBER(SEARCH("BLANCO",Inventario!B220)),ISNUMBER(SEARCH("BCO",Inventario!B220))),"BL",
IF(ISNUMBER(SEARCH("VERDE",Inventario!B220)),"VR",
IF(ISNUMBER(SEARCH("MORADO",Inventario!B220)),"MR",
IF(ISNUMBER(SEARCH("PLATA",Inventario!B220)),"PL",
IF(ISNUMBER(SEARCH("ORO",Inventario!B220)),"OR",
IF(ISNUMBER(SEARCH("AMARILLO",Inventario!B220)),"AM",
IF(ISNUMBER(SEARCH("NARANJA",Inventario!B220)),"NR",
IF(ISNUMBER(SEARCH("NEGRO",Inventario!B220)),"NG",
IF(ISNUMBER(SEARCH("ROJO",Inventario!B220)),"RJ",
IF(ISNUMBER(SEARCH("AZUL",Inventario!B220)),"AZ","")))))))))))</f>
        <v>NG</v>
      </c>
      <c r="F221" t="str">
        <f>IF(ISNUMBER(SEARCH("1,2 MM",Inventario!B220)),"1MM2",
IF(OR(ISNUMBER(SEARCH("2 MM",Inventario!B220)),ISNUMBER(SEARCH("2MM",Inventario!B220))),"2MM",
IF(OR(ISNUMBER(SEARCH("3 MM",Inventario!B220)),ISNUMBER(SEARCH("3MM",Inventario!B220))),"3MM",
IF(OR(ISNUMBER(SEARCH("4 MM",Inventario!B220)),ISNUMBER(SEARCH("4MM",Inventario!B220)),ISNUMBER(SEARCH("4 mm",Inventario!B220))),"4MM",
IF(OR(ISNUMBER(SEARCH("5 MM",Inventario!B220)),ISNUMBER(SEARCH("5MM",Inventario!B220))),"5MM",
IF(OR(ISNUMBER(SEARCH("6 MM",Inventario!B220)),ISNUMBER(SEARCH("6MM",Inventario!B220))),"6MM",
IF(OR(ISNUMBER(SEARCH("10 MM",Inventario!B220)),ISNUMBER(SEARCH("10MM",Inventario!B220))),"10MM","")))))))</f>
        <v>6MM</v>
      </c>
      <c r="H221" t="str">
        <f>IF(ISNUMBER(SEARCH("SILED",Inventario!B220)),"SI",
IF(ISNUMBER(SEARCH("SYDEMEX",Inventario!B220)),"SY",
IF(ISNUMBER(SEARCH("ROHS",Inventario!B220)),"RO",
IF(ISNUMBER(SEARCH("RISHANG",Inventario!B220)),"RS",
IF(ISNUMBER(SEARCH("VYG",Inventario!B220)),"VYG",
IF(ISNUMBER(SEARCH("COLED",Inventario!B220)),"CO",""))))))</f>
        <v/>
      </c>
    </row>
    <row r="222" spans="1:8">
      <c r="A222" t="str">
        <f>IF(ISNUMBER(SEARCH("LONA",Inventario!B221)),"LON",
IF(ISNUMBER(SEARCH("VINIL",Inventario!B221)),"VIN",
IF(ISNUMBER(SEARCH("PANEL DE ALUMINIO COMPUESTO",Inventario!B221)),"PAN-ALU-COM",
IF(ISNUMBER(SEARCH("PVC",Inventario!B221)),"PVC",
IF(ISNUMBER(SEARCH("PAPEL",Inventario!B221)),"PAP",
IF(ISNUMBER(SEARCH("TELA",Inventario!B221)),"TEL",
IF(ISNUMBER(SEARCH("CARTULINA",Inventario!B221)),"CAR",
IF(OR(ISNUMBER(SEARCH("LAMINA",Inventario!B221)),ISNUMBER(SEARCH("LÁMINA",Inventario!B221))),"LAM",
IF(ISNUMBER(SEARCH("ESTIRENO",Inventario!B221)),"EST",
IF(ISNUMBER(SEARCH("FOAMBOARD",Inventario!B221)),"FOA",
IF(ISNUMBER(SEARCH("SOLVENTE",Inventario!B221)),"SOL",
IF(ISNUMBER(SEARCH("TINTA",Inventario!B221)),"TIN",
IF(ISNUMBER(SEARCH("ACRILICO",Inventario!B221)),"ACR",
IF(ISNUMBER(SEARCH("LED",Inventario!B221)),"LED",
IF(ISNUMBER(SEARCH("FUENTE",Inventario!B221)),"FUE",
IF(ISNUMBER(SEARCH("PETG",Inventario!B221)),"PET",
IF(ISNUMBER(SEARCH("ALUMINIO",Inventario!B221)),"ALU",
IF(ISNUMBER(SEARCH("CANAL",Inventario!B221)),"CAN",
IF(ISNUMBER(SEARCH("ESCUADRA",Inventario!B221)),"ESC",
IF(ISNUMBER(SEARCH("SOPORTE",Inventario!B221)),"SOP","OTR")
)))))))))))))))))))</f>
        <v>PVC</v>
      </c>
      <c r="B222" t="str">
        <f>IF(ISNUMBER(SEARCH("CORTE",Inventario!B221)),"COR",
IF(ISNUMBER(SEARCH("CRISTAL",Inventario!B221)),"CR",
IF(OR(ISNUMBER(SEARCH("OPTICO",Inventario!B221)),ISNUMBER(SEARCH("OPTICOS",Inventario!B221)),ISNUMBER(SEARCH("OPTICA",Inventario!B221))),"OP",
IF(ISNUMBER(SEARCH("NANO",Inventario!B221)),"NA",
IF(ISNUMBER(SEARCH("5050",Inventario!B221)),"5050",
IF(ISNUMBER(SEARCH("MICRO",Inventario!B221)),"MI",""))))))</f>
        <v/>
      </c>
      <c r="C222" t="str">
        <f>IF(ISNUMBER(SEARCH("PARED",Inventario!B221)),"PAR",IF(ISNUMBER(SEARCH("MATE",Inventario!B221)),"MAT",
IF(ISNUMBER(SEARCH("FRONT",Inventario!B221)),"FRO",
IF(ISNUMBER(SEARCH("BACK",Inventario!B221)),"BAC",
IF(ISNUMBER(SEARCH("MESH",Inventario!B221)),"MES",
IF(OR(ISNUMBER(SEARCH("BRILLANTE",Inventario!B221)),ISNUMBER(SEARCH("BTE",Inventario!B221))),"BRI",
IF(ISNUMBER(SEARCH("SINTETICA DELGADA",Inventario!B221)),"SD",
IF(ISNUMBER(SEARCH("SINTETICA GRUESA",Inventario!B221)),"SG",
IF(ISNUMBER(SEARCH("ESTATICO",Inventario!B221)),"EST",
IF(ISNUMBER(SEARCH("FLOOR",Inventario!B221)),"FLO",
IF(ISNUMBER(SEARCH("REFLECTIVO",Inventario!B221)),"REF",
IF(ISNUMBER(SEARCH("MICROPERFORADO",Inventario!B221)),"MI",
IF(ISNUMBER(SEARCH("CEPILLADO",Inventario!B221)),"CEP",
IF(ISNUMBER(SEARCH("ESPEJO",Inventario!B221)),"ESP",
IF(OR(ISNUMBER(SEARCH("UNIDIODO",Inventario!B221)),ISNUMBER(SEARCH("1 DIODO",Inventario!B221))),"1D",
IF(ISNUMBER(SEARCH("2 DIODOS",Inventario!B221)),"2D",
IF(ISNUMBER(SEARCH("3 DIODOS",Inventario!B221)),"3D","")))))))))))))))))</f>
        <v/>
      </c>
      <c r="D222" t="str">
        <f>IF(ISNUMBER(SEARCH("LX700",Inventario!B221)),"LX7",
IF(ISNUMBER(SEARCH("GRANDO",Inventario!B221)),"GRA",
IF(OR(ISNUMBER(SEARCH("CAMA PLANA",Inventario!B221)),ISNUMBER(SEARCH("FB700",Inventario!B221))),"CP",
IF(ISNUMBER(SEARCH("LX360",Inventario!B221)),"LX3",
IF(ISNUMBER(SEARCH("XEROX",Inventario!B221)),"XER",
IF(ISNUMBER(SEARCH("18 OZ",Inventario!B221)),"18OZ",
IF(ISNUMBER(SEARCH("15 OZ",Inventario!B221)),"15OZ",
IF(OR(ISNUMBER(SEARCH("13 OZ",Inventario!B221)),ISNUMBER(SEARCH("13 ONZAS",Inventario!B221))),"13OZ",
IF(OR(ISNUMBER(SEARCH("9 OZ",Inventario!B221)),ISNUMBER(SEARCH("9 ONZAS",Inventario!B221))),"09OZ","")))))))))</f>
        <v/>
      </c>
      <c r="E222" t="str">
        <f>IF(OR(ISNUMBER(SEARCH("TRANSPARENTE",Inventario!B221)),ISNUMBER(SEARCH("TRANSPARENTES",Inventario!B221))),"TR",
IF(OR(ISNUMBER(SEARCH("BLANCO",Inventario!B221)),ISNUMBER(SEARCH("BCO",Inventario!B221))),"BL",
IF(ISNUMBER(SEARCH("VERDE",Inventario!B221)),"VR",
IF(ISNUMBER(SEARCH("MORADO",Inventario!B221)),"MR",
IF(ISNUMBER(SEARCH("PLATA",Inventario!B221)),"PL",
IF(ISNUMBER(SEARCH("ORO",Inventario!B221)),"OR",
IF(ISNUMBER(SEARCH("AMARILLO",Inventario!B221)),"AM",
IF(ISNUMBER(SEARCH("NARANJA",Inventario!B221)),"NR",
IF(ISNUMBER(SEARCH("NEGRO",Inventario!B221)),"NG",
IF(ISNUMBER(SEARCH("ROJO",Inventario!B221)),"RJ",
IF(ISNUMBER(SEARCH("AZUL",Inventario!B221)),"AZ","")))))))))))</f>
        <v>AZ</v>
      </c>
      <c r="F222" t="str">
        <f>IF(ISNUMBER(SEARCH("1,2 MM",Inventario!B221)),"1MM2",
IF(OR(ISNUMBER(SEARCH("2 MM",Inventario!B221)),ISNUMBER(SEARCH("2MM",Inventario!B221))),"2MM",
IF(OR(ISNUMBER(SEARCH("3 MM",Inventario!B221)),ISNUMBER(SEARCH("3MM",Inventario!B221))),"3MM",
IF(OR(ISNUMBER(SEARCH("4 MM",Inventario!B221)),ISNUMBER(SEARCH("4MM",Inventario!B221)),ISNUMBER(SEARCH("4 mm",Inventario!B221))),"4MM",
IF(OR(ISNUMBER(SEARCH("5 MM",Inventario!B221)),ISNUMBER(SEARCH("5MM",Inventario!B221))),"5MM",
IF(OR(ISNUMBER(SEARCH("6 MM",Inventario!B221)),ISNUMBER(SEARCH("6MM",Inventario!B221))),"6MM",
IF(OR(ISNUMBER(SEARCH("10 MM",Inventario!B221)),ISNUMBER(SEARCH("10MM",Inventario!B221))),"10MM","")))))))</f>
        <v>3MM</v>
      </c>
      <c r="H222" t="str">
        <f>IF(ISNUMBER(SEARCH("SILED",Inventario!B221)),"SI",
IF(ISNUMBER(SEARCH("SYDEMEX",Inventario!B221)),"SY",
IF(ISNUMBER(SEARCH("ROHS",Inventario!B221)),"RO",
IF(ISNUMBER(SEARCH("RISHANG",Inventario!B221)),"RS",
IF(ISNUMBER(SEARCH("VYG",Inventario!B221)),"VYG",
IF(ISNUMBER(SEARCH("COLED",Inventario!B221)),"CO",""))))))</f>
        <v/>
      </c>
    </row>
    <row r="223" spans="1:8">
      <c r="A223" t="str">
        <f>IF(ISNUMBER(SEARCH("LONA",Inventario!B222)),"LON",
IF(ISNUMBER(SEARCH("VINIL",Inventario!B222)),"VIN",
IF(ISNUMBER(SEARCH("PANEL DE ALUMINIO COMPUESTO",Inventario!B222)),"PAN-ALU-COM",
IF(ISNUMBER(SEARCH("PVC",Inventario!B222)),"PVC",
IF(ISNUMBER(SEARCH("PAPEL",Inventario!B222)),"PAP",
IF(ISNUMBER(SEARCH("TELA",Inventario!B222)),"TEL",
IF(ISNUMBER(SEARCH("CARTULINA",Inventario!B222)),"CAR",
IF(OR(ISNUMBER(SEARCH("LAMINA",Inventario!B222)),ISNUMBER(SEARCH("LÁMINA",Inventario!B222))),"LAM",
IF(ISNUMBER(SEARCH("ESTIRENO",Inventario!B222)),"EST",
IF(ISNUMBER(SEARCH("FOAMBOARD",Inventario!B222)),"FOA",
IF(ISNUMBER(SEARCH("SOLVENTE",Inventario!B222)),"SOL",
IF(ISNUMBER(SEARCH("TINTA",Inventario!B222)),"TIN",
IF(ISNUMBER(SEARCH("ACRILICO",Inventario!B222)),"ACR",
IF(ISNUMBER(SEARCH("LED",Inventario!B222)),"LED",
IF(ISNUMBER(SEARCH("FUENTE",Inventario!B222)),"FUE",
IF(ISNUMBER(SEARCH("PETG",Inventario!B222)),"PET",
IF(ISNUMBER(SEARCH("ALUMINIO",Inventario!B222)),"ALU",
IF(ISNUMBER(SEARCH("CANAL",Inventario!B222)),"CAN",
IF(ISNUMBER(SEARCH("ESCUADRA",Inventario!B222)),"ESC",
IF(ISNUMBER(SEARCH("SOPORTE",Inventario!B222)),"SOP","OTR")
)))))))))))))))))))</f>
        <v>PVC</v>
      </c>
      <c r="B223" t="str">
        <f>IF(ISNUMBER(SEARCH("CORTE",Inventario!B222)),"COR",
IF(ISNUMBER(SEARCH("CRISTAL",Inventario!B222)),"CR",
IF(OR(ISNUMBER(SEARCH("OPTICO",Inventario!B222)),ISNUMBER(SEARCH("OPTICOS",Inventario!B222)),ISNUMBER(SEARCH("OPTICA",Inventario!B222))),"OP",
IF(ISNUMBER(SEARCH("NANO",Inventario!B222)),"NA",
IF(ISNUMBER(SEARCH("5050",Inventario!B222)),"5050",
IF(ISNUMBER(SEARCH("MICRO",Inventario!B222)),"MI",""))))))</f>
        <v/>
      </c>
      <c r="C223" t="str">
        <f>IF(ISNUMBER(SEARCH("PARED",Inventario!B222)),"PAR",IF(ISNUMBER(SEARCH("MATE",Inventario!B222)),"MAT",
IF(ISNUMBER(SEARCH("FRONT",Inventario!B222)),"FRO",
IF(ISNUMBER(SEARCH("BACK",Inventario!B222)),"BAC",
IF(ISNUMBER(SEARCH("MESH",Inventario!B222)),"MES",
IF(OR(ISNUMBER(SEARCH("BRILLANTE",Inventario!B222)),ISNUMBER(SEARCH("BTE",Inventario!B222))),"BRI",
IF(ISNUMBER(SEARCH("SINTETICA DELGADA",Inventario!B222)),"SD",
IF(ISNUMBER(SEARCH("SINTETICA GRUESA",Inventario!B222)),"SG",
IF(ISNUMBER(SEARCH("ESTATICO",Inventario!B222)),"EST",
IF(ISNUMBER(SEARCH("FLOOR",Inventario!B222)),"FLO",
IF(ISNUMBER(SEARCH("REFLECTIVO",Inventario!B222)),"REF",
IF(ISNUMBER(SEARCH("MICROPERFORADO",Inventario!B222)),"MI",
IF(ISNUMBER(SEARCH("CEPILLADO",Inventario!B222)),"CEP",
IF(ISNUMBER(SEARCH("ESPEJO",Inventario!B222)),"ESP",
IF(OR(ISNUMBER(SEARCH("UNIDIODO",Inventario!B222)),ISNUMBER(SEARCH("1 DIODO",Inventario!B222))),"1D",
IF(ISNUMBER(SEARCH("2 DIODOS",Inventario!B222)),"2D",
IF(ISNUMBER(SEARCH("3 DIODOS",Inventario!B222)),"3D","")))))))))))))))))</f>
        <v/>
      </c>
      <c r="D223" t="str">
        <f>IF(ISNUMBER(SEARCH("LX700",Inventario!B222)),"LX7",
IF(ISNUMBER(SEARCH("GRANDO",Inventario!B222)),"GRA",
IF(OR(ISNUMBER(SEARCH("CAMA PLANA",Inventario!B222)),ISNUMBER(SEARCH("FB700",Inventario!B222))),"CP",
IF(ISNUMBER(SEARCH("LX360",Inventario!B222)),"LX3",
IF(ISNUMBER(SEARCH("XEROX",Inventario!B222)),"XER",
IF(ISNUMBER(SEARCH("18 OZ",Inventario!B222)),"18OZ",
IF(ISNUMBER(SEARCH("15 OZ",Inventario!B222)),"15OZ",
IF(OR(ISNUMBER(SEARCH("13 OZ",Inventario!B222)),ISNUMBER(SEARCH("13 ONZAS",Inventario!B222))),"13OZ",
IF(OR(ISNUMBER(SEARCH("9 OZ",Inventario!B222)),ISNUMBER(SEARCH("9 ONZAS",Inventario!B222))),"09OZ","")))))))))</f>
        <v/>
      </c>
      <c r="E223" t="str">
        <f>IF(OR(ISNUMBER(SEARCH("TRANSPARENTE",Inventario!B222)),ISNUMBER(SEARCH("TRANSPARENTES",Inventario!B222))),"TR",
IF(OR(ISNUMBER(SEARCH("BLANCO",Inventario!B222)),ISNUMBER(SEARCH("BCO",Inventario!B222))),"BL",
IF(ISNUMBER(SEARCH("VERDE",Inventario!B222)),"VR",
IF(ISNUMBER(SEARCH("MORADO",Inventario!B222)),"MR",
IF(ISNUMBER(SEARCH("PLATA",Inventario!B222)),"PL",
IF(ISNUMBER(SEARCH("ORO",Inventario!B222)),"OR",
IF(ISNUMBER(SEARCH("AMARILLO",Inventario!B222)),"AM",
IF(ISNUMBER(SEARCH("NARANJA",Inventario!B222)),"NR",
IF(ISNUMBER(SEARCH("NEGRO",Inventario!B222)),"NG",
IF(ISNUMBER(SEARCH("ROJO",Inventario!B222)),"RJ",
IF(ISNUMBER(SEARCH("AZUL",Inventario!B222)),"AZ","")))))))))))</f>
        <v/>
      </c>
      <c r="F223" t="str">
        <f>IF(ISNUMBER(SEARCH("1,2 MM",Inventario!B222)),"1MM2",
IF(OR(ISNUMBER(SEARCH("2 MM",Inventario!B222)),ISNUMBER(SEARCH("2MM",Inventario!B222))),"2MM",
IF(OR(ISNUMBER(SEARCH("3 MM",Inventario!B222)),ISNUMBER(SEARCH("3MM",Inventario!B222))),"3MM",
IF(OR(ISNUMBER(SEARCH("4 MM",Inventario!B222)),ISNUMBER(SEARCH("4MM",Inventario!B222)),ISNUMBER(SEARCH("4 mm",Inventario!B222))),"4MM",
IF(OR(ISNUMBER(SEARCH("5 MM",Inventario!B222)),ISNUMBER(SEARCH("5MM",Inventario!B222))),"5MM",
IF(OR(ISNUMBER(SEARCH("6 MM",Inventario!B222)),ISNUMBER(SEARCH("6MM",Inventario!B222))),"6MM",
IF(OR(ISNUMBER(SEARCH("10 MM",Inventario!B222)),ISNUMBER(SEARCH("10MM",Inventario!B222))),"10MM","")))))))</f>
        <v>3MM</v>
      </c>
      <c r="H223" t="str">
        <f>IF(ISNUMBER(SEARCH("SILED",Inventario!B222)),"SI",
IF(ISNUMBER(SEARCH("SYDEMEX",Inventario!B222)),"SY",
IF(ISNUMBER(SEARCH("ROHS",Inventario!B222)),"RO",
IF(ISNUMBER(SEARCH("RISHANG",Inventario!B222)),"RS",
IF(ISNUMBER(SEARCH("VYG",Inventario!B222)),"VYG",
IF(ISNUMBER(SEARCH("COLED",Inventario!B222)),"CO",""))))))</f>
        <v/>
      </c>
    </row>
    <row r="224" spans="1:8">
      <c r="A224" t="str">
        <f>IF(ISNUMBER(SEARCH("LONA",Inventario!B223)),"LON",
IF(ISNUMBER(SEARCH("VINIL",Inventario!B223)),"VIN",
IF(ISNUMBER(SEARCH("PANEL DE ALUMINIO COMPUESTO",Inventario!B223)),"PAN-ALU-COM",
IF(ISNUMBER(SEARCH("PVC",Inventario!B223)),"PVC",
IF(ISNUMBER(SEARCH("PAPEL",Inventario!B223)),"PAP",
IF(ISNUMBER(SEARCH("TELA",Inventario!B223)),"TEL",
IF(ISNUMBER(SEARCH("CARTULINA",Inventario!B223)),"CAR",
IF(OR(ISNUMBER(SEARCH("LAMINA",Inventario!B223)),ISNUMBER(SEARCH("LÁMINA",Inventario!B223))),"LAM",
IF(ISNUMBER(SEARCH("ESTIRENO",Inventario!B223)),"EST",
IF(ISNUMBER(SEARCH("FOAMBOARD",Inventario!B223)),"FOA",
IF(ISNUMBER(SEARCH("SOLVENTE",Inventario!B223)),"SOL",
IF(ISNUMBER(SEARCH("TINTA",Inventario!B223)),"TIN",
IF(ISNUMBER(SEARCH("ACRILICO",Inventario!B223)),"ACR",
IF(ISNUMBER(SEARCH("LED",Inventario!B223)),"LED",
IF(ISNUMBER(SEARCH("FUENTE",Inventario!B223)),"FUE",
IF(ISNUMBER(SEARCH("PETG",Inventario!B223)),"PET",
IF(ISNUMBER(SEARCH("ALUMINIO",Inventario!B223)),"ALU",
IF(ISNUMBER(SEARCH("CANAL",Inventario!B223)),"CAN",
IF(ISNUMBER(SEARCH("ESCUADRA",Inventario!B223)),"ESC",
IF(ISNUMBER(SEARCH("SOPORTE",Inventario!B223)),"SOP","OTR")
)))))))))))))))))))</f>
        <v>PVC</v>
      </c>
      <c r="B224" t="str">
        <f>IF(ISNUMBER(SEARCH("CORTE",Inventario!B223)),"COR",
IF(ISNUMBER(SEARCH("CRISTAL",Inventario!B223)),"CR",
IF(OR(ISNUMBER(SEARCH("OPTICO",Inventario!B223)),ISNUMBER(SEARCH("OPTICOS",Inventario!B223)),ISNUMBER(SEARCH("OPTICA",Inventario!B223))),"OP",
IF(ISNUMBER(SEARCH("NANO",Inventario!B223)),"NA",
IF(ISNUMBER(SEARCH("5050",Inventario!B223)),"5050",
IF(ISNUMBER(SEARCH("MICRO",Inventario!B223)),"MI",""))))))</f>
        <v/>
      </c>
      <c r="C224" t="str">
        <f>IF(ISNUMBER(SEARCH("PARED",Inventario!B223)),"PAR",IF(ISNUMBER(SEARCH("MATE",Inventario!B223)),"MAT",
IF(ISNUMBER(SEARCH("FRONT",Inventario!B223)),"FRO",
IF(ISNUMBER(SEARCH("BACK",Inventario!B223)),"BAC",
IF(ISNUMBER(SEARCH("MESH",Inventario!B223)),"MES",
IF(OR(ISNUMBER(SEARCH("BRILLANTE",Inventario!B223)),ISNUMBER(SEARCH("BTE",Inventario!B223))),"BRI",
IF(ISNUMBER(SEARCH("SINTETICA DELGADA",Inventario!B223)),"SD",
IF(ISNUMBER(SEARCH("SINTETICA GRUESA",Inventario!B223)),"SG",
IF(ISNUMBER(SEARCH("ESTATICO",Inventario!B223)),"EST",
IF(ISNUMBER(SEARCH("FLOOR",Inventario!B223)),"FLO",
IF(ISNUMBER(SEARCH("REFLECTIVO",Inventario!B223)),"REF",
IF(ISNUMBER(SEARCH("MICROPERFORADO",Inventario!B223)),"MI",
IF(ISNUMBER(SEARCH("CEPILLADO",Inventario!B223)),"CEP",
IF(ISNUMBER(SEARCH("ESPEJO",Inventario!B223)),"ESP",
IF(OR(ISNUMBER(SEARCH("UNIDIODO",Inventario!B223)),ISNUMBER(SEARCH("1 DIODO",Inventario!B223))),"1D",
IF(ISNUMBER(SEARCH("2 DIODOS",Inventario!B223)),"2D",
IF(ISNUMBER(SEARCH("3 DIODOS",Inventario!B223)),"3D","")))))))))))))))))</f>
        <v/>
      </c>
      <c r="D224" t="str">
        <f>IF(ISNUMBER(SEARCH("LX700",Inventario!B223)),"LX7",
IF(ISNUMBER(SEARCH("GRANDO",Inventario!B223)),"GRA",
IF(OR(ISNUMBER(SEARCH("CAMA PLANA",Inventario!B223)),ISNUMBER(SEARCH("FB700",Inventario!B223))),"CP",
IF(ISNUMBER(SEARCH("LX360",Inventario!B223)),"LX3",
IF(ISNUMBER(SEARCH("XEROX",Inventario!B223)),"XER",
IF(ISNUMBER(SEARCH("18 OZ",Inventario!B223)),"18OZ",
IF(ISNUMBER(SEARCH("15 OZ",Inventario!B223)),"15OZ",
IF(OR(ISNUMBER(SEARCH("13 OZ",Inventario!B223)),ISNUMBER(SEARCH("13 ONZAS",Inventario!B223))),"13OZ",
IF(OR(ISNUMBER(SEARCH("9 OZ",Inventario!B223)),ISNUMBER(SEARCH("9 ONZAS",Inventario!B223))),"09OZ","")))))))))</f>
        <v/>
      </c>
      <c r="E224" t="str">
        <f>IF(OR(ISNUMBER(SEARCH("TRANSPARENTE",Inventario!B223)),ISNUMBER(SEARCH("TRANSPARENTES",Inventario!B223))),"TR",
IF(OR(ISNUMBER(SEARCH("BLANCO",Inventario!B223)),ISNUMBER(SEARCH("BCO",Inventario!B223))),"BL",
IF(ISNUMBER(SEARCH("VERDE",Inventario!B223)),"VR",
IF(ISNUMBER(SEARCH("MORADO",Inventario!B223)),"MR",
IF(ISNUMBER(SEARCH("PLATA",Inventario!B223)),"PL",
IF(ISNUMBER(SEARCH("ORO",Inventario!B223)),"OR",
IF(ISNUMBER(SEARCH("AMARILLO",Inventario!B223)),"AM",
IF(ISNUMBER(SEARCH("NARANJA",Inventario!B223)),"NR",
IF(ISNUMBER(SEARCH("NEGRO",Inventario!B223)),"NG",
IF(ISNUMBER(SEARCH("ROJO",Inventario!B223)),"RJ",
IF(ISNUMBER(SEARCH("AZUL",Inventario!B223)),"AZ","")))))))))))</f>
        <v>NR</v>
      </c>
      <c r="F224" t="str">
        <f>IF(ISNUMBER(SEARCH("1,2 MM",Inventario!B223)),"1MM2",
IF(OR(ISNUMBER(SEARCH("2 MM",Inventario!B223)),ISNUMBER(SEARCH("2MM",Inventario!B223))),"2MM",
IF(OR(ISNUMBER(SEARCH("3 MM",Inventario!B223)),ISNUMBER(SEARCH("3MM",Inventario!B223))),"3MM",
IF(OR(ISNUMBER(SEARCH("4 MM",Inventario!B223)),ISNUMBER(SEARCH("4MM",Inventario!B223)),ISNUMBER(SEARCH("4 mm",Inventario!B223))),"4MM",
IF(OR(ISNUMBER(SEARCH("5 MM",Inventario!B223)),ISNUMBER(SEARCH("5MM",Inventario!B223))),"5MM",
IF(OR(ISNUMBER(SEARCH("6 MM",Inventario!B223)),ISNUMBER(SEARCH("6MM",Inventario!B223))),"6MM",
IF(OR(ISNUMBER(SEARCH("10 MM",Inventario!B223)),ISNUMBER(SEARCH("10MM",Inventario!B223))),"10MM","")))))))</f>
        <v>3MM</v>
      </c>
      <c r="H224" t="str">
        <f>IF(ISNUMBER(SEARCH("SILED",Inventario!B223)),"SI",
IF(ISNUMBER(SEARCH("SYDEMEX",Inventario!B223)),"SY",
IF(ISNUMBER(SEARCH("ROHS",Inventario!B223)),"RO",
IF(ISNUMBER(SEARCH("RISHANG",Inventario!B223)),"RS",
IF(ISNUMBER(SEARCH("VYG",Inventario!B223)),"VYG",
IF(ISNUMBER(SEARCH("COLED",Inventario!B223)),"CO",""))))))</f>
        <v/>
      </c>
    </row>
    <row r="225" spans="1:8">
      <c r="A225" t="str">
        <f>IF(ISNUMBER(SEARCH("LONA",Inventario!B224)),"LON",
IF(ISNUMBER(SEARCH("VINIL",Inventario!B224)),"VIN",
IF(ISNUMBER(SEARCH("PANEL DE ALUMINIO COMPUESTO",Inventario!B224)),"PAN-ALU-COM",
IF(ISNUMBER(SEARCH("PVC",Inventario!B224)),"PVC",
IF(ISNUMBER(SEARCH("PAPEL",Inventario!B224)),"PAP",
IF(ISNUMBER(SEARCH("TELA",Inventario!B224)),"TEL",
IF(ISNUMBER(SEARCH("CARTULINA",Inventario!B224)),"CAR",
IF(OR(ISNUMBER(SEARCH("LAMINA",Inventario!B224)),ISNUMBER(SEARCH("LÁMINA",Inventario!B224))),"LAM",
IF(ISNUMBER(SEARCH("ESTIRENO",Inventario!B224)),"EST",
IF(ISNUMBER(SEARCH("FOAMBOARD",Inventario!B224)),"FOA",
IF(ISNUMBER(SEARCH("SOLVENTE",Inventario!B224)),"SOL",
IF(ISNUMBER(SEARCH("TINTA",Inventario!B224)),"TIN",
IF(ISNUMBER(SEARCH("ACRILICO",Inventario!B224)),"ACR",
IF(ISNUMBER(SEARCH("LED",Inventario!B224)),"LED",
IF(ISNUMBER(SEARCH("FUENTE",Inventario!B224)),"FUE",
IF(ISNUMBER(SEARCH("PETG",Inventario!B224)),"PET",
IF(ISNUMBER(SEARCH("ALUMINIO",Inventario!B224)),"ALU",
IF(ISNUMBER(SEARCH("CANAL",Inventario!B224)),"CAN",
IF(ISNUMBER(SEARCH("ESCUADRA",Inventario!B224)),"ESC",
IF(ISNUMBER(SEARCH("SOPORTE",Inventario!B224)),"SOP","OTR")
)))))))))))))))))))</f>
        <v>PVC</v>
      </c>
      <c r="B225" t="str">
        <f>IF(ISNUMBER(SEARCH("CORTE",Inventario!B224)),"COR",
IF(ISNUMBER(SEARCH("CRISTAL",Inventario!B224)),"CR",
IF(OR(ISNUMBER(SEARCH("OPTICO",Inventario!B224)),ISNUMBER(SEARCH("OPTICOS",Inventario!B224)),ISNUMBER(SEARCH("OPTICA",Inventario!B224))),"OP",
IF(ISNUMBER(SEARCH("NANO",Inventario!B224)),"NA",
IF(ISNUMBER(SEARCH("5050",Inventario!B224)),"5050",
IF(ISNUMBER(SEARCH("MICRO",Inventario!B224)),"MI",""))))))</f>
        <v/>
      </c>
      <c r="C225" t="str">
        <f>IF(ISNUMBER(SEARCH("PARED",Inventario!B224)),"PAR",IF(ISNUMBER(SEARCH("MATE",Inventario!B224)),"MAT",
IF(ISNUMBER(SEARCH("FRONT",Inventario!B224)),"FRO",
IF(ISNUMBER(SEARCH("BACK",Inventario!B224)),"BAC",
IF(ISNUMBER(SEARCH("MESH",Inventario!B224)),"MES",
IF(OR(ISNUMBER(SEARCH("BRILLANTE",Inventario!B224)),ISNUMBER(SEARCH("BTE",Inventario!B224))),"BRI",
IF(ISNUMBER(SEARCH("SINTETICA DELGADA",Inventario!B224)),"SD",
IF(ISNUMBER(SEARCH("SINTETICA GRUESA",Inventario!B224)),"SG",
IF(ISNUMBER(SEARCH("ESTATICO",Inventario!B224)),"EST",
IF(ISNUMBER(SEARCH("FLOOR",Inventario!B224)),"FLO",
IF(ISNUMBER(SEARCH("REFLECTIVO",Inventario!B224)),"REF",
IF(ISNUMBER(SEARCH("MICROPERFORADO",Inventario!B224)),"MI",
IF(ISNUMBER(SEARCH("CEPILLADO",Inventario!B224)),"CEP",
IF(ISNUMBER(SEARCH("ESPEJO",Inventario!B224)),"ESP",
IF(OR(ISNUMBER(SEARCH("UNIDIODO",Inventario!B224)),ISNUMBER(SEARCH("1 DIODO",Inventario!B224))),"1D",
IF(ISNUMBER(SEARCH("2 DIODOS",Inventario!B224)),"2D",
IF(ISNUMBER(SEARCH("3 DIODOS",Inventario!B224)),"3D","")))))))))))))))))</f>
        <v/>
      </c>
      <c r="D225" t="str">
        <f>IF(ISNUMBER(SEARCH("LX700",Inventario!B224)),"LX7",
IF(ISNUMBER(SEARCH("GRANDO",Inventario!B224)),"GRA",
IF(OR(ISNUMBER(SEARCH("CAMA PLANA",Inventario!B224)),ISNUMBER(SEARCH("FB700",Inventario!B224))),"CP",
IF(ISNUMBER(SEARCH("LX360",Inventario!B224)),"LX3",
IF(ISNUMBER(SEARCH("XEROX",Inventario!B224)),"XER",
IF(ISNUMBER(SEARCH("18 OZ",Inventario!B224)),"18OZ",
IF(ISNUMBER(SEARCH("15 OZ",Inventario!B224)),"15OZ",
IF(OR(ISNUMBER(SEARCH("13 OZ",Inventario!B224)),ISNUMBER(SEARCH("13 ONZAS",Inventario!B224))),"13OZ",
IF(OR(ISNUMBER(SEARCH("9 OZ",Inventario!B224)),ISNUMBER(SEARCH("9 ONZAS",Inventario!B224))),"09OZ","")))))))))</f>
        <v/>
      </c>
      <c r="E225" t="str">
        <f>IF(OR(ISNUMBER(SEARCH("TRANSPARENTE",Inventario!B224)),ISNUMBER(SEARCH("TRANSPARENTES",Inventario!B224))),"TR",
IF(OR(ISNUMBER(SEARCH("BLANCO",Inventario!B224)),ISNUMBER(SEARCH("BCO",Inventario!B224))),"BL",
IF(ISNUMBER(SEARCH("VERDE",Inventario!B224)),"VR",
IF(ISNUMBER(SEARCH("MORADO",Inventario!B224)),"MR",
IF(ISNUMBER(SEARCH("PLATA",Inventario!B224)),"PL",
IF(ISNUMBER(SEARCH("ORO",Inventario!B224)),"OR",
IF(ISNUMBER(SEARCH("AMARILLO",Inventario!B224)),"AM",
IF(ISNUMBER(SEARCH("NARANJA",Inventario!B224)),"NR",
IF(ISNUMBER(SEARCH("NEGRO",Inventario!B224)),"NG",
IF(ISNUMBER(SEARCH("ROJO",Inventario!B224)),"RJ",
IF(ISNUMBER(SEARCH("AZUL",Inventario!B224)),"AZ","")))))))))))</f>
        <v>MR</v>
      </c>
      <c r="F225" t="str">
        <f>IF(ISNUMBER(SEARCH("1,2 MM",Inventario!B224)),"1MM2",
IF(OR(ISNUMBER(SEARCH("2 MM",Inventario!B224)),ISNUMBER(SEARCH("2MM",Inventario!B224))),"2MM",
IF(OR(ISNUMBER(SEARCH("3 MM",Inventario!B224)),ISNUMBER(SEARCH("3MM",Inventario!B224))),"3MM",
IF(OR(ISNUMBER(SEARCH("4 MM",Inventario!B224)),ISNUMBER(SEARCH("4MM",Inventario!B224)),ISNUMBER(SEARCH("4 mm",Inventario!B224))),"4MM",
IF(OR(ISNUMBER(SEARCH("5 MM",Inventario!B224)),ISNUMBER(SEARCH("5MM",Inventario!B224))),"5MM",
IF(OR(ISNUMBER(SEARCH("6 MM",Inventario!B224)),ISNUMBER(SEARCH("6MM",Inventario!B224))),"6MM",
IF(OR(ISNUMBER(SEARCH("10 MM",Inventario!B224)),ISNUMBER(SEARCH("10MM",Inventario!B224))),"10MM","")))))))</f>
        <v>3MM</v>
      </c>
      <c r="H225" t="str">
        <f>IF(ISNUMBER(SEARCH("SILED",Inventario!B224)),"SI",
IF(ISNUMBER(SEARCH("SYDEMEX",Inventario!B224)),"SY",
IF(ISNUMBER(SEARCH("ROHS",Inventario!B224)),"RO",
IF(ISNUMBER(SEARCH("RISHANG",Inventario!B224)),"RS",
IF(ISNUMBER(SEARCH("VYG",Inventario!B224)),"VYG",
IF(ISNUMBER(SEARCH("COLED",Inventario!B224)),"CO",""))))))</f>
        <v/>
      </c>
    </row>
    <row r="226" spans="1:8">
      <c r="A226" t="str">
        <f>IF(ISNUMBER(SEARCH("LONA",Inventario!B225)),"LON",
IF(ISNUMBER(SEARCH("VINIL",Inventario!B225)),"VIN",
IF(ISNUMBER(SEARCH("PANEL DE ALUMINIO COMPUESTO",Inventario!B225)),"PAN-ALU-COM",
IF(ISNUMBER(SEARCH("PVC",Inventario!B225)),"PVC",
IF(ISNUMBER(SEARCH("PAPEL",Inventario!B225)),"PAP",
IF(ISNUMBER(SEARCH("TELA",Inventario!B225)),"TEL",
IF(ISNUMBER(SEARCH("CARTULINA",Inventario!B225)),"CAR",
IF(OR(ISNUMBER(SEARCH("LAMINA",Inventario!B225)),ISNUMBER(SEARCH("LÁMINA",Inventario!B225))),"LAM",
IF(ISNUMBER(SEARCH("ESTIRENO",Inventario!B225)),"EST",
IF(ISNUMBER(SEARCH("FOAMBOARD",Inventario!B225)),"FOA",
IF(ISNUMBER(SEARCH("SOLVENTE",Inventario!B225)),"SOL",
IF(ISNUMBER(SEARCH("TINTA",Inventario!B225)),"TIN",
IF(ISNUMBER(SEARCH("ACRILICO",Inventario!B225)),"ACR",
IF(ISNUMBER(SEARCH("LED",Inventario!B225)),"LED",
IF(ISNUMBER(SEARCH("FUENTE",Inventario!B225)),"FUE",
IF(ISNUMBER(SEARCH("PETG",Inventario!B225)),"PET",
IF(ISNUMBER(SEARCH("ALUMINIO",Inventario!B225)),"ALU",
IF(ISNUMBER(SEARCH("CANAL",Inventario!B225)),"CAN",
IF(ISNUMBER(SEARCH("ESCUADRA",Inventario!B225)),"ESC",
IF(ISNUMBER(SEARCH("SOPORTE",Inventario!B225)),"SOP","OTR")
)))))))))))))))))))</f>
        <v>PVC</v>
      </c>
      <c r="B226" t="str">
        <f>IF(ISNUMBER(SEARCH("CORTE",Inventario!B225)),"COR",
IF(ISNUMBER(SEARCH("CRISTAL",Inventario!B225)),"CR",
IF(OR(ISNUMBER(SEARCH("OPTICO",Inventario!B225)),ISNUMBER(SEARCH("OPTICOS",Inventario!B225)),ISNUMBER(SEARCH("OPTICA",Inventario!B225))),"OP",
IF(ISNUMBER(SEARCH("NANO",Inventario!B225)),"NA",
IF(ISNUMBER(SEARCH("5050",Inventario!B225)),"5050",
IF(ISNUMBER(SEARCH("MICRO",Inventario!B225)),"MI",""))))))</f>
        <v/>
      </c>
      <c r="C226" t="str">
        <f>IF(ISNUMBER(SEARCH("PARED",Inventario!B225)),"PAR",IF(ISNUMBER(SEARCH("MATE",Inventario!B225)),"MAT",
IF(ISNUMBER(SEARCH("FRONT",Inventario!B225)),"FRO",
IF(ISNUMBER(SEARCH("BACK",Inventario!B225)),"BAC",
IF(ISNUMBER(SEARCH("MESH",Inventario!B225)),"MES",
IF(OR(ISNUMBER(SEARCH("BRILLANTE",Inventario!B225)),ISNUMBER(SEARCH("BTE",Inventario!B225))),"BRI",
IF(ISNUMBER(SEARCH("SINTETICA DELGADA",Inventario!B225)),"SD",
IF(ISNUMBER(SEARCH("SINTETICA GRUESA",Inventario!B225)),"SG",
IF(ISNUMBER(SEARCH("ESTATICO",Inventario!B225)),"EST",
IF(ISNUMBER(SEARCH("FLOOR",Inventario!B225)),"FLO",
IF(ISNUMBER(SEARCH("REFLECTIVO",Inventario!B225)),"REF",
IF(ISNUMBER(SEARCH("MICROPERFORADO",Inventario!B225)),"MI",
IF(ISNUMBER(SEARCH("CEPILLADO",Inventario!B225)),"CEP",
IF(ISNUMBER(SEARCH("ESPEJO",Inventario!B225)),"ESP",
IF(OR(ISNUMBER(SEARCH("UNIDIODO",Inventario!B225)),ISNUMBER(SEARCH("1 DIODO",Inventario!B225))),"1D",
IF(ISNUMBER(SEARCH("2 DIODOS",Inventario!B225)),"2D",
IF(ISNUMBER(SEARCH("3 DIODOS",Inventario!B225)),"3D","")))))))))))))))))</f>
        <v/>
      </c>
      <c r="D226" t="str">
        <f>IF(ISNUMBER(SEARCH("LX700",Inventario!B225)),"LX7",
IF(ISNUMBER(SEARCH("GRANDO",Inventario!B225)),"GRA",
IF(OR(ISNUMBER(SEARCH("CAMA PLANA",Inventario!B225)),ISNUMBER(SEARCH("FB700",Inventario!B225))),"CP",
IF(ISNUMBER(SEARCH("LX360",Inventario!B225)),"LX3",
IF(ISNUMBER(SEARCH("XEROX",Inventario!B225)),"XER",
IF(ISNUMBER(SEARCH("18 OZ",Inventario!B225)),"18OZ",
IF(ISNUMBER(SEARCH("15 OZ",Inventario!B225)),"15OZ",
IF(OR(ISNUMBER(SEARCH("13 OZ",Inventario!B225)),ISNUMBER(SEARCH("13 ONZAS",Inventario!B225))),"13OZ",
IF(OR(ISNUMBER(SEARCH("9 OZ",Inventario!B225)),ISNUMBER(SEARCH("9 ONZAS",Inventario!B225))),"09OZ","")))))))))</f>
        <v/>
      </c>
      <c r="E226" t="str">
        <f>IF(OR(ISNUMBER(SEARCH("TRANSPARENTE",Inventario!B225)),ISNUMBER(SEARCH("TRANSPARENTES",Inventario!B225))),"TR",
IF(OR(ISNUMBER(SEARCH("BLANCO",Inventario!B225)),ISNUMBER(SEARCH("BCO",Inventario!B225))),"BL",
IF(ISNUMBER(SEARCH("VERDE",Inventario!B225)),"VR",
IF(ISNUMBER(SEARCH("MORADO",Inventario!B225)),"MR",
IF(ISNUMBER(SEARCH("PLATA",Inventario!B225)),"PL",
IF(ISNUMBER(SEARCH("ORO",Inventario!B225)),"OR",
IF(ISNUMBER(SEARCH("AMARILLO",Inventario!B225)),"AM",
IF(ISNUMBER(SEARCH("NARANJA",Inventario!B225)),"NR",
IF(ISNUMBER(SEARCH("NEGRO",Inventario!B225)),"NG",
IF(ISNUMBER(SEARCH("ROJO",Inventario!B225)),"RJ",
IF(ISNUMBER(SEARCH("AZUL",Inventario!B225)),"AZ","")))))))))))</f>
        <v>AZ</v>
      </c>
      <c r="F226" t="str">
        <f>IF(ISNUMBER(SEARCH("1,2 MM",Inventario!B225)),"1MM2",
IF(OR(ISNUMBER(SEARCH("2 MM",Inventario!B225)),ISNUMBER(SEARCH("2MM",Inventario!B225))),"2MM",
IF(OR(ISNUMBER(SEARCH("3 MM",Inventario!B225)),ISNUMBER(SEARCH("3MM",Inventario!B225))),"3MM",
IF(OR(ISNUMBER(SEARCH("4 MM",Inventario!B225)),ISNUMBER(SEARCH("4MM",Inventario!B225)),ISNUMBER(SEARCH("4 mm",Inventario!B225))),"4MM",
IF(OR(ISNUMBER(SEARCH("5 MM",Inventario!B225)),ISNUMBER(SEARCH("5MM",Inventario!B225))),"5MM",
IF(OR(ISNUMBER(SEARCH("6 MM",Inventario!B225)),ISNUMBER(SEARCH("6MM",Inventario!B225))),"6MM",
IF(OR(ISNUMBER(SEARCH("10 MM",Inventario!B225)),ISNUMBER(SEARCH("10MM",Inventario!B225))),"10MM","")))))))</f>
        <v>3MM</v>
      </c>
      <c r="H226" t="str">
        <f>IF(ISNUMBER(SEARCH("SILED",Inventario!B225)),"SI",
IF(ISNUMBER(SEARCH("SYDEMEX",Inventario!B225)),"SY",
IF(ISNUMBER(SEARCH("ROHS",Inventario!B225)),"RO",
IF(ISNUMBER(SEARCH("RISHANG",Inventario!B225)),"RS",
IF(ISNUMBER(SEARCH("VYG",Inventario!B225)),"VYG",
IF(ISNUMBER(SEARCH("COLED",Inventario!B225)),"CO",""))))))</f>
        <v/>
      </c>
    </row>
    <row r="227" spans="1:8">
      <c r="A227" t="str">
        <f>IF(ISNUMBER(SEARCH("LONA",Inventario!B226)),"LON",
IF(ISNUMBER(SEARCH("VINIL",Inventario!B226)),"VIN",
IF(ISNUMBER(SEARCH("PANEL DE ALUMINIO COMPUESTO",Inventario!B226)),"PAN-ALU-COM",
IF(ISNUMBER(SEARCH("PVC",Inventario!B226)),"PVC",
IF(ISNUMBER(SEARCH("PAPEL",Inventario!B226)),"PAP",
IF(ISNUMBER(SEARCH("TELA",Inventario!B226)),"TEL",
IF(ISNUMBER(SEARCH("CARTULINA",Inventario!B226)),"CAR",
IF(OR(ISNUMBER(SEARCH("LAMINA",Inventario!B226)),ISNUMBER(SEARCH("LÁMINA",Inventario!B226))),"LAM",
IF(ISNUMBER(SEARCH("ESTIRENO",Inventario!B226)),"EST",
IF(ISNUMBER(SEARCH("FOAMBOARD",Inventario!B226)),"FOA",
IF(ISNUMBER(SEARCH("SOLVENTE",Inventario!B226)),"SOL",
IF(ISNUMBER(SEARCH("TINTA",Inventario!B226)),"TIN",
IF(ISNUMBER(SEARCH("ACRILICO",Inventario!B226)),"ACR",
IF(ISNUMBER(SEARCH("LED",Inventario!B226)),"LED",
IF(ISNUMBER(SEARCH("FUENTE",Inventario!B226)),"FUE",
IF(ISNUMBER(SEARCH("PETG",Inventario!B226)),"PET",
IF(ISNUMBER(SEARCH("ALUMINIO",Inventario!B226)),"ALU",
IF(ISNUMBER(SEARCH("CANAL",Inventario!B226)),"CAN",
IF(ISNUMBER(SEARCH("ESCUADRA",Inventario!B226)),"ESC",
IF(ISNUMBER(SEARCH("SOPORTE",Inventario!B226)),"SOP","OTR")
)))))))))))))))))))</f>
        <v>PVC</v>
      </c>
      <c r="B227" t="str">
        <f>IF(ISNUMBER(SEARCH("CORTE",Inventario!B226)),"COR",
IF(ISNUMBER(SEARCH("CRISTAL",Inventario!B226)),"CR",
IF(OR(ISNUMBER(SEARCH("OPTICO",Inventario!B226)),ISNUMBER(SEARCH("OPTICOS",Inventario!B226)),ISNUMBER(SEARCH("OPTICA",Inventario!B226))),"OP",
IF(ISNUMBER(SEARCH("NANO",Inventario!B226)),"NA",
IF(ISNUMBER(SEARCH("5050",Inventario!B226)),"5050",
IF(ISNUMBER(SEARCH("MICRO",Inventario!B226)),"MI",""))))))</f>
        <v/>
      </c>
      <c r="C227" t="str">
        <f>IF(ISNUMBER(SEARCH("PARED",Inventario!B226)),"PAR",IF(ISNUMBER(SEARCH("MATE",Inventario!B226)),"MAT",
IF(ISNUMBER(SEARCH("FRONT",Inventario!B226)),"FRO",
IF(ISNUMBER(SEARCH("BACK",Inventario!B226)),"BAC",
IF(ISNUMBER(SEARCH("MESH",Inventario!B226)),"MES",
IF(OR(ISNUMBER(SEARCH("BRILLANTE",Inventario!B226)),ISNUMBER(SEARCH("BTE",Inventario!B226))),"BRI",
IF(ISNUMBER(SEARCH("SINTETICA DELGADA",Inventario!B226)),"SD",
IF(ISNUMBER(SEARCH("SINTETICA GRUESA",Inventario!B226)),"SG",
IF(ISNUMBER(SEARCH("ESTATICO",Inventario!B226)),"EST",
IF(ISNUMBER(SEARCH("FLOOR",Inventario!B226)),"FLO",
IF(ISNUMBER(SEARCH("REFLECTIVO",Inventario!B226)),"REF",
IF(ISNUMBER(SEARCH("MICROPERFORADO",Inventario!B226)),"MI",
IF(ISNUMBER(SEARCH("CEPILLADO",Inventario!B226)),"CEP",
IF(ISNUMBER(SEARCH("ESPEJO",Inventario!B226)),"ESP",
IF(OR(ISNUMBER(SEARCH("UNIDIODO",Inventario!B226)),ISNUMBER(SEARCH("1 DIODO",Inventario!B226))),"1D",
IF(ISNUMBER(SEARCH("2 DIODOS",Inventario!B226)),"2D",
IF(ISNUMBER(SEARCH("3 DIODOS",Inventario!B226)),"3D","")))))))))))))))))</f>
        <v/>
      </c>
      <c r="D227" t="str">
        <f>IF(ISNUMBER(SEARCH("LX700",Inventario!B226)),"LX7",
IF(ISNUMBER(SEARCH("GRANDO",Inventario!B226)),"GRA",
IF(OR(ISNUMBER(SEARCH("CAMA PLANA",Inventario!B226)),ISNUMBER(SEARCH("FB700",Inventario!B226))),"CP",
IF(ISNUMBER(SEARCH("LX360",Inventario!B226)),"LX3",
IF(ISNUMBER(SEARCH("XEROX",Inventario!B226)),"XER",
IF(ISNUMBER(SEARCH("18 OZ",Inventario!B226)),"18OZ",
IF(ISNUMBER(SEARCH("15 OZ",Inventario!B226)),"15OZ",
IF(OR(ISNUMBER(SEARCH("13 OZ",Inventario!B226)),ISNUMBER(SEARCH("13 ONZAS",Inventario!B226))),"13OZ",
IF(OR(ISNUMBER(SEARCH("9 OZ",Inventario!B226)),ISNUMBER(SEARCH("9 ONZAS",Inventario!B226))),"09OZ","")))))))))</f>
        <v/>
      </c>
      <c r="E227" t="str">
        <f>IF(OR(ISNUMBER(SEARCH("TRANSPARENTE",Inventario!B226)),ISNUMBER(SEARCH("TRANSPARENTES",Inventario!B226))),"TR",
IF(OR(ISNUMBER(SEARCH("BLANCO",Inventario!B226)),ISNUMBER(SEARCH("BCO",Inventario!B226))),"BL",
IF(ISNUMBER(SEARCH("VERDE",Inventario!B226)),"VR",
IF(ISNUMBER(SEARCH("MORADO",Inventario!B226)),"MR",
IF(ISNUMBER(SEARCH("PLATA",Inventario!B226)),"PL",
IF(ISNUMBER(SEARCH("ORO",Inventario!B226)),"OR",
IF(ISNUMBER(SEARCH("AMARILLO",Inventario!B226)),"AM",
IF(ISNUMBER(SEARCH("NARANJA",Inventario!B226)),"NR",
IF(ISNUMBER(SEARCH("NEGRO",Inventario!B226)),"NG",
IF(ISNUMBER(SEARCH("ROJO",Inventario!B226)),"RJ",
IF(ISNUMBER(SEARCH("AZUL",Inventario!B226)),"AZ","")))))))))))</f>
        <v>RJ</v>
      </c>
      <c r="F227" t="str">
        <f>IF(ISNUMBER(SEARCH("1,2 MM",Inventario!B226)),"1MM2",
IF(OR(ISNUMBER(SEARCH("2 MM",Inventario!B226)),ISNUMBER(SEARCH("2MM",Inventario!B226))),"2MM",
IF(OR(ISNUMBER(SEARCH("3 MM",Inventario!B226)),ISNUMBER(SEARCH("3MM",Inventario!B226))),"3MM",
IF(OR(ISNUMBER(SEARCH("4 MM",Inventario!B226)),ISNUMBER(SEARCH("4MM",Inventario!B226)),ISNUMBER(SEARCH("4 mm",Inventario!B226))),"4MM",
IF(OR(ISNUMBER(SEARCH("5 MM",Inventario!B226)),ISNUMBER(SEARCH("5MM",Inventario!B226))),"5MM",
IF(OR(ISNUMBER(SEARCH("6 MM",Inventario!B226)),ISNUMBER(SEARCH("6MM",Inventario!B226))),"6MM",
IF(OR(ISNUMBER(SEARCH("10 MM",Inventario!B226)),ISNUMBER(SEARCH("10MM",Inventario!B226))),"10MM","")))))))</f>
        <v>3MM</v>
      </c>
      <c r="H227" t="str">
        <f>IF(ISNUMBER(SEARCH("SILED",Inventario!B226)),"SI",
IF(ISNUMBER(SEARCH("SYDEMEX",Inventario!B226)),"SY",
IF(ISNUMBER(SEARCH("ROHS",Inventario!B226)),"RO",
IF(ISNUMBER(SEARCH("RISHANG",Inventario!B226)),"RS",
IF(ISNUMBER(SEARCH("VYG",Inventario!B226)),"VYG",
IF(ISNUMBER(SEARCH("COLED",Inventario!B226)),"CO",""))))))</f>
        <v/>
      </c>
    </row>
    <row r="228" spans="1:8">
      <c r="A228" t="str">
        <f>IF(ISNUMBER(SEARCH("LONA",Inventario!B227)),"LON",
IF(ISNUMBER(SEARCH("VINIL",Inventario!B227)),"VIN",
IF(ISNUMBER(SEARCH("PANEL DE ALUMINIO COMPUESTO",Inventario!B227)),"PAN-ALU-COM",
IF(ISNUMBER(SEARCH("PVC",Inventario!B227)),"PVC",
IF(ISNUMBER(SEARCH("PAPEL",Inventario!B227)),"PAP",
IF(ISNUMBER(SEARCH("TELA",Inventario!B227)),"TEL",
IF(ISNUMBER(SEARCH("CARTULINA",Inventario!B227)),"CAR",
IF(OR(ISNUMBER(SEARCH("LAMINA",Inventario!B227)),ISNUMBER(SEARCH("LÁMINA",Inventario!B227))),"LAM",
IF(ISNUMBER(SEARCH("ESTIRENO",Inventario!B227)),"EST",
IF(ISNUMBER(SEARCH("FOAMBOARD",Inventario!B227)),"FOA",
IF(ISNUMBER(SEARCH("SOLVENTE",Inventario!B227)),"SOL",
IF(ISNUMBER(SEARCH("TINTA",Inventario!B227)),"TIN",
IF(ISNUMBER(SEARCH("ACRILICO",Inventario!B227)),"ACR",
IF(ISNUMBER(SEARCH("LED",Inventario!B227)),"LED",
IF(ISNUMBER(SEARCH("FUENTE",Inventario!B227)),"FUE",
IF(ISNUMBER(SEARCH("PETG",Inventario!B227)),"PET",
IF(ISNUMBER(SEARCH("ALUMINIO",Inventario!B227)),"ALU",
IF(ISNUMBER(SEARCH("CANAL",Inventario!B227)),"CAN",
IF(ISNUMBER(SEARCH("ESCUADRA",Inventario!B227)),"ESC",
IF(ISNUMBER(SEARCH("SOPORTE",Inventario!B227)),"SOP","OTR")
)))))))))))))))))))</f>
        <v>LED</v>
      </c>
      <c r="B228" t="str">
        <f>IF(ISNUMBER(SEARCH("CORTE",Inventario!B227)),"COR",
IF(ISNUMBER(SEARCH("CRISTAL",Inventario!B227)),"CR",
IF(OR(ISNUMBER(SEARCH("OPTICO",Inventario!B227)),ISNUMBER(SEARCH("OPTICOS",Inventario!B227)),ISNUMBER(SEARCH("OPTICA",Inventario!B227))),"OP",
IF(ISNUMBER(SEARCH("NANO",Inventario!B227)),"NA",
IF(ISNUMBER(SEARCH("5050",Inventario!B227)),"5050",
IF(ISNUMBER(SEARCH("MICRO",Inventario!B227)),"MI",""))))))</f>
        <v/>
      </c>
      <c r="C228" t="str">
        <f>IF(ISNUMBER(SEARCH("PARED",Inventario!B227)),"PAR",IF(ISNUMBER(SEARCH("MATE",Inventario!B227)),"MAT",
IF(ISNUMBER(SEARCH("FRONT",Inventario!B227)),"FRO",
IF(ISNUMBER(SEARCH("BACK",Inventario!B227)),"BAC",
IF(ISNUMBER(SEARCH("MESH",Inventario!B227)),"MES",
IF(OR(ISNUMBER(SEARCH("BRILLANTE",Inventario!B227)),ISNUMBER(SEARCH("BTE",Inventario!B227))),"BRI",
IF(ISNUMBER(SEARCH("SINTETICA DELGADA",Inventario!B227)),"SD",
IF(ISNUMBER(SEARCH("SINTETICA GRUESA",Inventario!B227)),"SG",
IF(ISNUMBER(SEARCH("ESTATICO",Inventario!B227)),"EST",
IF(ISNUMBER(SEARCH("FLOOR",Inventario!B227)),"FLO",
IF(ISNUMBER(SEARCH("REFLECTIVO",Inventario!B227)),"REF",
IF(ISNUMBER(SEARCH("MICROPERFORADO",Inventario!B227)),"MI",
IF(ISNUMBER(SEARCH("CEPILLADO",Inventario!B227)),"CEP",
IF(ISNUMBER(SEARCH("ESPEJO",Inventario!B227)),"ESP",
IF(OR(ISNUMBER(SEARCH("UNIDIODO",Inventario!B227)),ISNUMBER(SEARCH("1 DIODO",Inventario!B227))),"1D",
IF(ISNUMBER(SEARCH("2 DIODOS",Inventario!B227)),"2D",
IF(ISNUMBER(SEARCH("3 DIODOS",Inventario!B227)),"3D","")))))))))))))))))</f>
        <v>2D</v>
      </c>
      <c r="D228" t="str">
        <f>IF(ISNUMBER(SEARCH("LX700",Inventario!B227)),"LX7",
IF(ISNUMBER(SEARCH("GRANDO",Inventario!B227)),"GRA",
IF(OR(ISNUMBER(SEARCH("CAMA PLANA",Inventario!B227)),ISNUMBER(SEARCH("FB700",Inventario!B227))),"CP",
IF(ISNUMBER(SEARCH("LX360",Inventario!B227)),"LX3",
IF(ISNUMBER(SEARCH("XEROX",Inventario!B227)),"XER",
IF(ISNUMBER(SEARCH("18 OZ",Inventario!B227)),"18OZ",
IF(ISNUMBER(SEARCH("15 OZ",Inventario!B227)),"15OZ",
IF(OR(ISNUMBER(SEARCH("13 OZ",Inventario!B227)),ISNUMBER(SEARCH("13 ONZAS",Inventario!B227))),"13OZ",
IF(OR(ISNUMBER(SEARCH("9 OZ",Inventario!B227)),ISNUMBER(SEARCH("9 ONZAS",Inventario!B227))),"09OZ","")))))))))</f>
        <v/>
      </c>
      <c r="E228" t="str">
        <f>IF(OR(ISNUMBER(SEARCH("TRANSPARENTE",Inventario!B227)),ISNUMBER(SEARCH("TRANSPARENTES",Inventario!B227))),"TR",
IF(OR(ISNUMBER(SEARCH("BLANCO",Inventario!B227)),ISNUMBER(SEARCH("BCO",Inventario!B227))),"BL",
IF(ISNUMBER(SEARCH("VERDE",Inventario!B227)),"VR",
IF(ISNUMBER(SEARCH("MORADO",Inventario!B227)),"MR",
IF(ISNUMBER(SEARCH("PLATA",Inventario!B227)),"PL",
IF(ISNUMBER(SEARCH("ORO",Inventario!B227)),"OR",
IF(ISNUMBER(SEARCH("AMARILLO",Inventario!B227)),"AM",
IF(ISNUMBER(SEARCH("NARANJA",Inventario!B227)),"NR",
IF(ISNUMBER(SEARCH("NEGRO",Inventario!B227)),"NG",
IF(ISNUMBER(SEARCH("ROJO",Inventario!B227)),"RJ",
IF(ISNUMBER(SEARCH("AZUL",Inventario!B227)),"AZ","")))))))))))</f>
        <v>BL</v>
      </c>
      <c r="F228" t="str">
        <f>IF(ISNUMBER(SEARCH("1,2 MM",Inventario!B227)),"1MM2",
IF(OR(ISNUMBER(SEARCH("2 MM",Inventario!B227)),ISNUMBER(SEARCH("2MM",Inventario!B227))),"2MM",
IF(OR(ISNUMBER(SEARCH("3 MM",Inventario!B227)),ISNUMBER(SEARCH("3MM",Inventario!B227))),"3MM",
IF(OR(ISNUMBER(SEARCH("4 MM",Inventario!B227)),ISNUMBER(SEARCH("4MM",Inventario!B227)),ISNUMBER(SEARCH("4 mm",Inventario!B227))),"4MM",
IF(OR(ISNUMBER(SEARCH("5 MM",Inventario!B227)),ISNUMBER(SEARCH("5MM",Inventario!B227))),"5MM",
IF(OR(ISNUMBER(SEARCH("6 MM",Inventario!B227)),ISNUMBER(SEARCH("6MM",Inventario!B227))),"6MM",
IF(OR(ISNUMBER(SEARCH("10 MM",Inventario!B227)),ISNUMBER(SEARCH("10MM",Inventario!B227))),"10MM","")))))))</f>
        <v/>
      </c>
      <c r="G228" t="str">
        <f>IF(ISNUMBER(SEARCH("ALTA RESISTENCIA",Inventario!B227)),"AR",IF(ISNUMBER(SEARCH("CAMPAÑA",Inventario!B227)),"CA",
IF(OR(ISNUMBER(SEARCH("CALIDO",Inventario!B227)),ISNUMBER(SEARCH("CÁLIDO",Inventario!B227))),"C",
IF(OR(ISNUMBER(SEARCH("TRASLUCIDO",Inventario!B227)),ISNUMBER(SEARCH("TRANSLUCIDO",Inventario!B227))),"TL",
IF(ISNUMBER(SEARCH("NEUTRO",Inventario!B227)),"N",
IF(ISNUMBER(SEARCH("FRIO",Inventario!B227)),"F",""))))))</f>
        <v>F</v>
      </c>
      <c r="H228" t="str">
        <f>IF(ISNUMBER(SEARCH("SILED",Inventario!B227)),"SI",
IF(ISNUMBER(SEARCH("SYDEMEX",Inventario!B227)),"SY",
IF(ISNUMBER(SEARCH("ROHS",Inventario!B227)),"RO",
IF(ISNUMBER(SEARCH("RISHANG",Inventario!B227)),"RS",
IF(ISNUMBER(SEARCH("VYG",Inventario!B227)),"VYG",
IF(ISNUMBER(SEARCH("COLED",Inventario!B227)),"CO",""))))))</f>
        <v>SY</v>
      </c>
    </row>
    <row r="229" spans="1:8">
      <c r="A229" t="str">
        <f>IF(ISNUMBER(SEARCH("LONA",Inventario!B228)),"LON",
IF(ISNUMBER(SEARCH("VINIL",Inventario!B228)),"VIN",
IF(ISNUMBER(SEARCH("PANEL DE ALUMINIO COMPUESTO",Inventario!B228)),"PAN-ALU-COM",
IF(ISNUMBER(SEARCH("PVC",Inventario!B228)),"PVC",
IF(ISNUMBER(SEARCH("PAPEL",Inventario!B228)),"PAP",
IF(ISNUMBER(SEARCH("TELA",Inventario!B228)),"TEL",
IF(ISNUMBER(SEARCH("CARTULINA",Inventario!B228)),"CAR",
IF(OR(ISNUMBER(SEARCH("LAMINA",Inventario!B228)),ISNUMBER(SEARCH("LÁMINA",Inventario!B228))),"LAM",
IF(ISNUMBER(SEARCH("ESTIRENO",Inventario!B228)),"EST",
IF(ISNUMBER(SEARCH("FOAMBOARD",Inventario!B228)),"FOA",
IF(ISNUMBER(SEARCH("SOLVENTE",Inventario!B228)),"SOL",
IF(ISNUMBER(SEARCH("TINTA",Inventario!B228)),"TIN",
IF(ISNUMBER(SEARCH("ACRILICO",Inventario!B228)),"ACR",
IF(ISNUMBER(SEARCH("LED",Inventario!B228)),"LED",
IF(ISNUMBER(SEARCH("FUENTE",Inventario!B228)),"FUE",
IF(ISNUMBER(SEARCH("PETG",Inventario!B228)),"PET",
IF(ISNUMBER(SEARCH("ALUMINIO",Inventario!B228)),"ALU",
IF(ISNUMBER(SEARCH("CANAL",Inventario!B228)),"CAN",
IF(ISNUMBER(SEARCH("ESCUADRA",Inventario!B228)),"ESC",
IF(ISNUMBER(SEARCH("SOPORTE",Inventario!B228)),"SOP","OTR")
)))))))))))))))))))</f>
        <v>LED</v>
      </c>
      <c r="B229" t="str">
        <f>IF(ISNUMBER(SEARCH("CORTE",Inventario!B228)),"COR",
IF(ISNUMBER(SEARCH("CRISTAL",Inventario!B228)),"CR",
IF(OR(ISNUMBER(SEARCH("OPTICO",Inventario!B228)),ISNUMBER(SEARCH("OPTICOS",Inventario!B228)),ISNUMBER(SEARCH("OPTICA",Inventario!B228))),"OP",
IF(ISNUMBER(SEARCH("NANO",Inventario!B228)),"NA",
IF(ISNUMBER(SEARCH("5050",Inventario!B228)),"5050",
IF(ISNUMBER(SEARCH("MICRO",Inventario!B228)),"MI",""))))))</f>
        <v>OP</v>
      </c>
      <c r="C229" t="str">
        <f>IF(ISNUMBER(SEARCH("PARED",Inventario!B228)),"PAR",IF(ISNUMBER(SEARCH("MATE",Inventario!B228)),"MAT",
IF(ISNUMBER(SEARCH("FRONT",Inventario!B228)),"FRO",
IF(ISNUMBER(SEARCH("BACK",Inventario!B228)),"BAC",
IF(ISNUMBER(SEARCH("MESH",Inventario!B228)),"MES",
IF(OR(ISNUMBER(SEARCH("BRILLANTE",Inventario!B228)),ISNUMBER(SEARCH("BTE",Inventario!B228))),"BRI",
IF(ISNUMBER(SEARCH("SINTETICA DELGADA",Inventario!B228)),"SD",
IF(ISNUMBER(SEARCH("SINTETICA GRUESA",Inventario!B228)),"SG",
IF(ISNUMBER(SEARCH("ESTATICO",Inventario!B228)),"EST",
IF(ISNUMBER(SEARCH("FLOOR",Inventario!B228)),"FLO",
IF(ISNUMBER(SEARCH("REFLECTIVO",Inventario!B228)),"REF",
IF(ISNUMBER(SEARCH("MICROPERFORADO",Inventario!B228)),"MI",
IF(ISNUMBER(SEARCH("CEPILLADO",Inventario!B228)),"CEP",
IF(ISNUMBER(SEARCH("ESPEJO",Inventario!B228)),"ESP",
IF(OR(ISNUMBER(SEARCH("UNIDIODO",Inventario!B228)),ISNUMBER(SEARCH("1 DIODO",Inventario!B228))),"1D",
IF(ISNUMBER(SEARCH("2 DIODOS",Inventario!B228)),"2D",
IF(ISNUMBER(SEARCH("3 DIODOS",Inventario!B228)),"3D","")))))))))))))))))</f>
        <v>3D</v>
      </c>
      <c r="D229" t="str">
        <f>IF(ISNUMBER(SEARCH("LX700",Inventario!B228)),"LX7",
IF(ISNUMBER(SEARCH("GRANDO",Inventario!B228)),"GRA",
IF(OR(ISNUMBER(SEARCH("CAMA PLANA",Inventario!B228)),ISNUMBER(SEARCH("FB700",Inventario!B228))),"CP",
IF(ISNUMBER(SEARCH("LX360",Inventario!B228)),"LX3",
IF(ISNUMBER(SEARCH("XEROX",Inventario!B228)),"XER",
IF(ISNUMBER(SEARCH("18 OZ",Inventario!B228)),"18OZ",
IF(ISNUMBER(SEARCH("15 OZ",Inventario!B228)),"15OZ",
IF(OR(ISNUMBER(SEARCH("13 OZ",Inventario!B228)),ISNUMBER(SEARCH("13 ONZAS",Inventario!B228))),"13OZ",
IF(OR(ISNUMBER(SEARCH("9 OZ",Inventario!B228)),ISNUMBER(SEARCH("9 ONZAS",Inventario!B228))),"09OZ","")))))))))</f>
        <v/>
      </c>
      <c r="E229" t="str">
        <f>IF(OR(ISNUMBER(SEARCH("TRANSPARENTE",Inventario!B228)),ISNUMBER(SEARCH("TRANSPARENTES",Inventario!B228))),"TR",
IF(OR(ISNUMBER(SEARCH("BLANCO",Inventario!B228)),ISNUMBER(SEARCH("BCO",Inventario!B228))),"BL",
IF(ISNUMBER(SEARCH("VERDE",Inventario!B228)),"VR",
IF(ISNUMBER(SEARCH("MORADO",Inventario!B228)),"MR",
IF(ISNUMBER(SEARCH("PLATA",Inventario!B228)),"PL",
IF(ISNUMBER(SEARCH("ORO",Inventario!B228)),"OR",
IF(ISNUMBER(SEARCH("AMARILLO",Inventario!B228)),"AM",
IF(ISNUMBER(SEARCH("NARANJA",Inventario!B228)),"NR",
IF(ISNUMBER(SEARCH("NEGRO",Inventario!B228)),"NG",
IF(ISNUMBER(SEARCH("ROJO",Inventario!B228)),"RJ",
IF(ISNUMBER(SEARCH("AZUL",Inventario!B228)),"AZ","")))))))))))</f>
        <v>RJ</v>
      </c>
      <c r="F229" t="str">
        <f>IF(ISNUMBER(SEARCH("1,2 MM",Inventario!B228)),"1MM2",
IF(OR(ISNUMBER(SEARCH("2 MM",Inventario!B228)),ISNUMBER(SEARCH("2MM",Inventario!B228))),"2MM",
IF(OR(ISNUMBER(SEARCH("3 MM",Inventario!B228)),ISNUMBER(SEARCH("3MM",Inventario!B228))),"3MM",
IF(OR(ISNUMBER(SEARCH("4 MM",Inventario!B228)),ISNUMBER(SEARCH("4MM",Inventario!B228)),ISNUMBER(SEARCH("4 mm",Inventario!B228))),"4MM",
IF(OR(ISNUMBER(SEARCH("5 MM",Inventario!B228)),ISNUMBER(SEARCH("5MM",Inventario!B228))),"5MM",
IF(OR(ISNUMBER(SEARCH("6 MM",Inventario!B228)),ISNUMBER(SEARCH("6MM",Inventario!B228))),"6MM",
IF(OR(ISNUMBER(SEARCH("10 MM",Inventario!B228)),ISNUMBER(SEARCH("10MM",Inventario!B228))),"10MM","")))))))</f>
        <v/>
      </c>
      <c r="G229" t="str">
        <f>IF(ISNUMBER(SEARCH("ALTA RESISTENCIA",Inventario!B228)),"AR",IF(ISNUMBER(SEARCH("CAMPAÑA",Inventario!B228)),"CA",
IF(OR(ISNUMBER(SEARCH("CALIDO",Inventario!B228)),ISNUMBER(SEARCH("CÁLIDO",Inventario!B228))),"C",
IF(OR(ISNUMBER(SEARCH("TRASLUCIDO",Inventario!B228)),ISNUMBER(SEARCH("TRANSLUCIDO",Inventario!B228))),"TL",
IF(ISNUMBER(SEARCH("NEUTRO",Inventario!B228)),"N",
IF(ISNUMBER(SEARCH("FRIO",Inventario!B228)),"F",""))))))</f>
        <v/>
      </c>
      <c r="H229" t="str">
        <f>IF(ISNUMBER(SEARCH("SILED",Inventario!B228)),"SI",
IF(ISNUMBER(SEARCH("SYDEMEX",Inventario!B228)),"SY",
IF(ISNUMBER(SEARCH("ROHS",Inventario!B228)),"RO",
IF(ISNUMBER(SEARCH("RISHANG",Inventario!B228)),"RS",
IF(ISNUMBER(SEARCH("VYG",Inventario!B228)),"VYG",
IF(ISNUMBER(SEARCH("COLED",Inventario!B228)),"CO",""))))))</f>
        <v>SI</v>
      </c>
    </row>
    <row r="230" spans="1:8">
      <c r="A230" t="str">
        <f>IF(ISNUMBER(SEARCH("LONA",Inventario!B229)),"LON",
IF(ISNUMBER(SEARCH("VINIL",Inventario!B229)),"VIN",
IF(ISNUMBER(SEARCH("PANEL DE ALUMINIO COMPUESTO",Inventario!B229)),"PAN-ALU-COM",
IF(ISNUMBER(SEARCH("PVC",Inventario!B229)),"PVC",
IF(ISNUMBER(SEARCH("PAPEL",Inventario!B229)),"PAP",
IF(ISNUMBER(SEARCH("TELA",Inventario!B229)),"TEL",
IF(ISNUMBER(SEARCH("CARTULINA",Inventario!B229)),"CAR",
IF(OR(ISNUMBER(SEARCH("LAMINA",Inventario!B229)),ISNUMBER(SEARCH("LÁMINA",Inventario!B229))),"LAM",
IF(ISNUMBER(SEARCH("ESTIRENO",Inventario!B229)),"EST",
IF(ISNUMBER(SEARCH("FOAMBOARD",Inventario!B229)),"FOA",
IF(ISNUMBER(SEARCH("SOLVENTE",Inventario!B229)),"SOL",
IF(ISNUMBER(SEARCH("TINTA",Inventario!B229)),"TIN",
IF(ISNUMBER(SEARCH("ACRILICO",Inventario!B229)),"ACR",
IF(ISNUMBER(SEARCH("LED",Inventario!B229)),"LED",
IF(ISNUMBER(SEARCH("FUENTE",Inventario!B229)),"FUE",
IF(ISNUMBER(SEARCH("PETG",Inventario!B229)),"PET",
IF(ISNUMBER(SEARCH("ALUMINIO",Inventario!B229)),"ALU",
IF(ISNUMBER(SEARCH("CANAL",Inventario!B229)),"CAN",
IF(ISNUMBER(SEARCH("ESCUADRA",Inventario!B229)),"ESC",
IF(ISNUMBER(SEARCH("SOPORTE",Inventario!B229)),"SOP","OTR")
)))))))))))))))))))</f>
        <v>LED</v>
      </c>
      <c r="B230" t="str">
        <f>IF(ISNUMBER(SEARCH("CORTE",Inventario!B229)),"COR",
IF(ISNUMBER(SEARCH("CRISTAL",Inventario!B229)),"CR",
IF(OR(ISNUMBER(SEARCH("OPTICO",Inventario!B229)),ISNUMBER(SEARCH("OPTICOS",Inventario!B229)),ISNUMBER(SEARCH("OPTICA",Inventario!B229))),"OP",
IF(ISNUMBER(SEARCH("NANO",Inventario!B229)),"NA",
IF(ISNUMBER(SEARCH("5050",Inventario!B229)),"5050",
IF(ISNUMBER(SEARCH("MICRO",Inventario!B229)),"MI",""))))))</f>
        <v/>
      </c>
      <c r="C230" t="str">
        <f>IF(ISNUMBER(SEARCH("PARED",Inventario!B229)),"PAR",IF(ISNUMBER(SEARCH("MATE",Inventario!B229)),"MAT",
IF(ISNUMBER(SEARCH("FRONT",Inventario!B229)),"FRO",
IF(ISNUMBER(SEARCH("BACK",Inventario!B229)),"BAC",
IF(ISNUMBER(SEARCH("MESH",Inventario!B229)),"MES",
IF(OR(ISNUMBER(SEARCH("BRILLANTE",Inventario!B229)),ISNUMBER(SEARCH("BTE",Inventario!B229))),"BRI",
IF(ISNUMBER(SEARCH("SINTETICA DELGADA",Inventario!B229)),"SD",
IF(ISNUMBER(SEARCH("SINTETICA GRUESA",Inventario!B229)),"SG",
IF(ISNUMBER(SEARCH("ESTATICO",Inventario!B229)),"EST",
IF(ISNUMBER(SEARCH("FLOOR",Inventario!B229)),"FLO",
IF(ISNUMBER(SEARCH("REFLECTIVO",Inventario!B229)),"REF",
IF(ISNUMBER(SEARCH("MICROPERFORADO",Inventario!B229)),"MI",
IF(ISNUMBER(SEARCH("CEPILLADO",Inventario!B229)),"CEP",
IF(ISNUMBER(SEARCH("ESPEJO",Inventario!B229)),"ESP",
IF(OR(ISNUMBER(SEARCH("UNIDIODO",Inventario!B229)),ISNUMBER(SEARCH("1 DIODO",Inventario!B229))),"1D",
IF(ISNUMBER(SEARCH("2 DIODOS",Inventario!B229)),"2D",
IF(ISNUMBER(SEARCH("3 DIODOS",Inventario!B229)),"3D","")))))))))))))))))</f>
        <v>1D</v>
      </c>
      <c r="D230" t="str">
        <f>IF(ISNUMBER(SEARCH("LX700",Inventario!B229)),"LX7",
IF(ISNUMBER(SEARCH("GRANDO",Inventario!B229)),"GRA",
IF(OR(ISNUMBER(SEARCH("CAMA PLANA",Inventario!B229)),ISNUMBER(SEARCH("FB700",Inventario!B229))),"CP",
IF(ISNUMBER(SEARCH("LX360",Inventario!B229)),"LX3",
IF(ISNUMBER(SEARCH("XEROX",Inventario!B229)),"XER",
IF(ISNUMBER(SEARCH("18 OZ",Inventario!B229)),"18OZ",
IF(ISNUMBER(SEARCH("15 OZ",Inventario!B229)),"15OZ",
IF(OR(ISNUMBER(SEARCH("13 OZ",Inventario!B229)),ISNUMBER(SEARCH("13 ONZAS",Inventario!B229))),"13OZ",
IF(OR(ISNUMBER(SEARCH("9 OZ",Inventario!B229)),ISNUMBER(SEARCH("9 ONZAS",Inventario!B229))),"09OZ","")))))))))</f>
        <v/>
      </c>
      <c r="E230" t="str">
        <f>IF(OR(ISNUMBER(SEARCH("TRANSPARENTE",Inventario!B229)),ISNUMBER(SEARCH("TRANSPARENTES",Inventario!B229))),"TR",
IF(OR(ISNUMBER(SEARCH("BLANCO",Inventario!B229)),ISNUMBER(SEARCH("BCO",Inventario!B229))),"BL",
IF(ISNUMBER(SEARCH("VERDE",Inventario!B229)),"VR",
IF(ISNUMBER(SEARCH("MORADO",Inventario!B229)),"MR",
IF(ISNUMBER(SEARCH("PLATA",Inventario!B229)),"PL",
IF(ISNUMBER(SEARCH("ORO",Inventario!B229)),"OR",
IF(ISNUMBER(SEARCH("AMARILLO",Inventario!B229)),"AM",
IF(ISNUMBER(SEARCH("NARANJA",Inventario!B229)),"NR",
IF(ISNUMBER(SEARCH("NEGRO",Inventario!B229)),"NG",
IF(ISNUMBER(SEARCH("ROJO",Inventario!B229)),"RJ",
IF(ISNUMBER(SEARCH("AZUL",Inventario!B229)),"AZ","")))))))))))</f>
        <v>BL</v>
      </c>
      <c r="F230" t="str">
        <f>IF(ISNUMBER(SEARCH("1,2 MM",Inventario!B229)),"1MM2",
IF(OR(ISNUMBER(SEARCH("2 MM",Inventario!B229)),ISNUMBER(SEARCH("2MM",Inventario!B229))),"2MM",
IF(OR(ISNUMBER(SEARCH("3 MM",Inventario!B229)),ISNUMBER(SEARCH("3MM",Inventario!B229))),"3MM",
IF(OR(ISNUMBER(SEARCH("4 MM",Inventario!B229)),ISNUMBER(SEARCH("4MM",Inventario!B229)),ISNUMBER(SEARCH("4 mm",Inventario!B229))),"4MM",
IF(OR(ISNUMBER(SEARCH("5 MM",Inventario!B229)),ISNUMBER(SEARCH("5MM",Inventario!B229))),"5MM",
IF(OR(ISNUMBER(SEARCH("6 MM",Inventario!B229)),ISNUMBER(SEARCH("6MM",Inventario!B229))),"6MM",
IF(OR(ISNUMBER(SEARCH("10 MM",Inventario!B229)),ISNUMBER(SEARCH("10MM",Inventario!B229))),"10MM","")))))))</f>
        <v/>
      </c>
      <c r="G230" t="str">
        <f>IF(ISNUMBER(SEARCH("ALTA RESISTENCIA",Inventario!B229)),"AR",IF(ISNUMBER(SEARCH("CAMPAÑA",Inventario!B229)),"CA",
IF(OR(ISNUMBER(SEARCH("CALIDO",Inventario!B229)),ISNUMBER(SEARCH("CÁLIDO",Inventario!B229))),"C",
IF(OR(ISNUMBER(SEARCH("TRASLUCIDO",Inventario!B229)),ISNUMBER(SEARCH("TRANSLUCIDO",Inventario!B229))),"TL",
IF(ISNUMBER(SEARCH("NEUTRO",Inventario!B229)),"N",
IF(ISNUMBER(SEARCH("FRIO",Inventario!B229)),"F",""))))))</f>
        <v>F</v>
      </c>
      <c r="H230" t="str">
        <f>IF(ISNUMBER(SEARCH("SILED",Inventario!B229)),"SI",
IF(ISNUMBER(SEARCH("SYDEMEX",Inventario!B229)),"SY",
IF(ISNUMBER(SEARCH("ROHS",Inventario!B229)),"RO",
IF(ISNUMBER(SEARCH("RISHANG",Inventario!B229)),"RS",
IF(ISNUMBER(SEARCH("VYG",Inventario!B229)),"VYG",
IF(ISNUMBER(SEARCH("COLED",Inventario!B229)),"CO",""))))))</f>
        <v/>
      </c>
    </row>
    <row r="231" spans="1:8">
      <c r="A231" t="str">
        <f>IF(ISNUMBER(SEARCH("LONA",Inventario!B230)),"LON",
IF(ISNUMBER(SEARCH("VINIL",Inventario!B230)),"VIN",
IF(ISNUMBER(SEARCH("PANEL DE ALUMINIO COMPUESTO",Inventario!B230)),"PAN-ALU-COM",
IF(ISNUMBER(SEARCH("PVC",Inventario!B230)),"PVC",
IF(ISNUMBER(SEARCH("PAPEL",Inventario!B230)),"PAP",
IF(ISNUMBER(SEARCH("TELA",Inventario!B230)),"TEL",
IF(ISNUMBER(SEARCH("CARTULINA",Inventario!B230)),"CAR",
IF(OR(ISNUMBER(SEARCH("LAMINA",Inventario!B230)),ISNUMBER(SEARCH("LÁMINA",Inventario!B230))),"LAM",
IF(ISNUMBER(SEARCH("ESTIRENO",Inventario!B230)),"EST",
IF(ISNUMBER(SEARCH("FOAMBOARD",Inventario!B230)),"FOA",
IF(ISNUMBER(SEARCH("SOLVENTE",Inventario!B230)),"SOL",
IF(ISNUMBER(SEARCH("TINTA",Inventario!B230)),"TIN",
IF(ISNUMBER(SEARCH("ACRILICO",Inventario!B230)),"ACR",
IF(ISNUMBER(SEARCH("LED",Inventario!B230)),"LED",
IF(ISNUMBER(SEARCH("FUENTE",Inventario!B230)),"FUE",
IF(ISNUMBER(SEARCH("PETG",Inventario!B230)),"PET",
IF(ISNUMBER(SEARCH("ALUMINIO",Inventario!B230)),"ALU",
IF(ISNUMBER(SEARCH("CANAL",Inventario!B230)),"CAN",
IF(ISNUMBER(SEARCH("ESCUADRA",Inventario!B230)),"ESC",
IF(ISNUMBER(SEARCH("SOPORTE",Inventario!B230)),"SOP","OTR")
)))))))))))))))))))</f>
        <v>LED</v>
      </c>
      <c r="B231" t="str">
        <f>IF(ISNUMBER(SEARCH("CORTE",Inventario!B230)),"COR",
IF(ISNUMBER(SEARCH("CRISTAL",Inventario!B230)),"CR",
IF(OR(ISNUMBER(SEARCH("OPTICO",Inventario!B230)),ISNUMBER(SEARCH("OPTICOS",Inventario!B230)),ISNUMBER(SEARCH("OPTICA",Inventario!B230))),"OP",
IF(ISNUMBER(SEARCH("NANO",Inventario!B230)),"NA",
IF(ISNUMBER(SEARCH("5050",Inventario!B230)),"5050",
IF(ISNUMBER(SEARCH("MICRO",Inventario!B230)),"MI",""))))))</f>
        <v>MI</v>
      </c>
      <c r="C231" t="str">
        <f>IF(ISNUMBER(SEARCH("PARED",Inventario!B230)),"PAR",IF(ISNUMBER(SEARCH("MATE",Inventario!B230)),"MAT",
IF(ISNUMBER(SEARCH("FRONT",Inventario!B230)),"FRO",
IF(ISNUMBER(SEARCH("BACK",Inventario!B230)),"BAC",
IF(ISNUMBER(SEARCH("MESH",Inventario!B230)),"MES",
IF(OR(ISNUMBER(SEARCH("BRILLANTE",Inventario!B230)),ISNUMBER(SEARCH("BTE",Inventario!B230))),"BRI",
IF(ISNUMBER(SEARCH("SINTETICA DELGADA",Inventario!B230)),"SD",
IF(ISNUMBER(SEARCH("SINTETICA GRUESA",Inventario!B230)),"SG",
IF(ISNUMBER(SEARCH("ESTATICO",Inventario!B230)),"EST",
IF(ISNUMBER(SEARCH("FLOOR",Inventario!B230)),"FLO",
IF(ISNUMBER(SEARCH("REFLECTIVO",Inventario!B230)),"REF",
IF(ISNUMBER(SEARCH("MICROPERFORADO",Inventario!B230)),"MI",
IF(ISNUMBER(SEARCH("CEPILLADO",Inventario!B230)),"CEP",
IF(ISNUMBER(SEARCH("ESPEJO",Inventario!B230)),"ESP",
IF(OR(ISNUMBER(SEARCH("UNIDIODO",Inventario!B230)),ISNUMBER(SEARCH("1 DIODO",Inventario!B230))),"1D",
IF(ISNUMBER(SEARCH("2 DIODOS",Inventario!B230)),"2D",
IF(ISNUMBER(SEARCH("3 DIODOS",Inventario!B230)),"3D","")))))))))))))))))</f>
        <v>2D</v>
      </c>
      <c r="D231" t="str">
        <f>IF(ISNUMBER(SEARCH("LX700",Inventario!B230)),"LX7",
IF(ISNUMBER(SEARCH("GRANDO",Inventario!B230)),"GRA",
IF(OR(ISNUMBER(SEARCH("CAMA PLANA",Inventario!B230)),ISNUMBER(SEARCH("FB700",Inventario!B230))),"CP",
IF(ISNUMBER(SEARCH("LX360",Inventario!B230)),"LX3",
IF(ISNUMBER(SEARCH("XEROX",Inventario!B230)),"XER",
IF(ISNUMBER(SEARCH("18 OZ",Inventario!B230)),"18OZ",
IF(ISNUMBER(SEARCH("15 OZ",Inventario!B230)),"15OZ",
IF(OR(ISNUMBER(SEARCH("13 OZ",Inventario!B230)),ISNUMBER(SEARCH("13 ONZAS",Inventario!B230))),"13OZ",
IF(OR(ISNUMBER(SEARCH("9 OZ",Inventario!B230)),ISNUMBER(SEARCH("9 ONZAS",Inventario!B230))),"09OZ","")))))))))</f>
        <v/>
      </c>
      <c r="E231" t="str">
        <f>IF(OR(ISNUMBER(SEARCH("TRANSPARENTE",Inventario!B230)),ISNUMBER(SEARCH("TRANSPARENTES",Inventario!B230))),"TR",
IF(OR(ISNUMBER(SEARCH("BLANCO",Inventario!B230)),ISNUMBER(SEARCH("BCO",Inventario!B230))),"BL",
IF(ISNUMBER(SEARCH("VERDE",Inventario!B230)),"VR",
IF(ISNUMBER(SEARCH("MORADO",Inventario!B230)),"MR",
IF(ISNUMBER(SEARCH("PLATA",Inventario!B230)),"PL",
IF(ISNUMBER(SEARCH("ORO",Inventario!B230)),"OR",
IF(ISNUMBER(SEARCH("AMARILLO",Inventario!B230)),"AM",
IF(ISNUMBER(SEARCH("NARANJA",Inventario!B230)),"NR",
IF(ISNUMBER(SEARCH("NEGRO",Inventario!B230)),"NG",
IF(ISNUMBER(SEARCH("ROJO",Inventario!B230)),"RJ",
IF(ISNUMBER(SEARCH("AZUL",Inventario!B230)),"AZ","")))))))))))</f>
        <v>BL</v>
      </c>
      <c r="F231" t="str">
        <f>IF(ISNUMBER(SEARCH("1,2 MM",Inventario!B230)),"1MM2",
IF(OR(ISNUMBER(SEARCH("2 MM",Inventario!B230)),ISNUMBER(SEARCH("2MM",Inventario!B230))),"2MM",
IF(OR(ISNUMBER(SEARCH("3 MM",Inventario!B230)),ISNUMBER(SEARCH("3MM",Inventario!B230))),"3MM",
IF(OR(ISNUMBER(SEARCH("4 MM",Inventario!B230)),ISNUMBER(SEARCH("4MM",Inventario!B230)),ISNUMBER(SEARCH("4 mm",Inventario!B230))),"4MM",
IF(OR(ISNUMBER(SEARCH("5 MM",Inventario!B230)),ISNUMBER(SEARCH("5MM",Inventario!B230))),"5MM",
IF(OR(ISNUMBER(SEARCH("6 MM",Inventario!B230)),ISNUMBER(SEARCH("6MM",Inventario!B230))),"6MM",
IF(OR(ISNUMBER(SEARCH("10 MM",Inventario!B230)),ISNUMBER(SEARCH("10MM",Inventario!B230))),"10MM","")))))))</f>
        <v/>
      </c>
      <c r="G231" t="str">
        <f>IF(ISNUMBER(SEARCH("ALTA RESISTENCIA",Inventario!B230)),"AR",IF(ISNUMBER(SEARCH("CAMPAÑA",Inventario!B230)),"CA",
IF(OR(ISNUMBER(SEARCH("CALIDO",Inventario!B230)),ISNUMBER(SEARCH("CÁLIDO",Inventario!B230))),"C",
IF(OR(ISNUMBER(SEARCH("TRASLUCIDO",Inventario!B230)),ISNUMBER(SEARCH("TRANSLUCIDO",Inventario!B230))),"TL",
IF(ISNUMBER(SEARCH("NEUTRO",Inventario!B230)),"N",
IF(ISNUMBER(SEARCH("FRIO",Inventario!B230)),"F",""))))))</f>
        <v>F</v>
      </c>
      <c r="H231" t="str">
        <f>IF(ISNUMBER(SEARCH("SILED",Inventario!B230)),"SI",
IF(ISNUMBER(SEARCH("SYDEMEX",Inventario!B230)),"SY",
IF(ISNUMBER(SEARCH("ROHS",Inventario!B230)),"RO",
IF(ISNUMBER(SEARCH("RISHANG",Inventario!B230)),"RS",
IF(ISNUMBER(SEARCH("VYG",Inventario!B230)),"VYG",
IF(ISNUMBER(SEARCH("COLED",Inventario!B230)),"CO",""))))))</f>
        <v>SI</v>
      </c>
    </row>
    <row r="232" spans="1:8">
      <c r="A232" t="str">
        <f>IF(ISNUMBER(SEARCH("LONA",Inventario!B231)),"LON",
IF(ISNUMBER(SEARCH("VINIL",Inventario!B231)),"VIN",
IF(ISNUMBER(SEARCH("PANEL DE ALUMINIO COMPUESTO",Inventario!B231)),"PAN-ALU-COM",
IF(ISNUMBER(SEARCH("PVC",Inventario!B231)),"PVC",
IF(ISNUMBER(SEARCH("PAPEL",Inventario!B231)),"PAP",
IF(ISNUMBER(SEARCH("TELA",Inventario!B231)),"TEL",
IF(ISNUMBER(SEARCH("CARTULINA",Inventario!B231)),"CAR",
IF(OR(ISNUMBER(SEARCH("LAMINA",Inventario!B231)),ISNUMBER(SEARCH("LÁMINA",Inventario!B231))),"LAM",
IF(ISNUMBER(SEARCH("ESTIRENO",Inventario!B231)),"EST",
IF(ISNUMBER(SEARCH("FOAMBOARD",Inventario!B231)),"FOA",
IF(ISNUMBER(SEARCH("SOLVENTE",Inventario!B231)),"SOL",
IF(ISNUMBER(SEARCH("TINTA",Inventario!B231)),"TIN",
IF(ISNUMBER(SEARCH("ACRILICO",Inventario!B231)),"ACR",
IF(ISNUMBER(SEARCH("LED",Inventario!B231)),"LED",
IF(ISNUMBER(SEARCH("FUENTE",Inventario!B231)),"FUE",
IF(ISNUMBER(SEARCH("PETG",Inventario!B231)),"PET",
IF(ISNUMBER(SEARCH("ALUMINIO",Inventario!B231)),"ALU",
IF(ISNUMBER(SEARCH("CANAL",Inventario!B231)),"CAN",
IF(ISNUMBER(SEARCH("ESCUADRA",Inventario!B231)),"ESC",
IF(ISNUMBER(SEARCH("SOPORTE",Inventario!B231)),"SOP","OTR")
)))))))))))))))))))</f>
        <v>LED</v>
      </c>
      <c r="B232" t="str">
        <f>IF(ISNUMBER(SEARCH("CORTE",Inventario!B231)),"COR",
IF(ISNUMBER(SEARCH("CRISTAL",Inventario!B231)),"CR",
IF(OR(ISNUMBER(SEARCH("OPTICO",Inventario!B231)),ISNUMBER(SEARCH("OPTICOS",Inventario!B231)),ISNUMBER(SEARCH("OPTICA",Inventario!B231))),"OP",
IF(ISNUMBER(SEARCH("NANO",Inventario!B231)),"NA",
IF(ISNUMBER(SEARCH("5050",Inventario!B231)),"5050",
IF(ISNUMBER(SEARCH("MICRO",Inventario!B231)),"MI",""))))))</f>
        <v/>
      </c>
      <c r="C232" t="str">
        <f>IF(ISNUMBER(SEARCH("PARED",Inventario!B231)),"PAR",IF(ISNUMBER(SEARCH("MATE",Inventario!B231)),"MAT",
IF(ISNUMBER(SEARCH("FRONT",Inventario!B231)),"FRO",
IF(ISNUMBER(SEARCH("BACK",Inventario!B231)),"BAC",
IF(ISNUMBER(SEARCH("MESH",Inventario!B231)),"MES",
IF(OR(ISNUMBER(SEARCH("BRILLANTE",Inventario!B231)),ISNUMBER(SEARCH("BTE",Inventario!B231))),"BRI",
IF(ISNUMBER(SEARCH("SINTETICA DELGADA",Inventario!B231)),"SD",
IF(ISNUMBER(SEARCH("SINTETICA GRUESA",Inventario!B231)),"SG",
IF(ISNUMBER(SEARCH("ESTATICO",Inventario!B231)),"EST",
IF(ISNUMBER(SEARCH("FLOOR",Inventario!B231)),"FLO",
IF(ISNUMBER(SEARCH("REFLECTIVO",Inventario!B231)),"REF",
IF(ISNUMBER(SEARCH("MICROPERFORADO",Inventario!B231)),"MI",
IF(ISNUMBER(SEARCH("CEPILLADO",Inventario!B231)),"CEP",
IF(ISNUMBER(SEARCH("ESPEJO",Inventario!B231)),"ESP",
IF(OR(ISNUMBER(SEARCH("UNIDIODO",Inventario!B231)),ISNUMBER(SEARCH("1 DIODO",Inventario!B231))),"1D",
IF(ISNUMBER(SEARCH("2 DIODOS",Inventario!B231)),"2D",
IF(ISNUMBER(SEARCH("3 DIODOS",Inventario!B231)),"3D","")))))))))))))))))</f>
        <v>3D</v>
      </c>
      <c r="D232" t="str">
        <f>IF(ISNUMBER(SEARCH("LX700",Inventario!B231)),"LX7",
IF(ISNUMBER(SEARCH("GRANDO",Inventario!B231)),"GRA",
IF(OR(ISNUMBER(SEARCH("CAMA PLANA",Inventario!B231)),ISNUMBER(SEARCH("FB700",Inventario!B231))),"CP",
IF(ISNUMBER(SEARCH("LX360",Inventario!B231)),"LX3",
IF(ISNUMBER(SEARCH("XEROX",Inventario!B231)),"XER",
IF(ISNUMBER(SEARCH("18 OZ",Inventario!B231)),"18OZ",
IF(ISNUMBER(SEARCH("15 OZ",Inventario!B231)),"15OZ",
IF(OR(ISNUMBER(SEARCH("13 OZ",Inventario!B231)),ISNUMBER(SEARCH("13 ONZAS",Inventario!B231))),"13OZ",
IF(OR(ISNUMBER(SEARCH("9 OZ",Inventario!B231)),ISNUMBER(SEARCH("9 ONZAS",Inventario!B231))),"09OZ","")))))))))</f>
        <v/>
      </c>
      <c r="E232" t="str">
        <f>IF(OR(ISNUMBER(SEARCH("TRANSPARENTE",Inventario!B231)),ISNUMBER(SEARCH("TRANSPARENTES",Inventario!B231))),"TR",
IF(OR(ISNUMBER(SEARCH("BLANCO",Inventario!B231)),ISNUMBER(SEARCH("BCO",Inventario!B231))),"BL",
IF(ISNUMBER(SEARCH("VERDE",Inventario!B231)),"VR",
IF(ISNUMBER(SEARCH("MORADO",Inventario!B231)),"MR",
IF(ISNUMBER(SEARCH("PLATA",Inventario!B231)),"PL",
IF(ISNUMBER(SEARCH("ORO",Inventario!B231)),"OR",
IF(ISNUMBER(SEARCH("AMARILLO",Inventario!B231)),"AM",
IF(ISNUMBER(SEARCH("NARANJA",Inventario!B231)),"NR",
IF(ISNUMBER(SEARCH("NEGRO",Inventario!B231)),"NG",
IF(ISNUMBER(SEARCH("ROJO",Inventario!B231)),"RJ",
IF(ISNUMBER(SEARCH("AZUL",Inventario!B231)),"AZ","")))))))))))</f>
        <v>BL</v>
      </c>
      <c r="F232" t="str">
        <f>IF(ISNUMBER(SEARCH("1,2 MM",Inventario!B231)),"1MM2",
IF(OR(ISNUMBER(SEARCH("2 MM",Inventario!B231)),ISNUMBER(SEARCH("2MM",Inventario!B231))),"2MM",
IF(OR(ISNUMBER(SEARCH("3 MM",Inventario!B231)),ISNUMBER(SEARCH("3MM",Inventario!B231))),"3MM",
IF(OR(ISNUMBER(SEARCH("4 MM",Inventario!B231)),ISNUMBER(SEARCH("4MM",Inventario!B231)),ISNUMBER(SEARCH("4 mm",Inventario!B231))),"4MM",
IF(OR(ISNUMBER(SEARCH("5 MM",Inventario!B231)),ISNUMBER(SEARCH("5MM",Inventario!B231))),"5MM",
IF(OR(ISNUMBER(SEARCH("6 MM",Inventario!B231)),ISNUMBER(SEARCH("6MM",Inventario!B231))),"6MM",
IF(OR(ISNUMBER(SEARCH("10 MM",Inventario!B231)),ISNUMBER(SEARCH("10MM",Inventario!B231))),"10MM","")))))))</f>
        <v/>
      </c>
      <c r="G232" t="str">
        <f>IF(ISNUMBER(SEARCH("ALTA RESISTENCIA",Inventario!B231)),"AR",IF(ISNUMBER(SEARCH("CAMPAÑA",Inventario!B231)),"CA",
IF(OR(ISNUMBER(SEARCH("CALIDO",Inventario!B231)),ISNUMBER(SEARCH("CÁLIDO",Inventario!B231))),"C",
IF(OR(ISNUMBER(SEARCH("TRASLUCIDO",Inventario!B231)),ISNUMBER(SEARCH("TRANSLUCIDO",Inventario!B231))),"TL",
IF(ISNUMBER(SEARCH("NEUTRO",Inventario!B231)),"N",
IF(ISNUMBER(SEARCH("FRIO",Inventario!B231)),"F",""))))))</f>
        <v>C</v>
      </c>
      <c r="H232" t="str">
        <f>IF(ISNUMBER(SEARCH("SILED",Inventario!B231)),"SI",
IF(ISNUMBER(SEARCH("SYDEMEX",Inventario!B231)),"SY",
IF(ISNUMBER(SEARCH("ROHS",Inventario!B231)),"RO",
IF(ISNUMBER(SEARCH("RISHANG",Inventario!B231)),"RS",
IF(ISNUMBER(SEARCH("VYG",Inventario!B231)),"VYG",
IF(ISNUMBER(SEARCH("COLED",Inventario!B231)),"CO",""))))))</f>
        <v>SY</v>
      </c>
    </row>
    <row r="233" spans="1:8">
      <c r="A233" t="str">
        <f>IF(ISNUMBER(SEARCH("LONA",Inventario!B232)),"LON",
IF(ISNUMBER(SEARCH("VINIL",Inventario!B232)),"VIN",
IF(ISNUMBER(SEARCH("PANEL DE ALUMINIO COMPUESTO",Inventario!B232)),"PAN-ALU-COM",
IF(ISNUMBER(SEARCH("PVC",Inventario!B232)),"PVC",
IF(ISNUMBER(SEARCH("PAPEL",Inventario!B232)),"PAP",
IF(ISNUMBER(SEARCH("TELA",Inventario!B232)),"TEL",
IF(ISNUMBER(SEARCH("CARTULINA",Inventario!B232)),"CAR",
IF(OR(ISNUMBER(SEARCH("LAMINA",Inventario!B232)),ISNUMBER(SEARCH("LÁMINA",Inventario!B232))),"LAM",
IF(ISNUMBER(SEARCH("ESTIRENO",Inventario!B232)),"EST",
IF(ISNUMBER(SEARCH("FOAMBOARD",Inventario!B232)),"FOA",
IF(ISNUMBER(SEARCH("SOLVENTE",Inventario!B232)),"SOL",
IF(ISNUMBER(SEARCH("TINTA",Inventario!B232)),"TIN",
IF(ISNUMBER(SEARCH("ACRILICO",Inventario!B232)),"ACR",
IF(ISNUMBER(SEARCH("LED",Inventario!B232)),"LED",
IF(ISNUMBER(SEARCH("FUENTE",Inventario!B232)),"FUE",
IF(ISNUMBER(SEARCH("PETG",Inventario!B232)),"PET",
IF(ISNUMBER(SEARCH("ALUMINIO",Inventario!B232)),"ALU",
IF(ISNUMBER(SEARCH("CANAL",Inventario!B232)),"CAN",
IF(ISNUMBER(SEARCH("ESCUADRA",Inventario!B232)),"ESC",
IF(ISNUMBER(SEARCH("SOPORTE",Inventario!B232)),"SOP","OTR")
)))))))))))))))))))</f>
        <v>LED</v>
      </c>
      <c r="B233" t="str">
        <f>IF(ISNUMBER(SEARCH("CORTE",Inventario!B232)),"COR",
IF(ISNUMBER(SEARCH("CRISTAL",Inventario!B232)),"CR",
IF(OR(ISNUMBER(SEARCH("OPTICO",Inventario!B232)),ISNUMBER(SEARCH("OPTICOS",Inventario!B232)),ISNUMBER(SEARCH("OPTICA",Inventario!B232))),"OP",
IF(ISNUMBER(SEARCH("NANO",Inventario!B232)),"NA",
IF(ISNUMBER(SEARCH("5050",Inventario!B232)),"5050",
IF(ISNUMBER(SEARCH("MICRO",Inventario!B232)),"MI",""))))))</f>
        <v>5050</v>
      </c>
      <c r="C233" t="str">
        <f>IF(ISNUMBER(SEARCH("PARED",Inventario!B232)),"PAR",IF(ISNUMBER(SEARCH("MATE",Inventario!B232)),"MAT",
IF(ISNUMBER(SEARCH("FRONT",Inventario!B232)),"FRO",
IF(ISNUMBER(SEARCH("BACK",Inventario!B232)),"BAC",
IF(ISNUMBER(SEARCH("MESH",Inventario!B232)),"MES",
IF(OR(ISNUMBER(SEARCH("BRILLANTE",Inventario!B232)),ISNUMBER(SEARCH("BTE",Inventario!B232))),"BRI",
IF(ISNUMBER(SEARCH("SINTETICA DELGADA",Inventario!B232)),"SD",
IF(ISNUMBER(SEARCH("SINTETICA GRUESA",Inventario!B232)),"SG",
IF(ISNUMBER(SEARCH("ESTATICO",Inventario!B232)),"EST",
IF(ISNUMBER(SEARCH("FLOOR",Inventario!B232)),"FLO",
IF(ISNUMBER(SEARCH("REFLECTIVO",Inventario!B232)),"REF",
IF(ISNUMBER(SEARCH("MICROPERFORADO",Inventario!B232)),"MI",
IF(ISNUMBER(SEARCH("CEPILLADO",Inventario!B232)),"CEP",
IF(ISNUMBER(SEARCH("ESPEJO",Inventario!B232)),"ESP",
IF(OR(ISNUMBER(SEARCH("UNIDIODO",Inventario!B232)),ISNUMBER(SEARCH("1 DIODO",Inventario!B232))),"1D",
IF(ISNUMBER(SEARCH("2 DIODOS",Inventario!B232)),"2D",
IF(ISNUMBER(SEARCH("3 DIODOS",Inventario!B232)),"3D","")))))))))))))))))</f>
        <v>2D</v>
      </c>
      <c r="D233" t="str">
        <f>IF(ISNUMBER(SEARCH("LX700",Inventario!B232)),"LX7",
IF(ISNUMBER(SEARCH("GRANDO",Inventario!B232)),"GRA",
IF(OR(ISNUMBER(SEARCH("CAMA PLANA",Inventario!B232)),ISNUMBER(SEARCH("FB700",Inventario!B232))),"CP",
IF(ISNUMBER(SEARCH("LX360",Inventario!B232)),"LX3",
IF(ISNUMBER(SEARCH("XEROX",Inventario!B232)),"XER",
IF(ISNUMBER(SEARCH("18 OZ",Inventario!B232)),"18OZ",
IF(ISNUMBER(SEARCH("15 OZ",Inventario!B232)),"15OZ",
IF(OR(ISNUMBER(SEARCH("13 OZ",Inventario!B232)),ISNUMBER(SEARCH("13 ONZAS",Inventario!B232))),"13OZ",
IF(OR(ISNUMBER(SEARCH("9 OZ",Inventario!B232)),ISNUMBER(SEARCH("9 ONZAS",Inventario!B232))),"09OZ","")))))))))</f>
        <v/>
      </c>
      <c r="E233" t="str">
        <f>IF(OR(ISNUMBER(SEARCH("TRANSPARENTE",Inventario!B232)),ISNUMBER(SEARCH("TRANSPARENTES",Inventario!B232))),"TR",
IF(OR(ISNUMBER(SEARCH("BLANCO",Inventario!B232)),ISNUMBER(SEARCH("BCO",Inventario!B232))),"BL",
IF(ISNUMBER(SEARCH("VERDE",Inventario!B232)),"VR",
IF(ISNUMBER(SEARCH("MORADO",Inventario!B232)),"MR",
IF(ISNUMBER(SEARCH("PLATA",Inventario!B232)),"PL",
IF(ISNUMBER(SEARCH("ORO",Inventario!B232)),"OR",
IF(ISNUMBER(SEARCH("AMARILLO",Inventario!B232)),"AM",
IF(ISNUMBER(SEARCH("NARANJA",Inventario!B232)),"NR",
IF(ISNUMBER(SEARCH("NEGRO",Inventario!B232)),"NG",
IF(ISNUMBER(SEARCH("ROJO",Inventario!B232)),"RJ",
IF(ISNUMBER(SEARCH("AZUL",Inventario!B232)),"AZ","")))))))))))</f>
        <v/>
      </c>
      <c r="F233" t="str">
        <f>IF(ISNUMBER(SEARCH("1,2 MM",Inventario!B232)),"1MM2",
IF(OR(ISNUMBER(SEARCH("2 MM",Inventario!B232)),ISNUMBER(SEARCH("2MM",Inventario!B232))),"2MM",
IF(OR(ISNUMBER(SEARCH("3 MM",Inventario!B232)),ISNUMBER(SEARCH("3MM",Inventario!B232))),"3MM",
IF(OR(ISNUMBER(SEARCH("4 MM",Inventario!B232)),ISNUMBER(SEARCH("4MM",Inventario!B232)),ISNUMBER(SEARCH("4 mm",Inventario!B232))),"4MM",
IF(OR(ISNUMBER(SEARCH("5 MM",Inventario!B232)),ISNUMBER(SEARCH("5MM",Inventario!B232))),"5MM",
IF(OR(ISNUMBER(SEARCH("6 MM",Inventario!B232)),ISNUMBER(SEARCH("6MM",Inventario!B232))),"6MM",
IF(OR(ISNUMBER(SEARCH("10 MM",Inventario!B232)),ISNUMBER(SEARCH("10MM",Inventario!B232))),"10MM","")))))))</f>
        <v/>
      </c>
      <c r="G233" t="str">
        <f>IF(ISNUMBER(SEARCH("ALTA RESISTENCIA",Inventario!B232)),"AR",IF(ISNUMBER(SEARCH("CAMPAÑA",Inventario!B232)),"CA",
IF(OR(ISNUMBER(SEARCH("CALIDO",Inventario!B232)),ISNUMBER(SEARCH("CÁLIDO",Inventario!B232))),"C",
IF(OR(ISNUMBER(SEARCH("TRASLUCIDO",Inventario!B232)),ISNUMBER(SEARCH("TRANSLUCIDO",Inventario!B232))),"TL",
IF(ISNUMBER(SEARCH("NEUTRO",Inventario!B232)),"N",
IF(ISNUMBER(SEARCH("FRIO",Inventario!B232)),"F",""))))))</f>
        <v/>
      </c>
      <c r="H233" t="str">
        <f>IF(ISNUMBER(SEARCH("SILED",Inventario!B232)),"SI",
IF(ISNUMBER(SEARCH("SYDEMEX",Inventario!B232)),"SY",
IF(ISNUMBER(SEARCH("ROHS",Inventario!B232)),"RO",
IF(ISNUMBER(SEARCH("RISHANG",Inventario!B232)),"RS",
IF(ISNUMBER(SEARCH("VYG",Inventario!B232)),"VYG",
IF(ISNUMBER(SEARCH("COLED",Inventario!B232)),"CO",""))))))</f>
        <v/>
      </c>
    </row>
    <row r="234" spans="1:8">
      <c r="A234" t="str">
        <f>IF(ISNUMBER(SEARCH("LONA",Inventario!B233)),"LON",
IF(ISNUMBER(SEARCH("VINIL",Inventario!B233)),"VIN",
IF(ISNUMBER(SEARCH("PANEL DE ALUMINIO COMPUESTO",Inventario!B233)),"PAN-ALU-COM",
IF(ISNUMBER(SEARCH("PVC",Inventario!B233)),"PVC",
IF(ISNUMBER(SEARCH("PAPEL",Inventario!B233)),"PAP",
IF(ISNUMBER(SEARCH("TELA",Inventario!B233)),"TEL",
IF(ISNUMBER(SEARCH("CARTULINA",Inventario!B233)),"CAR",
IF(OR(ISNUMBER(SEARCH("LAMINA",Inventario!B233)),ISNUMBER(SEARCH("LÁMINA",Inventario!B233))),"LAM",
IF(ISNUMBER(SEARCH("ESTIRENO",Inventario!B233)),"EST",
IF(ISNUMBER(SEARCH("FOAMBOARD",Inventario!B233)),"FOA",
IF(ISNUMBER(SEARCH("SOLVENTE",Inventario!B233)),"SOL",
IF(ISNUMBER(SEARCH("TINTA",Inventario!B233)),"TIN",
IF(ISNUMBER(SEARCH("ACRILICO",Inventario!B233)),"ACR",
IF(ISNUMBER(SEARCH("LED",Inventario!B233)),"LED",
IF(ISNUMBER(SEARCH("FUENTE",Inventario!B233)),"FUE",
IF(ISNUMBER(SEARCH("PETG",Inventario!B233)),"PET",
IF(ISNUMBER(SEARCH("ALUMINIO",Inventario!B233)),"ALU",
IF(ISNUMBER(SEARCH("CANAL",Inventario!B233)),"CAN",
IF(ISNUMBER(SEARCH("ESCUADRA",Inventario!B233)),"ESC",
IF(ISNUMBER(SEARCH("SOPORTE",Inventario!B233)),"SOP","OTR")
)))))))))))))))))))</f>
        <v>LED</v>
      </c>
      <c r="B234" t="str">
        <f>IF(ISNUMBER(SEARCH("CORTE",Inventario!B233)),"COR",
IF(ISNUMBER(SEARCH("CRISTAL",Inventario!B233)),"CR",
IF(OR(ISNUMBER(SEARCH("OPTICO",Inventario!B233)),ISNUMBER(SEARCH("OPTICOS",Inventario!B233)),ISNUMBER(SEARCH("OPTICA",Inventario!B233))),"OP",
IF(ISNUMBER(SEARCH("NANO",Inventario!B233)),"NA",
IF(ISNUMBER(SEARCH("5050",Inventario!B233)),"5050",
IF(ISNUMBER(SEARCH("MICRO",Inventario!B233)),"MI",""))))))</f>
        <v/>
      </c>
      <c r="C234" t="str">
        <f>IF(ISNUMBER(SEARCH("PARED",Inventario!B233)),"PAR",IF(ISNUMBER(SEARCH("MATE",Inventario!B233)),"MAT",
IF(ISNUMBER(SEARCH("FRONT",Inventario!B233)),"FRO",
IF(ISNUMBER(SEARCH("BACK",Inventario!B233)),"BAC",
IF(ISNUMBER(SEARCH("MESH",Inventario!B233)),"MES",
IF(OR(ISNUMBER(SEARCH("BRILLANTE",Inventario!B233)),ISNUMBER(SEARCH("BTE",Inventario!B233))),"BRI",
IF(ISNUMBER(SEARCH("SINTETICA DELGADA",Inventario!B233)),"SD",
IF(ISNUMBER(SEARCH("SINTETICA GRUESA",Inventario!B233)),"SG",
IF(ISNUMBER(SEARCH("ESTATICO",Inventario!B233)),"EST",
IF(ISNUMBER(SEARCH("FLOOR",Inventario!B233)),"FLO",
IF(ISNUMBER(SEARCH("REFLECTIVO",Inventario!B233)),"REF",
IF(ISNUMBER(SEARCH("MICROPERFORADO",Inventario!B233)),"MI",
IF(ISNUMBER(SEARCH("CEPILLADO",Inventario!B233)),"CEP",
IF(ISNUMBER(SEARCH("ESPEJO",Inventario!B233)),"ESP",
IF(OR(ISNUMBER(SEARCH("UNIDIODO",Inventario!B233)),ISNUMBER(SEARCH("1 DIODO",Inventario!B233))),"1D",
IF(ISNUMBER(SEARCH("2 DIODOS",Inventario!B233)),"2D",
IF(ISNUMBER(SEARCH("3 DIODOS",Inventario!B233)),"3D","")))))))))))))))))</f>
        <v>3D</v>
      </c>
      <c r="D234" t="str">
        <f>IF(ISNUMBER(SEARCH("LX700",Inventario!B233)),"LX7",
IF(ISNUMBER(SEARCH("GRANDO",Inventario!B233)),"GRA",
IF(OR(ISNUMBER(SEARCH("CAMA PLANA",Inventario!B233)),ISNUMBER(SEARCH("FB700",Inventario!B233))),"CP",
IF(ISNUMBER(SEARCH("LX360",Inventario!B233)),"LX3",
IF(ISNUMBER(SEARCH("XEROX",Inventario!B233)),"XER",
IF(ISNUMBER(SEARCH("18 OZ",Inventario!B233)),"18OZ",
IF(ISNUMBER(SEARCH("15 OZ",Inventario!B233)),"15OZ",
IF(OR(ISNUMBER(SEARCH("13 OZ",Inventario!B233)),ISNUMBER(SEARCH("13 ONZAS",Inventario!B233))),"13OZ",
IF(OR(ISNUMBER(SEARCH("9 OZ",Inventario!B233)),ISNUMBER(SEARCH("9 ONZAS",Inventario!B233))),"09OZ","")))))))))</f>
        <v/>
      </c>
      <c r="E234" t="str">
        <f>IF(OR(ISNUMBER(SEARCH("TRANSPARENTE",Inventario!B233)),ISNUMBER(SEARCH("TRANSPARENTES",Inventario!B233))),"TR",
IF(OR(ISNUMBER(SEARCH("BLANCO",Inventario!B233)),ISNUMBER(SEARCH("BCO",Inventario!B233))),"BL",
IF(ISNUMBER(SEARCH("VERDE",Inventario!B233)),"VR",
IF(ISNUMBER(SEARCH("MORADO",Inventario!B233)),"MR",
IF(ISNUMBER(SEARCH("PLATA",Inventario!B233)),"PL",
IF(ISNUMBER(SEARCH("ORO",Inventario!B233)),"OR",
IF(ISNUMBER(SEARCH("AMARILLO",Inventario!B233)),"AM",
IF(ISNUMBER(SEARCH("NARANJA",Inventario!B233)),"NR",
IF(ISNUMBER(SEARCH("NEGRO",Inventario!B233)),"NG",
IF(ISNUMBER(SEARCH("ROJO",Inventario!B233)),"RJ",
IF(ISNUMBER(SEARCH("AZUL",Inventario!B233)),"AZ","")))))))))))</f>
        <v>BL</v>
      </c>
      <c r="F234" t="str">
        <f>IF(ISNUMBER(SEARCH("1,2 MM",Inventario!B233)),"1MM2",
IF(OR(ISNUMBER(SEARCH("2 MM",Inventario!B233)),ISNUMBER(SEARCH("2MM",Inventario!B233))),"2MM",
IF(OR(ISNUMBER(SEARCH("3 MM",Inventario!B233)),ISNUMBER(SEARCH("3MM",Inventario!B233))),"3MM",
IF(OR(ISNUMBER(SEARCH("4 MM",Inventario!B233)),ISNUMBER(SEARCH("4MM",Inventario!B233)),ISNUMBER(SEARCH("4 mm",Inventario!B233))),"4MM",
IF(OR(ISNUMBER(SEARCH("5 MM",Inventario!B233)),ISNUMBER(SEARCH("5MM",Inventario!B233))),"5MM",
IF(OR(ISNUMBER(SEARCH("6 MM",Inventario!B233)),ISNUMBER(SEARCH("6MM",Inventario!B233))),"6MM",
IF(OR(ISNUMBER(SEARCH("10 MM",Inventario!B233)),ISNUMBER(SEARCH("10MM",Inventario!B233))),"10MM","")))))))</f>
        <v/>
      </c>
      <c r="G234" t="str">
        <f>IF(ISNUMBER(SEARCH("ALTA RESISTENCIA",Inventario!B233)),"AR",IF(ISNUMBER(SEARCH("CAMPAÑA",Inventario!B233)),"CA",
IF(OR(ISNUMBER(SEARCH("CALIDO",Inventario!B233)),ISNUMBER(SEARCH("CÁLIDO",Inventario!B233))),"C",
IF(OR(ISNUMBER(SEARCH("TRASLUCIDO",Inventario!B233)),ISNUMBER(SEARCH("TRANSLUCIDO",Inventario!B233))),"TL",
IF(ISNUMBER(SEARCH("NEUTRO",Inventario!B233)),"N",
IF(ISNUMBER(SEARCH("FRIO",Inventario!B233)),"F",""))))))</f>
        <v>N</v>
      </c>
      <c r="H234" t="str">
        <f>IF(ISNUMBER(SEARCH("SILED",Inventario!B233)),"SI",
IF(ISNUMBER(SEARCH("SYDEMEX",Inventario!B233)),"SY",
IF(ISNUMBER(SEARCH("ROHS",Inventario!B233)),"RO",
IF(ISNUMBER(SEARCH("RISHANG",Inventario!B233)),"RS",
IF(ISNUMBER(SEARCH("VYG",Inventario!B233)),"VYG",
IF(ISNUMBER(SEARCH("COLED",Inventario!B233)),"CO",""))))))</f>
        <v>SY</v>
      </c>
    </row>
    <row r="235" spans="1:8">
      <c r="A235" t="str">
        <f>IF(ISNUMBER(SEARCH("LONA",Inventario!B234)),"LON",
IF(ISNUMBER(SEARCH("VINIL",Inventario!B234)),"VIN",
IF(ISNUMBER(SEARCH("PANEL DE ALUMINIO COMPUESTO",Inventario!B234)),"PAN-ALU-COM",
IF(ISNUMBER(SEARCH("PVC",Inventario!B234)),"PVC",
IF(ISNUMBER(SEARCH("PAPEL",Inventario!B234)),"PAP",
IF(ISNUMBER(SEARCH("TELA",Inventario!B234)),"TEL",
IF(ISNUMBER(SEARCH("CARTULINA",Inventario!B234)),"CAR",
IF(OR(ISNUMBER(SEARCH("LAMINA",Inventario!B234)),ISNUMBER(SEARCH("LÁMINA",Inventario!B234))),"LAM",
IF(ISNUMBER(SEARCH("ESTIRENO",Inventario!B234)),"EST",
IF(ISNUMBER(SEARCH("FOAMBOARD",Inventario!B234)),"FOA",
IF(ISNUMBER(SEARCH("SOLVENTE",Inventario!B234)),"SOL",
IF(ISNUMBER(SEARCH("TINTA",Inventario!B234)),"TIN",
IF(ISNUMBER(SEARCH("ACRILICO",Inventario!B234)),"ACR",
IF(ISNUMBER(SEARCH("LED",Inventario!B234)),"LED",
IF(ISNUMBER(SEARCH("FUENTE",Inventario!B234)),"FUE",
IF(ISNUMBER(SEARCH("PETG",Inventario!B234)),"PET",
IF(ISNUMBER(SEARCH("ALUMINIO",Inventario!B234)),"ALU",
IF(ISNUMBER(SEARCH("CANAL",Inventario!B234)),"CAN",
IF(ISNUMBER(SEARCH("ESCUADRA",Inventario!B234)),"ESC",
IF(ISNUMBER(SEARCH("SOPORTE",Inventario!B234)),"SOP","OTR")
)))))))))))))))))))</f>
        <v>LED</v>
      </c>
      <c r="B235" t="str">
        <f>IF(ISNUMBER(SEARCH("CORTE",Inventario!B234)),"COR",
IF(ISNUMBER(SEARCH("CRISTAL",Inventario!B234)),"CR",
IF(OR(ISNUMBER(SEARCH("OPTICO",Inventario!B234)),ISNUMBER(SEARCH("OPTICOS",Inventario!B234)),ISNUMBER(SEARCH("OPTICA",Inventario!B234))),"OP",
IF(ISNUMBER(SEARCH("NANO",Inventario!B234)),"NA",
IF(ISNUMBER(SEARCH("5050",Inventario!B234)),"5050",
IF(ISNUMBER(SEARCH("MICRO",Inventario!B234)),"MI",""))))))</f>
        <v>OP</v>
      </c>
      <c r="C235" t="str">
        <f>IF(ISNUMBER(SEARCH("PARED",Inventario!B234)),"PAR",IF(ISNUMBER(SEARCH("MATE",Inventario!B234)),"MAT",
IF(ISNUMBER(SEARCH("FRONT",Inventario!B234)),"FRO",
IF(ISNUMBER(SEARCH("BACK",Inventario!B234)),"BAC",
IF(ISNUMBER(SEARCH("MESH",Inventario!B234)),"MES",
IF(OR(ISNUMBER(SEARCH("BRILLANTE",Inventario!B234)),ISNUMBER(SEARCH("BTE",Inventario!B234))),"BRI",
IF(ISNUMBER(SEARCH("SINTETICA DELGADA",Inventario!B234)),"SD",
IF(ISNUMBER(SEARCH("SINTETICA GRUESA",Inventario!B234)),"SG",
IF(ISNUMBER(SEARCH("ESTATICO",Inventario!B234)),"EST",
IF(ISNUMBER(SEARCH("FLOOR",Inventario!B234)),"FLO",
IF(ISNUMBER(SEARCH("REFLECTIVO",Inventario!B234)),"REF",
IF(ISNUMBER(SEARCH("MICROPERFORADO",Inventario!B234)),"MI",
IF(ISNUMBER(SEARCH("CEPILLADO",Inventario!B234)),"CEP",
IF(ISNUMBER(SEARCH("ESPEJO",Inventario!B234)),"ESP",
IF(OR(ISNUMBER(SEARCH("UNIDIODO",Inventario!B234)),ISNUMBER(SEARCH("1 DIODO",Inventario!B234))),"1D",
IF(ISNUMBER(SEARCH("2 DIODOS",Inventario!B234)),"2D",
IF(ISNUMBER(SEARCH("3 DIODOS",Inventario!B234)),"3D","")))))))))))))))))</f>
        <v>1D</v>
      </c>
      <c r="D235" t="str">
        <f>IF(ISNUMBER(SEARCH("LX700",Inventario!B234)),"LX7",
IF(ISNUMBER(SEARCH("GRANDO",Inventario!B234)),"GRA",
IF(OR(ISNUMBER(SEARCH("CAMA PLANA",Inventario!B234)),ISNUMBER(SEARCH("FB700",Inventario!B234))),"CP",
IF(ISNUMBER(SEARCH("LX360",Inventario!B234)),"LX3",
IF(ISNUMBER(SEARCH("XEROX",Inventario!B234)),"XER",
IF(ISNUMBER(SEARCH("18 OZ",Inventario!B234)),"18OZ",
IF(ISNUMBER(SEARCH("15 OZ",Inventario!B234)),"15OZ",
IF(OR(ISNUMBER(SEARCH("13 OZ",Inventario!B234)),ISNUMBER(SEARCH("13 ONZAS",Inventario!B234))),"13OZ",
IF(OR(ISNUMBER(SEARCH("9 OZ",Inventario!B234)),ISNUMBER(SEARCH("9 ONZAS",Inventario!B234))),"09OZ","")))))))))</f>
        <v/>
      </c>
      <c r="E235" t="str">
        <f>IF(OR(ISNUMBER(SEARCH("TRANSPARENTE",Inventario!B234)),ISNUMBER(SEARCH("TRANSPARENTES",Inventario!B234))),"TR",
IF(OR(ISNUMBER(SEARCH("BLANCO",Inventario!B234)),ISNUMBER(SEARCH("BCO",Inventario!B234))),"BL",
IF(ISNUMBER(SEARCH("VERDE",Inventario!B234)),"VR",
IF(ISNUMBER(SEARCH("MORADO",Inventario!B234)),"MR",
IF(ISNUMBER(SEARCH("PLATA",Inventario!B234)),"PL",
IF(ISNUMBER(SEARCH("ORO",Inventario!B234)),"OR",
IF(ISNUMBER(SEARCH("AMARILLO",Inventario!B234)),"AM",
IF(ISNUMBER(SEARCH("NARANJA",Inventario!B234)),"NR",
IF(ISNUMBER(SEARCH("NEGRO",Inventario!B234)),"NG",
IF(ISNUMBER(SEARCH("ROJO",Inventario!B234)),"RJ",
IF(ISNUMBER(SEARCH("AZUL",Inventario!B234)),"AZ","")))))))))))</f>
        <v>BL</v>
      </c>
      <c r="F235" t="str">
        <f>IF(ISNUMBER(SEARCH("1,2 MM",Inventario!B234)),"1MM2",
IF(OR(ISNUMBER(SEARCH("2 MM",Inventario!B234)),ISNUMBER(SEARCH("2MM",Inventario!B234))),"2MM",
IF(OR(ISNUMBER(SEARCH("3 MM",Inventario!B234)),ISNUMBER(SEARCH("3MM",Inventario!B234))),"3MM",
IF(OR(ISNUMBER(SEARCH("4 MM",Inventario!B234)),ISNUMBER(SEARCH("4MM",Inventario!B234)),ISNUMBER(SEARCH("4 mm",Inventario!B234))),"4MM",
IF(OR(ISNUMBER(SEARCH("5 MM",Inventario!B234)),ISNUMBER(SEARCH("5MM",Inventario!B234))),"5MM",
IF(OR(ISNUMBER(SEARCH("6 MM",Inventario!B234)),ISNUMBER(SEARCH("6MM",Inventario!B234))),"6MM",
IF(OR(ISNUMBER(SEARCH("10 MM",Inventario!B234)),ISNUMBER(SEARCH("10MM",Inventario!B234))),"10MM","")))))))</f>
        <v/>
      </c>
      <c r="G235" t="str">
        <f>IF(ISNUMBER(SEARCH("ALTA RESISTENCIA",Inventario!B234)),"AR",IF(ISNUMBER(SEARCH("CAMPAÑA",Inventario!B234)),"CA",
IF(OR(ISNUMBER(SEARCH("CALIDO",Inventario!B234)),ISNUMBER(SEARCH("CÁLIDO",Inventario!B234))),"C",
IF(OR(ISNUMBER(SEARCH("TRASLUCIDO",Inventario!B234)),ISNUMBER(SEARCH("TRANSLUCIDO",Inventario!B234))),"TL",
IF(ISNUMBER(SEARCH("NEUTRO",Inventario!B234)),"N",
IF(ISNUMBER(SEARCH("FRIO",Inventario!B234)),"F",""))))))</f>
        <v/>
      </c>
      <c r="H235" t="str">
        <f>IF(ISNUMBER(SEARCH("SILED",Inventario!B234)),"SI",
IF(ISNUMBER(SEARCH("SYDEMEX",Inventario!B234)),"SY",
IF(ISNUMBER(SEARCH("ROHS",Inventario!B234)),"RO",
IF(ISNUMBER(SEARCH("RISHANG",Inventario!B234)),"RS",
IF(ISNUMBER(SEARCH("VYG",Inventario!B234)),"VYG",
IF(ISNUMBER(SEARCH("COLED",Inventario!B234)),"CO",""))))))</f>
        <v/>
      </c>
    </row>
    <row r="236" spans="1:8">
      <c r="A236" t="str">
        <f>IF(ISNUMBER(SEARCH("LONA",Inventario!B235)),"LON",
IF(ISNUMBER(SEARCH("VINIL",Inventario!B235)),"VIN",
IF(ISNUMBER(SEARCH("PANEL DE ALUMINIO COMPUESTO",Inventario!B235)),"PAN-ALU-COM",
IF(ISNUMBER(SEARCH("PVC",Inventario!B235)),"PVC",
IF(ISNUMBER(SEARCH("PAPEL",Inventario!B235)),"PAP",
IF(ISNUMBER(SEARCH("TELA",Inventario!B235)),"TEL",
IF(ISNUMBER(SEARCH("CARTULINA",Inventario!B235)),"CAR",
IF(OR(ISNUMBER(SEARCH("LAMINA",Inventario!B235)),ISNUMBER(SEARCH("LÁMINA",Inventario!B235))),"LAM",
IF(ISNUMBER(SEARCH("ESTIRENO",Inventario!B235)),"EST",
IF(ISNUMBER(SEARCH("FOAMBOARD",Inventario!B235)),"FOA",
IF(ISNUMBER(SEARCH("SOLVENTE",Inventario!B235)),"SOL",
IF(ISNUMBER(SEARCH("TINTA",Inventario!B235)),"TIN",
IF(ISNUMBER(SEARCH("ACRILICO",Inventario!B235)),"ACR",
IF(ISNUMBER(SEARCH("LED",Inventario!B235)),"LED",
IF(ISNUMBER(SEARCH("FUENTE",Inventario!B235)),"FUE",
IF(ISNUMBER(SEARCH("PETG",Inventario!B235)),"PET",
IF(ISNUMBER(SEARCH("ALUMINIO",Inventario!B235)),"ALU",
IF(ISNUMBER(SEARCH("CANAL",Inventario!B235)),"CAN",
IF(ISNUMBER(SEARCH("ESCUADRA",Inventario!B235)),"ESC",
IF(ISNUMBER(SEARCH("SOPORTE",Inventario!B235)),"SOP","OTR")
)))))))))))))))))))</f>
        <v>LED</v>
      </c>
      <c r="B236" t="str">
        <f>IF(ISNUMBER(SEARCH("CORTE",Inventario!B235)),"COR",
IF(ISNUMBER(SEARCH("CRISTAL",Inventario!B235)),"CR",
IF(OR(ISNUMBER(SEARCH("OPTICO",Inventario!B235)),ISNUMBER(SEARCH("OPTICOS",Inventario!B235)),ISNUMBER(SEARCH("OPTICA",Inventario!B235))),"OP",
IF(ISNUMBER(SEARCH("NANO",Inventario!B235)),"NA",
IF(ISNUMBER(SEARCH("5050",Inventario!B235)),"5050",
IF(ISNUMBER(SEARCH("MICRO",Inventario!B235)),"MI",""))))))</f>
        <v/>
      </c>
      <c r="C236" t="str">
        <f>IF(ISNUMBER(SEARCH("PARED",Inventario!B235)),"PAR",IF(ISNUMBER(SEARCH("MATE",Inventario!B235)),"MAT",
IF(ISNUMBER(SEARCH("FRONT",Inventario!B235)),"FRO",
IF(ISNUMBER(SEARCH("BACK",Inventario!B235)),"BAC",
IF(ISNUMBER(SEARCH("MESH",Inventario!B235)),"MES",
IF(OR(ISNUMBER(SEARCH("BRILLANTE",Inventario!B235)),ISNUMBER(SEARCH("BTE",Inventario!B235))),"BRI",
IF(ISNUMBER(SEARCH("SINTETICA DELGADA",Inventario!B235)),"SD",
IF(ISNUMBER(SEARCH("SINTETICA GRUESA",Inventario!B235)),"SG",
IF(ISNUMBER(SEARCH("ESTATICO",Inventario!B235)),"EST",
IF(ISNUMBER(SEARCH("FLOOR",Inventario!B235)),"FLO",
IF(ISNUMBER(SEARCH("REFLECTIVO",Inventario!B235)),"REF",
IF(ISNUMBER(SEARCH("MICROPERFORADO",Inventario!B235)),"MI",
IF(ISNUMBER(SEARCH("CEPILLADO",Inventario!B235)),"CEP",
IF(ISNUMBER(SEARCH("ESPEJO",Inventario!B235)),"ESP",
IF(OR(ISNUMBER(SEARCH("UNIDIODO",Inventario!B235)),ISNUMBER(SEARCH("1 DIODO",Inventario!B235))),"1D",
IF(ISNUMBER(SEARCH("2 DIODOS",Inventario!B235)),"2D",
IF(ISNUMBER(SEARCH("3 DIODOS",Inventario!B235)),"3D","")))))))))))))))))</f>
        <v>3D</v>
      </c>
      <c r="D236" t="str">
        <f>IF(ISNUMBER(SEARCH("LX700",Inventario!B235)),"LX7",
IF(ISNUMBER(SEARCH("GRANDO",Inventario!B235)),"GRA",
IF(OR(ISNUMBER(SEARCH("CAMA PLANA",Inventario!B235)),ISNUMBER(SEARCH("FB700",Inventario!B235))),"CP",
IF(ISNUMBER(SEARCH("LX360",Inventario!B235)),"LX3",
IF(ISNUMBER(SEARCH("XEROX",Inventario!B235)),"XER",
IF(ISNUMBER(SEARCH("18 OZ",Inventario!B235)),"18OZ",
IF(ISNUMBER(SEARCH("15 OZ",Inventario!B235)),"15OZ",
IF(OR(ISNUMBER(SEARCH("13 OZ",Inventario!B235)),ISNUMBER(SEARCH("13 ONZAS",Inventario!B235))),"13OZ",
IF(OR(ISNUMBER(SEARCH("9 OZ",Inventario!B235)),ISNUMBER(SEARCH("9 ONZAS",Inventario!B235))),"09OZ","")))))))))</f>
        <v/>
      </c>
      <c r="E236" t="str">
        <f>IF(OR(ISNUMBER(SEARCH("TRANSPARENTE",Inventario!B235)),ISNUMBER(SEARCH("TRANSPARENTES",Inventario!B235))),"TR",
IF(OR(ISNUMBER(SEARCH("BLANCO",Inventario!B235)),ISNUMBER(SEARCH("BCO",Inventario!B235))),"BL",
IF(ISNUMBER(SEARCH("VERDE",Inventario!B235)),"VR",
IF(ISNUMBER(SEARCH("MORADO",Inventario!B235)),"MR",
IF(ISNUMBER(SEARCH("PLATA",Inventario!B235)),"PL",
IF(ISNUMBER(SEARCH("ORO",Inventario!B235)),"OR",
IF(ISNUMBER(SEARCH("AMARILLO",Inventario!B235)),"AM",
IF(ISNUMBER(SEARCH("NARANJA",Inventario!B235)),"NR",
IF(ISNUMBER(SEARCH("NEGRO",Inventario!B235)),"NG",
IF(ISNUMBER(SEARCH("ROJO",Inventario!B235)),"RJ",
IF(ISNUMBER(SEARCH("AZUL",Inventario!B235)),"AZ","")))))))))))</f>
        <v>BL</v>
      </c>
      <c r="F236" t="str">
        <f>IF(ISNUMBER(SEARCH("1,2 MM",Inventario!B235)),"1MM2",
IF(OR(ISNUMBER(SEARCH("2 MM",Inventario!B235)),ISNUMBER(SEARCH("2MM",Inventario!B235))),"2MM",
IF(OR(ISNUMBER(SEARCH("3 MM",Inventario!B235)),ISNUMBER(SEARCH("3MM",Inventario!B235))),"3MM",
IF(OR(ISNUMBER(SEARCH("4 MM",Inventario!B235)),ISNUMBER(SEARCH("4MM",Inventario!B235)),ISNUMBER(SEARCH("4 mm",Inventario!B235))),"4MM",
IF(OR(ISNUMBER(SEARCH("5 MM",Inventario!B235)),ISNUMBER(SEARCH("5MM",Inventario!B235))),"5MM",
IF(OR(ISNUMBER(SEARCH("6 MM",Inventario!B235)),ISNUMBER(SEARCH("6MM",Inventario!B235))),"6MM",
IF(OR(ISNUMBER(SEARCH("10 MM",Inventario!B235)),ISNUMBER(SEARCH("10MM",Inventario!B235))),"10MM","")))))))</f>
        <v/>
      </c>
      <c r="G236" t="str">
        <f>IF(ISNUMBER(SEARCH("ALTA RESISTENCIA",Inventario!B235)),"AR",IF(ISNUMBER(SEARCH("CAMPAÑA",Inventario!B235)),"CA",
IF(OR(ISNUMBER(SEARCH("CALIDO",Inventario!B235)),ISNUMBER(SEARCH("CÁLIDO",Inventario!B235))),"C",
IF(OR(ISNUMBER(SEARCH("TRASLUCIDO",Inventario!B235)),ISNUMBER(SEARCH("TRANSLUCIDO",Inventario!B235))),"TL",
IF(ISNUMBER(SEARCH("NEUTRO",Inventario!B235)),"N",
IF(ISNUMBER(SEARCH("FRIO",Inventario!B235)),"F",""))))))</f>
        <v>F</v>
      </c>
      <c r="H236" t="str">
        <f>IF(ISNUMBER(SEARCH("SILED",Inventario!B235)),"SI",
IF(ISNUMBER(SEARCH("SYDEMEX",Inventario!B235)),"SY",
IF(ISNUMBER(SEARCH("ROHS",Inventario!B235)),"RO",
IF(ISNUMBER(SEARCH("RISHANG",Inventario!B235)),"RS",
IF(ISNUMBER(SEARCH("VYG",Inventario!B235)),"VYG",
IF(ISNUMBER(SEARCH("COLED",Inventario!B235)),"CO",""))))))</f>
        <v>SI</v>
      </c>
    </row>
    <row r="237" spans="1:8">
      <c r="A237" t="str">
        <f>IF(ISNUMBER(SEARCH("LONA",Inventario!B236)),"LON",
IF(ISNUMBER(SEARCH("VINIL",Inventario!B236)),"VIN",
IF(ISNUMBER(SEARCH("PANEL DE ALUMINIO COMPUESTO",Inventario!B236)),"PAN-ALU-COM",
IF(ISNUMBER(SEARCH("PVC",Inventario!B236)),"PVC",
IF(ISNUMBER(SEARCH("PAPEL",Inventario!B236)),"PAP",
IF(ISNUMBER(SEARCH("TELA",Inventario!B236)),"TEL",
IF(ISNUMBER(SEARCH("CARTULINA",Inventario!B236)),"CAR",
IF(OR(ISNUMBER(SEARCH("LAMINA",Inventario!B236)),ISNUMBER(SEARCH("LÁMINA",Inventario!B236))),"LAM",
IF(ISNUMBER(SEARCH("ESTIRENO",Inventario!B236)),"EST",
IF(ISNUMBER(SEARCH("FOAMBOARD",Inventario!B236)),"FOA",
IF(ISNUMBER(SEARCH("SOLVENTE",Inventario!B236)),"SOL",
IF(ISNUMBER(SEARCH("TINTA",Inventario!B236)),"TIN",
IF(ISNUMBER(SEARCH("ACRILICO",Inventario!B236)),"ACR",
IF(ISNUMBER(SEARCH("LED",Inventario!B236)),"LED",
IF(ISNUMBER(SEARCH("FUENTE",Inventario!B236)),"FUE",
IF(ISNUMBER(SEARCH("PETG",Inventario!B236)),"PET",
IF(ISNUMBER(SEARCH("ALUMINIO",Inventario!B236)),"ALU",
IF(ISNUMBER(SEARCH("CANAL",Inventario!B236)),"CAN",
IF(ISNUMBER(SEARCH("ESCUADRA",Inventario!B236)),"ESC",
IF(ISNUMBER(SEARCH("SOPORTE",Inventario!B236)),"SOP","OTR")
)))))))))))))))))))</f>
        <v>LED</v>
      </c>
      <c r="B237" t="str">
        <f>IF(ISNUMBER(SEARCH("CORTE",Inventario!B236)),"COR",
IF(ISNUMBER(SEARCH("CRISTAL",Inventario!B236)),"CR",
IF(OR(ISNUMBER(SEARCH("OPTICO",Inventario!B236)),ISNUMBER(SEARCH("OPTICOS",Inventario!B236)),ISNUMBER(SEARCH("OPTICA",Inventario!B236))),"OP",
IF(ISNUMBER(SEARCH("NANO",Inventario!B236)),"NA",
IF(ISNUMBER(SEARCH("5050",Inventario!B236)),"5050",
IF(ISNUMBER(SEARCH("MICRO",Inventario!B236)),"MI",""))))))</f>
        <v>OP</v>
      </c>
      <c r="C237" t="str">
        <f>IF(ISNUMBER(SEARCH("PARED",Inventario!B236)),"PAR",IF(ISNUMBER(SEARCH("MATE",Inventario!B236)),"MAT",
IF(ISNUMBER(SEARCH("FRONT",Inventario!B236)),"FRO",
IF(ISNUMBER(SEARCH("BACK",Inventario!B236)),"BAC",
IF(ISNUMBER(SEARCH("MESH",Inventario!B236)),"MES",
IF(OR(ISNUMBER(SEARCH("BRILLANTE",Inventario!B236)),ISNUMBER(SEARCH("BTE",Inventario!B236))),"BRI",
IF(ISNUMBER(SEARCH("SINTETICA DELGADA",Inventario!B236)),"SD",
IF(ISNUMBER(SEARCH("SINTETICA GRUESA",Inventario!B236)),"SG",
IF(ISNUMBER(SEARCH("ESTATICO",Inventario!B236)),"EST",
IF(ISNUMBER(SEARCH("FLOOR",Inventario!B236)),"FLO",
IF(ISNUMBER(SEARCH("REFLECTIVO",Inventario!B236)),"REF",
IF(ISNUMBER(SEARCH("MICROPERFORADO",Inventario!B236)),"MI",
IF(ISNUMBER(SEARCH("CEPILLADO",Inventario!B236)),"CEP",
IF(ISNUMBER(SEARCH("ESPEJO",Inventario!B236)),"ESP",
IF(OR(ISNUMBER(SEARCH("UNIDIODO",Inventario!B236)),ISNUMBER(SEARCH("1 DIODO",Inventario!B236))),"1D",
IF(ISNUMBER(SEARCH("2 DIODOS",Inventario!B236)),"2D",
IF(ISNUMBER(SEARCH("3 DIODOS",Inventario!B236)),"3D","")))))))))))))))))</f>
        <v>3D</v>
      </c>
      <c r="D237" t="str">
        <f>IF(ISNUMBER(SEARCH("LX700",Inventario!B236)),"LX7",
IF(ISNUMBER(SEARCH("GRANDO",Inventario!B236)),"GRA",
IF(OR(ISNUMBER(SEARCH("CAMA PLANA",Inventario!B236)),ISNUMBER(SEARCH("FB700",Inventario!B236))),"CP",
IF(ISNUMBER(SEARCH("LX360",Inventario!B236)),"LX3",
IF(ISNUMBER(SEARCH("XEROX",Inventario!B236)),"XER",
IF(ISNUMBER(SEARCH("18 OZ",Inventario!B236)),"18OZ",
IF(ISNUMBER(SEARCH("15 OZ",Inventario!B236)),"15OZ",
IF(OR(ISNUMBER(SEARCH("13 OZ",Inventario!B236)),ISNUMBER(SEARCH("13 ONZAS",Inventario!B236))),"13OZ",
IF(OR(ISNUMBER(SEARCH("9 OZ",Inventario!B236)),ISNUMBER(SEARCH("9 ONZAS",Inventario!B236))),"09OZ","")))))))))</f>
        <v/>
      </c>
      <c r="E237" t="str">
        <f>IF(OR(ISNUMBER(SEARCH("TRANSPARENTE",Inventario!B236)),ISNUMBER(SEARCH("TRANSPARENTES",Inventario!B236))),"TR",
IF(OR(ISNUMBER(SEARCH("BLANCO",Inventario!B236)),ISNUMBER(SEARCH("BCO",Inventario!B236))),"BL",
IF(ISNUMBER(SEARCH("VERDE",Inventario!B236)),"VR",
IF(ISNUMBER(SEARCH("MORADO",Inventario!B236)),"MR",
IF(ISNUMBER(SEARCH("PLATA",Inventario!B236)),"PL",
IF(ISNUMBER(SEARCH("ORO",Inventario!B236)),"OR",
IF(ISNUMBER(SEARCH("AMARILLO",Inventario!B236)),"AM",
IF(ISNUMBER(SEARCH("NARANJA",Inventario!B236)),"NR",
IF(ISNUMBER(SEARCH("NEGRO",Inventario!B236)),"NG",
IF(ISNUMBER(SEARCH("ROJO",Inventario!B236)),"RJ",
IF(ISNUMBER(SEARCH("AZUL",Inventario!B236)),"AZ","")))))))))))</f>
        <v/>
      </c>
      <c r="F237" t="str">
        <f>IF(ISNUMBER(SEARCH("1,2 MM",Inventario!B236)),"1MM2",
IF(OR(ISNUMBER(SEARCH("2 MM",Inventario!B236)),ISNUMBER(SEARCH("2MM",Inventario!B236))),"2MM",
IF(OR(ISNUMBER(SEARCH("3 MM",Inventario!B236)),ISNUMBER(SEARCH("3MM",Inventario!B236))),"3MM",
IF(OR(ISNUMBER(SEARCH("4 MM",Inventario!B236)),ISNUMBER(SEARCH("4MM",Inventario!B236)),ISNUMBER(SEARCH("4 mm",Inventario!B236))),"4MM",
IF(OR(ISNUMBER(SEARCH("5 MM",Inventario!B236)),ISNUMBER(SEARCH("5MM",Inventario!B236))),"5MM",
IF(OR(ISNUMBER(SEARCH("6 MM",Inventario!B236)),ISNUMBER(SEARCH("6MM",Inventario!B236))),"6MM",
IF(OR(ISNUMBER(SEARCH("10 MM",Inventario!B236)),ISNUMBER(SEARCH("10MM",Inventario!B236))),"10MM","")))))))</f>
        <v/>
      </c>
      <c r="G237" t="str">
        <f>IF(ISNUMBER(SEARCH("ALTA RESISTENCIA",Inventario!B236)),"AR",IF(ISNUMBER(SEARCH("CAMPAÑA",Inventario!B236)),"CA",
IF(OR(ISNUMBER(SEARCH("CALIDO",Inventario!B236)),ISNUMBER(SEARCH("CÁLIDO",Inventario!B236))),"C",
IF(OR(ISNUMBER(SEARCH("TRASLUCIDO",Inventario!B236)),ISNUMBER(SEARCH("TRANSLUCIDO",Inventario!B236))),"TL",
IF(ISNUMBER(SEARCH("NEUTRO",Inventario!B236)),"N",
IF(ISNUMBER(SEARCH("FRIO",Inventario!B236)),"F",""))))))</f>
        <v>C</v>
      </c>
      <c r="H237" t="str">
        <f>IF(ISNUMBER(SEARCH("SILED",Inventario!B236)),"SI",
IF(ISNUMBER(SEARCH("SYDEMEX",Inventario!B236)),"SY",
IF(ISNUMBER(SEARCH("ROHS",Inventario!B236)),"RO",
IF(ISNUMBER(SEARCH("RISHANG",Inventario!B236)),"RS",
IF(ISNUMBER(SEARCH("VYG",Inventario!B236)),"VYG",
IF(ISNUMBER(SEARCH("COLED",Inventario!B236)),"CO",""))))))</f>
        <v>CO</v>
      </c>
    </row>
    <row r="238" spans="1:8">
      <c r="A238" t="str">
        <f>IF(ISNUMBER(SEARCH("LONA",Inventario!B237)),"LON",
IF(ISNUMBER(SEARCH("VINIL",Inventario!B237)),"VIN",
IF(ISNUMBER(SEARCH("PANEL DE ALUMINIO COMPUESTO",Inventario!B237)),"PAN-ALU-COM",
IF(ISNUMBER(SEARCH("PVC",Inventario!B237)),"PVC",
IF(ISNUMBER(SEARCH("PAPEL",Inventario!B237)),"PAP",
IF(ISNUMBER(SEARCH("TELA",Inventario!B237)),"TEL",
IF(ISNUMBER(SEARCH("CARTULINA",Inventario!B237)),"CAR",
IF(OR(ISNUMBER(SEARCH("LAMINA",Inventario!B237)),ISNUMBER(SEARCH("LÁMINA",Inventario!B237))),"LAM",
IF(ISNUMBER(SEARCH("ESTIRENO",Inventario!B237)),"EST",
IF(ISNUMBER(SEARCH("FOAMBOARD",Inventario!B237)),"FOA",
IF(ISNUMBER(SEARCH("SOLVENTE",Inventario!B237)),"SOL",
IF(ISNUMBER(SEARCH("TINTA",Inventario!B237)),"TIN",
IF(ISNUMBER(SEARCH("ACRILICO",Inventario!B237)),"ACR",
IF(ISNUMBER(SEARCH("LED",Inventario!B237)),"LED",
IF(ISNUMBER(SEARCH("FUENTE",Inventario!B237)),"FUE",
IF(ISNUMBER(SEARCH("PETG",Inventario!B237)),"PET",
IF(ISNUMBER(SEARCH("ALUMINIO",Inventario!B237)),"ALU",
IF(ISNUMBER(SEARCH("CANAL",Inventario!B237)),"CAN",
IF(ISNUMBER(SEARCH("ESCUADRA",Inventario!B237)),"ESC",
IF(ISNUMBER(SEARCH("SOPORTE",Inventario!B237)),"SOP","OTR")
)))))))))))))))))))</f>
        <v>LED</v>
      </c>
      <c r="B238" t="str">
        <f>IF(ISNUMBER(SEARCH("CORTE",Inventario!B237)),"COR",
IF(ISNUMBER(SEARCH("CRISTAL",Inventario!B237)),"CR",
IF(OR(ISNUMBER(SEARCH("OPTICO",Inventario!B237)),ISNUMBER(SEARCH("OPTICOS",Inventario!B237)),ISNUMBER(SEARCH("OPTICA",Inventario!B237))),"OP",
IF(ISNUMBER(SEARCH("NANO",Inventario!B237)),"NA",
IF(ISNUMBER(SEARCH("5050",Inventario!B237)),"5050",
IF(ISNUMBER(SEARCH("MICRO",Inventario!B237)),"MI",""))))))</f>
        <v>OP</v>
      </c>
      <c r="C238" t="str">
        <f>IF(ISNUMBER(SEARCH("PARED",Inventario!B237)),"PAR",IF(ISNUMBER(SEARCH("MATE",Inventario!B237)),"MAT",
IF(ISNUMBER(SEARCH("FRONT",Inventario!B237)),"FRO",
IF(ISNUMBER(SEARCH("BACK",Inventario!B237)),"BAC",
IF(ISNUMBER(SEARCH("MESH",Inventario!B237)),"MES",
IF(OR(ISNUMBER(SEARCH("BRILLANTE",Inventario!B237)),ISNUMBER(SEARCH("BTE",Inventario!B237))),"BRI",
IF(ISNUMBER(SEARCH("SINTETICA DELGADA",Inventario!B237)),"SD",
IF(ISNUMBER(SEARCH("SINTETICA GRUESA",Inventario!B237)),"SG",
IF(ISNUMBER(SEARCH("ESTATICO",Inventario!B237)),"EST",
IF(ISNUMBER(SEARCH("FLOOR",Inventario!B237)),"FLO",
IF(ISNUMBER(SEARCH("REFLECTIVO",Inventario!B237)),"REF",
IF(ISNUMBER(SEARCH("MICROPERFORADO",Inventario!B237)),"MI",
IF(ISNUMBER(SEARCH("CEPILLADO",Inventario!B237)),"CEP",
IF(ISNUMBER(SEARCH("ESPEJO",Inventario!B237)),"ESP",
IF(OR(ISNUMBER(SEARCH("UNIDIODO",Inventario!B237)),ISNUMBER(SEARCH("1 DIODO",Inventario!B237))),"1D",
IF(ISNUMBER(SEARCH("2 DIODOS",Inventario!B237)),"2D",
IF(ISNUMBER(SEARCH("3 DIODOS",Inventario!B237)),"3D","")))))))))))))))))</f>
        <v>3D</v>
      </c>
      <c r="D238" t="str">
        <f>IF(ISNUMBER(SEARCH("LX700",Inventario!B237)),"LX7",
IF(ISNUMBER(SEARCH("GRANDO",Inventario!B237)),"GRA",
IF(OR(ISNUMBER(SEARCH("CAMA PLANA",Inventario!B237)),ISNUMBER(SEARCH("FB700",Inventario!B237))),"CP",
IF(ISNUMBER(SEARCH("LX360",Inventario!B237)),"LX3",
IF(ISNUMBER(SEARCH("XEROX",Inventario!B237)),"XER",
IF(ISNUMBER(SEARCH("18 OZ",Inventario!B237)),"18OZ",
IF(ISNUMBER(SEARCH("15 OZ",Inventario!B237)),"15OZ",
IF(OR(ISNUMBER(SEARCH("13 OZ",Inventario!B237)),ISNUMBER(SEARCH("13 ONZAS",Inventario!B237))),"13OZ",
IF(OR(ISNUMBER(SEARCH("9 OZ",Inventario!B237)),ISNUMBER(SEARCH("9 ONZAS",Inventario!B237))),"09OZ","")))))))))</f>
        <v/>
      </c>
      <c r="E238" t="str">
        <f>IF(OR(ISNUMBER(SEARCH("TRANSPARENTE",Inventario!B237)),ISNUMBER(SEARCH("TRANSPARENTES",Inventario!B237))),"TR",
IF(OR(ISNUMBER(SEARCH("BLANCO",Inventario!B237)),ISNUMBER(SEARCH("BCO",Inventario!B237))),"BL",
IF(ISNUMBER(SEARCH("VERDE",Inventario!B237)),"VR",
IF(ISNUMBER(SEARCH("MORADO",Inventario!B237)),"MR",
IF(ISNUMBER(SEARCH("PLATA",Inventario!B237)),"PL",
IF(ISNUMBER(SEARCH("ORO",Inventario!B237)),"OR",
IF(ISNUMBER(SEARCH("AMARILLO",Inventario!B237)),"AM",
IF(ISNUMBER(SEARCH("NARANJA",Inventario!B237)),"NR",
IF(ISNUMBER(SEARCH("NEGRO",Inventario!B237)),"NG",
IF(ISNUMBER(SEARCH("ROJO",Inventario!B237)),"RJ",
IF(ISNUMBER(SEARCH("AZUL",Inventario!B237)),"AZ","")))))))))))</f>
        <v/>
      </c>
      <c r="F238" t="str">
        <f>IF(ISNUMBER(SEARCH("1,2 MM",Inventario!B237)),"1MM2",
IF(OR(ISNUMBER(SEARCH("2 MM",Inventario!B237)),ISNUMBER(SEARCH("2MM",Inventario!B237))),"2MM",
IF(OR(ISNUMBER(SEARCH("3 MM",Inventario!B237)),ISNUMBER(SEARCH("3MM",Inventario!B237))),"3MM",
IF(OR(ISNUMBER(SEARCH("4 MM",Inventario!B237)),ISNUMBER(SEARCH("4MM",Inventario!B237)),ISNUMBER(SEARCH("4 mm",Inventario!B237))),"4MM",
IF(OR(ISNUMBER(SEARCH("5 MM",Inventario!B237)),ISNUMBER(SEARCH("5MM",Inventario!B237))),"5MM",
IF(OR(ISNUMBER(SEARCH("6 MM",Inventario!B237)),ISNUMBER(SEARCH("6MM",Inventario!B237))),"6MM",
IF(OR(ISNUMBER(SEARCH("10 MM",Inventario!B237)),ISNUMBER(SEARCH("10MM",Inventario!B237))),"10MM","")))))))</f>
        <v/>
      </c>
      <c r="G238" t="str">
        <f>IF(ISNUMBER(SEARCH("ALTA RESISTENCIA",Inventario!B237)),"AR",IF(ISNUMBER(SEARCH("CAMPAÑA",Inventario!B237)),"CA",
IF(OR(ISNUMBER(SEARCH("CALIDO",Inventario!B237)),ISNUMBER(SEARCH("CÁLIDO",Inventario!B237))),"C",
IF(OR(ISNUMBER(SEARCH("TRASLUCIDO",Inventario!B237)),ISNUMBER(SEARCH("TRANSLUCIDO",Inventario!B237))),"TL",
IF(ISNUMBER(SEARCH("NEUTRO",Inventario!B237)),"N",
IF(ISNUMBER(SEARCH("FRIO",Inventario!B237)),"F",""))))))</f>
        <v>F</v>
      </c>
      <c r="H238" t="str">
        <f>IF(ISNUMBER(SEARCH("SILED",Inventario!B237)),"SI",
IF(ISNUMBER(SEARCH("SYDEMEX",Inventario!B237)),"SY",
IF(ISNUMBER(SEARCH("ROHS",Inventario!B237)),"RO",
IF(ISNUMBER(SEARCH("RISHANG",Inventario!B237)),"RS",
IF(ISNUMBER(SEARCH("VYG",Inventario!B237)),"VYG",
IF(ISNUMBER(SEARCH("COLED",Inventario!B237)),"CO",""))))))</f>
        <v>CO</v>
      </c>
    </row>
    <row r="239" spans="1:8">
      <c r="A239" t="str">
        <f>IF(ISNUMBER(SEARCH("LONA",Inventario!B238)),"LON",
IF(ISNUMBER(SEARCH("VINIL",Inventario!B238)),"VIN",
IF(ISNUMBER(SEARCH("PANEL DE ALUMINIO COMPUESTO",Inventario!B238)),"PAN-ALU-COM",
IF(ISNUMBER(SEARCH("PVC",Inventario!B238)),"PVC",
IF(ISNUMBER(SEARCH("PAPEL",Inventario!B238)),"PAP",
IF(ISNUMBER(SEARCH("TELA",Inventario!B238)),"TEL",
IF(ISNUMBER(SEARCH("CARTULINA",Inventario!B238)),"CAR",
IF(OR(ISNUMBER(SEARCH("LAMINA",Inventario!B238)),ISNUMBER(SEARCH("LÁMINA",Inventario!B238))),"LAM",
IF(ISNUMBER(SEARCH("ESTIRENO",Inventario!B238)),"EST",
IF(ISNUMBER(SEARCH("FOAMBOARD",Inventario!B238)),"FOA",
IF(ISNUMBER(SEARCH("SOLVENTE",Inventario!B238)),"SOL",
IF(ISNUMBER(SEARCH("TINTA",Inventario!B238)),"TIN",
IF(ISNUMBER(SEARCH("ACRILICO",Inventario!B238)),"ACR",
IF(ISNUMBER(SEARCH("LED",Inventario!B238)),"LED",
IF(ISNUMBER(SEARCH("FUENTE",Inventario!B238)),"FUE",
IF(ISNUMBER(SEARCH("PETG",Inventario!B238)),"PET",
IF(ISNUMBER(SEARCH("ALUMINIO",Inventario!B238)),"ALU",
IF(ISNUMBER(SEARCH("CANAL",Inventario!B238)),"CAN",
IF(ISNUMBER(SEARCH("ESCUADRA",Inventario!B238)),"ESC",
IF(ISNUMBER(SEARCH("SOPORTE",Inventario!B238)),"SOP","OTR")
)))))))))))))))))))</f>
        <v>LED</v>
      </c>
      <c r="B239" t="str">
        <f>IF(ISNUMBER(SEARCH("CORTE",Inventario!B238)),"COR",
IF(ISNUMBER(SEARCH("CRISTAL",Inventario!B238)),"CR",
IF(OR(ISNUMBER(SEARCH("OPTICO",Inventario!B238)),ISNUMBER(SEARCH("OPTICOS",Inventario!B238)),ISNUMBER(SEARCH("OPTICA",Inventario!B238))),"OP",
IF(ISNUMBER(SEARCH("NANO",Inventario!B238)),"NA",
IF(ISNUMBER(SEARCH("5050",Inventario!B238)),"5050",
IF(ISNUMBER(SEARCH("MICRO",Inventario!B238)),"MI",""))))))</f>
        <v/>
      </c>
      <c r="C239" t="str">
        <f>IF(ISNUMBER(SEARCH("PARED",Inventario!B238)),"PAR",IF(ISNUMBER(SEARCH("MATE",Inventario!B238)),"MAT",
IF(ISNUMBER(SEARCH("FRONT",Inventario!B238)),"FRO",
IF(ISNUMBER(SEARCH("BACK",Inventario!B238)),"BAC",
IF(ISNUMBER(SEARCH("MESH",Inventario!B238)),"MES",
IF(OR(ISNUMBER(SEARCH("BRILLANTE",Inventario!B238)),ISNUMBER(SEARCH("BTE",Inventario!B238))),"BRI",
IF(ISNUMBER(SEARCH("SINTETICA DELGADA",Inventario!B238)),"SD",
IF(ISNUMBER(SEARCH("SINTETICA GRUESA",Inventario!B238)),"SG",
IF(ISNUMBER(SEARCH("ESTATICO",Inventario!B238)),"EST",
IF(ISNUMBER(SEARCH("FLOOR",Inventario!B238)),"FLO",
IF(ISNUMBER(SEARCH("REFLECTIVO",Inventario!B238)),"REF",
IF(ISNUMBER(SEARCH("MICROPERFORADO",Inventario!B238)),"MI",
IF(ISNUMBER(SEARCH("CEPILLADO",Inventario!B238)),"CEP",
IF(ISNUMBER(SEARCH("ESPEJO",Inventario!B238)),"ESP",
IF(OR(ISNUMBER(SEARCH("UNIDIODO",Inventario!B238)),ISNUMBER(SEARCH("1 DIODO",Inventario!B238))),"1D",
IF(ISNUMBER(SEARCH("2 DIODOS",Inventario!B238)),"2D",
IF(ISNUMBER(SEARCH("3 DIODOS",Inventario!B238)),"3D","")))))))))))))))))</f>
        <v>3D</v>
      </c>
      <c r="D239" t="str">
        <f>IF(ISNUMBER(SEARCH("LX700",Inventario!B238)),"LX7",
IF(ISNUMBER(SEARCH("GRANDO",Inventario!B238)),"GRA",
IF(OR(ISNUMBER(SEARCH("CAMA PLANA",Inventario!B238)),ISNUMBER(SEARCH("FB700",Inventario!B238))),"CP",
IF(ISNUMBER(SEARCH("LX360",Inventario!B238)),"LX3",
IF(ISNUMBER(SEARCH("XEROX",Inventario!B238)),"XER",
IF(ISNUMBER(SEARCH("18 OZ",Inventario!B238)),"18OZ",
IF(ISNUMBER(SEARCH("15 OZ",Inventario!B238)),"15OZ",
IF(OR(ISNUMBER(SEARCH("13 OZ",Inventario!B238)),ISNUMBER(SEARCH("13 ONZAS",Inventario!B238))),"13OZ",
IF(OR(ISNUMBER(SEARCH("9 OZ",Inventario!B238)),ISNUMBER(SEARCH("9 ONZAS",Inventario!B238))),"09OZ","")))))))))</f>
        <v/>
      </c>
      <c r="E239" t="str">
        <f>IF(OR(ISNUMBER(SEARCH("TRANSPARENTE",Inventario!B238)),ISNUMBER(SEARCH("TRANSPARENTES",Inventario!B238))),"TR",
IF(OR(ISNUMBER(SEARCH("BLANCO",Inventario!B238)),ISNUMBER(SEARCH("BCO",Inventario!B238))),"BL",
IF(ISNUMBER(SEARCH("VERDE",Inventario!B238)),"VR",
IF(ISNUMBER(SEARCH("MORADO",Inventario!B238)),"MR",
IF(ISNUMBER(SEARCH("PLATA",Inventario!B238)),"PL",
IF(ISNUMBER(SEARCH("ORO",Inventario!B238)),"OR",
IF(ISNUMBER(SEARCH("AMARILLO",Inventario!B238)),"AM",
IF(ISNUMBER(SEARCH("NARANJA",Inventario!B238)),"NR",
IF(ISNUMBER(SEARCH("NEGRO",Inventario!B238)),"NG",
IF(ISNUMBER(SEARCH("ROJO",Inventario!B238)),"RJ",
IF(ISNUMBER(SEARCH("AZUL",Inventario!B238)),"AZ","")))))))))))</f>
        <v>BL</v>
      </c>
      <c r="F239" t="str">
        <f>IF(ISNUMBER(SEARCH("1,2 MM",Inventario!B238)),"1MM2",
IF(OR(ISNUMBER(SEARCH("2 MM",Inventario!B238)),ISNUMBER(SEARCH("2MM",Inventario!B238))),"2MM",
IF(OR(ISNUMBER(SEARCH("3 MM",Inventario!B238)),ISNUMBER(SEARCH("3MM",Inventario!B238))),"3MM",
IF(OR(ISNUMBER(SEARCH("4 MM",Inventario!B238)),ISNUMBER(SEARCH("4MM",Inventario!B238)),ISNUMBER(SEARCH("4 mm",Inventario!B238))),"4MM",
IF(OR(ISNUMBER(SEARCH("5 MM",Inventario!B238)),ISNUMBER(SEARCH("5MM",Inventario!B238))),"5MM",
IF(OR(ISNUMBER(SEARCH("6 MM",Inventario!B238)),ISNUMBER(SEARCH("6MM",Inventario!B238))),"6MM",
IF(OR(ISNUMBER(SEARCH("10 MM",Inventario!B238)),ISNUMBER(SEARCH("10MM",Inventario!B238))),"10MM","")))))))</f>
        <v/>
      </c>
      <c r="G239" t="str">
        <f>IF(ISNUMBER(SEARCH("ALTA RESISTENCIA",Inventario!B238)),"AR",IF(ISNUMBER(SEARCH("CAMPAÑA",Inventario!B238)),"CA",
IF(OR(ISNUMBER(SEARCH("CALIDO",Inventario!B238)),ISNUMBER(SEARCH("CÁLIDO",Inventario!B238))),"C",
IF(OR(ISNUMBER(SEARCH("TRASLUCIDO",Inventario!B238)),ISNUMBER(SEARCH("TRANSLUCIDO",Inventario!B238))),"TL",
IF(ISNUMBER(SEARCH("NEUTRO",Inventario!B238)),"N",
IF(ISNUMBER(SEARCH("FRIO",Inventario!B238)),"F",""))))))</f>
        <v>F</v>
      </c>
      <c r="H239" t="str">
        <f>IF(ISNUMBER(SEARCH("SILED",Inventario!B238)),"SI",
IF(ISNUMBER(SEARCH("SYDEMEX",Inventario!B238)),"SY",
IF(ISNUMBER(SEARCH("ROHS",Inventario!B238)),"RO",
IF(ISNUMBER(SEARCH("RISHANG",Inventario!B238)),"RS",
IF(ISNUMBER(SEARCH("VYG",Inventario!B238)),"VYG",
IF(ISNUMBER(SEARCH("COLED",Inventario!B238)),"CO",""))))))</f>
        <v>CO</v>
      </c>
    </row>
    <row r="240" spans="1:8">
      <c r="A240" t="str">
        <f>IF(ISNUMBER(SEARCH("LONA",Inventario!B239)),"LON",
IF(ISNUMBER(SEARCH("VINIL",Inventario!B239)),"VIN",
IF(ISNUMBER(SEARCH("PANEL DE ALUMINIO COMPUESTO",Inventario!B239)),"PAN-ALU-COM",
IF(ISNUMBER(SEARCH("PVC",Inventario!B239)),"PVC",
IF(ISNUMBER(SEARCH("PAPEL",Inventario!B239)),"PAP",
IF(ISNUMBER(SEARCH("TELA",Inventario!B239)),"TEL",
IF(ISNUMBER(SEARCH("CARTULINA",Inventario!B239)),"CAR",
IF(OR(ISNUMBER(SEARCH("LAMINA",Inventario!B239)),ISNUMBER(SEARCH("LÁMINA",Inventario!B239))),"LAM",
IF(ISNUMBER(SEARCH("ESTIRENO",Inventario!B239)),"EST",
IF(ISNUMBER(SEARCH("FOAMBOARD",Inventario!B239)),"FOA",
IF(ISNUMBER(SEARCH("SOLVENTE",Inventario!B239)),"SOL",
IF(ISNUMBER(SEARCH("TINTA",Inventario!B239)),"TIN",
IF(ISNUMBER(SEARCH("ACRILICO",Inventario!B239)),"ACR",
IF(ISNUMBER(SEARCH("LED",Inventario!B239)),"LED",
IF(ISNUMBER(SEARCH("FUENTE",Inventario!B239)),"FUE",
IF(ISNUMBER(SEARCH("PETG",Inventario!B239)),"PET",
IF(ISNUMBER(SEARCH("ALUMINIO",Inventario!B239)),"ALU",
IF(ISNUMBER(SEARCH("CANAL",Inventario!B239)),"CAN",
IF(ISNUMBER(SEARCH("ESCUADRA",Inventario!B239)),"ESC",
IF(ISNUMBER(SEARCH("SOPORTE",Inventario!B239)),"SOP","OTR")
)))))))))))))))))))</f>
        <v>LED</v>
      </c>
      <c r="B240" t="str">
        <f>IF(ISNUMBER(SEARCH("CORTE",Inventario!B239)),"COR",
IF(ISNUMBER(SEARCH("CRISTAL",Inventario!B239)),"CR",
IF(OR(ISNUMBER(SEARCH("OPTICO",Inventario!B239)),ISNUMBER(SEARCH("OPTICOS",Inventario!B239)),ISNUMBER(SEARCH("OPTICA",Inventario!B239))),"OP",
IF(ISNUMBER(SEARCH("NANO",Inventario!B239)),"NA",
IF(ISNUMBER(SEARCH("5050",Inventario!B239)),"5050",
IF(ISNUMBER(SEARCH("MICRO",Inventario!B239)),"MI",""))))))</f>
        <v/>
      </c>
      <c r="C240" t="str">
        <f>IF(ISNUMBER(SEARCH("PARED",Inventario!B239)),"PAR",IF(ISNUMBER(SEARCH("MATE",Inventario!B239)),"MAT",
IF(ISNUMBER(SEARCH("FRONT",Inventario!B239)),"FRO",
IF(ISNUMBER(SEARCH("BACK",Inventario!B239)),"BAC",
IF(ISNUMBER(SEARCH("MESH",Inventario!B239)),"MES",
IF(OR(ISNUMBER(SEARCH("BRILLANTE",Inventario!B239)),ISNUMBER(SEARCH("BTE",Inventario!B239))),"BRI",
IF(ISNUMBER(SEARCH("SINTETICA DELGADA",Inventario!B239)),"SD",
IF(ISNUMBER(SEARCH("SINTETICA GRUESA",Inventario!B239)),"SG",
IF(ISNUMBER(SEARCH("ESTATICO",Inventario!B239)),"EST",
IF(ISNUMBER(SEARCH("FLOOR",Inventario!B239)),"FLO",
IF(ISNUMBER(SEARCH("REFLECTIVO",Inventario!B239)),"REF",
IF(ISNUMBER(SEARCH("MICROPERFORADO",Inventario!B239)),"MI",
IF(ISNUMBER(SEARCH("CEPILLADO",Inventario!B239)),"CEP",
IF(ISNUMBER(SEARCH("ESPEJO",Inventario!B239)),"ESP",
IF(OR(ISNUMBER(SEARCH("UNIDIODO",Inventario!B239)),ISNUMBER(SEARCH("1 DIODO",Inventario!B239))),"1D",
IF(ISNUMBER(SEARCH("2 DIODOS",Inventario!B239)),"2D",
IF(ISNUMBER(SEARCH("3 DIODOS",Inventario!B239)),"3D","")))))))))))))))))</f>
        <v>3D</v>
      </c>
      <c r="D240" t="str">
        <f>IF(ISNUMBER(SEARCH("LX700",Inventario!B239)),"LX7",
IF(ISNUMBER(SEARCH("GRANDO",Inventario!B239)),"GRA",
IF(OR(ISNUMBER(SEARCH("CAMA PLANA",Inventario!B239)),ISNUMBER(SEARCH("FB700",Inventario!B239))),"CP",
IF(ISNUMBER(SEARCH("LX360",Inventario!B239)),"LX3",
IF(ISNUMBER(SEARCH("XEROX",Inventario!B239)),"XER",
IF(ISNUMBER(SEARCH("18 OZ",Inventario!B239)),"18OZ",
IF(ISNUMBER(SEARCH("15 OZ",Inventario!B239)),"15OZ",
IF(OR(ISNUMBER(SEARCH("13 OZ",Inventario!B239)),ISNUMBER(SEARCH("13 ONZAS",Inventario!B239))),"13OZ",
IF(OR(ISNUMBER(SEARCH("9 OZ",Inventario!B239)),ISNUMBER(SEARCH("9 ONZAS",Inventario!B239))),"09OZ","")))))))))</f>
        <v/>
      </c>
      <c r="E240" t="str">
        <f>IF(OR(ISNUMBER(SEARCH("TRANSPARENTE",Inventario!B239)),ISNUMBER(SEARCH("TRANSPARENTES",Inventario!B239))),"TR",
IF(OR(ISNUMBER(SEARCH("BLANCO",Inventario!B239)),ISNUMBER(SEARCH("BCO",Inventario!B239))),"BL",
IF(ISNUMBER(SEARCH("VERDE",Inventario!B239)),"VR",
IF(ISNUMBER(SEARCH("MORADO",Inventario!B239)),"MR",
IF(ISNUMBER(SEARCH("PLATA",Inventario!B239)),"PL",
IF(ISNUMBER(SEARCH("ORO",Inventario!B239)),"OR",
IF(ISNUMBER(SEARCH("AMARILLO",Inventario!B239)),"AM",
IF(ISNUMBER(SEARCH("NARANJA",Inventario!B239)),"NR",
IF(ISNUMBER(SEARCH("NEGRO",Inventario!B239)),"NG",
IF(ISNUMBER(SEARCH("ROJO",Inventario!B239)),"RJ",
IF(ISNUMBER(SEARCH("AZUL",Inventario!B239)),"AZ","")))))))))))</f>
        <v>BL</v>
      </c>
      <c r="F240" t="str">
        <f>IF(ISNUMBER(SEARCH("1,2 MM",Inventario!B239)),"1MM2",
IF(OR(ISNUMBER(SEARCH("2 MM",Inventario!B239)),ISNUMBER(SEARCH("2MM",Inventario!B239))),"2MM",
IF(OR(ISNUMBER(SEARCH("3 MM",Inventario!B239)),ISNUMBER(SEARCH("3MM",Inventario!B239))),"3MM",
IF(OR(ISNUMBER(SEARCH("4 MM",Inventario!B239)),ISNUMBER(SEARCH("4MM",Inventario!B239)),ISNUMBER(SEARCH("4 mm",Inventario!B239))),"4MM",
IF(OR(ISNUMBER(SEARCH("5 MM",Inventario!B239)),ISNUMBER(SEARCH("5MM",Inventario!B239))),"5MM",
IF(OR(ISNUMBER(SEARCH("6 MM",Inventario!B239)),ISNUMBER(SEARCH("6MM",Inventario!B239))),"6MM",
IF(OR(ISNUMBER(SEARCH("10 MM",Inventario!B239)),ISNUMBER(SEARCH("10MM",Inventario!B239))),"10MM","")))))))</f>
        <v/>
      </c>
      <c r="G240" t="str">
        <f>IF(ISNUMBER(SEARCH("ALTA RESISTENCIA",Inventario!B239)),"AR",IF(ISNUMBER(SEARCH("CAMPAÑA",Inventario!B239)),"CA",
IF(OR(ISNUMBER(SEARCH("CALIDO",Inventario!B239)),ISNUMBER(SEARCH("CÁLIDO",Inventario!B239))),"C",
IF(OR(ISNUMBER(SEARCH("TRASLUCIDO",Inventario!B239)),ISNUMBER(SEARCH("TRANSLUCIDO",Inventario!B239))),"TL",
IF(ISNUMBER(SEARCH("NEUTRO",Inventario!B239)),"N",
IF(ISNUMBER(SEARCH("FRIO",Inventario!B239)),"F",""))))))</f>
        <v>C</v>
      </c>
      <c r="H240" t="str">
        <f>IF(ISNUMBER(SEARCH("SILED",Inventario!B239)),"SI",
IF(ISNUMBER(SEARCH("SYDEMEX",Inventario!B239)),"SY",
IF(ISNUMBER(SEARCH("ROHS",Inventario!B239)),"RO",
IF(ISNUMBER(SEARCH("RISHANG",Inventario!B239)),"RS",
IF(ISNUMBER(SEARCH("VYG",Inventario!B239)),"VYG",
IF(ISNUMBER(SEARCH("COLED",Inventario!B239)),"CO",""))))))</f>
        <v>CO</v>
      </c>
    </row>
    <row r="241" spans="1:8">
      <c r="A241" t="str">
        <f>IF(ISNUMBER(SEARCH("LONA",Inventario!B240)),"LON",
IF(ISNUMBER(SEARCH("VINIL",Inventario!B240)),"VIN",
IF(ISNUMBER(SEARCH("PANEL DE ALUMINIO COMPUESTO",Inventario!B240)),"PAN-ALU-COM",
IF(ISNUMBER(SEARCH("PVC",Inventario!B240)),"PVC",
IF(ISNUMBER(SEARCH("PAPEL",Inventario!B240)),"PAP",
IF(ISNUMBER(SEARCH("TELA",Inventario!B240)),"TEL",
IF(ISNUMBER(SEARCH("CARTULINA",Inventario!B240)),"CAR",
IF(OR(ISNUMBER(SEARCH("LAMINA",Inventario!B240)),ISNUMBER(SEARCH("LÁMINA",Inventario!B240))),"LAM",
IF(ISNUMBER(SEARCH("ESTIRENO",Inventario!B240)),"EST",
IF(ISNUMBER(SEARCH("FOAMBOARD",Inventario!B240)),"FOA",
IF(ISNUMBER(SEARCH("SOLVENTE",Inventario!B240)),"SOL",
IF(ISNUMBER(SEARCH("TINTA",Inventario!B240)),"TIN",
IF(ISNUMBER(SEARCH("ACRILICO",Inventario!B240)),"ACR",
IF(ISNUMBER(SEARCH("LED",Inventario!B240)),"LED",
IF(ISNUMBER(SEARCH("FUENTE",Inventario!B240)),"FUE",
IF(ISNUMBER(SEARCH("PETG",Inventario!B240)),"PET",
IF(ISNUMBER(SEARCH("ALUMINIO",Inventario!B240)),"ALU",
IF(ISNUMBER(SEARCH("CANAL",Inventario!B240)),"CAN",
IF(ISNUMBER(SEARCH("ESCUADRA",Inventario!B240)),"ESC",
IF(ISNUMBER(SEARCH("SOPORTE",Inventario!B240)),"SOP","OTR")
)))))))))))))))))))</f>
        <v>LED</v>
      </c>
      <c r="B241" t="str">
        <f>IF(ISNUMBER(SEARCH("CORTE",Inventario!B240)),"COR",
IF(ISNUMBER(SEARCH("CRISTAL",Inventario!B240)),"CR",
IF(OR(ISNUMBER(SEARCH("OPTICO",Inventario!B240)),ISNUMBER(SEARCH("OPTICOS",Inventario!B240)),ISNUMBER(SEARCH("OPTICA",Inventario!B240))),"OP",
IF(ISNUMBER(SEARCH("NANO",Inventario!B240)),"NA",
IF(ISNUMBER(SEARCH("5050",Inventario!B240)),"5050",
IF(ISNUMBER(SEARCH("MICRO",Inventario!B240)),"MI",""))))))</f>
        <v>OP</v>
      </c>
      <c r="C241" t="str">
        <f>IF(ISNUMBER(SEARCH("PARED",Inventario!B240)),"PAR",IF(ISNUMBER(SEARCH("MATE",Inventario!B240)),"MAT",
IF(ISNUMBER(SEARCH("FRONT",Inventario!B240)),"FRO",
IF(ISNUMBER(SEARCH("BACK",Inventario!B240)),"BAC",
IF(ISNUMBER(SEARCH("MESH",Inventario!B240)),"MES",
IF(OR(ISNUMBER(SEARCH("BRILLANTE",Inventario!B240)),ISNUMBER(SEARCH("BTE",Inventario!B240))),"BRI",
IF(ISNUMBER(SEARCH("SINTETICA DELGADA",Inventario!B240)),"SD",
IF(ISNUMBER(SEARCH("SINTETICA GRUESA",Inventario!B240)),"SG",
IF(ISNUMBER(SEARCH("ESTATICO",Inventario!B240)),"EST",
IF(ISNUMBER(SEARCH("FLOOR",Inventario!B240)),"FLO",
IF(ISNUMBER(SEARCH("REFLECTIVO",Inventario!B240)),"REF",
IF(ISNUMBER(SEARCH("MICROPERFORADO",Inventario!B240)),"MI",
IF(ISNUMBER(SEARCH("CEPILLADO",Inventario!B240)),"CEP",
IF(ISNUMBER(SEARCH("ESPEJO",Inventario!B240)),"ESP",
IF(OR(ISNUMBER(SEARCH("UNIDIODO",Inventario!B240)),ISNUMBER(SEARCH("1 DIODO",Inventario!B240))),"1D",
IF(ISNUMBER(SEARCH("2 DIODOS",Inventario!B240)),"2D",
IF(ISNUMBER(SEARCH("3 DIODOS",Inventario!B240)),"3D","")))))))))))))))))</f>
        <v>3D</v>
      </c>
      <c r="D241" t="str">
        <f>IF(ISNUMBER(SEARCH("LX700",Inventario!B240)),"LX7",
IF(ISNUMBER(SEARCH("GRANDO",Inventario!B240)),"GRA",
IF(OR(ISNUMBER(SEARCH("CAMA PLANA",Inventario!B240)),ISNUMBER(SEARCH("FB700",Inventario!B240))),"CP",
IF(ISNUMBER(SEARCH("LX360",Inventario!B240)),"LX3",
IF(ISNUMBER(SEARCH("XEROX",Inventario!B240)),"XER",
IF(ISNUMBER(SEARCH("18 OZ",Inventario!B240)),"18OZ",
IF(ISNUMBER(SEARCH("15 OZ",Inventario!B240)),"15OZ",
IF(OR(ISNUMBER(SEARCH("13 OZ",Inventario!B240)),ISNUMBER(SEARCH("13 ONZAS",Inventario!B240))),"13OZ",
IF(OR(ISNUMBER(SEARCH("9 OZ",Inventario!B240)),ISNUMBER(SEARCH("9 ONZAS",Inventario!B240))),"09OZ","")))))))))</f>
        <v/>
      </c>
      <c r="E241" t="str">
        <f>IF(OR(ISNUMBER(SEARCH("TRANSPARENTE",Inventario!B240)),ISNUMBER(SEARCH("TRANSPARENTES",Inventario!B240))),"TR",
IF(OR(ISNUMBER(SEARCH("BLANCO",Inventario!B240)),ISNUMBER(SEARCH("BCO",Inventario!B240))),"BL",
IF(ISNUMBER(SEARCH("VERDE",Inventario!B240)),"VR",
IF(ISNUMBER(SEARCH("MORADO",Inventario!B240)),"MR",
IF(ISNUMBER(SEARCH("PLATA",Inventario!B240)),"PL",
IF(ISNUMBER(SEARCH("ORO",Inventario!B240)),"OR",
IF(ISNUMBER(SEARCH("AMARILLO",Inventario!B240)),"AM",
IF(ISNUMBER(SEARCH("NARANJA",Inventario!B240)),"NR",
IF(ISNUMBER(SEARCH("NEGRO",Inventario!B240)),"NG",
IF(ISNUMBER(SEARCH("ROJO",Inventario!B240)),"RJ",
IF(ISNUMBER(SEARCH("AZUL",Inventario!B240)),"AZ","")))))))))))</f>
        <v>BL</v>
      </c>
      <c r="F241" t="str">
        <f>IF(ISNUMBER(SEARCH("1,2 MM",Inventario!B240)),"1MM2",
IF(OR(ISNUMBER(SEARCH("2 MM",Inventario!B240)),ISNUMBER(SEARCH("2MM",Inventario!B240))),"2MM",
IF(OR(ISNUMBER(SEARCH("3 MM",Inventario!B240)),ISNUMBER(SEARCH("3MM",Inventario!B240))),"3MM",
IF(OR(ISNUMBER(SEARCH("4 MM",Inventario!B240)),ISNUMBER(SEARCH("4MM",Inventario!B240)),ISNUMBER(SEARCH("4 mm",Inventario!B240))),"4MM",
IF(OR(ISNUMBER(SEARCH("5 MM",Inventario!B240)),ISNUMBER(SEARCH("5MM",Inventario!B240))),"5MM",
IF(OR(ISNUMBER(SEARCH("6 MM",Inventario!B240)),ISNUMBER(SEARCH("6MM",Inventario!B240))),"6MM",
IF(OR(ISNUMBER(SEARCH("10 MM",Inventario!B240)),ISNUMBER(SEARCH("10MM",Inventario!B240))),"10MM","")))))))</f>
        <v/>
      </c>
      <c r="G241" t="str">
        <f>IF(ISNUMBER(SEARCH("ALTA RESISTENCIA",Inventario!B240)),"AR",IF(ISNUMBER(SEARCH("CAMPAÑA",Inventario!B240)),"CA",
IF(OR(ISNUMBER(SEARCH("CALIDO",Inventario!B240)),ISNUMBER(SEARCH("CÁLIDO",Inventario!B240))),"C",
IF(OR(ISNUMBER(SEARCH("TRASLUCIDO",Inventario!B240)),ISNUMBER(SEARCH("TRANSLUCIDO",Inventario!B240))),"TL",
IF(ISNUMBER(SEARCH("NEUTRO",Inventario!B240)),"N",
IF(ISNUMBER(SEARCH("FRIO",Inventario!B240)),"F",""))))))</f>
        <v>F</v>
      </c>
      <c r="H241" t="str">
        <f>IF(ISNUMBER(SEARCH("SILED",Inventario!B240)),"SI",
IF(ISNUMBER(SEARCH("SYDEMEX",Inventario!B240)),"SY",
IF(ISNUMBER(SEARCH("ROHS",Inventario!B240)),"RO",
IF(ISNUMBER(SEARCH("RISHANG",Inventario!B240)),"RS",
IF(ISNUMBER(SEARCH("VYG",Inventario!B240)),"VYG",
IF(ISNUMBER(SEARCH("COLED",Inventario!B240)),"CO",""))))))</f>
        <v>RS</v>
      </c>
    </row>
    <row r="242" spans="1:8">
      <c r="A242" t="str">
        <f>IF(ISNUMBER(SEARCH("LONA",Inventario!B241)),"LON",
IF(ISNUMBER(SEARCH("VINIL",Inventario!B241)),"VIN",
IF(ISNUMBER(SEARCH("PANEL DE ALUMINIO COMPUESTO",Inventario!B241)),"PAN-ALU-COM",
IF(ISNUMBER(SEARCH("PVC",Inventario!B241)),"PVC",
IF(ISNUMBER(SEARCH("PAPEL",Inventario!B241)),"PAP",
IF(ISNUMBER(SEARCH("TELA",Inventario!B241)),"TEL",
IF(ISNUMBER(SEARCH("CARTULINA",Inventario!B241)),"CAR",
IF(OR(ISNUMBER(SEARCH("LAMINA",Inventario!B241)),ISNUMBER(SEARCH("LÁMINA",Inventario!B241))),"LAM",
IF(ISNUMBER(SEARCH("ESTIRENO",Inventario!B241)),"EST",
IF(ISNUMBER(SEARCH("FOAMBOARD",Inventario!B241)),"FOA",
IF(ISNUMBER(SEARCH("SOLVENTE",Inventario!B241)),"SOL",
IF(ISNUMBER(SEARCH("TINTA",Inventario!B241)),"TIN",
IF(ISNUMBER(SEARCH("ACRILICO",Inventario!B241)),"ACR",
IF(ISNUMBER(SEARCH("LED",Inventario!B241)),"LED",
IF(ISNUMBER(SEARCH("FUENTE",Inventario!B241)),"FUE",
IF(ISNUMBER(SEARCH("PETG",Inventario!B241)),"PET",
IF(ISNUMBER(SEARCH("ALUMINIO",Inventario!B241)),"ALU",
IF(ISNUMBER(SEARCH("CANAL",Inventario!B241)),"CAN",
IF(ISNUMBER(SEARCH("ESCUADRA",Inventario!B241)),"ESC",
IF(ISNUMBER(SEARCH("SOPORTE",Inventario!B241)),"SOP","OTR")
)))))))))))))))))))</f>
        <v>LED</v>
      </c>
      <c r="B242" t="str">
        <f>IF(ISNUMBER(SEARCH("CORTE",Inventario!B241)),"COR",
IF(ISNUMBER(SEARCH("CRISTAL",Inventario!B241)),"CR",
IF(OR(ISNUMBER(SEARCH("OPTICO",Inventario!B241)),ISNUMBER(SEARCH("OPTICOS",Inventario!B241)),ISNUMBER(SEARCH("OPTICA",Inventario!B241))),"OP",
IF(ISNUMBER(SEARCH("NANO",Inventario!B241)),"NA",
IF(ISNUMBER(SEARCH("5050",Inventario!B241)),"5050",
IF(ISNUMBER(SEARCH("MICRO",Inventario!B241)),"MI",""))))))</f>
        <v>OP</v>
      </c>
      <c r="C242" t="str">
        <f>IF(ISNUMBER(SEARCH("PARED",Inventario!B241)),"PAR",IF(ISNUMBER(SEARCH("MATE",Inventario!B241)),"MAT",
IF(ISNUMBER(SEARCH("FRONT",Inventario!B241)),"FRO",
IF(ISNUMBER(SEARCH("BACK",Inventario!B241)),"BAC",
IF(ISNUMBER(SEARCH("MESH",Inventario!B241)),"MES",
IF(OR(ISNUMBER(SEARCH("BRILLANTE",Inventario!B241)),ISNUMBER(SEARCH("BTE",Inventario!B241))),"BRI",
IF(ISNUMBER(SEARCH("SINTETICA DELGADA",Inventario!B241)),"SD",
IF(ISNUMBER(SEARCH("SINTETICA GRUESA",Inventario!B241)),"SG",
IF(ISNUMBER(SEARCH("ESTATICO",Inventario!B241)),"EST",
IF(ISNUMBER(SEARCH("FLOOR",Inventario!B241)),"FLO",
IF(ISNUMBER(SEARCH("REFLECTIVO",Inventario!B241)),"REF",
IF(ISNUMBER(SEARCH("MICROPERFORADO",Inventario!B241)),"MI",
IF(ISNUMBER(SEARCH("CEPILLADO",Inventario!B241)),"CEP",
IF(ISNUMBER(SEARCH("ESPEJO",Inventario!B241)),"ESP",
IF(OR(ISNUMBER(SEARCH("UNIDIODO",Inventario!B241)),ISNUMBER(SEARCH("1 DIODO",Inventario!B241))),"1D",
IF(ISNUMBER(SEARCH("2 DIODOS",Inventario!B241)),"2D",
IF(ISNUMBER(SEARCH("3 DIODOS",Inventario!B241)),"3D","")))))))))))))))))</f>
        <v>3D</v>
      </c>
      <c r="D242" t="str">
        <f>IF(ISNUMBER(SEARCH("LX700",Inventario!B241)),"LX7",
IF(ISNUMBER(SEARCH("GRANDO",Inventario!B241)),"GRA",
IF(OR(ISNUMBER(SEARCH("CAMA PLANA",Inventario!B241)),ISNUMBER(SEARCH("FB700",Inventario!B241))),"CP",
IF(ISNUMBER(SEARCH("LX360",Inventario!B241)),"LX3",
IF(ISNUMBER(SEARCH("XEROX",Inventario!B241)),"XER",
IF(ISNUMBER(SEARCH("18 OZ",Inventario!B241)),"18OZ",
IF(ISNUMBER(SEARCH("15 OZ",Inventario!B241)),"15OZ",
IF(OR(ISNUMBER(SEARCH("13 OZ",Inventario!B241)),ISNUMBER(SEARCH("13 ONZAS",Inventario!B241))),"13OZ",
IF(OR(ISNUMBER(SEARCH("9 OZ",Inventario!B241)),ISNUMBER(SEARCH("9 ONZAS",Inventario!B241))),"09OZ","")))))))))</f>
        <v/>
      </c>
      <c r="E242" t="str">
        <f>IF(OR(ISNUMBER(SEARCH("TRANSPARENTE",Inventario!B241)),ISNUMBER(SEARCH("TRANSPARENTES",Inventario!B241))),"TR",
IF(OR(ISNUMBER(SEARCH("BLANCO",Inventario!B241)),ISNUMBER(SEARCH("BCO",Inventario!B241))),"BL",
IF(ISNUMBER(SEARCH("VERDE",Inventario!B241)),"VR",
IF(ISNUMBER(SEARCH("MORADO",Inventario!B241)),"MR",
IF(ISNUMBER(SEARCH("PLATA",Inventario!B241)),"PL",
IF(ISNUMBER(SEARCH("ORO",Inventario!B241)),"OR",
IF(ISNUMBER(SEARCH("AMARILLO",Inventario!B241)),"AM",
IF(ISNUMBER(SEARCH("NARANJA",Inventario!B241)),"NR",
IF(ISNUMBER(SEARCH("NEGRO",Inventario!B241)),"NG",
IF(ISNUMBER(SEARCH("ROJO",Inventario!B241)),"RJ",
IF(ISNUMBER(SEARCH("AZUL",Inventario!B241)),"AZ","")))))))))))</f>
        <v>BL</v>
      </c>
      <c r="F242" t="str">
        <f>IF(ISNUMBER(SEARCH("1,2 MM",Inventario!B241)),"1MM2",
IF(OR(ISNUMBER(SEARCH("2 MM",Inventario!B241)),ISNUMBER(SEARCH("2MM",Inventario!B241))),"2MM",
IF(OR(ISNUMBER(SEARCH("3 MM",Inventario!B241)),ISNUMBER(SEARCH("3MM",Inventario!B241))),"3MM",
IF(OR(ISNUMBER(SEARCH("4 MM",Inventario!B241)),ISNUMBER(SEARCH("4MM",Inventario!B241)),ISNUMBER(SEARCH("4 mm",Inventario!B241))),"4MM",
IF(OR(ISNUMBER(SEARCH("5 MM",Inventario!B241)),ISNUMBER(SEARCH("5MM",Inventario!B241))),"5MM",
IF(OR(ISNUMBER(SEARCH("6 MM",Inventario!B241)),ISNUMBER(SEARCH("6MM",Inventario!B241))),"6MM",
IF(OR(ISNUMBER(SEARCH("10 MM",Inventario!B241)),ISNUMBER(SEARCH("10MM",Inventario!B241))),"10MM","")))))))</f>
        <v/>
      </c>
      <c r="G242" t="str">
        <f>IF(ISNUMBER(SEARCH("ALTA RESISTENCIA",Inventario!B241)),"AR",IF(ISNUMBER(SEARCH("CAMPAÑA",Inventario!B241)),"CA",
IF(OR(ISNUMBER(SEARCH("CALIDO",Inventario!B241)),ISNUMBER(SEARCH("CÁLIDO",Inventario!B241))),"C",
IF(OR(ISNUMBER(SEARCH("TRASLUCIDO",Inventario!B241)),ISNUMBER(SEARCH("TRANSLUCIDO",Inventario!B241))),"TL",
IF(ISNUMBER(SEARCH("NEUTRO",Inventario!B241)),"N",
IF(ISNUMBER(SEARCH("FRIO",Inventario!B241)),"F",""))))))</f>
        <v>F</v>
      </c>
      <c r="H242" t="str">
        <f>IF(ISNUMBER(SEARCH("SILED",Inventario!B241)),"SI",
IF(ISNUMBER(SEARCH("SYDEMEX",Inventario!B241)),"SY",
IF(ISNUMBER(SEARCH("ROHS",Inventario!B241)),"RO",
IF(ISNUMBER(SEARCH("RISHANG",Inventario!B241)),"RS",
IF(ISNUMBER(SEARCH("VYG",Inventario!B241)),"VYG",
IF(ISNUMBER(SEARCH("COLED",Inventario!B241)),"CO",""))))))</f>
        <v>VYG</v>
      </c>
    </row>
    <row r="243" spans="1:8">
      <c r="A243" t="str">
        <f>IF(ISNUMBER(SEARCH("LONA",Inventario!B242)),"LON",
IF(ISNUMBER(SEARCH("VINIL",Inventario!B242)),"VIN",
IF(ISNUMBER(SEARCH("PANEL DE ALUMINIO COMPUESTO",Inventario!B242)),"PAN-ALU-COM",
IF(ISNUMBER(SEARCH("PVC",Inventario!B242)),"PVC",
IF(ISNUMBER(SEARCH("PAPEL",Inventario!B242)),"PAP",
IF(ISNUMBER(SEARCH("TELA",Inventario!B242)),"TEL",
IF(ISNUMBER(SEARCH("CARTULINA",Inventario!B242)),"CAR",
IF(OR(ISNUMBER(SEARCH("LAMINA",Inventario!B242)),ISNUMBER(SEARCH("LÁMINA",Inventario!B242))),"LAM",
IF(ISNUMBER(SEARCH("ESTIRENO",Inventario!B242)),"EST",
IF(ISNUMBER(SEARCH("FOAMBOARD",Inventario!B242)),"FOA",
IF(ISNUMBER(SEARCH("SOLVENTE",Inventario!B242)),"SOL",
IF(ISNUMBER(SEARCH("TINTA",Inventario!B242)),"TIN",
IF(ISNUMBER(SEARCH("ACRILICO",Inventario!B242)),"ACR",
IF(ISNUMBER(SEARCH("LED",Inventario!B242)),"LED",
IF(ISNUMBER(SEARCH("FUENTE",Inventario!B242)),"FUE",
IF(ISNUMBER(SEARCH("PETG",Inventario!B242)),"PET",
IF(ISNUMBER(SEARCH("ALUMINIO",Inventario!B242)),"ALU",
IF(ISNUMBER(SEARCH("CANAL",Inventario!B242)),"CAN",
IF(ISNUMBER(SEARCH("ESCUADRA",Inventario!B242)),"ESC",
IF(ISNUMBER(SEARCH("SOPORTE",Inventario!B242)),"SOP","OTR")
)))))))))))))))))))</f>
        <v>LED</v>
      </c>
      <c r="B243" t="str">
        <f>IF(ISNUMBER(SEARCH("CORTE",Inventario!B242)),"COR",
IF(ISNUMBER(SEARCH("CRISTAL",Inventario!B242)),"CR",
IF(OR(ISNUMBER(SEARCH("OPTICO",Inventario!B242)),ISNUMBER(SEARCH("OPTICOS",Inventario!B242)),ISNUMBER(SEARCH("OPTICA",Inventario!B242))),"OP",
IF(ISNUMBER(SEARCH("NANO",Inventario!B242)),"NA",
IF(ISNUMBER(SEARCH("5050",Inventario!B242)),"5050",
IF(ISNUMBER(SEARCH("MICRO",Inventario!B242)),"MI",""))))))</f>
        <v>MI</v>
      </c>
      <c r="C243" t="str">
        <f>IF(ISNUMBER(SEARCH("PARED",Inventario!B242)),"PAR",IF(ISNUMBER(SEARCH("MATE",Inventario!B242)),"MAT",
IF(ISNUMBER(SEARCH("FRONT",Inventario!B242)),"FRO",
IF(ISNUMBER(SEARCH("BACK",Inventario!B242)),"BAC",
IF(ISNUMBER(SEARCH("MESH",Inventario!B242)),"MES",
IF(OR(ISNUMBER(SEARCH("BRILLANTE",Inventario!B242)),ISNUMBER(SEARCH("BTE",Inventario!B242))),"BRI",
IF(ISNUMBER(SEARCH("SINTETICA DELGADA",Inventario!B242)),"SD",
IF(ISNUMBER(SEARCH("SINTETICA GRUESA",Inventario!B242)),"SG",
IF(ISNUMBER(SEARCH("ESTATICO",Inventario!B242)),"EST",
IF(ISNUMBER(SEARCH("FLOOR",Inventario!B242)),"FLO",
IF(ISNUMBER(SEARCH("REFLECTIVO",Inventario!B242)),"REF",
IF(ISNUMBER(SEARCH("MICROPERFORADO",Inventario!B242)),"MI",
IF(ISNUMBER(SEARCH("CEPILLADO",Inventario!B242)),"CEP",
IF(ISNUMBER(SEARCH("ESPEJO",Inventario!B242)),"ESP",
IF(OR(ISNUMBER(SEARCH("UNIDIODO",Inventario!B242)),ISNUMBER(SEARCH("1 DIODO",Inventario!B242))),"1D",
IF(ISNUMBER(SEARCH("2 DIODOS",Inventario!B242)),"2D",
IF(ISNUMBER(SEARCH("3 DIODOS",Inventario!B242)),"3D","")))))))))))))))))</f>
        <v>2D</v>
      </c>
      <c r="D243" t="str">
        <f>IF(ISNUMBER(SEARCH("LX700",Inventario!B242)),"LX7",
IF(ISNUMBER(SEARCH("GRANDO",Inventario!B242)),"GRA",
IF(OR(ISNUMBER(SEARCH("CAMA PLANA",Inventario!B242)),ISNUMBER(SEARCH("FB700",Inventario!B242))),"CP",
IF(ISNUMBER(SEARCH("LX360",Inventario!B242)),"LX3",
IF(ISNUMBER(SEARCH("XEROX",Inventario!B242)),"XER",
IF(ISNUMBER(SEARCH("18 OZ",Inventario!B242)),"18OZ",
IF(ISNUMBER(SEARCH("15 OZ",Inventario!B242)),"15OZ",
IF(OR(ISNUMBER(SEARCH("13 OZ",Inventario!B242)),ISNUMBER(SEARCH("13 ONZAS",Inventario!B242))),"13OZ",
IF(OR(ISNUMBER(SEARCH("9 OZ",Inventario!B242)),ISNUMBER(SEARCH("9 ONZAS",Inventario!B242))),"09OZ","")))))))))</f>
        <v/>
      </c>
      <c r="E243" t="str">
        <f>IF(OR(ISNUMBER(SEARCH("TRANSPARENTE",Inventario!B242)),ISNUMBER(SEARCH("TRANSPARENTES",Inventario!B242))),"TR",
IF(OR(ISNUMBER(SEARCH("BLANCO",Inventario!B242)),ISNUMBER(SEARCH("BCO",Inventario!B242))),"BL",
IF(ISNUMBER(SEARCH("VERDE",Inventario!B242)),"VR",
IF(ISNUMBER(SEARCH("MORADO",Inventario!B242)),"MR",
IF(ISNUMBER(SEARCH("PLATA",Inventario!B242)),"PL",
IF(ISNUMBER(SEARCH("ORO",Inventario!B242)),"OR",
IF(ISNUMBER(SEARCH("AMARILLO",Inventario!B242)),"AM",
IF(ISNUMBER(SEARCH("NARANJA",Inventario!B242)),"NR",
IF(ISNUMBER(SEARCH("NEGRO",Inventario!B242)),"NG",
IF(ISNUMBER(SEARCH("ROJO",Inventario!B242)),"RJ",
IF(ISNUMBER(SEARCH("AZUL",Inventario!B242)),"AZ","")))))))))))</f>
        <v>BL</v>
      </c>
      <c r="F243" t="str">
        <f>IF(ISNUMBER(SEARCH("1,2 MM",Inventario!B242)),"1MM2",
IF(OR(ISNUMBER(SEARCH("2 MM",Inventario!B242)),ISNUMBER(SEARCH("2MM",Inventario!B242))),"2MM",
IF(OR(ISNUMBER(SEARCH("3 MM",Inventario!B242)),ISNUMBER(SEARCH("3MM",Inventario!B242))),"3MM",
IF(OR(ISNUMBER(SEARCH("4 MM",Inventario!B242)),ISNUMBER(SEARCH("4MM",Inventario!B242)),ISNUMBER(SEARCH("4 mm",Inventario!B242))),"4MM",
IF(OR(ISNUMBER(SEARCH("5 MM",Inventario!B242)),ISNUMBER(SEARCH("5MM",Inventario!B242))),"5MM",
IF(OR(ISNUMBER(SEARCH("6 MM",Inventario!B242)),ISNUMBER(SEARCH("6MM",Inventario!B242))),"6MM",
IF(OR(ISNUMBER(SEARCH("10 MM",Inventario!B242)),ISNUMBER(SEARCH("10MM",Inventario!B242))),"10MM","")))))))</f>
        <v/>
      </c>
      <c r="G243" t="str">
        <f>IF(ISNUMBER(SEARCH("ALTA RESISTENCIA",Inventario!B242)),"AR",IF(ISNUMBER(SEARCH("CAMPAÑA",Inventario!B242)),"CA",
IF(OR(ISNUMBER(SEARCH("CALIDO",Inventario!B242)),ISNUMBER(SEARCH("CÁLIDO",Inventario!B242))),"C",
IF(OR(ISNUMBER(SEARCH("TRASLUCIDO",Inventario!B242)),ISNUMBER(SEARCH("TRANSLUCIDO",Inventario!B242))),"TL",
IF(ISNUMBER(SEARCH("NEUTRO",Inventario!B242)),"N",
IF(ISNUMBER(SEARCH("FRIO",Inventario!B242)),"F",""))))))</f>
        <v>C</v>
      </c>
      <c r="H243" t="str">
        <f>IF(ISNUMBER(SEARCH("SILED",Inventario!B242)),"SI",
IF(ISNUMBER(SEARCH("SYDEMEX",Inventario!B242)),"SY",
IF(ISNUMBER(SEARCH("ROHS",Inventario!B242)),"RO",
IF(ISNUMBER(SEARCH("RISHANG",Inventario!B242)),"RS",
IF(ISNUMBER(SEARCH("VYG",Inventario!B242)),"VYG",
IF(ISNUMBER(SEARCH("COLED",Inventario!B242)),"CO",""))))))</f>
        <v>SI</v>
      </c>
    </row>
    <row r="244" spans="1:8">
      <c r="A244" t="str">
        <f>IF(ISNUMBER(SEARCH("LONA",Inventario!B243)),"LON",
IF(ISNUMBER(SEARCH("VINIL",Inventario!B243)),"VIN",
IF(ISNUMBER(SEARCH("PANEL DE ALUMINIO COMPUESTO",Inventario!B243)),"PAN-ALU-COM",
IF(ISNUMBER(SEARCH("PVC",Inventario!B243)),"PVC",
IF(ISNUMBER(SEARCH("PAPEL",Inventario!B243)),"PAP",
IF(ISNUMBER(SEARCH("TELA",Inventario!B243)),"TEL",
IF(ISNUMBER(SEARCH("CARTULINA",Inventario!B243)),"CAR",
IF(OR(ISNUMBER(SEARCH("LAMINA",Inventario!B243)),ISNUMBER(SEARCH("LÁMINA",Inventario!B243))),"LAM",
IF(ISNUMBER(SEARCH("ESTIRENO",Inventario!B243)),"EST",
IF(ISNUMBER(SEARCH("FOAMBOARD",Inventario!B243)),"FOA",
IF(ISNUMBER(SEARCH("SOLVENTE",Inventario!B243)),"SOL",
IF(ISNUMBER(SEARCH("TINTA",Inventario!B243)),"TIN",
IF(ISNUMBER(SEARCH("ACRILICO",Inventario!B243)),"ACR",
IF(ISNUMBER(SEARCH("LED",Inventario!B243)),"LED",
IF(ISNUMBER(SEARCH("FUENTE",Inventario!B243)),"FUE",
IF(ISNUMBER(SEARCH("PETG",Inventario!B243)),"PET",
IF(ISNUMBER(SEARCH("ALUMINIO",Inventario!B243)),"ALU",
IF(ISNUMBER(SEARCH("CANAL",Inventario!B243)),"CAN",
IF(ISNUMBER(SEARCH("ESCUADRA",Inventario!B243)),"ESC",
IF(ISNUMBER(SEARCH("SOPORTE",Inventario!B243)),"SOP","OTR")
)))))))))))))))))))</f>
        <v>LED</v>
      </c>
      <c r="B244" t="str">
        <f>IF(ISNUMBER(SEARCH("CORTE",Inventario!B243)),"COR",
IF(ISNUMBER(SEARCH("CRISTAL",Inventario!B243)),"CR",
IF(OR(ISNUMBER(SEARCH("OPTICO",Inventario!B243)),ISNUMBER(SEARCH("OPTICOS",Inventario!B243)),ISNUMBER(SEARCH("OPTICA",Inventario!B243))),"OP",
IF(ISNUMBER(SEARCH("NANO",Inventario!B243)),"NA",
IF(ISNUMBER(SEARCH("5050",Inventario!B243)),"5050",
IF(ISNUMBER(SEARCH("MICRO",Inventario!B243)),"MI",""))))))</f>
        <v/>
      </c>
      <c r="C244" t="str">
        <f>IF(ISNUMBER(SEARCH("PARED",Inventario!B243)),"PAR",IF(ISNUMBER(SEARCH("MATE",Inventario!B243)),"MAT",
IF(ISNUMBER(SEARCH("FRONT",Inventario!B243)),"FRO",
IF(ISNUMBER(SEARCH("BACK",Inventario!B243)),"BAC",
IF(ISNUMBER(SEARCH("MESH",Inventario!B243)),"MES",
IF(OR(ISNUMBER(SEARCH("BRILLANTE",Inventario!B243)),ISNUMBER(SEARCH("BTE",Inventario!B243))),"BRI",
IF(ISNUMBER(SEARCH("SINTETICA DELGADA",Inventario!B243)),"SD",
IF(ISNUMBER(SEARCH("SINTETICA GRUESA",Inventario!B243)),"SG",
IF(ISNUMBER(SEARCH("ESTATICO",Inventario!B243)),"EST",
IF(ISNUMBER(SEARCH("FLOOR",Inventario!B243)),"FLO",
IF(ISNUMBER(SEARCH("REFLECTIVO",Inventario!B243)),"REF",
IF(ISNUMBER(SEARCH("MICROPERFORADO",Inventario!B243)),"MI",
IF(ISNUMBER(SEARCH("CEPILLADO",Inventario!B243)),"CEP",
IF(ISNUMBER(SEARCH("ESPEJO",Inventario!B243)),"ESP",
IF(OR(ISNUMBER(SEARCH("UNIDIODO",Inventario!B243)),ISNUMBER(SEARCH("1 DIODO",Inventario!B243))),"1D",
IF(ISNUMBER(SEARCH("2 DIODOS",Inventario!B243)),"2D",
IF(ISNUMBER(SEARCH("3 DIODOS",Inventario!B243)),"3D","")))))))))))))))))</f>
        <v>3D</v>
      </c>
      <c r="D244" t="str">
        <f>IF(ISNUMBER(SEARCH("LX700",Inventario!B243)),"LX7",
IF(ISNUMBER(SEARCH("GRANDO",Inventario!B243)),"GRA",
IF(OR(ISNUMBER(SEARCH("CAMA PLANA",Inventario!B243)),ISNUMBER(SEARCH("FB700",Inventario!B243))),"CP",
IF(ISNUMBER(SEARCH("LX360",Inventario!B243)),"LX3",
IF(ISNUMBER(SEARCH("XEROX",Inventario!B243)),"XER",
IF(ISNUMBER(SEARCH("18 OZ",Inventario!B243)),"18OZ",
IF(ISNUMBER(SEARCH("15 OZ",Inventario!B243)),"15OZ",
IF(OR(ISNUMBER(SEARCH("13 OZ",Inventario!B243)),ISNUMBER(SEARCH("13 ONZAS",Inventario!B243))),"13OZ",
IF(OR(ISNUMBER(SEARCH("9 OZ",Inventario!B243)),ISNUMBER(SEARCH("9 ONZAS",Inventario!B243))),"09OZ","")))))))))</f>
        <v/>
      </c>
      <c r="E244" t="str">
        <f>IF(OR(ISNUMBER(SEARCH("TRANSPARENTE",Inventario!B243)),ISNUMBER(SEARCH("TRANSPARENTES",Inventario!B243))),"TR",
IF(OR(ISNUMBER(SEARCH("BLANCO",Inventario!B243)),ISNUMBER(SEARCH("BCO",Inventario!B243))),"BL",
IF(ISNUMBER(SEARCH("VERDE",Inventario!B243)),"VR",
IF(ISNUMBER(SEARCH("MORADO",Inventario!B243)),"MR",
IF(ISNUMBER(SEARCH("PLATA",Inventario!B243)),"PL",
IF(ISNUMBER(SEARCH("ORO",Inventario!B243)),"OR",
IF(ISNUMBER(SEARCH("AMARILLO",Inventario!B243)),"AM",
IF(ISNUMBER(SEARCH("NARANJA",Inventario!B243)),"NR",
IF(ISNUMBER(SEARCH("NEGRO",Inventario!B243)),"NG",
IF(ISNUMBER(SEARCH("ROJO",Inventario!B243)),"RJ",
IF(ISNUMBER(SEARCH("AZUL",Inventario!B243)),"AZ","")))))))))))</f>
        <v>BL</v>
      </c>
      <c r="F244" t="str">
        <f>IF(ISNUMBER(SEARCH("1,2 MM",Inventario!B243)),"1MM2",
IF(OR(ISNUMBER(SEARCH("2 MM",Inventario!B243)),ISNUMBER(SEARCH("2MM",Inventario!B243))),"2MM",
IF(OR(ISNUMBER(SEARCH("3 MM",Inventario!B243)),ISNUMBER(SEARCH("3MM",Inventario!B243))),"3MM",
IF(OR(ISNUMBER(SEARCH("4 MM",Inventario!B243)),ISNUMBER(SEARCH("4MM",Inventario!B243)),ISNUMBER(SEARCH("4 mm",Inventario!B243))),"4MM",
IF(OR(ISNUMBER(SEARCH("5 MM",Inventario!B243)),ISNUMBER(SEARCH("5MM",Inventario!B243))),"5MM",
IF(OR(ISNUMBER(SEARCH("6 MM",Inventario!B243)),ISNUMBER(SEARCH("6MM",Inventario!B243))),"6MM",
IF(OR(ISNUMBER(SEARCH("10 MM",Inventario!B243)),ISNUMBER(SEARCH("10MM",Inventario!B243))),"10MM","")))))))</f>
        <v/>
      </c>
      <c r="G244" t="str">
        <f>IF(ISNUMBER(SEARCH("ALTA RESISTENCIA",Inventario!B243)),"AR",IF(ISNUMBER(SEARCH("CAMPAÑA",Inventario!B243)),"CA",
IF(OR(ISNUMBER(SEARCH("CALIDO",Inventario!B243)),ISNUMBER(SEARCH("CÁLIDO",Inventario!B243))),"C",
IF(OR(ISNUMBER(SEARCH("TRASLUCIDO",Inventario!B243)),ISNUMBER(SEARCH("TRANSLUCIDO",Inventario!B243))),"TL",
IF(ISNUMBER(SEARCH("NEUTRO",Inventario!B243)),"N",
IF(ISNUMBER(SEARCH("FRIO",Inventario!B243)),"F",""))))))</f>
        <v>C</v>
      </c>
      <c r="H244" t="str">
        <f>IF(ISNUMBER(SEARCH("SILED",Inventario!B243)),"SI",
IF(ISNUMBER(SEARCH("SYDEMEX",Inventario!B243)),"SY",
IF(ISNUMBER(SEARCH("ROHS",Inventario!B243)),"RO",
IF(ISNUMBER(SEARCH("RISHANG",Inventario!B243)),"RS",
IF(ISNUMBER(SEARCH("VYG",Inventario!B243)),"VYG",
IF(ISNUMBER(SEARCH("COLED",Inventario!B243)),"CO",""))))))</f>
        <v>SI</v>
      </c>
    </row>
    <row r="245" spans="1:8">
      <c r="A245" t="str">
        <f>IF(ISNUMBER(SEARCH("LONA",Inventario!B244)),"LON",
IF(ISNUMBER(SEARCH("VINIL",Inventario!B244)),"VIN",
IF(ISNUMBER(SEARCH("PANEL DE ALUMINIO COMPUESTO",Inventario!B244)),"PAN-ALU-COM",
IF(ISNUMBER(SEARCH("PVC",Inventario!B244)),"PVC",
IF(ISNUMBER(SEARCH("PAPEL",Inventario!B244)),"PAP",
IF(ISNUMBER(SEARCH("TELA",Inventario!B244)),"TEL",
IF(ISNUMBER(SEARCH("CARTULINA",Inventario!B244)),"CAR",
IF(OR(ISNUMBER(SEARCH("LAMINA",Inventario!B244)),ISNUMBER(SEARCH("LÁMINA",Inventario!B244))),"LAM",
IF(ISNUMBER(SEARCH("ESTIRENO",Inventario!B244)),"EST",
IF(ISNUMBER(SEARCH("FOAMBOARD",Inventario!B244)),"FOA",
IF(ISNUMBER(SEARCH("SOLVENTE",Inventario!B244)),"SOL",
IF(ISNUMBER(SEARCH("TINTA",Inventario!B244)),"TIN",
IF(ISNUMBER(SEARCH("ACRILICO",Inventario!B244)),"ACR",
IF(ISNUMBER(SEARCH("LED",Inventario!B244)),"LED",
IF(ISNUMBER(SEARCH("FUENTE",Inventario!B244)),"FUE",
IF(ISNUMBER(SEARCH("PETG",Inventario!B244)),"PET",
IF(ISNUMBER(SEARCH("ALUMINIO",Inventario!B244)),"ALU",
IF(ISNUMBER(SEARCH("CANAL",Inventario!B244)),"CAN",
IF(ISNUMBER(SEARCH("ESCUADRA",Inventario!B244)),"ESC",
IF(ISNUMBER(SEARCH("SOPORTE",Inventario!B244)),"SOP","OTR")
)))))))))))))))))))</f>
        <v>LED</v>
      </c>
      <c r="B245" t="str">
        <f>IF(ISNUMBER(SEARCH("CORTE",Inventario!B244)),"COR",
IF(ISNUMBER(SEARCH("CRISTAL",Inventario!B244)),"CR",
IF(OR(ISNUMBER(SEARCH("OPTICO",Inventario!B244)),ISNUMBER(SEARCH("OPTICOS",Inventario!B244)),ISNUMBER(SEARCH("OPTICA",Inventario!B244))),"OP",
IF(ISNUMBER(SEARCH("NANO",Inventario!B244)),"NA",
IF(ISNUMBER(SEARCH("5050",Inventario!B244)),"5050",
IF(ISNUMBER(SEARCH("MICRO",Inventario!B244)),"MI",""))))))</f>
        <v>MI</v>
      </c>
      <c r="C245" t="str">
        <f>IF(ISNUMBER(SEARCH("PARED",Inventario!B244)),"PAR",IF(ISNUMBER(SEARCH("MATE",Inventario!B244)),"MAT",
IF(ISNUMBER(SEARCH("FRONT",Inventario!B244)),"FRO",
IF(ISNUMBER(SEARCH("BACK",Inventario!B244)),"BAC",
IF(ISNUMBER(SEARCH("MESH",Inventario!B244)),"MES",
IF(OR(ISNUMBER(SEARCH("BRILLANTE",Inventario!B244)),ISNUMBER(SEARCH("BTE",Inventario!B244))),"BRI",
IF(ISNUMBER(SEARCH("SINTETICA DELGADA",Inventario!B244)),"SD",
IF(ISNUMBER(SEARCH("SINTETICA GRUESA",Inventario!B244)),"SG",
IF(ISNUMBER(SEARCH("ESTATICO",Inventario!B244)),"EST",
IF(ISNUMBER(SEARCH("FLOOR",Inventario!B244)),"FLO",
IF(ISNUMBER(SEARCH("REFLECTIVO",Inventario!B244)),"REF",
IF(ISNUMBER(SEARCH("MICROPERFORADO",Inventario!B244)),"MI",
IF(ISNUMBER(SEARCH("CEPILLADO",Inventario!B244)),"CEP",
IF(ISNUMBER(SEARCH("ESPEJO",Inventario!B244)),"ESP",
IF(OR(ISNUMBER(SEARCH("UNIDIODO",Inventario!B244)),ISNUMBER(SEARCH("1 DIODO",Inventario!B244))),"1D",
IF(ISNUMBER(SEARCH("2 DIODOS",Inventario!B244)),"2D",
IF(ISNUMBER(SEARCH("3 DIODOS",Inventario!B244)),"3D","")))))))))))))))))</f>
        <v>2D</v>
      </c>
      <c r="D245" t="str">
        <f>IF(ISNUMBER(SEARCH("LX700",Inventario!B244)),"LX7",
IF(ISNUMBER(SEARCH("GRANDO",Inventario!B244)),"GRA",
IF(OR(ISNUMBER(SEARCH("CAMA PLANA",Inventario!B244)),ISNUMBER(SEARCH("FB700",Inventario!B244))),"CP",
IF(ISNUMBER(SEARCH("LX360",Inventario!B244)),"LX3",
IF(ISNUMBER(SEARCH("XEROX",Inventario!B244)),"XER",
IF(ISNUMBER(SEARCH("18 OZ",Inventario!B244)),"18OZ",
IF(ISNUMBER(SEARCH("15 OZ",Inventario!B244)),"15OZ",
IF(OR(ISNUMBER(SEARCH("13 OZ",Inventario!B244)),ISNUMBER(SEARCH("13 ONZAS",Inventario!B244))),"13OZ",
IF(OR(ISNUMBER(SEARCH("9 OZ",Inventario!B244)),ISNUMBER(SEARCH("9 ONZAS",Inventario!B244))),"09OZ","")))))))))</f>
        <v/>
      </c>
      <c r="E245" t="str">
        <f>IF(OR(ISNUMBER(SEARCH("TRANSPARENTE",Inventario!B244)),ISNUMBER(SEARCH("TRANSPARENTES",Inventario!B244))),"TR",
IF(OR(ISNUMBER(SEARCH("BLANCO",Inventario!B244)),ISNUMBER(SEARCH("BCO",Inventario!B244))),"BL",
IF(ISNUMBER(SEARCH("VERDE",Inventario!B244)),"VR",
IF(ISNUMBER(SEARCH("MORADO",Inventario!B244)),"MR",
IF(ISNUMBER(SEARCH("PLATA",Inventario!B244)),"PL",
IF(ISNUMBER(SEARCH("ORO",Inventario!B244)),"OR",
IF(ISNUMBER(SEARCH("AMARILLO",Inventario!B244)),"AM",
IF(ISNUMBER(SEARCH("NARANJA",Inventario!B244)),"NR",
IF(ISNUMBER(SEARCH("NEGRO",Inventario!B244)),"NG",
IF(ISNUMBER(SEARCH("ROJO",Inventario!B244)),"RJ",
IF(ISNUMBER(SEARCH("AZUL",Inventario!B244)),"AZ","")))))))))))</f>
        <v>BL</v>
      </c>
      <c r="F245" t="str">
        <f>IF(ISNUMBER(SEARCH("1,2 MM",Inventario!B244)),"1MM2",
IF(OR(ISNUMBER(SEARCH("2 MM",Inventario!B244)),ISNUMBER(SEARCH("2MM",Inventario!B244))),"2MM",
IF(OR(ISNUMBER(SEARCH("3 MM",Inventario!B244)),ISNUMBER(SEARCH("3MM",Inventario!B244))),"3MM",
IF(OR(ISNUMBER(SEARCH("4 MM",Inventario!B244)),ISNUMBER(SEARCH("4MM",Inventario!B244)),ISNUMBER(SEARCH("4 mm",Inventario!B244))),"4MM",
IF(OR(ISNUMBER(SEARCH("5 MM",Inventario!B244)),ISNUMBER(SEARCH("5MM",Inventario!B244))),"5MM",
IF(OR(ISNUMBER(SEARCH("6 MM",Inventario!B244)),ISNUMBER(SEARCH("6MM",Inventario!B244))),"6MM",
IF(OR(ISNUMBER(SEARCH("10 MM",Inventario!B244)),ISNUMBER(SEARCH("10MM",Inventario!B244))),"10MM","")))))))</f>
        <v/>
      </c>
      <c r="G245" t="str">
        <f>IF(ISNUMBER(SEARCH("ALTA RESISTENCIA",Inventario!B244)),"AR",IF(ISNUMBER(SEARCH("CAMPAÑA",Inventario!B244)),"CA",
IF(OR(ISNUMBER(SEARCH("CALIDO",Inventario!B244)),ISNUMBER(SEARCH("CÁLIDO",Inventario!B244))),"C",
IF(OR(ISNUMBER(SEARCH("TRASLUCIDO",Inventario!B244)),ISNUMBER(SEARCH("TRANSLUCIDO",Inventario!B244))),"TL",
IF(ISNUMBER(SEARCH("NEUTRO",Inventario!B244)),"N",
IF(ISNUMBER(SEARCH("FRIO",Inventario!B244)),"F",""))))))</f>
        <v>F</v>
      </c>
      <c r="H245" t="str">
        <f>IF(ISNUMBER(SEARCH("SILED",Inventario!B244)),"SI",
IF(ISNUMBER(SEARCH("SYDEMEX",Inventario!B244)),"SY",
IF(ISNUMBER(SEARCH("ROHS",Inventario!B244)),"RO",
IF(ISNUMBER(SEARCH("RISHANG",Inventario!B244)),"RS",
IF(ISNUMBER(SEARCH("VYG",Inventario!B244)),"VYG",
IF(ISNUMBER(SEARCH("COLED",Inventario!B244)),"CO",""))))))</f>
        <v/>
      </c>
    </row>
    <row r="246" spans="1:8">
      <c r="A246" t="str">
        <f>IF(ISNUMBER(SEARCH("LONA",Inventario!B245)),"LON",
IF(ISNUMBER(SEARCH("VINIL",Inventario!B245)),"VIN",
IF(ISNUMBER(SEARCH("PANEL DE ALUMINIO COMPUESTO",Inventario!B245)),"PAN-ALU-COM",
IF(ISNUMBER(SEARCH("PVC",Inventario!B245)),"PVC",
IF(ISNUMBER(SEARCH("PAPEL",Inventario!B245)),"PAP",
IF(ISNUMBER(SEARCH("TELA",Inventario!B245)),"TEL",
IF(ISNUMBER(SEARCH("CARTULINA",Inventario!B245)),"CAR",
IF(OR(ISNUMBER(SEARCH("LAMINA",Inventario!B245)),ISNUMBER(SEARCH("LÁMINA",Inventario!B245))),"LAM",
IF(ISNUMBER(SEARCH("ESTIRENO",Inventario!B245)),"EST",
IF(ISNUMBER(SEARCH("FOAMBOARD",Inventario!B245)),"FOA",
IF(ISNUMBER(SEARCH("SOLVENTE",Inventario!B245)),"SOL",
IF(ISNUMBER(SEARCH("TINTA",Inventario!B245)),"TIN",
IF(ISNUMBER(SEARCH("ACRILICO",Inventario!B245)),"ACR",
IF(ISNUMBER(SEARCH("LED",Inventario!B245)),"LED",
IF(ISNUMBER(SEARCH("FUENTE",Inventario!B245)),"FUE",
IF(ISNUMBER(SEARCH("PETG",Inventario!B245)),"PET",
IF(ISNUMBER(SEARCH("ALUMINIO",Inventario!B245)),"ALU",
IF(ISNUMBER(SEARCH("CANAL",Inventario!B245)),"CAN",
IF(ISNUMBER(SEARCH("ESCUADRA",Inventario!B245)),"ESC",
IF(ISNUMBER(SEARCH("SOPORTE",Inventario!B245)),"SOP","OTR")
)))))))))))))))))))</f>
        <v>LED</v>
      </c>
      <c r="B246" t="str">
        <f>IF(ISNUMBER(SEARCH("CORTE",Inventario!B245)),"COR",
IF(ISNUMBER(SEARCH("CRISTAL",Inventario!B245)),"CR",
IF(OR(ISNUMBER(SEARCH("OPTICO",Inventario!B245)),ISNUMBER(SEARCH("OPTICOS",Inventario!B245)),ISNUMBER(SEARCH("OPTICA",Inventario!B245))),"OP",
IF(ISNUMBER(SEARCH("NANO",Inventario!B245)),"NA",
IF(ISNUMBER(SEARCH("5050",Inventario!B245)),"5050",
IF(ISNUMBER(SEARCH("MICRO",Inventario!B245)),"MI",""))))))</f>
        <v>OP</v>
      </c>
      <c r="C246" t="str">
        <f>IF(ISNUMBER(SEARCH("PARED",Inventario!B245)),"PAR",IF(ISNUMBER(SEARCH("MATE",Inventario!B245)),"MAT",
IF(ISNUMBER(SEARCH("FRONT",Inventario!B245)),"FRO",
IF(ISNUMBER(SEARCH("BACK",Inventario!B245)),"BAC",
IF(ISNUMBER(SEARCH("MESH",Inventario!B245)),"MES",
IF(OR(ISNUMBER(SEARCH("BRILLANTE",Inventario!B245)),ISNUMBER(SEARCH("BTE",Inventario!B245))),"BRI",
IF(ISNUMBER(SEARCH("SINTETICA DELGADA",Inventario!B245)),"SD",
IF(ISNUMBER(SEARCH("SINTETICA GRUESA",Inventario!B245)),"SG",
IF(ISNUMBER(SEARCH("ESTATICO",Inventario!B245)),"EST",
IF(ISNUMBER(SEARCH("FLOOR",Inventario!B245)),"FLO",
IF(ISNUMBER(SEARCH("REFLECTIVO",Inventario!B245)),"REF",
IF(ISNUMBER(SEARCH("MICROPERFORADO",Inventario!B245)),"MI",
IF(ISNUMBER(SEARCH("CEPILLADO",Inventario!B245)),"CEP",
IF(ISNUMBER(SEARCH("ESPEJO",Inventario!B245)),"ESP",
IF(OR(ISNUMBER(SEARCH("UNIDIODO",Inventario!B245)),ISNUMBER(SEARCH("1 DIODO",Inventario!B245))),"1D",
IF(ISNUMBER(SEARCH("2 DIODOS",Inventario!B245)),"2D",
IF(ISNUMBER(SEARCH("3 DIODOS",Inventario!B245)),"3D","")))))))))))))))))</f>
        <v>3D</v>
      </c>
      <c r="D246" t="str">
        <f>IF(ISNUMBER(SEARCH("LX700",Inventario!B245)),"LX7",
IF(ISNUMBER(SEARCH("GRANDO",Inventario!B245)),"GRA",
IF(OR(ISNUMBER(SEARCH("CAMA PLANA",Inventario!B245)),ISNUMBER(SEARCH("FB700",Inventario!B245))),"CP",
IF(ISNUMBER(SEARCH("LX360",Inventario!B245)),"LX3",
IF(ISNUMBER(SEARCH("XEROX",Inventario!B245)),"XER",
IF(ISNUMBER(SEARCH("18 OZ",Inventario!B245)),"18OZ",
IF(ISNUMBER(SEARCH("15 OZ",Inventario!B245)),"15OZ",
IF(OR(ISNUMBER(SEARCH("13 OZ",Inventario!B245)),ISNUMBER(SEARCH("13 ONZAS",Inventario!B245))),"13OZ",
IF(OR(ISNUMBER(SEARCH("9 OZ",Inventario!B245)),ISNUMBER(SEARCH("9 ONZAS",Inventario!B245))),"09OZ","")))))))))</f>
        <v/>
      </c>
      <c r="E246" t="str">
        <f>IF(OR(ISNUMBER(SEARCH("TRANSPARENTE",Inventario!B245)),ISNUMBER(SEARCH("TRANSPARENTES",Inventario!B245))),"TR",
IF(OR(ISNUMBER(SEARCH("BLANCO",Inventario!B245)),ISNUMBER(SEARCH("BCO",Inventario!B245))),"BL",
IF(ISNUMBER(SEARCH("VERDE",Inventario!B245)),"VR",
IF(ISNUMBER(SEARCH("MORADO",Inventario!B245)),"MR",
IF(ISNUMBER(SEARCH("PLATA",Inventario!B245)),"PL",
IF(ISNUMBER(SEARCH("ORO",Inventario!B245)),"OR",
IF(ISNUMBER(SEARCH("AMARILLO",Inventario!B245)),"AM",
IF(ISNUMBER(SEARCH("NARANJA",Inventario!B245)),"NR",
IF(ISNUMBER(SEARCH("NEGRO",Inventario!B245)),"NG",
IF(ISNUMBER(SEARCH("ROJO",Inventario!B245)),"RJ",
IF(ISNUMBER(SEARCH("AZUL",Inventario!B245)),"AZ","")))))))))))</f>
        <v/>
      </c>
      <c r="F246" t="str">
        <f>IF(ISNUMBER(SEARCH("1,2 MM",Inventario!B245)),"1MM2",
IF(OR(ISNUMBER(SEARCH("2 MM",Inventario!B245)),ISNUMBER(SEARCH("2MM",Inventario!B245))),"2MM",
IF(OR(ISNUMBER(SEARCH("3 MM",Inventario!B245)),ISNUMBER(SEARCH("3MM",Inventario!B245))),"3MM",
IF(OR(ISNUMBER(SEARCH("4 MM",Inventario!B245)),ISNUMBER(SEARCH("4MM",Inventario!B245)),ISNUMBER(SEARCH("4 mm",Inventario!B245))),"4MM",
IF(OR(ISNUMBER(SEARCH("5 MM",Inventario!B245)),ISNUMBER(SEARCH("5MM",Inventario!B245))),"5MM",
IF(OR(ISNUMBER(SEARCH("6 MM",Inventario!B245)),ISNUMBER(SEARCH("6MM",Inventario!B245))),"6MM",
IF(OR(ISNUMBER(SEARCH("10 MM",Inventario!B245)),ISNUMBER(SEARCH("10MM",Inventario!B245))),"10MM","")))))))</f>
        <v/>
      </c>
      <c r="G246" t="str">
        <f>IF(ISNUMBER(SEARCH("ALTA RESISTENCIA",Inventario!B245)),"AR",IF(ISNUMBER(SEARCH("CAMPAÑA",Inventario!B245)),"CA",
IF(OR(ISNUMBER(SEARCH("CALIDO",Inventario!B245)),ISNUMBER(SEARCH("CÁLIDO",Inventario!B245))),"C",
IF(OR(ISNUMBER(SEARCH("TRASLUCIDO",Inventario!B245)),ISNUMBER(SEARCH("TRANSLUCIDO",Inventario!B245))),"TL",
IF(ISNUMBER(SEARCH("NEUTRO",Inventario!B245)),"N",
IF(ISNUMBER(SEARCH("FRIO",Inventario!B245)),"F",""))))))</f>
        <v>F</v>
      </c>
      <c r="H246" t="str">
        <f>IF(ISNUMBER(SEARCH("SILED",Inventario!B245)),"SI",
IF(ISNUMBER(SEARCH("SYDEMEX",Inventario!B245)),"SY",
IF(ISNUMBER(SEARCH("ROHS",Inventario!B245)),"RO",
IF(ISNUMBER(SEARCH("RISHANG",Inventario!B245)),"RS",
IF(ISNUMBER(SEARCH("VYG",Inventario!B245)),"VYG",
IF(ISNUMBER(SEARCH("COLED",Inventario!B245)),"CO",""))))))</f>
        <v>RO</v>
      </c>
    </row>
    <row r="247" spans="1:8">
      <c r="A247" t="str">
        <f>IF(ISNUMBER(SEARCH("LONA",Inventario!B246)),"LON",
IF(ISNUMBER(SEARCH("VINIL",Inventario!B246)),"VIN",
IF(ISNUMBER(SEARCH("PANEL DE ALUMINIO COMPUESTO",Inventario!B246)),"PAN-ALU-COM",
IF(ISNUMBER(SEARCH("PVC",Inventario!B246)),"PVC",
IF(ISNUMBER(SEARCH("PAPEL",Inventario!B246)),"PAP",
IF(ISNUMBER(SEARCH("TELA",Inventario!B246)),"TEL",
IF(ISNUMBER(SEARCH("CARTULINA",Inventario!B246)),"CAR",
IF(OR(ISNUMBER(SEARCH("LAMINA",Inventario!B246)),ISNUMBER(SEARCH("LÁMINA",Inventario!B246))),"LAM",
IF(ISNUMBER(SEARCH("ESTIRENO",Inventario!B246)),"EST",
IF(ISNUMBER(SEARCH("FOAMBOARD",Inventario!B246)),"FOA",
IF(ISNUMBER(SEARCH("SOLVENTE",Inventario!B246)),"SOL",
IF(ISNUMBER(SEARCH("TINTA",Inventario!B246)),"TIN",
IF(ISNUMBER(SEARCH("ACRILICO",Inventario!B246)),"ACR",
IF(ISNUMBER(SEARCH("LED",Inventario!B246)),"LED",
IF(ISNUMBER(SEARCH("FUENTE",Inventario!B246)),"FUE",
IF(ISNUMBER(SEARCH("PETG",Inventario!B246)),"PET",
IF(ISNUMBER(SEARCH("ALUMINIO",Inventario!B246)),"ALU",
IF(ISNUMBER(SEARCH("CANAL",Inventario!B246)),"CAN",
IF(ISNUMBER(SEARCH("ESCUADRA",Inventario!B246)),"ESC",
IF(ISNUMBER(SEARCH("SOPORTE",Inventario!B246)),"SOP","OTR")
)))))))))))))))))))</f>
        <v>LED</v>
      </c>
      <c r="B247" t="str">
        <f>IF(ISNUMBER(SEARCH("CORTE",Inventario!B246)),"COR",
IF(ISNUMBER(SEARCH("CRISTAL",Inventario!B246)),"CR",
IF(OR(ISNUMBER(SEARCH("OPTICO",Inventario!B246)),ISNUMBER(SEARCH("OPTICOS",Inventario!B246)),ISNUMBER(SEARCH("OPTICA",Inventario!B246))),"OP",
IF(ISNUMBER(SEARCH("NANO",Inventario!B246)),"NA",
IF(ISNUMBER(SEARCH("5050",Inventario!B246)),"5050",
IF(ISNUMBER(SEARCH("MICRO",Inventario!B246)),"MI",""))))))</f>
        <v>NA</v>
      </c>
      <c r="C247" t="str">
        <f>IF(ISNUMBER(SEARCH("PARED",Inventario!B246)),"PAR",IF(ISNUMBER(SEARCH("MATE",Inventario!B246)),"MAT",
IF(ISNUMBER(SEARCH("FRONT",Inventario!B246)),"FRO",
IF(ISNUMBER(SEARCH("BACK",Inventario!B246)),"BAC",
IF(ISNUMBER(SEARCH("MESH",Inventario!B246)),"MES",
IF(OR(ISNUMBER(SEARCH("BRILLANTE",Inventario!B246)),ISNUMBER(SEARCH("BTE",Inventario!B246))),"BRI",
IF(ISNUMBER(SEARCH("SINTETICA DELGADA",Inventario!B246)),"SD",
IF(ISNUMBER(SEARCH("SINTETICA GRUESA",Inventario!B246)),"SG",
IF(ISNUMBER(SEARCH("ESTATICO",Inventario!B246)),"EST",
IF(ISNUMBER(SEARCH("FLOOR",Inventario!B246)),"FLO",
IF(ISNUMBER(SEARCH("REFLECTIVO",Inventario!B246)),"REF",
IF(ISNUMBER(SEARCH("MICROPERFORADO",Inventario!B246)),"MI",
IF(ISNUMBER(SEARCH("CEPILLADO",Inventario!B246)),"CEP",
IF(ISNUMBER(SEARCH("ESPEJO",Inventario!B246)),"ESP",
IF(OR(ISNUMBER(SEARCH("UNIDIODO",Inventario!B246)),ISNUMBER(SEARCH("1 DIODO",Inventario!B246))),"1D",
IF(ISNUMBER(SEARCH("2 DIODOS",Inventario!B246)),"2D",
IF(ISNUMBER(SEARCH("3 DIODOS",Inventario!B246)),"3D","")))))))))))))))))</f>
        <v>3D</v>
      </c>
      <c r="D247" t="str">
        <f>IF(ISNUMBER(SEARCH("LX700",Inventario!B246)),"LX7",
IF(ISNUMBER(SEARCH("GRANDO",Inventario!B246)),"GRA",
IF(OR(ISNUMBER(SEARCH("CAMA PLANA",Inventario!B246)),ISNUMBER(SEARCH("FB700",Inventario!B246))),"CP",
IF(ISNUMBER(SEARCH("LX360",Inventario!B246)),"LX3",
IF(ISNUMBER(SEARCH("XEROX",Inventario!B246)),"XER",
IF(ISNUMBER(SEARCH("18 OZ",Inventario!B246)),"18OZ",
IF(ISNUMBER(SEARCH("15 OZ",Inventario!B246)),"15OZ",
IF(OR(ISNUMBER(SEARCH("13 OZ",Inventario!B246)),ISNUMBER(SEARCH("13 ONZAS",Inventario!B246))),"13OZ",
IF(OR(ISNUMBER(SEARCH("9 OZ",Inventario!B246)),ISNUMBER(SEARCH("9 ONZAS",Inventario!B246))),"09OZ","")))))))))</f>
        <v/>
      </c>
      <c r="E247" t="str">
        <f>IF(OR(ISNUMBER(SEARCH("TRANSPARENTE",Inventario!B246)),ISNUMBER(SEARCH("TRANSPARENTES",Inventario!B246))),"TR",
IF(OR(ISNUMBER(SEARCH("BLANCO",Inventario!B246)),ISNUMBER(SEARCH("BCO",Inventario!B246))),"BL",
IF(ISNUMBER(SEARCH("VERDE",Inventario!B246)),"VR",
IF(ISNUMBER(SEARCH("MORADO",Inventario!B246)),"MR",
IF(ISNUMBER(SEARCH("PLATA",Inventario!B246)),"PL",
IF(ISNUMBER(SEARCH("ORO",Inventario!B246)),"OR",
IF(ISNUMBER(SEARCH("AMARILLO",Inventario!B246)),"AM",
IF(ISNUMBER(SEARCH("NARANJA",Inventario!B246)),"NR",
IF(ISNUMBER(SEARCH("NEGRO",Inventario!B246)),"NG",
IF(ISNUMBER(SEARCH("ROJO",Inventario!B246)),"RJ",
IF(ISNUMBER(SEARCH("AZUL",Inventario!B246)),"AZ","")))))))))))</f>
        <v/>
      </c>
      <c r="F247" t="str">
        <f>IF(ISNUMBER(SEARCH("1,2 MM",Inventario!B246)),"1MM2",
IF(OR(ISNUMBER(SEARCH("2 MM",Inventario!B246)),ISNUMBER(SEARCH("2MM",Inventario!B246))),"2MM",
IF(OR(ISNUMBER(SEARCH("3 MM",Inventario!B246)),ISNUMBER(SEARCH("3MM",Inventario!B246))),"3MM",
IF(OR(ISNUMBER(SEARCH("4 MM",Inventario!B246)),ISNUMBER(SEARCH("4MM",Inventario!B246)),ISNUMBER(SEARCH("4 mm",Inventario!B246))),"4MM",
IF(OR(ISNUMBER(SEARCH("5 MM",Inventario!B246)),ISNUMBER(SEARCH("5MM",Inventario!B246))),"5MM",
IF(OR(ISNUMBER(SEARCH("6 MM",Inventario!B246)),ISNUMBER(SEARCH("6MM",Inventario!B246))),"6MM",
IF(OR(ISNUMBER(SEARCH("10 MM",Inventario!B246)),ISNUMBER(SEARCH("10MM",Inventario!B246))),"10MM","")))))))</f>
        <v/>
      </c>
      <c r="G247" t="str">
        <f>IF(ISNUMBER(SEARCH("ALTA RESISTENCIA",Inventario!B246)),"AR",IF(ISNUMBER(SEARCH("CAMPAÑA",Inventario!B246)),"CA",
IF(OR(ISNUMBER(SEARCH("CALIDO",Inventario!B246)),ISNUMBER(SEARCH("CÁLIDO",Inventario!B246))),"C",
IF(OR(ISNUMBER(SEARCH("TRASLUCIDO",Inventario!B246)),ISNUMBER(SEARCH("TRANSLUCIDO",Inventario!B246))),"TL",
IF(ISNUMBER(SEARCH("NEUTRO",Inventario!B246)),"N",
IF(ISNUMBER(SEARCH("FRIO",Inventario!B246)),"F",""))))))</f>
        <v>F</v>
      </c>
      <c r="H247" t="str">
        <f>IF(ISNUMBER(SEARCH("SILED",Inventario!B246)),"SI",
IF(ISNUMBER(SEARCH("SYDEMEX",Inventario!B246)),"SY",
IF(ISNUMBER(SEARCH("ROHS",Inventario!B246)),"RO",
IF(ISNUMBER(SEARCH("RISHANG",Inventario!B246)),"RS",
IF(ISNUMBER(SEARCH("VYG",Inventario!B246)),"VYG",
IF(ISNUMBER(SEARCH("COLED",Inventario!B246)),"CO",""))))))</f>
        <v>RO</v>
      </c>
    </row>
    <row r="248" spans="1:8">
      <c r="A248" t="str">
        <f>IF(ISNUMBER(SEARCH("LONA",Inventario!B247)),"LON",
IF(ISNUMBER(SEARCH("VINIL",Inventario!B247)),"VIN",
IF(ISNUMBER(SEARCH("PANEL DE ALUMINIO COMPUESTO",Inventario!B247)),"PAN-ALU-COM",
IF(ISNUMBER(SEARCH("PVC",Inventario!B247)),"PVC",
IF(ISNUMBER(SEARCH("PAPEL",Inventario!B247)),"PAP",
IF(ISNUMBER(SEARCH("TELA",Inventario!B247)),"TEL",
IF(ISNUMBER(SEARCH("CARTULINA",Inventario!B247)),"CAR",
IF(OR(ISNUMBER(SEARCH("LAMINA",Inventario!B247)),ISNUMBER(SEARCH("LÁMINA",Inventario!B247))),"LAM",
IF(ISNUMBER(SEARCH("ESTIRENO",Inventario!B247)),"EST",
IF(ISNUMBER(SEARCH("FOAMBOARD",Inventario!B247)),"FOA",
IF(ISNUMBER(SEARCH("SOLVENTE",Inventario!B247)),"SOL",
IF(ISNUMBER(SEARCH("TINTA",Inventario!B247)),"TIN",
IF(ISNUMBER(SEARCH("ACRILICO",Inventario!B247)),"ACR",
IF(ISNUMBER(SEARCH("LED",Inventario!B247)),"LED",
IF(ISNUMBER(SEARCH("FUENTE",Inventario!B247)),"FUE",
IF(ISNUMBER(SEARCH("PETG",Inventario!B247)),"PET",
IF(ISNUMBER(SEARCH("ALUMINIO",Inventario!B247)),"ALU",
IF(ISNUMBER(SEARCH("CANAL",Inventario!B247)),"CAN",
IF(ISNUMBER(SEARCH("ESCUADRA",Inventario!B247)),"ESC",
IF(ISNUMBER(SEARCH("SOPORTE",Inventario!B247)),"SOP","OTR")
)))))))))))))))))))</f>
        <v>LED</v>
      </c>
      <c r="B248" t="str">
        <f>IF(ISNUMBER(SEARCH("CORTE",Inventario!B247)),"COR",
IF(ISNUMBER(SEARCH("CRISTAL",Inventario!B247)),"CR",
IF(OR(ISNUMBER(SEARCH("OPTICO",Inventario!B247)),ISNUMBER(SEARCH("OPTICOS",Inventario!B247)),ISNUMBER(SEARCH("OPTICA",Inventario!B247))),"OP",
IF(ISNUMBER(SEARCH("NANO",Inventario!B247)),"NA",
IF(ISNUMBER(SEARCH("5050",Inventario!B247)),"5050",
IF(ISNUMBER(SEARCH("MICRO",Inventario!B247)),"MI",""))))))</f>
        <v>NA</v>
      </c>
      <c r="C248" t="str">
        <f>IF(ISNUMBER(SEARCH("PARED",Inventario!B247)),"PAR",IF(ISNUMBER(SEARCH("MATE",Inventario!B247)),"MAT",
IF(ISNUMBER(SEARCH("FRONT",Inventario!B247)),"FRO",
IF(ISNUMBER(SEARCH("BACK",Inventario!B247)),"BAC",
IF(ISNUMBER(SEARCH("MESH",Inventario!B247)),"MES",
IF(OR(ISNUMBER(SEARCH("BRILLANTE",Inventario!B247)),ISNUMBER(SEARCH("BTE",Inventario!B247))),"BRI",
IF(ISNUMBER(SEARCH("SINTETICA DELGADA",Inventario!B247)),"SD",
IF(ISNUMBER(SEARCH("SINTETICA GRUESA",Inventario!B247)),"SG",
IF(ISNUMBER(SEARCH("ESTATICO",Inventario!B247)),"EST",
IF(ISNUMBER(SEARCH("FLOOR",Inventario!B247)),"FLO",
IF(ISNUMBER(SEARCH("REFLECTIVO",Inventario!B247)),"REF",
IF(ISNUMBER(SEARCH("MICROPERFORADO",Inventario!B247)),"MI",
IF(ISNUMBER(SEARCH("CEPILLADO",Inventario!B247)),"CEP",
IF(ISNUMBER(SEARCH("ESPEJO",Inventario!B247)),"ESP",
IF(OR(ISNUMBER(SEARCH("UNIDIODO",Inventario!B247)),ISNUMBER(SEARCH("1 DIODO",Inventario!B247))),"1D",
IF(ISNUMBER(SEARCH("2 DIODOS",Inventario!B247)),"2D",
IF(ISNUMBER(SEARCH("3 DIODOS",Inventario!B247)),"3D","")))))))))))))))))</f>
        <v>3D</v>
      </c>
      <c r="D248" t="str">
        <f>IF(ISNUMBER(SEARCH("LX700",Inventario!B247)),"LX7",
IF(ISNUMBER(SEARCH("GRANDO",Inventario!B247)),"GRA",
IF(OR(ISNUMBER(SEARCH("CAMA PLANA",Inventario!B247)),ISNUMBER(SEARCH("FB700",Inventario!B247))),"CP",
IF(ISNUMBER(SEARCH("LX360",Inventario!B247)),"LX3",
IF(ISNUMBER(SEARCH("XEROX",Inventario!B247)),"XER",
IF(ISNUMBER(SEARCH("18 OZ",Inventario!B247)),"18OZ",
IF(ISNUMBER(SEARCH("15 OZ",Inventario!B247)),"15OZ",
IF(OR(ISNUMBER(SEARCH("13 OZ",Inventario!B247)),ISNUMBER(SEARCH("13 ONZAS",Inventario!B247))),"13OZ",
IF(OR(ISNUMBER(SEARCH("9 OZ",Inventario!B247)),ISNUMBER(SEARCH("9 ONZAS",Inventario!B247))),"09OZ","")))))))))</f>
        <v/>
      </c>
      <c r="E248" t="str">
        <f>IF(OR(ISNUMBER(SEARCH("TRANSPARENTE",Inventario!B247)),ISNUMBER(SEARCH("TRANSPARENTES",Inventario!B247))),"TR",
IF(OR(ISNUMBER(SEARCH("BLANCO",Inventario!B247)),ISNUMBER(SEARCH("BCO",Inventario!B247))),"BL",
IF(ISNUMBER(SEARCH("VERDE",Inventario!B247)),"VR",
IF(ISNUMBER(SEARCH("MORADO",Inventario!B247)),"MR",
IF(ISNUMBER(SEARCH("PLATA",Inventario!B247)),"PL",
IF(ISNUMBER(SEARCH("ORO",Inventario!B247)),"OR",
IF(ISNUMBER(SEARCH("AMARILLO",Inventario!B247)),"AM",
IF(ISNUMBER(SEARCH("NARANJA",Inventario!B247)),"NR",
IF(ISNUMBER(SEARCH("NEGRO",Inventario!B247)),"NG",
IF(ISNUMBER(SEARCH("ROJO",Inventario!B247)),"RJ",
IF(ISNUMBER(SEARCH("AZUL",Inventario!B247)),"AZ","")))))))))))</f>
        <v/>
      </c>
      <c r="F248" t="str">
        <f>IF(ISNUMBER(SEARCH("1,2 MM",Inventario!B247)),"1MM2",
IF(OR(ISNUMBER(SEARCH("2 MM",Inventario!B247)),ISNUMBER(SEARCH("2MM",Inventario!B247))),"2MM",
IF(OR(ISNUMBER(SEARCH("3 MM",Inventario!B247)),ISNUMBER(SEARCH("3MM",Inventario!B247))),"3MM",
IF(OR(ISNUMBER(SEARCH("4 MM",Inventario!B247)),ISNUMBER(SEARCH("4MM",Inventario!B247)),ISNUMBER(SEARCH("4 mm",Inventario!B247))),"4MM",
IF(OR(ISNUMBER(SEARCH("5 MM",Inventario!B247)),ISNUMBER(SEARCH("5MM",Inventario!B247))),"5MM",
IF(OR(ISNUMBER(SEARCH("6 MM",Inventario!B247)),ISNUMBER(SEARCH("6MM",Inventario!B247))),"6MM",
IF(OR(ISNUMBER(SEARCH("10 MM",Inventario!B247)),ISNUMBER(SEARCH("10MM",Inventario!B247))),"10MM","")))))))</f>
        <v/>
      </c>
      <c r="G248" t="str">
        <f>IF(ISNUMBER(SEARCH("ALTA RESISTENCIA",Inventario!B247)),"AR",IF(ISNUMBER(SEARCH("CAMPAÑA",Inventario!B247)),"CA",
IF(OR(ISNUMBER(SEARCH("CALIDO",Inventario!B247)),ISNUMBER(SEARCH("CÁLIDO",Inventario!B247))),"C",
IF(OR(ISNUMBER(SEARCH("TRASLUCIDO",Inventario!B247)),ISNUMBER(SEARCH("TRANSLUCIDO",Inventario!B247))),"TL",
IF(ISNUMBER(SEARCH("NEUTRO",Inventario!B247)),"N",
IF(ISNUMBER(SEARCH("FRIO",Inventario!B247)),"F",""))))))</f>
        <v>F</v>
      </c>
      <c r="H248" t="str">
        <f>IF(ISNUMBER(SEARCH("SILED",Inventario!B247)),"SI",
IF(ISNUMBER(SEARCH("SYDEMEX",Inventario!B247)),"SY",
IF(ISNUMBER(SEARCH("ROHS",Inventario!B247)),"RO",
IF(ISNUMBER(SEARCH("RISHANG",Inventario!B247)),"RS",
IF(ISNUMBER(SEARCH("VYG",Inventario!B247)),"VYG",
IF(ISNUMBER(SEARCH("COLED",Inventario!B247)),"CO",""))))))</f>
        <v>SY</v>
      </c>
    </row>
    <row r="249" spans="1:8">
      <c r="A249" t="str">
        <f>IF(ISNUMBER(SEARCH("LONA",Inventario!B248)),"LON",
IF(ISNUMBER(SEARCH("VINIL",Inventario!B248)),"VIN",
IF(ISNUMBER(SEARCH("PANEL DE ALUMINIO COMPUESTO",Inventario!B248)),"PAN-ALU-COM",
IF(ISNUMBER(SEARCH("PVC",Inventario!B248)),"PVC",
IF(ISNUMBER(SEARCH("PAPEL",Inventario!B248)),"PAP",
IF(ISNUMBER(SEARCH("TELA",Inventario!B248)),"TEL",
IF(ISNUMBER(SEARCH("CARTULINA",Inventario!B248)),"CAR",
IF(OR(ISNUMBER(SEARCH("LAMINA",Inventario!B248)),ISNUMBER(SEARCH("LÁMINA",Inventario!B248))),"LAM",
IF(ISNUMBER(SEARCH("ESTIRENO",Inventario!B248)),"EST",
IF(ISNUMBER(SEARCH("FOAMBOARD",Inventario!B248)),"FOA",
IF(ISNUMBER(SEARCH("SOLVENTE",Inventario!B248)),"SOL",
IF(ISNUMBER(SEARCH("TINTA",Inventario!B248)),"TIN",
IF(ISNUMBER(SEARCH("ACRILICO",Inventario!B248)),"ACR",
IF(ISNUMBER(SEARCH("LED",Inventario!B248)),"LED",
IF(ISNUMBER(SEARCH("FUENTE",Inventario!B248)),"FUE",
IF(ISNUMBER(SEARCH("PETG",Inventario!B248)),"PET",
IF(ISNUMBER(SEARCH("ALUMINIO",Inventario!B248)),"ALU",
IF(ISNUMBER(SEARCH("CANAL",Inventario!B248)),"CAN",
IF(ISNUMBER(SEARCH("ESCUADRA",Inventario!B248)),"ESC",
IF(ISNUMBER(SEARCH("SOPORTE",Inventario!B248)),"SOP","OTR")
)))))))))))))))))))</f>
        <v>LED</v>
      </c>
      <c r="B249" t="str">
        <f>IF(ISNUMBER(SEARCH("CORTE",Inventario!B248)),"COR",
IF(ISNUMBER(SEARCH("CRISTAL",Inventario!B248)),"CR",
IF(OR(ISNUMBER(SEARCH("OPTICO",Inventario!B248)),ISNUMBER(SEARCH("OPTICOS",Inventario!B248)),ISNUMBER(SEARCH("OPTICA",Inventario!B248))),"OP",
IF(ISNUMBER(SEARCH("NANO",Inventario!B248)),"NA",
IF(ISNUMBER(SEARCH("5050",Inventario!B248)),"5050",
IF(ISNUMBER(SEARCH("MICRO",Inventario!B248)),"MI",""))))))</f>
        <v>5050</v>
      </c>
      <c r="C249" t="str">
        <f>IF(ISNUMBER(SEARCH("PARED",Inventario!B248)),"PAR",IF(ISNUMBER(SEARCH("MATE",Inventario!B248)),"MAT",
IF(ISNUMBER(SEARCH("FRONT",Inventario!B248)),"FRO",
IF(ISNUMBER(SEARCH("BACK",Inventario!B248)),"BAC",
IF(ISNUMBER(SEARCH("MESH",Inventario!B248)),"MES",
IF(OR(ISNUMBER(SEARCH("BRILLANTE",Inventario!B248)),ISNUMBER(SEARCH("BTE",Inventario!B248))),"BRI",
IF(ISNUMBER(SEARCH("SINTETICA DELGADA",Inventario!B248)),"SD",
IF(ISNUMBER(SEARCH("SINTETICA GRUESA",Inventario!B248)),"SG",
IF(ISNUMBER(SEARCH("ESTATICO",Inventario!B248)),"EST",
IF(ISNUMBER(SEARCH("FLOOR",Inventario!B248)),"FLO",
IF(ISNUMBER(SEARCH("REFLECTIVO",Inventario!B248)),"REF",
IF(ISNUMBER(SEARCH("MICROPERFORADO",Inventario!B248)),"MI",
IF(ISNUMBER(SEARCH("CEPILLADO",Inventario!B248)),"CEP",
IF(ISNUMBER(SEARCH("ESPEJO",Inventario!B248)),"ESP",
IF(OR(ISNUMBER(SEARCH("UNIDIODO",Inventario!B248)),ISNUMBER(SEARCH("1 DIODO",Inventario!B248))),"1D",
IF(ISNUMBER(SEARCH("2 DIODOS",Inventario!B248)),"2D",
IF(ISNUMBER(SEARCH("3 DIODOS",Inventario!B248)),"3D","")))))))))))))))))</f>
        <v>3D</v>
      </c>
      <c r="D249" t="str">
        <f>IF(ISNUMBER(SEARCH("LX700",Inventario!B248)),"LX7",
IF(ISNUMBER(SEARCH("GRANDO",Inventario!B248)),"GRA",
IF(OR(ISNUMBER(SEARCH("CAMA PLANA",Inventario!B248)),ISNUMBER(SEARCH("FB700",Inventario!B248))),"CP",
IF(ISNUMBER(SEARCH("LX360",Inventario!B248)),"LX3",
IF(ISNUMBER(SEARCH("XEROX",Inventario!B248)),"XER",
IF(ISNUMBER(SEARCH("18 OZ",Inventario!B248)),"18OZ",
IF(ISNUMBER(SEARCH("15 OZ",Inventario!B248)),"15OZ",
IF(OR(ISNUMBER(SEARCH("13 OZ",Inventario!B248)),ISNUMBER(SEARCH("13 ONZAS",Inventario!B248))),"13OZ",
IF(OR(ISNUMBER(SEARCH("9 OZ",Inventario!B248)),ISNUMBER(SEARCH("9 ONZAS",Inventario!B248))),"09OZ","")))))))))</f>
        <v/>
      </c>
      <c r="E249" t="str">
        <f>IF(OR(ISNUMBER(SEARCH("TRANSPARENTE",Inventario!B248)),ISNUMBER(SEARCH("TRANSPARENTES",Inventario!B248))),"TR",
IF(OR(ISNUMBER(SEARCH("BLANCO",Inventario!B248)),ISNUMBER(SEARCH("BCO",Inventario!B248))),"BL",
IF(ISNUMBER(SEARCH("VERDE",Inventario!B248)),"VR",
IF(ISNUMBER(SEARCH("MORADO",Inventario!B248)),"MR",
IF(ISNUMBER(SEARCH("PLATA",Inventario!B248)),"PL",
IF(ISNUMBER(SEARCH("ORO",Inventario!B248)),"OR",
IF(ISNUMBER(SEARCH("AMARILLO",Inventario!B248)),"AM",
IF(ISNUMBER(SEARCH("NARANJA",Inventario!B248)),"NR",
IF(ISNUMBER(SEARCH("NEGRO",Inventario!B248)),"NG",
IF(ISNUMBER(SEARCH("ROJO",Inventario!B248)),"RJ",
IF(ISNUMBER(SEARCH("AZUL",Inventario!B248)),"AZ","")))))))))))</f>
        <v/>
      </c>
      <c r="F249" t="str">
        <f>IF(ISNUMBER(SEARCH("1,2 MM",Inventario!B248)),"1MM2",
IF(OR(ISNUMBER(SEARCH("2 MM",Inventario!B248)),ISNUMBER(SEARCH("2MM",Inventario!B248))),"2MM",
IF(OR(ISNUMBER(SEARCH("3 MM",Inventario!B248)),ISNUMBER(SEARCH("3MM",Inventario!B248))),"3MM",
IF(OR(ISNUMBER(SEARCH("4 MM",Inventario!B248)),ISNUMBER(SEARCH("4MM",Inventario!B248)),ISNUMBER(SEARCH("4 mm",Inventario!B248))),"4MM",
IF(OR(ISNUMBER(SEARCH("5 MM",Inventario!B248)),ISNUMBER(SEARCH("5MM",Inventario!B248))),"5MM",
IF(OR(ISNUMBER(SEARCH("6 MM",Inventario!B248)),ISNUMBER(SEARCH("6MM",Inventario!B248))),"6MM",
IF(OR(ISNUMBER(SEARCH("10 MM",Inventario!B248)),ISNUMBER(SEARCH("10MM",Inventario!B248))),"10MM","")))))))</f>
        <v/>
      </c>
      <c r="G249" t="str">
        <f>IF(ISNUMBER(SEARCH("ALTA RESISTENCIA",Inventario!B248)),"AR",IF(ISNUMBER(SEARCH("CAMPAÑA",Inventario!B248)),"CA",
IF(OR(ISNUMBER(SEARCH("CALIDO",Inventario!B248)),ISNUMBER(SEARCH("CÁLIDO",Inventario!B248))),"C",
IF(OR(ISNUMBER(SEARCH("TRASLUCIDO",Inventario!B248)),ISNUMBER(SEARCH("TRANSLUCIDO",Inventario!B248))),"TL",
IF(ISNUMBER(SEARCH("NEUTRO",Inventario!B248)),"N",
IF(ISNUMBER(SEARCH("FRIO",Inventario!B248)),"F",""))))))</f>
        <v>F</v>
      </c>
      <c r="H249" t="str">
        <f>IF(ISNUMBER(SEARCH("SILED",Inventario!B248)),"SI",
IF(ISNUMBER(SEARCH("SYDEMEX",Inventario!B248)),"SY",
IF(ISNUMBER(SEARCH("ROHS",Inventario!B248)),"RO",
IF(ISNUMBER(SEARCH("RISHANG",Inventario!B248)),"RS",
IF(ISNUMBER(SEARCH("VYG",Inventario!B248)),"VYG",
IF(ISNUMBER(SEARCH("COLED",Inventario!B248)),"CO",""))))))</f>
        <v/>
      </c>
    </row>
    <row r="250" spans="1:8">
      <c r="A250" t="str">
        <f>IF(ISNUMBER(SEARCH("LONA",Inventario!B249)),"LON",
IF(ISNUMBER(SEARCH("VINIL",Inventario!B249)),"VIN",
IF(ISNUMBER(SEARCH("PANEL DE ALUMINIO COMPUESTO",Inventario!B249)),"PAN-ALU-COM",
IF(ISNUMBER(SEARCH("PVC",Inventario!B249)),"PVC",
IF(ISNUMBER(SEARCH("PAPEL",Inventario!B249)),"PAP",
IF(ISNUMBER(SEARCH("TELA",Inventario!B249)),"TEL",
IF(ISNUMBER(SEARCH("CARTULINA",Inventario!B249)),"CAR",
IF(OR(ISNUMBER(SEARCH("LAMINA",Inventario!B249)),ISNUMBER(SEARCH("LÁMINA",Inventario!B249))),"LAM",
IF(ISNUMBER(SEARCH("ESTIRENO",Inventario!B249)),"EST",
IF(ISNUMBER(SEARCH("FOAMBOARD",Inventario!B249)),"FOA",
IF(ISNUMBER(SEARCH("SOLVENTE",Inventario!B249)),"SOL",
IF(ISNUMBER(SEARCH("TINTA",Inventario!B249)),"TIN",
IF(ISNUMBER(SEARCH("ACRILICO",Inventario!B249)),"ACR",
IF(ISNUMBER(SEARCH("LED",Inventario!B249)),"LED",
IF(ISNUMBER(SEARCH("FUENTE",Inventario!B249)),"FUE",
IF(ISNUMBER(SEARCH("PETG",Inventario!B249)),"PET",
IF(ISNUMBER(SEARCH("ALUMINIO",Inventario!B249)),"ALU",
IF(ISNUMBER(SEARCH("CANAL",Inventario!B249)),"CAN",
IF(ISNUMBER(SEARCH("ESCUADRA",Inventario!B249)),"ESC",
IF(ISNUMBER(SEARCH("SOPORTE",Inventario!B249)),"SOP","OTR")
)))))))))))))))))))</f>
        <v>LED</v>
      </c>
      <c r="B250" t="str">
        <f>IF(ISNUMBER(SEARCH("CORTE",Inventario!B249)),"COR",
IF(ISNUMBER(SEARCH("CRISTAL",Inventario!B249)),"CR",
IF(OR(ISNUMBER(SEARCH("OPTICO",Inventario!B249)),ISNUMBER(SEARCH("OPTICOS",Inventario!B249)),ISNUMBER(SEARCH("OPTICA",Inventario!B249))),"OP",
IF(ISNUMBER(SEARCH("NANO",Inventario!B249)),"NA",
IF(ISNUMBER(SEARCH("5050",Inventario!B249)),"5050",
IF(ISNUMBER(SEARCH("MICRO",Inventario!B249)),"MI",""))))))</f>
        <v>OP</v>
      </c>
      <c r="C250" t="str">
        <f>IF(ISNUMBER(SEARCH("PARED",Inventario!B249)),"PAR",IF(ISNUMBER(SEARCH("MATE",Inventario!B249)),"MAT",
IF(ISNUMBER(SEARCH("FRONT",Inventario!B249)),"FRO",
IF(ISNUMBER(SEARCH("BACK",Inventario!B249)),"BAC",
IF(ISNUMBER(SEARCH("MESH",Inventario!B249)),"MES",
IF(OR(ISNUMBER(SEARCH("BRILLANTE",Inventario!B249)),ISNUMBER(SEARCH("BTE",Inventario!B249))),"BRI",
IF(ISNUMBER(SEARCH("SINTETICA DELGADA",Inventario!B249)),"SD",
IF(ISNUMBER(SEARCH("SINTETICA GRUESA",Inventario!B249)),"SG",
IF(ISNUMBER(SEARCH("ESTATICO",Inventario!B249)),"EST",
IF(ISNUMBER(SEARCH("FLOOR",Inventario!B249)),"FLO",
IF(ISNUMBER(SEARCH("REFLECTIVO",Inventario!B249)),"REF",
IF(ISNUMBER(SEARCH("MICROPERFORADO",Inventario!B249)),"MI",
IF(ISNUMBER(SEARCH("CEPILLADO",Inventario!B249)),"CEP",
IF(ISNUMBER(SEARCH("ESPEJO",Inventario!B249)),"ESP",
IF(OR(ISNUMBER(SEARCH("UNIDIODO",Inventario!B249)),ISNUMBER(SEARCH("1 DIODO",Inventario!B249))),"1D",
IF(ISNUMBER(SEARCH("2 DIODOS",Inventario!B249)),"2D",
IF(ISNUMBER(SEARCH("3 DIODOS",Inventario!B249)),"3D","")))))))))))))))))</f>
        <v>2D</v>
      </c>
      <c r="D250" t="str">
        <f>IF(ISNUMBER(SEARCH("LX700",Inventario!B249)),"LX7",
IF(ISNUMBER(SEARCH("GRANDO",Inventario!B249)),"GRA",
IF(OR(ISNUMBER(SEARCH("CAMA PLANA",Inventario!B249)),ISNUMBER(SEARCH("FB700",Inventario!B249))),"CP",
IF(ISNUMBER(SEARCH("LX360",Inventario!B249)),"LX3",
IF(ISNUMBER(SEARCH("XEROX",Inventario!B249)),"XER",
IF(ISNUMBER(SEARCH("18 OZ",Inventario!B249)),"18OZ",
IF(ISNUMBER(SEARCH("15 OZ",Inventario!B249)),"15OZ",
IF(OR(ISNUMBER(SEARCH("13 OZ",Inventario!B249)),ISNUMBER(SEARCH("13 ONZAS",Inventario!B249))),"13OZ",
IF(OR(ISNUMBER(SEARCH("9 OZ",Inventario!B249)),ISNUMBER(SEARCH("9 ONZAS",Inventario!B249))),"09OZ","")))))))))</f>
        <v/>
      </c>
      <c r="E250" t="str">
        <f>IF(OR(ISNUMBER(SEARCH("TRANSPARENTE",Inventario!B249)),ISNUMBER(SEARCH("TRANSPARENTES",Inventario!B249))),"TR",
IF(OR(ISNUMBER(SEARCH("BLANCO",Inventario!B249)),ISNUMBER(SEARCH("BCO",Inventario!B249))),"BL",
IF(ISNUMBER(SEARCH("VERDE",Inventario!B249)),"VR",
IF(ISNUMBER(SEARCH("MORADO",Inventario!B249)),"MR",
IF(ISNUMBER(SEARCH("PLATA",Inventario!B249)),"PL",
IF(ISNUMBER(SEARCH("ORO",Inventario!B249)),"OR",
IF(ISNUMBER(SEARCH("AMARILLO",Inventario!B249)),"AM",
IF(ISNUMBER(SEARCH("NARANJA",Inventario!B249)),"NR",
IF(ISNUMBER(SEARCH("NEGRO",Inventario!B249)),"NG",
IF(ISNUMBER(SEARCH("ROJO",Inventario!B249)),"RJ",
IF(ISNUMBER(SEARCH("AZUL",Inventario!B249)),"AZ","")))))))))))</f>
        <v>RJ</v>
      </c>
      <c r="F250" t="str">
        <f>IF(ISNUMBER(SEARCH("1,2 MM",Inventario!B249)),"1MM2",
IF(OR(ISNUMBER(SEARCH("2 MM",Inventario!B249)),ISNUMBER(SEARCH("2MM",Inventario!B249))),"2MM",
IF(OR(ISNUMBER(SEARCH("3 MM",Inventario!B249)),ISNUMBER(SEARCH("3MM",Inventario!B249))),"3MM",
IF(OR(ISNUMBER(SEARCH("4 MM",Inventario!B249)),ISNUMBER(SEARCH("4MM",Inventario!B249)),ISNUMBER(SEARCH("4 mm",Inventario!B249))),"4MM",
IF(OR(ISNUMBER(SEARCH("5 MM",Inventario!B249)),ISNUMBER(SEARCH("5MM",Inventario!B249))),"5MM",
IF(OR(ISNUMBER(SEARCH("6 MM",Inventario!B249)),ISNUMBER(SEARCH("6MM",Inventario!B249))),"6MM",
IF(OR(ISNUMBER(SEARCH("10 MM",Inventario!B249)),ISNUMBER(SEARCH("10MM",Inventario!B249))),"10MM","")))))))</f>
        <v/>
      </c>
      <c r="G250" t="str">
        <f>IF(ISNUMBER(SEARCH("ALTA RESISTENCIA",Inventario!B249)),"AR",IF(ISNUMBER(SEARCH("CAMPAÑA",Inventario!B249)),"CA",
IF(OR(ISNUMBER(SEARCH("CALIDO",Inventario!B249)),ISNUMBER(SEARCH("CÁLIDO",Inventario!B249))),"C",
IF(OR(ISNUMBER(SEARCH("TRASLUCIDO",Inventario!B249)),ISNUMBER(SEARCH("TRANSLUCIDO",Inventario!B249))),"TL",
IF(ISNUMBER(SEARCH("NEUTRO",Inventario!B249)),"N",
IF(ISNUMBER(SEARCH("FRIO",Inventario!B249)),"F",""))))))</f>
        <v/>
      </c>
      <c r="H250" t="str">
        <f>IF(ISNUMBER(SEARCH("SILED",Inventario!B249)),"SI",
IF(ISNUMBER(SEARCH("SYDEMEX",Inventario!B249)),"SY",
IF(ISNUMBER(SEARCH("ROHS",Inventario!B249)),"RO",
IF(ISNUMBER(SEARCH("RISHANG",Inventario!B249)),"RS",
IF(ISNUMBER(SEARCH("VYG",Inventario!B249)),"VYG",
IF(ISNUMBER(SEARCH("COLED",Inventario!B249)),"CO",""))))))</f>
        <v>SI</v>
      </c>
    </row>
    <row r="251" spans="1:8">
      <c r="A251" t="str">
        <f>IF(ISNUMBER(SEARCH("LONA",Inventario!B250)),"LON",
IF(ISNUMBER(SEARCH("VINIL",Inventario!B250)),"VIN",
IF(ISNUMBER(SEARCH("PANEL DE ALUMINIO COMPUESTO",Inventario!B250)),"PAN-ALU-COM",
IF(ISNUMBER(SEARCH("PVC",Inventario!B250)),"PVC",
IF(ISNUMBER(SEARCH("PAPEL",Inventario!B250)),"PAP",
IF(ISNUMBER(SEARCH("TELA",Inventario!B250)),"TEL",
IF(ISNUMBER(SEARCH("CARTULINA",Inventario!B250)),"CAR",
IF(OR(ISNUMBER(SEARCH("LAMINA",Inventario!B250)),ISNUMBER(SEARCH("LÁMINA",Inventario!B250))),"LAM",
IF(ISNUMBER(SEARCH("ESTIRENO",Inventario!B250)),"EST",
IF(ISNUMBER(SEARCH("FOAMBOARD",Inventario!B250)),"FOA",
IF(ISNUMBER(SEARCH("SOLVENTE",Inventario!B250)),"SOL",
IF(ISNUMBER(SEARCH("TINTA",Inventario!B250)),"TIN",
IF(ISNUMBER(SEARCH("ACRILICO",Inventario!B250)),"ACR",
IF(ISNUMBER(SEARCH("LED",Inventario!B250)),"LED",
IF(ISNUMBER(SEARCH("FUENTE",Inventario!B250)),"FUE",
IF(ISNUMBER(SEARCH("PETG",Inventario!B250)),"PET",
IF(ISNUMBER(SEARCH("ALUMINIO",Inventario!B250)),"ALU",
IF(ISNUMBER(SEARCH("CANAL",Inventario!B250)),"CAN",
IF(ISNUMBER(SEARCH("ESCUADRA",Inventario!B250)),"ESC",
IF(ISNUMBER(SEARCH("SOPORTE",Inventario!B250)),"SOP","OTR")
)))))))))))))))))))</f>
        <v>LED</v>
      </c>
      <c r="B251" t="str">
        <f>IF(ISNUMBER(SEARCH("CORTE",Inventario!B250)),"COR",
IF(ISNUMBER(SEARCH("CRISTAL",Inventario!B250)),"CR",
IF(OR(ISNUMBER(SEARCH("OPTICO",Inventario!B250)),ISNUMBER(SEARCH("OPTICOS",Inventario!B250)),ISNUMBER(SEARCH("OPTICA",Inventario!B250))),"OP",
IF(ISNUMBER(SEARCH("NANO",Inventario!B250)),"NA",
IF(ISNUMBER(SEARCH("5050",Inventario!B250)),"5050",
IF(ISNUMBER(SEARCH("MICRO",Inventario!B250)),"MI",""))))))</f>
        <v>OP</v>
      </c>
      <c r="C251" t="str">
        <f>IF(ISNUMBER(SEARCH("PARED",Inventario!B250)),"PAR",IF(ISNUMBER(SEARCH("MATE",Inventario!B250)),"MAT",
IF(ISNUMBER(SEARCH("FRONT",Inventario!B250)),"FRO",
IF(ISNUMBER(SEARCH("BACK",Inventario!B250)),"BAC",
IF(ISNUMBER(SEARCH("MESH",Inventario!B250)),"MES",
IF(OR(ISNUMBER(SEARCH("BRILLANTE",Inventario!B250)),ISNUMBER(SEARCH("BTE",Inventario!B250))),"BRI",
IF(ISNUMBER(SEARCH("SINTETICA DELGADA",Inventario!B250)),"SD",
IF(ISNUMBER(SEARCH("SINTETICA GRUESA",Inventario!B250)),"SG",
IF(ISNUMBER(SEARCH("ESTATICO",Inventario!B250)),"EST",
IF(ISNUMBER(SEARCH("FLOOR",Inventario!B250)),"FLO",
IF(ISNUMBER(SEARCH("REFLECTIVO",Inventario!B250)),"REF",
IF(ISNUMBER(SEARCH("MICROPERFORADO",Inventario!B250)),"MI",
IF(ISNUMBER(SEARCH("CEPILLADO",Inventario!B250)),"CEP",
IF(ISNUMBER(SEARCH("ESPEJO",Inventario!B250)),"ESP",
IF(OR(ISNUMBER(SEARCH("UNIDIODO",Inventario!B250)),ISNUMBER(SEARCH("1 DIODO",Inventario!B250))),"1D",
IF(ISNUMBER(SEARCH("2 DIODOS",Inventario!B250)),"2D",
IF(ISNUMBER(SEARCH("3 DIODOS",Inventario!B250)),"3D","")))))))))))))))))</f>
        <v>2D</v>
      </c>
      <c r="D251" t="str">
        <f>IF(ISNUMBER(SEARCH("LX700",Inventario!B250)),"LX7",
IF(ISNUMBER(SEARCH("GRANDO",Inventario!B250)),"GRA",
IF(OR(ISNUMBER(SEARCH("CAMA PLANA",Inventario!B250)),ISNUMBER(SEARCH("FB700",Inventario!B250))),"CP",
IF(ISNUMBER(SEARCH("LX360",Inventario!B250)),"LX3",
IF(ISNUMBER(SEARCH("XEROX",Inventario!B250)),"XER",
IF(ISNUMBER(SEARCH("18 OZ",Inventario!B250)),"18OZ",
IF(ISNUMBER(SEARCH("15 OZ",Inventario!B250)),"15OZ",
IF(OR(ISNUMBER(SEARCH("13 OZ",Inventario!B250)),ISNUMBER(SEARCH("13 ONZAS",Inventario!B250))),"13OZ",
IF(OR(ISNUMBER(SEARCH("9 OZ",Inventario!B250)),ISNUMBER(SEARCH("9 ONZAS",Inventario!B250))),"09OZ","")))))))))</f>
        <v/>
      </c>
      <c r="E251" t="str">
        <f>IF(OR(ISNUMBER(SEARCH("TRANSPARENTE",Inventario!B250)),ISNUMBER(SEARCH("TRANSPARENTES",Inventario!B250))),"TR",
IF(OR(ISNUMBER(SEARCH("BLANCO",Inventario!B250)),ISNUMBER(SEARCH("BCO",Inventario!B250))),"BL",
IF(ISNUMBER(SEARCH("VERDE",Inventario!B250)),"VR",
IF(ISNUMBER(SEARCH("MORADO",Inventario!B250)),"MR",
IF(ISNUMBER(SEARCH("PLATA",Inventario!B250)),"PL",
IF(ISNUMBER(SEARCH("ORO",Inventario!B250)),"OR",
IF(ISNUMBER(SEARCH("AMARILLO",Inventario!B250)),"AM",
IF(ISNUMBER(SEARCH("NARANJA",Inventario!B250)),"NR",
IF(ISNUMBER(SEARCH("NEGRO",Inventario!B250)),"NG",
IF(ISNUMBER(SEARCH("ROJO",Inventario!B250)),"RJ",
IF(ISNUMBER(SEARCH("AZUL",Inventario!B250)),"AZ","")))))))))))</f>
        <v/>
      </c>
      <c r="F251" t="str">
        <f>IF(ISNUMBER(SEARCH("1,2 MM",Inventario!B250)),"1MM2",
IF(OR(ISNUMBER(SEARCH("2 MM",Inventario!B250)),ISNUMBER(SEARCH("2MM",Inventario!B250))),"2MM",
IF(OR(ISNUMBER(SEARCH("3 MM",Inventario!B250)),ISNUMBER(SEARCH("3MM",Inventario!B250))),"3MM",
IF(OR(ISNUMBER(SEARCH("4 MM",Inventario!B250)),ISNUMBER(SEARCH("4MM",Inventario!B250)),ISNUMBER(SEARCH("4 mm",Inventario!B250))),"4MM",
IF(OR(ISNUMBER(SEARCH("5 MM",Inventario!B250)),ISNUMBER(SEARCH("5MM",Inventario!B250))),"5MM",
IF(OR(ISNUMBER(SEARCH("6 MM",Inventario!B250)),ISNUMBER(SEARCH("6MM",Inventario!B250))),"6MM",
IF(OR(ISNUMBER(SEARCH("10 MM",Inventario!B250)),ISNUMBER(SEARCH("10MM",Inventario!B250))),"10MM","")))))))</f>
        <v/>
      </c>
      <c r="G251" t="str">
        <f>IF(ISNUMBER(SEARCH("ALTA RESISTENCIA",Inventario!B250)),"AR",IF(ISNUMBER(SEARCH("CAMPAÑA",Inventario!B250)),"CA",
IF(OR(ISNUMBER(SEARCH("CALIDO",Inventario!B250)),ISNUMBER(SEARCH("CÁLIDO",Inventario!B250))),"C",
IF(OR(ISNUMBER(SEARCH("TRASLUCIDO",Inventario!B250)),ISNUMBER(SEARCH("TRANSLUCIDO",Inventario!B250))),"TL",
IF(ISNUMBER(SEARCH("NEUTRO",Inventario!B250)),"N",
IF(ISNUMBER(SEARCH("FRIO",Inventario!B250)),"F",""))))))</f>
        <v>F</v>
      </c>
      <c r="H251" t="str">
        <f>IF(ISNUMBER(SEARCH("SILED",Inventario!B250)),"SI",
IF(ISNUMBER(SEARCH("SYDEMEX",Inventario!B250)),"SY",
IF(ISNUMBER(SEARCH("ROHS",Inventario!B250)),"RO",
IF(ISNUMBER(SEARCH("RISHANG",Inventario!B250)),"RS",
IF(ISNUMBER(SEARCH("VYG",Inventario!B250)),"VYG",
IF(ISNUMBER(SEARCH("COLED",Inventario!B250)),"CO",""))))))</f>
        <v>SI</v>
      </c>
    </row>
    <row r="252" spans="1:8">
      <c r="A252" t="str">
        <f>IF(ISNUMBER(SEARCH("LONA",Inventario!B251)),"LON",
IF(ISNUMBER(SEARCH("VINIL",Inventario!B251)),"VIN",
IF(ISNUMBER(SEARCH("PANEL DE ALUMINIO COMPUESTO",Inventario!B251)),"PAN-ALU-COM",
IF(ISNUMBER(SEARCH("PVC",Inventario!B251)),"PVC",
IF(ISNUMBER(SEARCH("PAPEL",Inventario!B251)),"PAP",
IF(ISNUMBER(SEARCH("TELA",Inventario!B251)),"TEL",
IF(ISNUMBER(SEARCH("CARTULINA",Inventario!B251)),"CAR",
IF(OR(ISNUMBER(SEARCH("LAMINA",Inventario!B251)),ISNUMBER(SEARCH("LÁMINA",Inventario!B251))),"LAM",
IF(ISNUMBER(SEARCH("ESTIRENO",Inventario!B251)),"EST",
IF(ISNUMBER(SEARCH("FOAMBOARD",Inventario!B251)),"FOA",
IF(ISNUMBER(SEARCH("SOLVENTE",Inventario!B251)),"SOL",
IF(ISNUMBER(SEARCH("TINTA",Inventario!B251)),"TIN",
IF(ISNUMBER(SEARCH("ACRILICO",Inventario!B251)),"ACR",
IF(ISNUMBER(SEARCH("LED",Inventario!B251)),"LED",
IF(ISNUMBER(SEARCH("FUENTE",Inventario!B251)),"FUE",
IF(ISNUMBER(SEARCH("PETG",Inventario!B251)),"PET",
IF(ISNUMBER(SEARCH("ALUMINIO",Inventario!B251)),"ALU",
IF(ISNUMBER(SEARCH("CANAL",Inventario!B251)),"CAN",
IF(ISNUMBER(SEARCH("ESCUADRA",Inventario!B251)),"ESC",
IF(ISNUMBER(SEARCH("SOPORTE",Inventario!B251)),"SOP","OTR")
)))))))))))))))))))</f>
        <v>FUE</v>
      </c>
      <c r="B252" t="str">
        <f>IF(ISNUMBER(SEARCH("CORTE",Inventario!B251)),"COR",
IF(ISNUMBER(SEARCH("CRISTAL",Inventario!B251)),"CR",
IF(OR(ISNUMBER(SEARCH("OPTICO",Inventario!B251)),ISNUMBER(SEARCH("OPTICOS",Inventario!B251)),ISNUMBER(SEARCH("OPTICA",Inventario!B251))),"OP",
IF(ISNUMBER(SEARCH("NANO",Inventario!B251)),"NA",
IF(ISNUMBER(SEARCH("5050",Inventario!B251)),"5050",
IF(ISNUMBER(SEARCH("MICRO",Inventario!B251)),"MI",""))))))</f>
        <v/>
      </c>
      <c r="C252" t="str">
        <f>IF(ISNUMBER(SEARCH("PARED",Inventario!B251)),"PAR",IF(ISNUMBER(SEARCH("MATE",Inventario!B251)),"MAT",
IF(ISNUMBER(SEARCH("FRONT",Inventario!B251)),"FRO",
IF(ISNUMBER(SEARCH("BACK",Inventario!B251)),"BAC",
IF(ISNUMBER(SEARCH("MESH",Inventario!B251)),"MES",
IF(OR(ISNUMBER(SEARCH("BRILLANTE",Inventario!B251)),ISNUMBER(SEARCH("BTE",Inventario!B251))),"BRI",
IF(ISNUMBER(SEARCH("SINTETICA DELGADA",Inventario!B251)),"SD",
IF(ISNUMBER(SEARCH("SINTETICA GRUESA",Inventario!B251)),"SG",
IF(ISNUMBER(SEARCH("ESTATICO",Inventario!B251)),"EST",
IF(ISNUMBER(SEARCH("FLOOR",Inventario!B251)),"FLO",
IF(ISNUMBER(SEARCH("REFLECTIVO",Inventario!B251)),"REF",
IF(ISNUMBER(SEARCH("MICROPERFORADO",Inventario!B251)),"MI",
IF(ISNUMBER(SEARCH("CEPILLADO",Inventario!B251)),"CEP",
IF(ISNUMBER(SEARCH("ESPEJO",Inventario!B251)),"ESP",
IF(OR(ISNUMBER(SEARCH("UNIDIODO",Inventario!B251)),ISNUMBER(SEARCH("1 DIODO",Inventario!B251))),"1D",
IF(ISNUMBER(SEARCH("2 DIODOS",Inventario!B251)),"2D",
IF(ISNUMBER(SEARCH("3 DIODOS",Inventario!B251)),"3D","")))))))))))))))))</f>
        <v/>
      </c>
      <c r="D252" t="str">
        <f>IF(ISNUMBER(SEARCH("LX700",Inventario!B251)),"LX7",
IF(ISNUMBER(SEARCH("GRANDO",Inventario!B251)),"GRA",
IF(OR(ISNUMBER(SEARCH("CAMA PLANA",Inventario!B251)),ISNUMBER(SEARCH("FB700",Inventario!B251))),"CP",
IF(ISNUMBER(SEARCH("LX360",Inventario!B251)),"LX3",
IF(ISNUMBER(SEARCH("XEROX",Inventario!B251)),"XER",
IF(ISNUMBER(SEARCH("18 OZ",Inventario!B251)),"18OZ",
IF(ISNUMBER(SEARCH("15 OZ",Inventario!B251)),"15OZ",
IF(OR(ISNUMBER(SEARCH("13 OZ",Inventario!B251)),ISNUMBER(SEARCH("13 ONZAS",Inventario!B251))),"13OZ",
IF(OR(ISNUMBER(SEARCH("9 OZ",Inventario!B251)),ISNUMBER(SEARCH("9 ONZAS",Inventario!B251))),"09OZ","")))))))))</f>
        <v/>
      </c>
      <c r="E252" t="str">
        <f>IF(OR(ISNUMBER(SEARCH("TRANSPARENTE",Inventario!B251)),ISNUMBER(SEARCH("TRANSPARENTES",Inventario!B251))),"TR",
IF(OR(ISNUMBER(SEARCH("BLANCO",Inventario!B251)),ISNUMBER(SEARCH("BCO",Inventario!B251))),"BL",
IF(ISNUMBER(SEARCH("VERDE",Inventario!B251)),"VR",
IF(ISNUMBER(SEARCH("MORADO",Inventario!B251)),"MR",
IF(ISNUMBER(SEARCH("PLATA",Inventario!B251)),"PL",
IF(ISNUMBER(SEARCH("ORO",Inventario!B251)),"OR",
IF(ISNUMBER(SEARCH("AMARILLO",Inventario!B251)),"AM",
IF(ISNUMBER(SEARCH("NARANJA",Inventario!B251)),"NR",
IF(ISNUMBER(SEARCH("NEGRO",Inventario!B251)),"NG",
IF(ISNUMBER(SEARCH("ROJO",Inventario!B251)),"RJ",
IF(ISNUMBER(SEARCH("AZUL",Inventario!B251)),"AZ","")))))))))))</f>
        <v/>
      </c>
      <c r="F252" t="str">
        <f>IF(ISNUMBER(SEARCH("1,2 MM",Inventario!B251)),"1MM2",
IF(OR(ISNUMBER(SEARCH("2 MM",Inventario!B251)),ISNUMBER(SEARCH("2MM",Inventario!B251))),"2MM",
IF(OR(ISNUMBER(SEARCH("3 MM",Inventario!B251)),ISNUMBER(SEARCH("3MM",Inventario!B251))),"3MM",
IF(OR(ISNUMBER(SEARCH("4 MM",Inventario!B251)),ISNUMBER(SEARCH("4MM",Inventario!B251)),ISNUMBER(SEARCH("4 mm",Inventario!B251))),"4MM",
IF(OR(ISNUMBER(SEARCH("5 MM",Inventario!B251)),ISNUMBER(SEARCH("5MM",Inventario!B251))),"5MM",
IF(OR(ISNUMBER(SEARCH("6 MM",Inventario!B251)),ISNUMBER(SEARCH("6MM",Inventario!B251))),"6MM",
IF(OR(ISNUMBER(SEARCH("10 MM",Inventario!B251)),ISNUMBER(SEARCH("10MM",Inventario!B251))),"10MM","")))))))</f>
        <v/>
      </c>
      <c r="G252" t="str">
        <f>IF(ISNUMBER(SEARCH("ALTA RESISTENCIA",Inventario!B251)),"AR",IF(ISNUMBER(SEARCH("CAMPAÑA",Inventario!B251)),"CA",
IF(OR(ISNUMBER(SEARCH("CALIDO",Inventario!B251)),ISNUMBER(SEARCH("CÁLIDO",Inventario!B251))),"C",
IF(OR(ISNUMBER(SEARCH("TRASLUCIDO",Inventario!B251)),ISNUMBER(SEARCH("TRANSLUCIDO",Inventario!B251))),"TL",
IF(ISNUMBER(SEARCH("NEUTRO",Inventario!B251)),"N",
IF(ISNUMBER(SEARCH("FRIO",Inventario!B251)),"F",""))))))</f>
        <v/>
      </c>
      <c r="H252" t="str">
        <f>IF(ISNUMBER(SEARCH("SILED",Inventario!B251)),"SI",
IF(ISNUMBER(SEARCH("SYDEMEX",Inventario!B251)),"SY",
IF(ISNUMBER(SEARCH("ROHS",Inventario!B251)),"RO",
IF(ISNUMBER(SEARCH("RISHANG",Inventario!B251)),"RS",
IF(ISNUMBER(SEARCH("VYG",Inventario!B251)),"VYG",
IF(ISNUMBER(SEARCH("COLED",Inventario!B251)),"CO",""))))))</f>
        <v/>
      </c>
    </row>
    <row r="253" spans="1:8">
      <c r="A253" t="str">
        <f>IF(ISNUMBER(SEARCH("LONA",Inventario!B252)),"LON",
IF(ISNUMBER(SEARCH("VINIL",Inventario!B252)),"VIN",
IF(ISNUMBER(SEARCH("PANEL DE ALUMINIO COMPUESTO",Inventario!B252)),"PAN-ALU-COM",
IF(ISNUMBER(SEARCH("PVC",Inventario!B252)),"PVC",
IF(ISNUMBER(SEARCH("PAPEL",Inventario!B252)),"PAP",
IF(ISNUMBER(SEARCH("TELA",Inventario!B252)),"TEL",
IF(ISNUMBER(SEARCH("CARTULINA",Inventario!B252)),"CAR",
IF(OR(ISNUMBER(SEARCH("LAMINA",Inventario!B252)),ISNUMBER(SEARCH("LÁMINA",Inventario!B252))),"LAM",
IF(ISNUMBER(SEARCH("ESTIRENO",Inventario!B252)),"EST",
IF(ISNUMBER(SEARCH("FOAMBOARD",Inventario!B252)),"FOA",
IF(ISNUMBER(SEARCH("SOLVENTE",Inventario!B252)),"SOL",
IF(ISNUMBER(SEARCH("TINTA",Inventario!B252)),"TIN",
IF(ISNUMBER(SEARCH("ACRILICO",Inventario!B252)),"ACR",
IF(ISNUMBER(SEARCH("LED",Inventario!B252)),"LED",
IF(ISNUMBER(SEARCH("FUENTE",Inventario!B252)),"FUE",
IF(ISNUMBER(SEARCH("PETG",Inventario!B252)),"PET",
IF(ISNUMBER(SEARCH("ALUMINIO",Inventario!B252)),"ALU",
IF(ISNUMBER(SEARCH("CANAL",Inventario!B252)),"CAN",
IF(ISNUMBER(SEARCH("ESCUADRA",Inventario!B252)),"ESC",
IF(ISNUMBER(SEARCH("SOPORTE",Inventario!B252)),"SOP","OTR")
)))))))))))))))))))</f>
        <v>FUE</v>
      </c>
      <c r="B253" t="str">
        <f>IF(ISNUMBER(SEARCH("CORTE",Inventario!B252)),"COR",
IF(ISNUMBER(SEARCH("CRISTAL",Inventario!B252)),"CR",
IF(OR(ISNUMBER(SEARCH("OPTICO",Inventario!B252)),ISNUMBER(SEARCH("OPTICOS",Inventario!B252)),ISNUMBER(SEARCH("OPTICA",Inventario!B252))),"OP",
IF(ISNUMBER(SEARCH("NANO",Inventario!B252)),"NA",
IF(ISNUMBER(SEARCH("5050",Inventario!B252)),"5050",
IF(ISNUMBER(SEARCH("MICRO",Inventario!B252)),"MI",""))))))</f>
        <v/>
      </c>
      <c r="C253" t="str">
        <f>IF(ISNUMBER(SEARCH("PARED",Inventario!B252)),"PAR",IF(ISNUMBER(SEARCH("MATE",Inventario!B252)),"MAT",
IF(ISNUMBER(SEARCH("FRONT",Inventario!B252)),"FRO",
IF(ISNUMBER(SEARCH("BACK",Inventario!B252)),"BAC",
IF(ISNUMBER(SEARCH("MESH",Inventario!B252)),"MES",
IF(OR(ISNUMBER(SEARCH("BRILLANTE",Inventario!B252)),ISNUMBER(SEARCH("BTE",Inventario!B252))),"BRI",
IF(ISNUMBER(SEARCH("SINTETICA DELGADA",Inventario!B252)),"SD",
IF(ISNUMBER(SEARCH("SINTETICA GRUESA",Inventario!B252)),"SG",
IF(ISNUMBER(SEARCH("ESTATICO",Inventario!B252)),"EST",
IF(ISNUMBER(SEARCH("FLOOR",Inventario!B252)),"FLO",
IF(ISNUMBER(SEARCH("REFLECTIVO",Inventario!B252)),"REF",
IF(ISNUMBER(SEARCH("MICROPERFORADO",Inventario!B252)),"MI",
IF(ISNUMBER(SEARCH("CEPILLADO",Inventario!B252)),"CEP",
IF(ISNUMBER(SEARCH("ESPEJO",Inventario!B252)),"ESP",
IF(OR(ISNUMBER(SEARCH("UNIDIODO",Inventario!B252)),ISNUMBER(SEARCH("1 DIODO",Inventario!B252))),"1D",
IF(ISNUMBER(SEARCH("2 DIODOS",Inventario!B252)),"2D",
IF(ISNUMBER(SEARCH("3 DIODOS",Inventario!B252)),"3D","")))))))))))))))))</f>
        <v/>
      </c>
      <c r="D253" t="str">
        <f>IF(ISNUMBER(SEARCH("LX700",Inventario!B252)),"LX7",
IF(ISNUMBER(SEARCH("GRANDO",Inventario!B252)),"GRA",
IF(OR(ISNUMBER(SEARCH("CAMA PLANA",Inventario!B252)),ISNUMBER(SEARCH("FB700",Inventario!B252))),"CP",
IF(ISNUMBER(SEARCH("LX360",Inventario!B252)),"LX3",
IF(ISNUMBER(SEARCH("XEROX",Inventario!B252)),"XER",
IF(ISNUMBER(SEARCH("18 OZ",Inventario!B252)),"18OZ",
IF(ISNUMBER(SEARCH("15 OZ",Inventario!B252)),"15OZ",
IF(OR(ISNUMBER(SEARCH("13 OZ",Inventario!B252)),ISNUMBER(SEARCH("13 ONZAS",Inventario!B252))),"13OZ",
IF(OR(ISNUMBER(SEARCH("9 OZ",Inventario!B252)),ISNUMBER(SEARCH("9 ONZAS",Inventario!B252))),"09OZ","")))))))))</f>
        <v/>
      </c>
      <c r="E253" t="str">
        <f>IF(OR(ISNUMBER(SEARCH("TRANSPARENTE",Inventario!B252)),ISNUMBER(SEARCH("TRANSPARENTES",Inventario!B252))),"TR",
IF(OR(ISNUMBER(SEARCH("BLANCO",Inventario!B252)),ISNUMBER(SEARCH("BCO",Inventario!B252))),"BL",
IF(ISNUMBER(SEARCH("VERDE",Inventario!B252)),"VR",
IF(ISNUMBER(SEARCH("MORADO",Inventario!B252)),"MR",
IF(ISNUMBER(SEARCH("PLATA",Inventario!B252)),"PL",
IF(ISNUMBER(SEARCH("ORO",Inventario!B252)),"OR",
IF(ISNUMBER(SEARCH("AMARILLO",Inventario!B252)),"AM",
IF(ISNUMBER(SEARCH("NARANJA",Inventario!B252)),"NR",
IF(ISNUMBER(SEARCH("NEGRO",Inventario!B252)),"NG",
IF(ISNUMBER(SEARCH("ROJO",Inventario!B252)),"RJ",
IF(ISNUMBER(SEARCH("AZUL",Inventario!B252)),"AZ","")))))))))))</f>
        <v/>
      </c>
      <c r="F253" t="str">
        <f>IF(ISNUMBER(SEARCH("1,2 MM",Inventario!B252)),"1MM2",
IF(OR(ISNUMBER(SEARCH("2 MM",Inventario!B252)),ISNUMBER(SEARCH("2MM",Inventario!B252))),"2MM",
IF(OR(ISNUMBER(SEARCH("3 MM",Inventario!B252)),ISNUMBER(SEARCH("3MM",Inventario!B252))),"3MM",
IF(OR(ISNUMBER(SEARCH("4 MM",Inventario!B252)),ISNUMBER(SEARCH("4MM",Inventario!B252)),ISNUMBER(SEARCH("4 mm",Inventario!B252))),"4MM",
IF(OR(ISNUMBER(SEARCH("5 MM",Inventario!B252)),ISNUMBER(SEARCH("5MM",Inventario!B252))),"5MM",
IF(OR(ISNUMBER(SEARCH("6 MM",Inventario!B252)),ISNUMBER(SEARCH("6MM",Inventario!B252))),"6MM",
IF(OR(ISNUMBER(SEARCH("10 MM",Inventario!B252)),ISNUMBER(SEARCH("10MM",Inventario!B252))),"10MM","")))))))</f>
        <v/>
      </c>
      <c r="G253" t="str">
        <f>IF(ISNUMBER(SEARCH("ALTA RESISTENCIA",Inventario!B252)),"AR",IF(ISNUMBER(SEARCH("CAMPAÑA",Inventario!B252)),"CA",
IF(OR(ISNUMBER(SEARCH("CALIDO",Inventario!B252)),ISNUMBER(SEARCH("CÁLIDO",Inventario!B252))),"C",
IF(OR(ISNUMBER(SEARCH("TRASLUCIDO",Inventario!B252)),ISNUMBER(SEARCH("TRANSLUCIDO",Inventario!B252))),"TL",
IF(ISNUMBER(SEARCH("NEUTRO",Inventario!B252)),"N",
IF(ISNUMBER(SEARCH("FRIO",Inventario!B252)),"F",""))))))</f>
        <v/>
      </c>
      <c r="H253" t="str">
        <f>IF(ISNUMBER(SEARCH("SILED",Inventario!B252)),"SI",
IF(ISNUMBER(SEARCH("SYDEMEX",Inventario!B252)),"SY",
IF(ISNUMBER(SEARCH("ROHS",Inventario!B252)),"RO",
IF(ISNUMBER(SEARCH("RISHANG",Inventario!B252)),"RS",
IF(ISNUMBER(SEARCH("VYG",Inventario!B252)),"VYG",
IF(ISNUMBER(SEARCH("COLED",Inventario!B252)),"CO",""))))))</f>
        <v/>
      </c>
    </row>
    <row r="254" spans="1:8">
      <c r="A254" t="str">
        <f>IF(ISNUMBER(SEARCH("LONA",Inventario!B253)),"LON",
IF(ISNUMBER(SEARCH("VINIL",Inventario!B253)),"VIN",
IF(ISNUMBER(SEARCH("PANEL DE ALUMINIO COMPUESTO",Inventario!B253)),"PAN-ALU-COM",
IF(ISNUMBER(SEARCH("PVC",Inventario!B253)),"PVC",
IF(ISNUMBER(SEARCH("PAPEL",Inventario!B253)),"PAP",
IF(ISNUMBER(SEARCH("TELA",Inventario!B253)),"TEL",
IF(ISNUMBER(SEARCH("CARTULINA",Inventario!B253)),"CAR",
IF(OR(ISNUMBER(SEARCH("LAMINA",Inventario!B253)),ISNUMBER(SEARCH("LÁMINA",Inventario!B253))),"LAM",
IF(ISNUMBER(SEARCH("ESTIRENO",Inventario!B253)),"EST",
IF(ISNUMBER(SEARCH("FOAMBOARD",Inventario!B253)),"FOA",
IF(ISNUMBER(SEARCH("SOLVENTE",Inventario!B253)),"SOL",
IF(ISNUMBER(SEARCH("TINTA",Inventario!B253)),"TIN",
IF(ISNUMBER(SEARCH("ACRILICO",Inventario!B253)),"ACR",
IF(ISNUMBER(SEARCH("LED",Inventario!B253)),"LED",
IF(ISNUMBER(SEARCH("FUENTE",Inventario!B253)),"FUE",
IF(ISNUMBER(SEARCH("PETG",Inventario!B253)),"PET",
IF(ISNUMBER(SEARCH("ALUMINIO",Inventario!B253)),"ALU",
IF(ISNUMBER(SEARCH("CANAL",Inventario!B253)),"CAN",
IF(ISNUMBER(SEARCH("ESCUADRA",Inventario!B253)),"ESC",
IF(ISNUMBER(SEARCH("SOPORTE",Inventario!B253)),"SOP","OTR")
)))))))))))))))))))</f>
        <v>FUE</v>
      </c>
      <c r="B254" t="str">
        <f>IF(ISNUMBER(SEARCH("CORTE",Inventario!B253)),"COR",
IF(ISNUMBER(SEARCH("CRISTAL",Inventario!B253)),"CR",
IF(OR(ISNUMBER(SEARCH("OPTICO",Inventario!B253)),ISNUMBER(SEARCH("OPTICOS",Inventario!B253)),ISNUMBER(SEARCH("OPTICA",Inventario!B253))),"OP",
IF(ISNUMBER(SEARCH("NANO",Inventario!B253)),"NA",
IF(ISNUMBER(SEARCH("5050",Inventario!B253)),"5050",
IF(ISNUMBER(SEARCH("MICRO",Inventario!B253)),"MI",""))))))</f>
        <v/>
      </c>
      <c r="C254" t="str">
        <f>IF(ISNUMBER(SEARCH("PARED",Inventario!B253)),"PAR",IF(ISNUMBER(SEARCH("MATE",Inventario!B253)),"MAT",
IF(ISNUMBER(SEARCH("FRONT",Inventario!B253)),"FRO",
IF(ISNUMBER(SEARCH("BACK",Inventario!B253)),"BAC",
IF(ISNUMBER(SEARCH("MESH",Inventario!B253)),"MES",
IF(OR(ISNUMBER(SEARCH("BRILLANTE",Inventario!B253)),ISNUMBER(SEARCH("BTE",Inventario!B253))),"BRI",
IF(ISNUMBER(SEARCH("SINTETICA DELGADA",Inventario!B253)),"SD",
IF(ISNUMBER(SEARCH("SINTETICA GRUESA",Inventario!B253)),"SG",
IF(ISNUMBER(SEARCH("ESTATICO",Inventario!B253)),"EST",
IF(ISNUMBER(SEARCH("FLOOR",Inventario!B253)),"FLO",
IF(ISNUMBER(SEARCH("REFLECTIVO",Inventario!B253)),"REF",
IF(ISNUMBER(SEARCH("MICROPERFORADO",Inventario!B253)),"MI",
IF(ISNUMBER(SEARCH("CEPILLADO",Inventario!B253)),"CEP",
IF(ISNUMBER(SEARCH("ESPEJO",Inventario!B253)),"ESP",
IF(OR(ISNUMBER(SEARCH("UNIDIODO",Inventario!B253)),ISNUMBER(SEARCH("1 DIODO",Inventario!B253))),"1D",
IF(ISNUMBER(SEARCH("2 DIODOS",Inventario!B253)),"2D",
IF(ISNUMBER(SEARCH("3 DIODOS",Inventario!B253)),"3D","")))))))))))))))))</f>
        <v/>
      </c>
      <c r="D254" t="str">
        <f>IF(ISNUMBER(SEARCH("LX700",Inventario!B253)),"LX7",
IF(ISNUMBER(SEARCH("GRANDO",Inventario!B253)),"GRA",
IF(OR(ISNUMBER(SEARCH("CAMA PLANA",Inventario!B253)),ISNUMBER(SEARCH("FB700",Inventario!B253))),"CP",
IF(ISNUMBER(SEARCH("LX360",Inventario!B253)),"LX3",
IF(ISNUMBER(SEARCH("XEROX",Inventario!B253)),"XER",
IF(ISNUMBER(SEARCH("18 OZ",Inventario!B253)),"18OZ",
IF(ISNUMBER(SEARCH("15 OZ",Inventario!B253)),"15OZ",
IF(OR(ISNUMBER(SEARCH("13 OZ",Inventario!B253)),ISNUMBER(SEARCH("13 ONZAS",Inventario!B253))),"13OZ",
IF(OR(ISNUMBER(SEARCH("9 OZ",Inventario!B253)),ISNUMBER(SEARCH("9 ONZAS",Inventario!B253))),"09OZ","")))))))))</f>
        <v/>
      </c>
      <c r="E254" t="str">
        <f>IF(OR(ISNUMBER(SEARCH("TRANSPARENTE",Inventario!B253)),ISNUMBER(SEARCH("TRANSPARENTES",Inventario!B253))),"TR",
IF(OR(ISNUMBER(SEARCH("BLANCO",Inventario!B253)),ISNUMBER(SEARCH("BCO",Inventario!B253))),"BL",
IF(ISNUMBER(SEARCH("VERDE",Inventario!B253)),"VR",
IF(ISNUMBER(SEARCH("MORADO",Inventario!B253)),"MR",
IF(ISNUMBER(SEARCH("PLATA",Inventario!B253)),"PL",
IF(ISNUMBER(SEARCH("ORO",Inventario!B253)),"OR",
IF(ISNUMBER(SEARCH("AMARILLO",Inventario!B253)),"AM",
IF(ISNUMBER(SEARCH("NARANJA",Inventario!B253)),"NR",
IF(ISNUMBER(SEARCH("NEGRO",Inventario!B253)),"NG",
IF(ISNUMBER(SEARCH("ROJO",Inventario!B253)),"RJ",
IF(ISNUMBER(SEARCH("AZUL",Inventario!B253)),"AZ","")))))))))))</f>
        <v/>
      </c>
      <c r="F254" t="str">
        <f>IF(ISNUMBER(SEARCH("1,2 MM",Inventario!B253)),"1MM2",
IF(OR(ISNUMBER(SEARCH("2 MM",Inventario!B253)),ISNUMBER(SEARCH("2MM",Inventario!B253))),"2MM",
IF(OR(ISNUMBER(SEARCH("3 MM",Inventario!B253)),ISNUMBER(SEARCH("3MM",Inventario!B253))),"3MM",
IF(OR(ISNUMBER(SEARCH("4 MM",Inventario!B253)),ISNUMBER(SEARCH("4MM",Inventario!B253)),ISNUMBER(SEARCH("4 mm",Inventario!B253))),"4MM",
IF(OR(ISNUMBER(SEARCH("5 MM",Inventario!B253)),ISNUMBER(SEARCH("5MM",Inventario!B253))),"5MM",
IF(OR(ISNUMBER(SEARCH("6 MM",Inventario!B253)),ISNUMBER(SEARCH("6MM",Inventario!B253))),"6MM",
IF(OR(ISNUMBER(SEARCH("10 MM",Inventario!B253)),ISNUMBER(SEARCH("10MM",Inventario!B253))),"10MM","")))))))</f>
        <v/>
      </c>
      <c r="G254" t="str">
        <f>IF(ISNUMBER(SEARCH("ALTA RESISTENCIA",Inventario!B253)),"AR",IF(ISNUMBER(SEARCH("CAMPAÑA",Inventario!B253)),"CA",
IF(OR(ISNUMBER(SEARCH("CALIDO",Inventario!B253)),ISNUMBER(SEARCH("CÁLIDO",Inventario!B253))),"C",
IF(OR(ISNUMBER(SEARCH("TRASLUCIDO",Inventario!B253)),ISNUMBER(SEARCH("TRANSLUCIDO",Inventario!B253))),"TL",
IF(ISNUMBER(SEARCH("NEUTRO",Inventario!B253)),"N",
IF(ISNUMBER(SEARCH("FRIO",Inventario!B253)),"F",""))))))</f>
        <v/>
      </c>
      <c r="H254" t="str">
        <f>IF(ISNUMBER(SEARCH("SILED",Inventario!B253)),"SI",
IF(ISNUMBER(SEARCH("SYDEMEX",Inventario!B253)),"SY",
IF(ISNUMBER(SEARCH("ROHS",Inventario!B253)),"RO",
IF(ISNUMBER(SEARCH("RISHANG",Inventario!B253)),"RS",
IF(ISNUMBER(SEARCH("VYG",Inventario!B253)),"VYG",
IF(ISNUMBER(SEARCH("COLED",Inventario!B253)),"CO",""))))))</f>
        <v/>
      </c>
    </row>
    <row r="255" spans="1:8">
      <c r="A255" t="str">
        <f>IF(ISNUMBER(SEARCH("LONA",Inventario!B254)),"LON",
IF(ISNUMBER(SEARCH("VINIL",Inventario!B254)),"VIN",
IF(ISNUMBER(SEARCH("PANEL DE ALUMINIO COMPUESTO",Inventario!B254)),"PAN-ALU-COM",
IF(ISNUMBER(SEARCH("PVC",Inventario!B254)),"PVC",
IF(ISNUMBER(SEARCH("PAPEL",Inventario!B254)),"PAP",
IF(ISNUMBER(SEARCH("TELA",Inventario!B254)),"TEL",
IF(ISNUMBER(SEARCH("CARTULINA",Inventario!B254)),"CAR",
IF(OR(ISNUMBER(SEARCH("LAMINA",Inventario!B254)),ISNUMBER(SEARCH("LÁMINA",Inventario!B254))),"LAM",
IF(ISNUMBER(SEARCH("ESTIRENO",Inventario!B254)),"EST",
IF(ISNUMBER(SEARCH("FOAMBOARD",Inventario!B254)),"FOA",
IF(ISNUMBER(SEARCH("SOLVENTE",Inventario!B254)),"SOL",
IF(ISNUMBER(SEARCH("TINTA",Inventario!B254)),"TIN",
IF(ISNUMBER(SEARCH("ACRILICO",Inventario!B254)),"ACR",
IF(ISNUMBER(SEARCH("LED",Inventario!B254)),"LED",
IF(ISNUMBER(SEARCH("FUENTE",Inventario!B254)),"FUE",
IF(ISNUMBER(SEARCH("PETG",Inventario!B254)),"PET",
IF(ISNUMBER(SEARCH("ALUMINIO",Inventario!B254)),"ALU",
IF(ISNUMBER(SEARCH("CANAL",Inventario!B254)),"CAN",
IF(ISNUMBER(SEARCH("ESCUADRA",Inventario!B254)),"ESC",
IF(ISNUMBER(SEARCH("SOPORTE",Inventario!B254)),"SOP","OTR")
)))))))))))))))))))</f>
        <v>FUE</v>
      </c>
      <c r="B255" t="str">
        <f>IF(ISNUMBER(SEARCH("CORTE",Inventario!B254)),"COR",
IF(ISNUMBER(SEARCH("CRISTAL",Inventario!B254)),"CR",
IF(OR(ISNUMBER(SEARCH("OPTICO",Inventario!B254)),ISNUMBER(SEARCH("OPTICOS",Inventario!B254)),ISNUMBER(SEARCH("OPTICA",Inventario!B254))),"OP",
IF(ISNUMBER(SEARCH("NANO",Inventario!B254)),"NA",
IF(ISNUMBER(SEARCH("5050",Inventario!B254)),"5050",
IF(ISNUMBER(SEARCH("MICRO",Inventario!B254)),"MI",""))))))</f>
        <v/>
      </c>
      <c r="C255" t="str">
        <f>IF(ISNUMBER(SEARCH("PARED",Inventario!B254)),"PAR",IF(ISNUMBER(SEARCH("MATE",Inventario!B254)),"MAT",
IF(ISNUMBER(SEARCH("FRONT",Inventario!B254)),"FRO",
IF(ISNUMBER(SEARCH("BACK",Inventario!B254)),"BAC",
IF(ISNUMBER(SEARCH("MESH",Inventario!B254)),"MES",
IF(OR(ISNUMBER(SEARCH("BRILLANTE",Inventario!B254)),ISNUMBER(SEARCH("BTE",Inventario!B254))),"BRI",
IF(ISNUMBER(SEARCH("SINTETICA DELGADA",Inventario!B254)),"SD",
IF(ISNUMBER(SEARCH("SINTETICA GRUESA",Inventario!B254)),"SG",
IF(ISNUMBER(SEARCH("ESTATICO",Inventario!B254)),"EST",
IF(ISNUMBER(SEARCH("FLOOR",Inventario!B254)),"FLO",
IF(ISNUMBER(SEARCH("REFLECTIVO",Inventario!B254)),"REF",
IF(ISNUMBER(SEARCH("MICROPERFORADO",Inventario!B254)),"MI",
IF(ISNUMBER(SEARCH("CEPILLADO",Inventario!B254)),"CEP",
IF(ISNUMBER(SEARCH("ESPEJO",Inventario!B254)),"ESP",
IF(OR(ISNUMBER(SEARCH("UNIDIODO",Inventario!B254)),ISNUMBER(SEARCH("1 DIODO",Inventario!B254))),"1D",
IF(ISNUMBER(SEARCH("2 DIODOS",Inventario!B254)),"2D",
IF(ISNUMBER(SEARCH("3 DIODOS",Inventario!B254)),"3D","")))))))))))))))))</f>
        <v/>
      </c>
      <c r="D255" t="str">
        <f>IF(ISNUMBER(SEARCH("LX700",Inventario!B254)),"LX7",
IF(ISNUMBER(SEARCH("GRANDO",Inventario!B254)),"GRA",
IF(OR(ISNUMBER(SEARCH("CAMA PLANA",Inventario!B254)),ISNUMBER(SEARCH("FB700",Inventario!B254))),"CP",
IF(ISNUMBER(SEARCH("LX360",Inventario!B254)),"LX3",
IF(ISNUMBER(SEARCH("XEROX",Inventario!B254)),"XER",
IF(ISNUMBER(SEARCH("18 OZ",Inventario!B254)),"18OZ",
IF(ISNUMBER(SEARCH("15 OZ",Inventario!B254)),"15OZ",
IF(OR(ISNUMBER(SEARCH("13 OZ",Inventario!B254)),ISNUMBER(SEARCH("13 ONZAS",Inventario!B254))),"13OZ",
IF(OR(ISNUMBER(SEARCH("9 OZ",Inventario!B254)),ISNUMBER(SEARCH("9 ONZAS",Inventario!B254))),"09OZ","")))))))))</f>
        <v/>
      </c>
      <c r="E255" t="str">
        <f>IF(OR(ISNUMBER(SEARCH("TRANSPARENTE",Inventario!B254)),ISNUMBER(SEARCH("TRANSPARENTES",Inventario!B254))),"TR",
IF(OR(ISNUMBER(SEARCH("BLANCO",Inventario!B254)),ISNUMBER(SEARCH("BCO",Inventario!B254))),"BL",
IF(ISNUMBER(SEARCH("VERDE",Inventario!B254)),"VR",
IF(ISNUMBER(SEARCH("MORADO",Inventario!B254)),"MR",
IF(ISNUMBER(SEARCH("PLATA",Inventario!B254)),"PL",
IF(ISNUMBER(SEARCH("ORO",Inventario!B254)),"OR",
IF(ISNUMBER(SEARCH("AMARILLO",Inventario!B254)),"AM",
IF(ISNUMBER(SEARCH("NARANJA",Inventario!B254)),"NR",
IF(ISNUMBER(SEARCH("NEGRO",Inventario!B254)),"NG",
IF(ISNUMBER(SEARCH("ROJO",Inventario!B254)),"RJ",
IF(ISNUMBER(SEARCH("AZUL",Inventario!B254)),"AZ","")))))))))))</f>
        <v/>
      </c>
      <c r="F255" t="str">
        <f>IF(ISNUMBER(SEARCH("1,2 MM",Inventario!B254)),"1MM2",
IF(OR(ISNUMBER(SEARCH("2 MM",Inventario!B254)),ISNUMBER(SEARCH("2MM",Inventario!B254))),"2MM",
IF(OR(ISNUMBER(SEARCH("3 MM",Inventario!B254)),ISNUMBER(SEARCH("3MM",Inventario!B254))),"3MM",
IF(OR(ISNUMBER(SEARCH("4 MM",Inventario!B254)),ISNUMBER(SEARCH("4MM",Inventario!B254)),ISNUMBER(SEARCH("4 mm",Inventario!B254))),"4MM",
IF(OR(ISNUMBER(SEARCH("5 MM",Inventario!B254)),ISNUMBER(SEARCH("5MM",Inventario!B254))),"5MM",
IF(OR(ISNUMBER(SEARCH("6 MM",Inventario!B254)),ISNUMBER(SEARCH("6MM",Inventario!B254))),"6MM",
IF(OR(ISNUMBER(SEARCH("10 MM",Inventario!B254)),ISNUMBER(SEARCH("10MM",Inventario!B254))),"10MM","")))))))</f>
        <v/>
      </c>
      <c r="G255" t="str">
        <f>IF(ISNUMBER(SEARCH("ALTA RESISTENCIA",Inventario!B254)),"AR",IF(ISNUMBER(SEARCH("CAMPAÑA",Inventario!B254)),"CA",
IF(OR(ISNUMBER(SEARCH("CALIDO",Inventario!B254)),ISNUMBER(SEARCH("CÁLIDO",Inventario!B254))),"C",
IF(OR(ISNUMBER(SEARCH("TRASLUCIDO",Inventario!B254)),ISNUMBER(SEARCH("TRANSLUCIDO",Inventario!B254))),"TL",
IF(ISNUMBER(SEARCH("NEUTRO",Inventario!B254)),"N",
IF(ISNUMBER(SEARCH("FRIO",Inventario!B254)),"F",""))))))</f>
        <v/>
      </c>
      <c r="H255" t="str">
        <f>IF(ISNUMBER(SEARCH("SILED",Inventario!B254)),"SI",
IF(ISNUMBER(SEARCH("SYDEMEX",Inventario!B254)),"SY",
IF(ISNUMBER(SEARCH("ROHS",Inventario!B254)),"RO",
IF(ISNUMBER(SEARCH("RISHANG",Inventario!B254)),"RS",
IF(ISNUMBER(SEARCH("VYG",Inventario!B254)),"VYG",
IF(ISNUMBER(SEARCH("COLED",Inventario!B254)),"CO",""))))))</f>
        <v/>
      </c>
    </row>
    <row r="256" spans="1:8">
      <c r="A256" t="str">
        <f>IF(ISNUMBER(SEARCH("LONA",Inventario!B255)),"LON",
IF(ISNUMBER(SEARCH("VINIL",Inventario!B255)),"VIN",
IF(ISNUMBER(SEARCH("PANEL DE ALUMINIO COMPUESTO",Inventario!B255)),"PAN-ALU-COM",
IF(ISNUMBER(SEARCH("PVC",Inventario!B255)),"PVC",
IF(ISNUMBER(SEARCH("PAPEL",Inventario!B255)),"PAP",
IF(ISNUMBER(SEARCH("TELA",Inventario!B255)),"TEL",
IF(ISNUMBER(SEARCH("CARTULINA",Inventario!B255)),"CAR",
IF(OR(ISNUMBER(SEARCH("LAMINA",Inventario!B255)),ISNUMBER(SEARCH("LÁMINA",Inventario!B255))),"LAM",
IF(ISNUMBER(SEARCH("ESTIRENO",Inventario!B255)),"EST",
IF(ISNUMBER(SEARCH("FOAMBOARD",Inventario!B255)),"FOA",
IF(ISNUMBER(SEARCH("SOLVENTE",Inventario!B255)),"SOL",
IF(ISNUMBER(SEARCH("TINTA",Inventario!B255)),"TIN",
IF(ISNUMBER(SEARCH("ACRILICO",Inventario!B255)),"ACR",
IF(ISNUMBER(SEARCH("LED",Inventario!B255)),"LED",
IF(ISNUMBER(SEARCH("FUENTE",Inventario!B255)),"FUE",
IF(ISNUMBER(SEARCH("PETG",Inventario!B255)),"PET",
IF(ISNUMBER(SEARCH("ALUMINIO",Inventario!B255)),"ALU",
IF(ISNUMBER(SEARCH("CANAL",Inventario!B255)),"CAN",
IF(ISNUMBER(SEARCH("ESCUADRA",Inventario!B255)),"ESC",
IF(ISNUMBER(SEARCH("SOPORTE",Inventario!B255)),"SOP","OTR")
)))))))))))))))))))</f>
        <v>FUE</v>
      </c>
      <c r="B256" t="str">
        <f>IF(ISNUMBER(SEARCH("CORTE",Inventario!B255)),"COR",
IF(ISNUMBER(SEARCH("CRISTAL",Inventario!B255)),"CR",
IF(OR(ISNUMBER(SEARCH("OPTICO",Inventario!B255)),ISNUMBER(SEARCH("OPTICOS",Inventario!B255)),ISNUMBER(SEARCH("OPTICA",Inventario!B255))),"OP",
IF(ISNUMBER(SEARCH("NANO",Inventario!B255)),"NA",
IF(ISNUMBER(SEARCH("5050",Inventario!B255)),"5050",
IF(ISNUMBER(SEARCH("MICRO",Inventario!B255)),"MI",""))))))</f>
        <v/>
      </c>
      <c r="C256" t="str">
        <f>IF(ISNUMBER(SEARCH("PARED",Inventario!B255)),"PAR",IF(ISNUMBER(SEARCH("MATE",Inventario!B255)),"MAT",
IF(ISNUMBER(SEARCH("FRONT",Inventario!B255)),"FRO",
IF(ISNUMBER(SEARCH("BACK",Inventario!B255)),"BAC",
IF(ISNUMBER(SEARCH("MESH",Inventario!B255)),"MES",
IF(OR(ISNUMBER(SEARCH("BRILLANTE",Inventario!B255)),ISNUMBER(SEARCH("BTE",Inventario!B255))),"BRI",
IF(ISNUMBER(SEARCH("SINTETICA DELGADA",Inventario!B255)),"SD",
IF(ISNUMBER(SEARCH("SINTETICA GRUESA",Inventario!B255)),"SG",
IF(ISNUMBER(SEARCH("ESTATICO",Inventario!B255)),"EST",
IF(ISNUMBER(SEARCH("FLOOR",Inventario!B255)),"FLO",
IF(ISNUMBER(SEARCH("REFLECTIVO",Inventario!B255)),"REF",
IF(ISNUMBER(SEARCH("MICROPERFORADO",Inventario!B255)),"MI",
IF(ISNUMBER(SEARCH("CEPILLADO",Inventario!B255)),"CEP",
IF(ISNUMBER(SEARCH("ESPEJO",Inventario!B255)),"ESP",
IF(OR(ISNUMBER(SEARCH("UNIDIODO",Inventario!B255)),ISNUMBER(SEARCH("1 DIODO",Inventario!B255))),"1D",
IF(ISNUMBER(SEARCH("2 DIODOS",Inventario!B255)),"2D",
IF(ISNUMBER(SEARCH("3 DIODOS",Inventario!B255)),"3D","")))))))))))))))))</f>
        <v/>
      </c>
      <c r="D256" t="str">
        <f>IF(ISNUMBER(SEARCH("LX700",Inventario!B255)),"LX7",
IF(ISNUMBER(SEARCH("GRANDO",Inventario!B255)),"GRA",
IF(OR(ISNUMBER(SEARCH("CAMA PLANA",Inventario!B255)),ISNUMBER(SEARCH("FB700",Inventario!B255))),"CP",
IF(ISNUMBER(SEARCH("LX360",Inventario!B255)),"LX3",
IF(ISNUMBER(SEARCH("XEROX",Inventario!B255)),"XER",
IF(ISNUMBER(SEARCH("18 OZ",Inventario!B255)),"18OZ",
IF(ISNUMBER(SEARCH("15 OZ",Inventario!B255)),"15OZ",
IF(OR(ISNUMBER(SEARCH("13 OZ",Inventario!B255)),ISNUMBER(SEARCH("13 ONZAS",Inventario!B255))),"13OZ",
IF(OR(ISNUMBER(SEARCH("9 OZ",Inventario!B255)),ISNUMBER(SEARCH("9 ONZAS",Inventario!B255))),"09OZ","")))))))))</f>
        <v/>
      </c>
      <c r="E256" t="str">
        <f>IF(OR(ISNUMBER(SEARCH("TRANSPARENTE",Inventario!B255)),ISNUMBER(SEARCH("TRANSPARENTES",Inventario!B255))),"TR",
IF(OR(ISNUMBER(SEARCH("BLANCO",Inventario!B255)),ISNUMBER(SEARCH("BCO",Inventario!B255))),"BL",
IF(ISNUMBER(SEARCH("VERDE",Inventario!B255)),"VR",
IF(ISNUMBER(SEARCH("MORADO",Inventario!B255)),"MR",
IF(ISNUMBER(SEARCH("PLATA",Inventario!B255)),"PL",
IF(ISNUMBER(SEARCH("ORO",Inventario!B255)),"OR",
IF(ISNUMBER(SEARCH("AMARILLO",Inventario!B255)),"AM",
IF(ISNUMBER(SEARCH("NARANJA",Inventario!B255)),"NR",
IF(ISNUMBER(SEARCH("NEGRO",Inventario!B255)),"NG",
IF(ISNUMBER(SEARCH("ROJO",Inventario!B255)),"RJ",
IF(ISNUMBER(SEARCH("AZUL",Inventario!B255)),"AZ","")))))))))))</f>
        <v/>
      </c>
      <c r="F256" t="str">
        <f>IF(ISNUMBER(SEARCH("1,2 MM",Inventario!B255)),"1MM2",
IF(OR(ISNUMBER(SEARCH("2 MM",Inventario!B255)),ISNUMBER(SEARCH("2MM",Inventario!B255))),"2MM",
IF(OR(ISNUMBER(SEARCH("3 MM",Inventario!B255)),ISNUMBER(SEARCH("3MM",Inventario!B255))),"3MM",
IF(OR(ISNUMBER(SEARCH("4 MM",Inventario!B255)),ISNUMBER(SEARCH("4MM",Inventario!B255)),ISNUMBER(SEARCH("4 mm",Inventario!B255))),"4MM",
IF(OR(ISNUMBER(SEARCH("5 MM",Inventario!B255)),ISNUMBER(SEARCH("5MM",Inventario!B255))),"5MM",
IF(OR(ISNUMBER(SEARCH("6 MM",Inventario!B255)),ISNUMBER(SEARCH("6MM",Inventario!B255))),"6MM",
IF(OR(ISNUMBER(SEARCH("10 MM",Inventario!B255)),ISNUMBER(SEARCH("10MM",Inventario!B255))),"10MM","")))))))</f>
        <v/>
      </c>
      <c r="G256" t="str">
        <f>IF(ISNUMBER(SEARCH("ALTA RESISTENCIA",Inventario!B255)),"AR",IF(ISNUMBER(SEARCH("CAMPAÑA",Inventario!B255)),"CA",
IF(OR(ISNUMBER(SEARCH("CALIDO",Inventario!B255)),ISNUMBER(SEARCH("CÁLIDO",Inventario!B255))),"C",
IF(OR(ISNUMBER(SEARCH("TRASLUCIDO",Inventario!B255)),ISNUMBER(SEARCH("TRANSLUCIDO",Inventario!B255))),"TL",
IF(ISNUMBER(SEARCH("NEUTRO",Inventario!B255)),"N",
IF(ISNUMBER(SEARCH("FRIO",Inventario!B255)),"F",""))))))</f>
        <v/>
      </c>
      <c r="H256" t="str">
        <f>IF(ISNUMBER(SEARCH("SILED",Inventario!B255)),"SI",
IF(ISNUMBER(SEARCH("SYDEMEX",Inventario!B255)),"SY",
IF(ISNUMBER(SEARCH("ROHS",Inventario!B255)),"RO",
IF(ISNUMBER(SEARCH("RISHANG",Inventario!B255)),"RS",
IF(ISNUMBER(SEARCH("VYG",Inventario!B255)),"VYG",
IF(ISNUMBER(SEARCH("COLED",Inventario!B255)),"CO",""))))))</f>
        <v/>
      </c>
    </row>
    <row r="257" spans="1:8">
      <c r="A257" t="str">
        <f>IF(ISNUMBER(SEARCH("LONA",Inventario!B256)),"LON",
IF(ISNUMBER(SEARCH("VINIL",Inventario!B256)),"VIN",
IF(ISNUMBER(SEARCH("PANEL DE ALUMINIO COMPUESTO",Inventario!B256)),"PAN-ALU-COM",
IF(ISNUMBER(SEARCH("PVC",Inventario!B256)),"PVC",
IF(ISNUMBER(SEARCH("PAPEL",Inventario!B256)),"PAP",
IF(ISNUMBER(SEARCH("TELA",Inventario!B256)),"TEL",
IF(ISNUMBER(SEARCH("CARTULINA",Inventario!B256)),"CAR",
IF(OR(ISNUMBER(SEARCH("LAMINA",Inventario!B256)),ISNUMBER(SEARCH("LÁMINA",Inventario!B256))),"LAM",
IF(ISNUMBER(SEARCH("ESTIRENO",Inventario!B256)),"EST",
IF(ISNUMBER(SEARCH("FOAMBOARD",Inventario!B256)),"FOA",
IF(ISNUMBER(SEARCH("SOLVENTE",Inventario!B256)),"SOL",
IF(ISNUMBER(SEARCH("TINTA",Inventario!B256)),"TIN",
IF(ISNUMBER(SEARCH("ACRILICO",Inventario!B256)),"ACR",
IF(ISNUMBER(SEARCH("LED",Inventario!B256)),"LED",
IF(ISNUMBER(SEARCH("FUENTE",Inventario!B256)),"FUE",
IF(ISNUMBER(SEARCH("PETG",Inventario!B256)),"PET",
IF(ISNUMBER(SEARCH("ALUMINIO",Inventario!B256)),"ALU",
IF(ISNUMBER(SEARCH("CANAL",Inventario!B256)),"CAN",
IF(ISNUMBER(SEARCH("ESCUADRA",Inventario!B256)),"ESC",
IF(ISNUMBER(SEARCH("SOPORTE",Inventario!B256)),"SOP","OTR")
)))))))))))))))))))</f>
        <v>FUE</v>
      </c>
      <c r="B257" t="str">
        <f>IF(ISNUMBER(SEARCH("CORTE",Inventario!B256)),"COR",
IF(ISNUMBER(SEARCH("CRISTAL",Inventario!B256)),"CR",
IF(OR(ISNUMBER(SEARCH("OPTICO",Inventario!B256)),ISNUMBER(SEARCH("OPTICOS",Inventario!B256)),ISNUMBER(SEARCH("OPTICA",Inventario!B256))),"OP",
IF(ISNUMBER(SEARCH("NANO",Inventario!B256)),"NA",
IF(ISNUMBER(SEARCH("5050",Inventario!B256)),"5050",
IF(ISNUMBER(SEARCH("MICRO",Inventario!B256)),"MI",""))))))</f>
        <v/>
      </c>
      <c r="C257" t="str">
        <f>IF(ISNUMBER(SEARCH("PARED",Inventario!B256)),"PAR",IF(ISNUMBER(SEARCH("MATE",Inventario!B256)),"MAT",
IF(ISNUMBER(SEARCH("FRONT",Inventario!B256)),"FRO",
IF(ISNUMBER(SEARCH("BACK",Inventario!B256)),"BAC",
IF(ISNUMBER(SEARCH("MESH",Inventario!B256)),"MES",
IF(OR(ISNUMBER(SEARCH("BRILLANTE",Inventario!B256)),ISNUMBER(SEARCH("BTE",Inventario!B256))),"BRI",
IF(ISNUMBER(SEARCH("SINTETICA DELGADA",Inventario!B256)),"SD",
IF(ISNUMBER(SEARCH("SINTETICA GRUESA",Inventario!B256)),"SG",
IF(ISNUMBER(SEARCH("ESTATICO",Inventario!B256)),"EST",
IF(ISNUMBER(SEARCH("FLOOR",Inventario!B256)),"FLO",
IF(ISNUMBER(SEARCH("REFLECTIVO",Inventario!B256)),"REF",
IF(ISNUMBER(SEARCH("MICROPERFORADO",Inventario!B256)),"MI",
IF(ISNUMBER(SEARCH("CEPILLADO",Inventario!B256)),"CEP",
IF(ISNUMBER(SEARCH("ESPEJO",Inventario!B256)),"ESP",
IF(OR(ISNUMBER(SEARCH("UNIDIODO",Inventario!B256)),ISNUMBER(SEARCH("1 DIODO",Inventario!B256))),"1D",
IF(ISNUMBER(SEARCH("2 DIODOS",Inventario!B256)),"2D",
IF(ISNUMBER(SEARCH("3 DIODOS",Inventario!B256)),"3D","")))))))))))))))))</f>
        <v/>
      </c>
      <c r="D257" t="str">
        <f>IF(ISNUMBER(SEARCH("LX700",Inventario!B256)),"LX7",
IF(ISNUMBER(SEARCH("GRANDO",Inventario!B256)),"GRA",
IF(OR(ISNUMBER(SEARCH("CAMA PLANA",Inventario!B256)),ISNUMBER(SEARCH("FB700",Inventario!B256))),"CP",
IF(ISNUMBER(SEARCH("LX360",Inventario!B256)),"LX3",
IF(ISNUMBER(SEARCH("XEROX",Inventario!B256)),"XER",
IF(ISNUMBER(SEARCH("18 OZ",Inventario!B256)),"18OZ",
IF(ISNUMBER(SEARCH("15 OZ",Inventario!B256)),"15OZ",
IF(OR(ISNUMBER(SEARCH("13 OZ",Inventario!B256)),ISNUMBER(SEARCH("13 ONZAS",Inventario!B256))),"13OZ",
IF(OR(ISNUMBER(SEARCH("9 OZ",Inventario!B256)),ISNUMBER(SEARCH("9 ONZAS",Inventario!B256))),"09OZ","")))))))))</f>
        <v/>
      </c>
      <c r="E257" t="str">
        <f>IF(OR(ISNUMBER(SEARCH("TRANSPARENTE",Inventario!B256)),ISNUMBER(SEARCH("TRANSPARENTES",Inventario!B256))),"TR",
IF(OR(ISNUMBER(SEARCH("BLANCO",Inventario!B256)),ISNUMBER(SEARCH("BCO",Inventario!B256))),"BL",
IF(ISNUMBER(SEARCH("VERDE",Inventario!B256)),"VR",
IF(ISNUMBER(SEARCH("MORADO",Inventario!B256)),"MR",
IF(ISNUMBER(SEARCH("PLATA",Inventario!B256)),"PL",
IF(ISNUMBER(SEARCH("ORO",Inventario!B256)),"OR",
IF(ISNUMBER(SEARCH("AMARILLO",Inventario!B256)),"AM",
IF(ISNUMBER(SEARCH("NARANJA",Inventario!B256)),"NR",
IF(ISNUMBER(SEARCH("NEGRO",Inventario!B256)),"NG",
IF(ISNUMBER(SEARCH("ROJO",Inventario!B256)),"RJ",
IF(ISNUMBER(SEARCH("AZUL",Inventario!B256)),"AZ","")))))))))))</f>
        <v/>
      </c>
      <c r="F257" t="str">
        <f>IF(ISNUMBER(SEARCH("1,2 MM",Inventario!B256)),"1MM2",
IF(OR(ISNUMBER(SEARCH("2 MM",Inventario!B256)),ISNUMBER(SEARCH("2MM",Inventario!B256))),"2MM",
IF(OR(ISNUMBER(SEARCH("3 MM",Inventario!B256)),ISNUMBER(SEARCH("3MM",Inventario!B256))),"3MM",
IF(OR(ISNUMBER(SEARCH("4 MM",Inventario!B256)),ISNUMBER(SEARCH("4MM",Inventario!B256)),ISNUMBER(SEARCH("4 mm",Inventario!B256))),"4MM",
IF(OR(ISNUMBER(SEARCH("5 MM",Inventario!B256)),ISNUMBER(SEARCH("5MM",Inventario!B256))),"5MM",
IF(OR(ISNUMBER(SEARCH("6 MM",Inventario!B256)),ISNUMBER(SEARCH("6MM",Inventario!B256))),"6MM",
IF(OR(ISNUMBER(SEARCH("10 MM",Inventario!B256)),ISNUMBER(SEARCH("10MM",Inventario!B256))),"10MM","")))))))</f>
        <v/>
      </c>
      <c r="G257" t="str">
        <f>IF(ISNUMBER(SEARCH("ALTA RESISTENCIA",Inventario!B256)),"AR",IF(ISNUMBER(SEARCH("CAMPAÑA",Inventario!B256)),"CA",
IF(OR(ISNUMBER(SEARCH("CALIDO",Inventario!B256)),ISNUMBER(SEARCH("CÁLIDO",Inventario!B256))),"C",
IF(OR(ISNUMBER(SEARCH("TRASLUCIDO",Inventario!B256)),ISNUMBER(SEARCH("TRANSLUCIDO",Inventario!B256))),"TL",
IF(ISNUMBER(SEARCH("NEUTRO",Inventario!B256)),"N",
IF(ISNUMBER(SEARCH("FRIO",Inventario!B256)),"F",""))))))</f>
        <v/>
      </c>
      <c r="H257" t="str">
        <f>IF(ISNUMBER(SEARCH("SILED",Inventario!B256)),"SI",
IF(ISNUMBER(SEARCH("SYDEMEX",Inventario!B256)),"SY",
IF(ISNUMBER(SEARCH("ROHS",Inventario!B256)),"RO",
IF(ISNUMBER(SEARCH("RISHANG",Inventario!B256)),"RS",
IF(ISNUMBER(SEARCH("VYG",Inventario!B256)),"VYG",
IF(ISNUMBER(SEARCH("COLED",Inventario!B256)),"CO",""))))))</f>
        <v/>
      </c>
    </row>
    <row r="258" spans="1:8">
      <c r="A258" t="str">
        <f>IF(ISNUMBER(SEARCH("LONA",Inventario!B257)),"LON",
IF(ISNUMBER(SEARCH("VINIL",Inventario!B257)),"VIN",
IF(ISNUMBER(SEARCH("PANEL DE ALUMINIO COMPUESTO",Inventario!B257)),"PAN-ALU-COM",
IF(ISNUMBER(SEARCH("PVC",Inventario!B257)),"PVC",
IF(ISNUMBER(SEARCH("PAPEL",Inventario!B257)),"PAP",
IF(ISNUMBER(SEARCH("TELA",Inventario!B257)),"TEL",
IF(ISNUMBER(SEARCH("CARTULINA",Inventario!B257)),"CAR",
IF(OR(ISNUMBER(SEARCH("LAMINA",Inventario!B257)),ISNUMBER(SEARCH("LÁMINA",Inventario!B257))),"LAM",
IF(ISNUMBER(SEARCH("ESTIRENO",Inventario!B257)),"EST",
IF(ISNUMBER(SEARCH("FOAMBOARD",Inventario!B257)),"FOA",
IF(ISNUMBER(SEARCH("SOLVENTE",Inventario!B257)),"SOL",
IF(ISNUMBER(SEARCH("TINTA",Inventario!B257)),"TIN",
IF(ISNUMBER(SEARCH("ACRILICO",Inventario!B257)),"ACR",
IF(ISNUMBER(SEARCH("LED",Inventario!B257)),"LED",
IF(ISNUMBER(SEARCH("FUENTE",Inventario!B257)),"FUE",
IF(ISNUMBER(SEARCH("PETG",Inventario!B257)),"PET",
IF(ISNUMBER(SEARCH("ALUMINIO",Inventario!B257)),"ALU",
IF(ISNUMBER(SEARCH("CANAL",Inventario!B257)),"CAN",
IF(ISNUMBER(SEARCH("ESCUADRA",Inventario!B257)),"ESC",
IF(ISNUMBER(SEARCH("SOPORTE",Inventario!B257)),"SOP","OTR")
)))))))))))))))))))</f>
        <v>OTR</v>
      </c>
      <c r="B258" t="str">
        <f>IF(ISNUMBER(SEARCH("CORTE",Inventario!B257)),"COR",
IF(ISNUMBER(SEARCH("CRISTAL",Inventario!B257)),"CR",
IF(OR(ISNUMBER(SEARCH("OPTICO",Inventario!B257)),ISNUMBER(SEARCH("OPTICOS",Inventario!B257)),ISNUMBER(SEARCH("OPTICA",Inventario!B257))),"OP",
IF(ISNUMBER(SEARCH("NANO",Inventario!B257)),"NA",
IF(ISNUMBER(SEARCH("5050",Inventario!B257)),"5050",
IF(ISNUMBER(SEARCH("MICRO",Inventario!B257)),"MI",""))))))</f>
        <v/>
      </c>
      <c r="C258" t="str">
        <f>IF(ISNUMBER(SEARCH("PARED",Inventario!B257)),"PAR",IF(ISNUMBER(SEARCH("MATE",Inventario!B257)),"MAT",
IF(ISNUMBER(SEARCH("FRONT",Inventario!B257)),"FRO",
IF(ISNUMBER(SEARCH("BACK",Inventario!B257)),"BAC",
IF(ISNUMBER(SEARCH("MESH",Inventario!B257)),"MES",
IF(OR(ISNUMBER(SEARCH("BRILLANTE",Inventario!B257)),ISNUMBER(SEARCH("BTE",Inventario!B257))),"BRI",
IF(ISNUMBER(SEARCH("SINTETICA DELGADA",Inventario!B257)),"SD",
IF(ISNUMBER(SEARCH("SINTETICA GRUESA",Inventario!B257)),"SG",
IF(ISNUMBER(SEARCH("ESTATICO",Inventario!B257)),"EST",
IF(ISNUMBER(SEARCH("FLOOR",Inventario!B257)),"FLO",
IF(ISNUMBER(SEARCH("REFLECTIVO",Inventario!B257)),"REF",
IF(ISNUMBER(SEARCH("MICROPERFORADO",Inventario!B257)),"MI",
IF(ISNUMBER(SEARCH("CEPILLADO",Inventario!B257)),"CEP",
IF(ISNUMBER(SEARCH("ESPEJO",Inventario!B257)),"ESP",
IF(OR(ISNUMBER(SEARCH("UNIDIODO",Inventario!B257)),ISNUMBER(SEARCH("1 DIODO",Inventario!B257))),"1D",
IF(ISNUMBER(SEARCH("2 DIODOS",Inventario!B257)),"2D",
IF(ISNUMBER(SEARCH("3 DIODOS",Inventario!B257)),"3D","")))))))))))))))))</f>
        <v/>
      </c>
      <c r="D258" t="str">
        <f>IF(ISNUMBER(SEARCH("LX700",Inventario!B257)),"LX7",
IF(ISNUMBER(SEARCH("GRANDO",Inventario!B257)),"GRA",
IF(OR(ISNUMBER(SEARCH("CAMA PLANA",Inventario!B257)),ISNUMBER(SEARCH("FB700",Inventario!B257))),"CP",
IF(ISNUMBER(SEARCH("LX360",Inventario!B257)),"LX3",
IF(ISNUMBER(SEARCH("XEROX",Inventario!B257)),"XER",
IF(ISNUMBER(SEARCH("18 OZ",Inventario!B257)),"18OZ",
IF(ISNUMBER(SEARCH("15 OZ",Inventario!B257)),"15OZ",
IF(OR(ISNUMBER(SEARCH("13 OZ",Inventario!B257)),ISNUMBER(SEARCH("13 ONZAS",Inventario!B257))),"13OZ",
IF(OR(ISNUMBER(SEARCH("9 OZ",Inventario!B257)),ISNUMBER(SEARCH("9 ONZAS",Inventario!B257))),"09OZ","")))))))))</f>
        <v/>
      </c>
      <c r="E258" t="str">
        <f>IF(OR(ISNUMBER(SEARCH("TRANSPARENTE",Inventario!B257)),ISNUMBER(SEARCH("TRANSPARENTES",Inventario!B257))),"TR",
IF(OR(ISNUMBER(SEARCH("BLANCO",Inventario!B257)),ISNUMBER(SEARCH("BCO",Inventario!B257))),"BL",
IF(ISNUMBER(SEARCH("VERDE",Inventario!B257)),"VR",
IF(ISNUMBER(SEARCH("MORADO",Inventario!B257)),"MR",
IF(ISNUMBER(SEARCH("PLATA",Inventario!B257)),"PL",
IF(ISNUMBER(SEARCH("ORO",Inventario!B257)),"OR",
IF(ISNUMBER(SEARCH("AMARILLO",Inventario!B257)),"AM",
IF(ISNUMBER(SEARCH("NARANJA",Inventario!B257)),"NR",
IF(ISNUMBER(SEARCH("NEGRO",Inventario!B257)),"NG",
IF(ISNUMBER(SEARCH("ROJO",Inventario!B257)),"RJ",
IF(ISNUMBER(SEARCH("AZUL",Inventario!B257)),"AZ","")))))))))))</f>
        <v/>
      </c>
      <c r="F258" t="str">
        <f>IF(ISNUMBER(SEARCH("1,2 MM",Inventario!B257)),"1MM2",
IF(OR(ISNUMBER(SEARCH("2 MM",Inventario!B257)),ISNUMBER(SEARCH("2MM",Inventario!B257))),"2MM",
IF(OR(ISNUMBER(SEARCH("3 MM",Inventario!B257)),ISNUMBER(SEARCH("3MM",Inventario!B257))),"3MM",
IF(OR(ISNUMBER(SEARCH("4 MM",Inventario!B257)),ISNUMBER(SEARCH("4MM",Inventario!B257)),ISNUMBER(SEARCH("4 mm",Inventario!B257))),"4MM",
IF(OR(ISNUMBER(SEARCH("5 MM",Inventario!B257)),ISNUMBER(SEARCH("5MM",Inventario!B257))),"5MM",
IF(OR(ISNUMBER(SEARCH("6 MM",Inventario!B257)),ISNUMBER(SEARCH("6MM",Inventario!B257))),"6MM",
IF(OR(ISNUMBER(SEARCH("10 MM",Inventario!B257)),ISNUMBER(SEARCH("10MM",Inventario!B257))),"10MM","")))))))</f>
        <v/>
      </c>
      <c r="G258" t="str">
        <f>IF(ISNUMBER(SEARCH("ALTA RESISTENCIA",Inventario!B257)),"AR",IF(ISNUMBER(SEARCH("CAMPAÑA",Inventario!B257)),"CA",
IF(OR(ISNUMBER(SEARCH("CALIDO",Inventario!B257)),ISNUMBER(SEARCH("CÁLIDO",Inventario!B257))),"C",
IF(OR(ISNUMBER(SEARCH("TRASLUCIDO",Inventario!B257)),ISNUMBER(SEARCH("TRANSLUCIDO",Inventario!B257))),"TL",
IF(ISNUMBER(SEARCH("NEUTRO",Inventario!B257)),"N",
IF(ISNUMBER(SEARCH("FRIO",Inventario!B257)),"F",""))))))</f>
        <v/>
      </c>
      <c r="H258" t="str">
        <f>IF(ISNUMBER(SEARCH("SILED",Inventario!B257)),"SI",
IF(ISNUMBER(SEARCH("SYDEMEX",Inventario!B257)),"SY",
IF(ISNUMBER(SEARCH("ROHS",Inventario!B257)),"RO",
IF(ISNUMBER(SEARCH("RISHANG",Inventario!B257)),"RS",
IF(ISNUMBER(SEARCH("VYG",Inventario!B257)),"VYG",
IF(ISNUMBER(SEARCH("COLED",Inventario!B257)),"CO",""))))))</f>
        <v/>
      </c>
    </row>
    <row r="259" spans="1:8">
      <c r="A259" t="str">
        <f>IF(ISNUMBER(SEARCH("LONA",Inventario!B258)),"LON",
IF(ISNUMBER(SEARCH("VINIL",Inventario!B258)),"VIN",
IF(ISNUMBER(SEARCH("PANEL DE ALUMINIO COMPUESTO",Inventario!B258)),"PAN-ALU-COM",
IF(ISNUMBER(SEARCH("PVC",Inventario!B258)),"PVC",
IF(ISNUMBER(SEARCH("PAPEL",Inventario!B258)),"PAP",
IF(ISNUMBER(SEARCH("TELA",Inventario!B258)),"TEL",
IF(ISNUMBER(SEARCH("CARTULINA",Inventario!B258)),"CAR",
IF(OR(ISNUMBER(SEARCH("LAMINA",Inventario!B258)),ISNUMBER(SEARCH("LÁMINA",Inventario!B258))),"LAM",
IF(ISNUMBER(SEARCH("ESTIRENO",Inventario!B258)),"EST",
IF(ISNUMBER(SEARCH("FOAMBOARD",Inventario!B258)),"FOA",
IF(ISNUMBER(SEARCH("SOLVENTE",Inventario!B258)),"SOL",
IF(ISNUMBER(SEARCH("TINTA",Inventario!B258)),"TIN",
IF(ISNUMBER(SEARCH("ACRILICO",Inventario!B258)),"ACR",
IF(ISNUMBER(SEARCH("LED",Inventario!B258)),"LED",
IF(ISNUMBER(SEARCH("FUENTE",Inventario!B258)),"FUE",
IF(ISNUMBER(SEARCH("PETG",Inventario!B258)),"PET",
IF(ISNUMBER(SEARCH("ALUMINIO",Inventario!B258)),"ALU",
IF(ISNUMBER(SEARCH("CANAL",Inventario!B258)),"CAN",
IF(ISNUMBER(SEARCH("ESCUADRA",Inventario!B258)),"ESC",
IF(ISNUMBER(SEARCH("SOPORTE",Inventario!B258)),"SOP","OTR")
)))))))))))))))))))</f>
        <v>OTR</v>
      </c>
      <c r="B259" t="str">
        <f>IF(ISNUMBER(SEARCH("CORTE",Inventario!B258)),"COR",
IF(ISNUMBER(SEARCH("CRISTAL",Inventario!B258)),"CR",
IF(OR(ISNUMBER(SEARCH("OPTICO",Inventario!B258)),ISNUMBER(SEARCH("OPTICOS",Inventario!B258)),ISNUMBER(SEARCH("OPTICA",Inventario!B258))),"OP",
IF(ISNUMBER(SEARCH("NANO",Inventario!B258)),"NA",
IF(ISNUMBER(SEARCH("5050",Inventario!B258)),"5050",
IF(ISNUMBER(SEARCH("MICRO",Inventario!B258)),"MI",""))))))</f>
        <v/>
      </c>
      <c r="C259" t="str">
        <f>IF(ISNUMBER(SEARCH("PARED",Inventario!B258)),"PAR",IF(ISNUMBER(SEARCH("MATE",Inventario!B258)),"MAT",
IF(ISNUMBER(SEARCH("FRONT",Inventario!B258)),"FRO",
IF(ISNUMBER(SEARCH("BACK",Inventario!B258)),"BAC",
IF(ISNUMBER(SEARCH("MESH",Inventario!B258)),"MES",
IF(OR(ISNUMBER(SEARCH("BRILLANTE",Inventario!B258)),ISNUMBER(SEARCH("BTE",Inventario!B258))),"BRI",
IF(ISNUMBER(SEARCH("SINTETICA DELGADA",Inventario!B258)),"SD",
IF(ISNUMBER(SEARCH("SINTETICA GRUESA",Inventario!B258)),"SG",
IF(ISNUMBER(SEARCH("ESTATICO",Inventario!B258)),"EST",
IF(ISNUMBER(SEARCH("FLOOR",Inventario!B258)),"FLO",
IF(ISNUMBER(SEARCH("REFLECTIVO",Inventario!B258)),"REF",
IF(ISNUMBER(SEARCH("MICROPERFORADO",Inventario!B258)),"MI",
IF(ISNUMBER(SEARCH("CEPILLADO",Inventario!B258)),"CEP",
IF(ISNUMBER(SEARCH("ESPEJO",Inventario!B258)),"ESP",
IF(OR(ISNUMBER(SEARCH("UNIDIODO",Inventario!B258)),ISNUMBER(SEARCH("1 DIODO",Inventario!B258))),"1D",
IF(ISNUMBER(SEARCH("2 DIODOS",Inventario!B258)),"2D",
IF(ISNUMBER(SEARCH("3 DIODOS",Inventario!B258)),"3D","")))))))))))))))))</f>
        <v/>
      </c>
      <c r="D259" t="str">
        <f>IF(ISNUMBER(SEARCH("LX700",Inventario!B258)),"LX7",
IF(ISNUMBER(SEARCH("GRANDO",Inventario!B258)),"GRA",
IF(OR(ISNUMBER(SEARCH("CAMA PLANA",Inventario!B258)),ISNUMBER(SEARCH("FB700",Inventario!B258))),"CP",
IF(ISNUMBER(SEARCH("LX360",Inventario!B258)),"LX3",
IF(ISNUMBER(SEARCH("XEROX",Inventario!B258)),"XER",
IF(ISNUMBER(SEARCH("18 OZ",Inventario!B258)),"18OZ",
IF(ISNUMBER(SEARCH("15 OZ",Inventario!B258)),"15OZ",
IF(OR(ISNUMBER(SEARCH("13 OZ",Inventario!B258)),ISNUMBER(SEARCH("13 ONZAS",Inventario!B258))),"13OZ",
IF(OR(ISNUMBER(SEARCH("9 OZ",Inventario!B258)),ISNUMBER(SEARCH("9 ONZAS",Inventario!B258))),"09OZ","")))))))))</f>
        <v/>
      </c>
      <c r="E259" t="str">
        <f>IF(OR(ISNUMBER(SEARCH("TRANSPARENTE",Inventario!B258)),ISNUMBER(SEARCH("TRANSPARENTES",Inventario!B258))),"TR",
IF(OR(ISNUMBER(SEARCH("BLANCO",Inventario!B258)),ISNUMBER(SEARCH("BCO",Inventario!B258))),"BL",
IF(ISNUMBER(SEARCH("VERDE",Inventario!B258)),"VR",
IF(ISNUMBER(SEARCH("MORADO",Inventario!B258)),"MR",
IF(ISNUMBER(SEARCH("PLATA",Inventario!B258)),"PL",
IF(ISNUMBER(SEARCH("ORO",Inventario!B258)),"OR",
IF(ISNUMBER(SEARCH("AMARILLO",Inventario!B258)),"AM",
IF(ISNUMBER(SEARCH("NARANJA",Inventario!B258)),"NR",
IF(ISNUMBER(SEARCH("NEGRO",Inventario!B258)),"NG",
IF(ISNUMBER(SEARCH("ROJO",Inventario!B258)),"RJ",
IF(ISNUMBER(SEARCH("AZUL",Inventario!B258)),"AZ","")))))))))))</f>
        <v/>
      </c>
      <c r="F259" t="str">
        <f>IF(ISNUMBER(SEARCH("1,2 MM",Inventario!B258)),"1MM2",
IF(OR(ISNUMBER(SEARCH("2 MM",Inventario!B258)),ISNUMBER(SEARCH("2MM",Inventario!B258))),"2MM",
IF(OR(ISNUMBER(SEARCH("3 MM",Inventario!B258)),ISNUMBER(SEARCH("3MM",Inventario!B258))),"3MM",
IF(OR(ISNUMBER(SEARCH("4 MM",Inventario!B258)),ISNUMBER(SEARCH("4MM",Inventario!B258)),ISNUMBER(SEARCH("4 mm",Inventario!B258))),"4MM",
IF(OR(ISNUMBER(SEARCH("5 MM",Inventario!B258)),ISNUMBER(SEARCH("5MM",Inventario!B258))),"5MM",
IF(OR(ISNUMBER(SEARCH("6 MM",Inventario!B258)),ISNUMBER(SEARCH("6MM",Inventario!B258))),"6MM",
IF(OR(ISNUMBER(SEARCH("10 MM",Inventario!B258)),ISNUMBER(SEARCH("10MM",Inventario!B258))),"10MM","")))))))</f>
        <v/>
      </c>
      <c r="G259" t="str">
        <f>IF(ISNUMBER(SEARCH("ALTA RESISTENCIA",Inventario!B258)),"AR",IF(ISNUMBER(SEARCH("CAMPAÑA",Inventario!B258)),"CA",
IF(OR(ISNUMBER(SEARCH("CALIDO",Inventario!B258)),ISNUMBER(SEARCH("CÁLIDO",Inventario!B258))),"C",
IF(OR(ISNUMBER(SEARCH("TRASLUCIDO",Inventario!B258)),ISNUMBER(SEARCH("TRANSLUCIDO",Inventario!B258))),"TL",
IF(ISNUMBER(SEARCH("NEUTRO",Inventario!B258)),"N",
IF(ISNUMBER(SEARCH("FRIO",Inventario!B258)),"F",""))))))</f>
        <v/>
      </c>
      <c r="H259" t="str">
        <f>IF(ISNUMBER(SEARCH("SILED",Inventario!B258)),"SI",
IF(ISNUMBER(SEARCH("SYDEMEX",Inventario!B258)),"SY",
IF(ISNUMBER(SEARCH("ROHS",Inventario!B258)),"RO",
IF(ISNUMBER(SEARCH("RISHANG",Inventario!B258)),"RS",
IF(ISNUMBER(SEARCH("VYG",Inventario!B258)),"VYG",
IF(ISNUMBER(SEARCH("COLED",Inventario!B258)),"CO",""))))))</f>
        <v/>
      </c>
    </row>
    <row r="260" spans="1:8">
      <c r="A260" t="str">
        <f>IF(ISNUMBER(SEARCH("LONA",Inventario!B259)),"LON",
IF(ISNUMBER(SEARCH("VINIL",Inventario!B259)),"VIN",
IF(ISNUMBER(SEARCH("PANEL DE ALUMINIO COMPUESTO",Inventario!B259)),"PAN-ALU-COM",
IF(ISNUMBER(SEARCH("PVC",Inventario!B259)),"PVC",
IF(ISNUMBER(SEARCH("PAPEL",Inventario!B259)),"PAP",
IF(ISNUMBER(SEARCH("TELA",Inventario!B259)),"TEL",
IF(ISNUMBER(SEARCH("CARTULINA",Inventario!B259)),"CAR",
IF(OR(ISNUMBER(SEARCH("LAMINA",Inventario!B259)),ISNUMBER(SEARCH("LÁMINA",Inventario!B259))),"LAM",
IF(ISNUMBER(SEARCH("ESTIRENO",Inventario!B259)),"EST",
IF(ISNUMBER(SEARCH("FOAMBOARD",Inventario!B259)),"FOA",
IF(ISNUMBER(SEARCH("SOLVENTE",Inventario!B259)),"SOL",
IF(ISNUMBER(SEARCH("TINTA",Inventario!B259)),"TIN",
IF(ISNUMBER(SEARCH("ACRILICO",Inventario!B259)),"ACR",
IF(ISNUMBER(SEARCH("LED",Inventario!B259)),"LED",
IF(ISNUMBER(SEARCH("FUENTE",Inventario!B259)),"FUE",
IF(ISNUMBER(SEARCH("PETG",Inventario!B259)),"PET",
IF(ISNUMBER(SEARCH("ALUMINIO",Inventario!B259)),"ALU",
IF(ISNUMBER(SEARCH("CANAL",Inventario!B259)),"CAN",
IF(ISNUMBER(SEARCH("ESCUADRA",Inventario!B259)),"ESC",
IF(ISNUMBER(SEARCH("SOPORTE",Inventario!B259)),"SOP","OTR")
)))))))))))))))))))</f>
        <v>OTR</v>
      </c>
      <c r="B260" t="str">
        <f>IF(ISNUMBER(SEARCH("CORTE",Inventario!B259)),"COR",
IF(ISNUMBER(SEARCH("CRISTAL",Inventario!B259)),"CR",
IF(OR(ISNUMBER(SEARCH("OPTICO",Inventario!B259)),ISNUMBER(SEARCH("OPTICOS",Inventario!B259)),ISNUMBER(SEARCH("OPTICA",Inventario!B259))),"OP",
IF(ISNUMBER(SEARCH("NANO",Inventario!B259)),"NA",
IF(ISNUMBER(SEARCH("5050",Inventario!B259)),"5050",
IF(ISNUMBER(SEARCH("MICRO",Inventario!B259)),"MI",""))))))</f>
        <v/>
      </c>
      <c r="C260" t="str">
        <f>IF(ISNUMBER(SEARCH("PARED",Inventario!B259)),"PAR",IF(ISNUMBER(SEARCH("MATE",Inventario!B259)),"MAT",
IF(ISNUMBER(SEARCH("FRONT",Inventario!B259)),"FRO",
IF(ISNUMBER(SEARCH("BACK",Inventario!B259)),"BAC",
IF(ISNUMBER(SEARCH("MESH",Inventario!B259)),"MES",
IF(OR(ISNUMBER(SEARCH("BRILLANTE",Inventario!B259)),ISNUMBER(SEARCH("BTE",Inventario!B259))),"BRI",
IF(ISNUMBER(SEARCH("SINTETICA DELGADA",Inventario!B259)),"SD",
IF(ISNUMBER(SEARCH("SINTETICA GRUESA",Inventario!B259)),"SG",
IF(ISNUMBER(SEARCH("ESTATICO",Inventario!B259)),"EST",
IF(ISNUMBER(SEARCH("FLOOR",Inventario!B259)),"FLO",
IF(ISNUMBER(SEARCH("REFLECTIVO",Inventario!B259)),"REF",
IF(ISNUMBER(SEARCH("MICROPERFORADO",Inventario!B259)),"MI",
IF(ISNUMBER(SEARCH("CEPILLADO",Inventario!B259)),"CEP",
IF(ISNUMBER(SEARCH("ESPEJO",Inventario!B259)),"ESP",
IF(OR(ISNUMBER(SEARCH("UNIDIODO",Inventario!B259)),ISNUMBER(SEARCH("1 DIODO",Inventario!B259))),"1D",
IF(ISNUMBER(SEARCH("2 DIODOS",Inventario!B259)),"2D",
IF(ISNUMBER(SEARCH("3 DIODOS",Inventario!B259)),"3D","")))))))))))))))))</f>
        <v/>
      </c>
      <c r="D260" t="str">
        <f>IF(ISNUMBER(SEARCH("LX700",Inventario!B259)),"LX7",
IF(ISNUMBER(SEARCH("GRANDO",Inventario!B259)),"GRA",
IF(OR(ISNUMBER(SEARCH("CAMA PLANA",Inventario!B259)),ISNUMBER(SEARCH("FB700",Inventario!B259))),"CP",
IF(ISNUMBER(SEARCH("LX360",Inventario!B259)),"LX3",
IF(ISNUMBER(SEARCH("XEROX",Inventario!B259)),"XER",
IF(ISNUMBER(SEARCH("18 OZ",Inventario!B259)),"18OZ",
IF(ISNUMBER(SEARCH("15 OZ",Inventario!B259)),"15OZ",
IF(OR(ISNUMBER(SEARCH("13 OZ",Inventario!B259)),ISNUMBER(SEARCH("13 ONZAS",Inventario!B259))),"13OZ",
IF(OR(ISNUMBER(SEARCH("9 OZ",Inventario!B259)),ISNUMBER(SEARCH("9 ONZAS",Inventario!B259))),"09OZ","")))))))))</f>
        <v/>
      </c>
      <c r="E260" t="str">
        <f>IF(OR(ISNUMBER(SEARCH("TRANSPARENTE",Inventario!B259)),ISNUMBER(SEARCH("TRANSPARENTES",Inventario!B259))),"TR",
IF(OR(ISNUMBER(SEARCH("BLANCO",Inventario!B259)),ISNUMBER(SEARCH("BCO",Inventario!B259))),"BL",
IF(ISNUMBER(SEARCH("VERDE",Inventario!B259)),"VR",
IF(ISNUMBER(SEARCH("MORADO",Inventario!B259)),"MR",
IF(ISNUMBER(SEARCH("PLATA",Inventario!B259)),"PL",
IF(ISNUMBER(SEARCH("ORO",Inventario!B259)),"OR",
IF(ISNUMBER(SEARCH("AMARILLO",Inventario!B259)),"AM",
IF(ISNUMBER(SEARCH("NARANJA",Inventario!B259)),"NR",
IF(ISNUMBER(SEARCH("NEGRO",Inventario!B259)),"NG",
IF(ISNUMBER(SEARCH("ROJO",Inventario!B259)),"RJ",
IF(ISNUMBER(SEARCH("AZUL",Inventario!B259)),"AZ","")))))))))))</f>
        <v/>
      </c>
      <c r="F260" t="str">
        <f>IF(ISNUMBER(SEARCH("1,2 MM",Inventario!B259)),"1MM2",
IF(OR(ISNUMBER(SEARCH("2 MM",Inventario!B259)),ISNUMBER(SEARCH("2MM",Inventario!B259))),"2MM",
IF(OR(ISNUMBER(SEARCH("3 MM",Inventario!B259)),ISNUMBER(SEARCH("3MM",Inventario!B259))),"3MM",
IF(OR(ISNUMBER(SEARCH("4 MM",Inventario!B259)),ISNUMBER(SEARCH("4MM",Inventario!B259)),ISNUMBER(SEARCH("4 mm",Inventario!B259))),"4MM",
IF(OR(ISNUMBER(SEARCH("5 MM",Inventario!B259)),ISNUMBER(SEARCH("5MM",Inventario!B259))),"5MM",
IF(OR(ISNUMBER(SEARCH("6 MM",Inventario!B259)),ISNUMBER(SEARCH("6MM",Inventario!B259))),"6MM",
IF(OR(ISNUMBER(SEARCH("10 MM",Inventario!B259)),ISNUMBER(SEARCH("10MM",Inventario!B259))),"10MM","")))))))</f>
        <v/>
      </c>
      <c r="G260" t="str">
        <f>IF(ISNUMBER(SEARCH("ALTA RESISTENCIA",Inventario!B259)),"AR",IF(ISNUMBER(SEARCH("CAMPAÑA",Inventario!B259)),"CA",
IF(OR(ISNUMBER(SEARCH("CALIDO",Inventario!B259)),ISNUMBER(SEARCH("CÁLIDO",Inventario!B259))),"C",
IF(OR(ISNUMBER(SEARCH("TRASLUCIDO",Inventario!B259)),ISNUMBER(SEARCH("TRANSLUCIDO",Inventario!B259))),"TL",
IF(ISNUMBER(SEARCH("NEUTRO",Inventario!B259)),"N",
IF(ISNUMBER(SEARCH("FRIO",Inventario!B259)),"F",""))))))</f>
        <v/>
      </c>
      <c r="H260" t="str">
        <f>IF(ISNUMBER(SEARCH("SILED",Inventario!B259)),"SI",
IF(ISNUMBER(SEARCH("SYDEMEX",Inventario!B259)),"SY",
IF(ISNUMBER(SEARCH("ROHS",Inventario!B259)),"RO",
IF(ISNUMBER(SEARCH("RISHANG",Inventario!B259)),"RS",
IF(ISNUMBER(SEARCH("VYG",Inventario!B259)),"VYG",
IF(ISNUMBER(SEARCH("COLED",Inventario!B259)),"CO",""))))))</f>
        <v/>
      </c>
    </row>
    <row r="261" spans="1:8">
      <c r="A261" t="str">
        <f>IF(ISNUMBER(SEARCH("LONA",Inventario!B260)),"LON",
IF(ISNUMBER(SEARCH("VINIL",Inventario!B260)),"VIN",
IF(ISNUMBER(SEARCH("PANEL DE ALUMINIO COMPUESTO",Inventario!B260)),"PAN-ALU-COM",
IF(ISNUMBER(SEARCH("PVC",Inventario!B260)),"PVC",
IF(ISNUMBER(SEARCH("PAPEL",Inventario!B260)),"PAP",
IF(ISNUMBER(SEARCH("TELA",Inventario!B260)),"TEL",
IF(ISNUMBER(SEARCH("CARTULINA",Inventario!B260)),"CAR",
IF(OR(ISNUMBER(SEARCH("LAMINA",Inventario!B260)),ISNUMBER(SEARCH("LÁMINA",Inventario!B260))),"LAM",
IF(ISNUMBER(SEARCH("ESTIRENO",Inventario!B260)),"EST",
IF(ISNUMBER(SEARCH("FOAMBOARD",Inventario!B260)),"FOA",
IF(ISNUMBER(SEARCH("SOLVENTE",Inventario!B260)),"SOL",
IF(ISNUMBER(SEARCH("TINTA",Inventario!B260)),"TIN",
IF(ISNUMBER(SEARCH("ACRILICO",Inventario!B260)),"ACR",
IF(ISNUMBER(SEARCH("LED",Inventario!B260)),"LED",
IF(ISNUMBER(SEARCH("FUENTE",Inventario!B260)),"FUE",
IF(ISNUMBER(SEARCH("PETG",Inventario!B260)),"PET",
IF(ISNUMBER(SEARCH("ALUMINIO",Inventario!B260)),"ALU",
IF(ISNUMBER(SEARCH("CANAL",Inventario!B260)),"CAN",
IF(ISNUMBER(SEARCH("ESCUADRA",Inventario!B260)),"ESC",
IF(ISNUMBER(SEARCH("SOPORTE",Inventario!B260)),"SOP","OTR")
)))))))))))))))))))</f>
        <v>PAP</v>
      </c>
      <c r="B261" t="str">
        <f>IF(ISNUMBER(SEARCH("CORTE",Inventario!B260)),"COR",
IF(ISNUMBER(SEARCH("CRISTAL",Inventario!B260)),"CR",
IF(OR(ISNUMBER(SEARCH("OPTICO",Inventario!B260)),ISNUMBER(SEARCH("OPTICOS",Inventario!B260)),ISNUMBER(SEARCH("OPTICA",Inventario!B260))),"OP",
IF(ISNUMBER(SEARCH("NANO",Inventario!B260)),"NA",
IF(ISNUMBER(SEARCH("5050",Inventario!B260)),"5050",
IF(ISNUMBER(SEARCH("MICRO",Inventario!B260)),"MI",""))))))</f>
        <v/>
      </c>
      <c r="C261" t="str">
        <f>IF(ISNUMBER(SEARCH("PARED",Inventario!B260)),"PAR",IF(ISNUMBER(SEARCH("MATE",Inventario!B260)),"MAT",
IF(ISNUMBER(SEARCH("FRONT",Inventario!B260)),"FRO",
IF(ISNUMBER(SEARCH("BACK",Inventario!B260)),"BAC",
IF(ISNUMBER(SEARCH("MESH",Inventario!B260)),"MES",
IF(OR(ISNUMBER(SEARCH("BRILLANTE",Inventario!B260)),ISNUMBER(SEARCH("BTE",Inventario!B260))),"BRI",
IF(ISNUMBER(SEARCH("SINTETICA DELGADA",Inventario!B260)),"SD",
IF(ISNUMBER(SEARCH("SINTETICA GRUESA",Inventario!B260)),"SG",
IF(ISNUMBER(SEARCH("ESTATICO",Inventario!B260)),"EST",
IF(ISNUMBER(SEARCH("FLOOR",Inventario!B260)),"FLO",
IF(ISNUMBER(SEARCH("REFLECTIVO",Inventario!B260)),"REF",
IF(ISNUMBER(SEARCH("MICROPERFORADO",Inventario!B260)),"MI",
IF(ISNUMBER(SEARCH("CEPILLADO",Inventario!B260)),"CEP",
IF(ISNUMBER(SEARCH("ESPEJO",Inventario!B260)),"ESP",
IF(OR(ISNUMBER(SEARCH("UNIDIODO",Inventario!B260)),ISNUMBER(SEARCH("1 DIODO",Inventario!B260))),"1D",
IF(ISNUMBER(SEARCH("2 DIODOS",Inventario!B260)),"2D",
IF(ISNUMBER(SEARCH("3 DIODOS",Inventario!B260)),"3D","")))))))))))))))))</f>
        <v/>
      </c>
      <c r="D261" t="str">
        <f>IF(ISNUMBER(SEARCH("LX700",Inventario!B260)),"LX7",
IF(ISNUMBER(SEARCH("GRANDO",Inventario!B260)),"GRA",
IF(OR(ISNUMBER(SEARCH("CAMA PLANA",Inventario!B260)),ISNUMBER(SEARCH("FB700",Inventario!B260))),"CP",
IF(ISNUMBER(SEARCH("LX360",Inventario!B260)),"LX3",
IF(ISNUMBER(SEARCH("XEROX",Inventario!B260)),"XER",
IF(ISNUMBER(SEARCH("18 OZ",Inventario!B260)),"18OZ",
IF(ISNUMBER(SEARCH("15 OZ",Inventario!B260)),"15OZ",
IF(OR(ISNUMBER(SEARCH("13 OZ",Inventario!B260)),ISNUMBER(SEARCH("13 ONZAS",Inventario!B260))),"13OZ",
IF(OR(ISNUMBER(SEARCH("9 OZ",Inventario!B260)),ISNUMBER(SEARCH("9 ONZAS",Inventario!B260))),"09OZ","")))))))))</f>
        <v/>
      </c>
      <c r="E261" t="str">
        <f>IF(OR(ISNUMBER(SEARCH("TRANSPARENTE",Inventario!B260)),ISNUMBER(SEARCH("TRANSPARENTES",Inventario!B260))),"TR",
IF(OR(ISNUMBER(SEARCH("BLANCO",Inventario!B260)),ISNUMBER(SEARCH("BCO",Inventario!B260))),"BL",
IF(ISNUMBER(SEARCH("VERDE",Inventario!B260)),"VR",
IF(ISNUMBER(SEARCH("MORADO",Inventario!B260)),"MR",
IF(ISNUMBER(SEARCH("PLATA",Inventario!B260)),"PL",
IF(ISNUMBER(SEARCH("ORO",Inventario!B260)),"OR",
IF(ISNUMBER(SEARCH("AMARILLO",Inventario!B260)),"AM",
IF(ISNUMBER(SEARCH("NARANJA",Inventario!B260)),"NR",
IF(ISNUMBER(SEARCH("NEGRO",Inventario!B260)),"NG",
IF(ISNUMBER(SEARCH("ROJO",Inventario!B260)),"RJ",
IF(ISNUMBER(SEARCH("AZUL",Inventario!B260)),"AZ","")))))))))))</f>
        <v/>
      </c>
      <c r="F261" t="str">
        <f>IF(ISNUMBER(SEARCH("1,2 MM",Inventario!B260)),"1MM2",
IF(OR(ISNUMBER(SEARCH("2 MM",Inventario!B260)),ISNUMBER(SEARCH("2MM",Inventario!B260))),"2MM",
IF(OR(ISNUMBER(SEARCH("3 MM",Inventario!B260)),ISNUMBER(SEARCH("3MM",Inventario!B260))),"3MM",
IF(OR(ISNUMBER(SEARCH("4 MM",Inventario!B260)),ISNUMBER(SEARCH("4MM",Inventario!B260)),ISNUMBER(SEARCH("4 mm",Inventario!B260))),"4MM",
IF(OR(ISNUMBER(SEARCH("5 MM",Inventario!B260)),ISNUMBER(SEARCH("5MM",Inventario!B260))),"5MM",
IF(OR(ISNUMBER(SEARCH("6 MM",Inventario!B260)),ISNUMBER(SEARCH("6MM",Inventario!B260))),"6MM",
IF(OR(ISNUMBER(SEARCH("10 MM",Inventario!B260)),ISNUMBER(SEARCH("10MM",Inventario!B260))),"10MM","")))))))</f>
        <v/>
      </c>
      <c r="G261" t="str">
        <f>IF(ISNUMBER(SEARCH("ALTA RESISTENCIA",Inventario!B260)),"AR",IF(ISNUMBER(SEARCH("CAMPAÑA",Inventario!B260)),"CA",
IF(OR(ISNUMBER(SEARCH("CALIDO",Inventario!B260)),ISNUMBER(SEARCH("CÁLIDO",Inventario!B260))),"C",
IF(OR(ISNUMBER(SEARCH("TRASLUCIDO",Inventario!B260)),ISNUMBER(SEARCH("TRANSLUCIDO",Inventario!B260))),"TL",
IF(ISNUMBER(SEARCH("NEUTRO",Inventario!B260)),"N",
IF(ISNUMBER(SEARCH("FRIO",Inventario!B260)),"F",""))))))</f>
        <v/>
      </c>
      <c r="H261" t="str">
        <f>IF(ISNUMBER(SEARCH("SILED",Inventario!B260)),"SI",
IF(ISNUMBER(SEARCH("SYDEMEX",Inventario!B260)),"SY",
IF(ISNUMBER(SEARCH("ROHS",Inventario!B260)),"RO",
IF(ISNUMBER(SEARCH("RISHANG",Inventario!B260)),"RS",
IF(ISNUMBER(SEARCH("VYG",Inventario!B260)),"VYG",
IF(ISNUMBER(SEARCH("COLED",Inventario!B260)),"CO",""))))))</f>
        <v/>
      </c>
    </row>
    <row r="262" spans="1:8">
      <c r="A262" t="str">
        <f>IF(ISNUMBER(SEARCH("LONA",Inventario!B261)),"LON",
IF(ISNUMBER(SEARCH("VINIL",Inventario!B261)),"VIN",
IF(ISNUMBER(SEARCH("PANEL DE ALUMINIO COMPUESTO",Inventario!B261)),"PAN-ALU-COM",
IF(ISNUMBER(SEARCH("PVC",Inventario!B261)),"PVC",
IF(ISNUMBER(SEARCH("PAPEL",Inventario!B261)),"PAP",
IF(ISNUMBER(SEARCH("TELA",Inventario!B261)),"TEL",
IF(ISNUMBER(SEARCH("CARTULINA",Inventario!B261)),"CAR",
IF(OR(ISNUMBER(SEARCH("LAMINA",Inventario!B261)),ISNUMBER(SEARCH("LÁMINA",Inventario!B261))),"LAM",
IF(ISNUMBER(SEARCH("ESTIRENO",Inventario!B261)),"EST",
IF(ISNUMBER(SEARCH("FOAMBOARD",Inventario!B261)),"FOA",
IF(ISNUMBER(SEARCH("SOLVENTE",Inventario!B261)),"SOL",
IF(ISNUMBER(SEARCH("TINTA",Inventario!B261)),"TIN",
IF(ISNUMBER(SEARCH("ACRILICO",Inventario!B261)),"ACR",
IF(ISNUMBER(SEARCH("LED",Inventario!B261)),"LED",
IF(ISNUMBER(SEARCH("FUENTE",Inventario!B261)),"FUE",
IF(ISNUMBER(SEARCH("PETG",Inventario!B261)),"PET",
IF(ISNUMBER(SEARCH("ALUMINIO",Inventario!B261)),"ALU",
IF(ISNUMBER(SEARCH("CANAL",Inventario!B261)),"CAN",
IF(ISNUMBER(SEARCH("ESCUADRA",Inventario!B261)),"ESC",
IF(ISNUMBER(SEARCH("SOPORTE",Inventario!B261)),"SOP","OTR")
)))))))))))))))))))</f>
        <v>OTR</v>
      </c>
      <c r="B262" t="str">
        <f>IF(ISNUMBER(SEARCH("CORTE",Inventario!B261)),"COR",
IF(ISNUMBER(SEARCH("CRISTAL",Inventario!B261)),"CR",
IF(OR(ISNUMBER(SEARCH("OPTICO",Inventario!B261)),ISNUMBER(SEARCH("OPTICOS",Inventario!B261)),ISNUMBER(SEARCH("OPTICA",Inventario!B261))),"OP",
IF(ISNUMBER(SEARCH("NANO",Inventario!B261)),"NA",
IF(ISNUMBER(SEARCH("5050",Inventario!B261)),"5050",
IF(ISNUMBER(SEARCH("MICRO",Inventario!B261)),"MI",""))))))</f>
        <v/>
      </c>
      <c r="C262" t="str">
        <f>IF(ISNUMBER(SEARCH("PARED",Inventario!B261)),"PAR",IF(ISNUMBER(SEARCH("MATE",Inventario!B261)),"MAT",
IF(ISNUMBER(SEARCH("FRONT",Inventario!B261)),"FRO",
IF(ISNUMBER(SEARCH("BACK",Inventario!B261)),"BAC",
IF(ISNUMBER(SEARCH("MESH",Inventario!B261)),"MES",
IF(OR(ISNUMBER(SEARCH("BRILLANTE",Inventario!B261)),ISNUMBER(SEARCH("BTE",Inventario!B261))),"BRI",
IF(ISNUMBER(SEARCH("SINTETICA DELGADA",Inventario!B261)),"SD",
IF(ISNUMBER(SEARCH("SINTETICA GRUESA",Inventario!B261)),"SG",
IF(ISNUMBER(SEARCH("ESTATICO",Inventario!B261)),"EST",
IF(ISNUMBER(SEARCH("FLOOR",Inventario!B261)),"FLO",
IF(ISNUMBER(SEARCH("REFLECTIVO",Inventario!B261)),"REF",
IF(ISNUMBER(SEARCH("MICROPERFORADO",Inventario!B261)),"MI",
IF(ISNUMBER(SEARCH("CEPILLADO",Inventario!B261)),"CEP",
IF(ISNUMBER(SEARCH("ESPEJO",Inventario!B261)),"ESP",
IF(OR(ISNUMBER(SEARCH("UNIDIODO",Inventario!B261)),ISNUMBER(SEARCH("1 DIODO",Inventario!B261))),"1D",
IF(ISNUMBER(SEARCH("2 DIODOS",Inventario!B261)),"2D",
IF(ISNUMBER(SEARCH("3 DIODOS",Inventario!B261)),"3D","")))))))))))))))))</f>
        <v/>
      </c>
      <c r="D262" t="str">
        <f>IF(ISNUMBER(SEARCH("LX700",Inventario!B261)),"LX7",
IF(ISNUMBER(SEARCH("GRANDO",Inventario!B261)),"GRA",
IF(OR(ISNUMBER(SEARCH("CAMA PLANA",Inventario!B261)),ISNUMBER(SEARCH("FB700",Inventario!B261))),"CP",
IF(ISNUMBER(SEARCH("LX360",Inventario!B261)),"LX3",
IF(ISNUMBER(SEARCH("XEROX",Inventario!B261)),"XER",
IF(ISNUMBER(SEARCH("18 OZ",Inventario!B261)),"18OZ",
IF(ISNUMBER(SEARCH("15 OZ",Inventario!B261)),"15OZ",
IF(OR(ISNUMBER(SEARCH("13 OZ",Inventario!B261)),ISNUMBER(SEARCH("13 ONZAS",Inventario!B261))),"13OZ",
IF(OR(ISNUMBER(SEARCH("9 OZ",Inventario!B261)),ISNUMBER(SEARCH("9 ONZAS",Inventario!B261))),"09OZ","")))))))))</f>
        <v/>
      </c>
      <c r="E262" t="str">
        <f>IF(OR(ISNUMBER(SEARCH("TRANSPARENTE",Inventario!B261)),ISNUMBER(SEARCH("TRANSPARENTES",Inventario!B261))),"TR",
IF(OR(ISNUMBER(SEARCH("BLANCO",Inventario!B261)),ISNUMBER(SEARCH("BCO",Inventario!B261))),"BL",
IF(ISNUMBER(SEARCH("VERDE",Inventario!B261)),"VR",
IF(ISNUMBER(SEARCH("MORADO",Inventario!B261)),"MR",
IF(ISNUMBER(SEARCH("PLATA",Inventario!B261)),"PL",
IF(ISNUMBER(SEARCH("ORO",Inventario!B261)),"OR",
IF(ISNUMBER(SEARCH("AMARILLO",Inventario!B261)),"AM",
IF(ISNUMBER(SEARCH("NARANJA",Inventario!B261)),"NR",
IF(ISNUMBER(SEARCH("NEGRO",Inventario!B261)),"NG",
IF(ISNUMBER(SEARCH("ROJO",Inventario!B261)),"RJ",
IF(ISNUMBER(SEARCH("AZUL",Inventario!B261)),"AZ","")))))))))))</f>
        <v/>
      </c>
      <c r="F262" t="str">
        <f>IF(ISNUMBER(SEARCH("1,2 MM",Inventario!B261)),"1MM2",
IF(OR(ISNUMBER(SEARCH("2 MM",Inventario!B261)),ISNUMBER(SEARCH("2MM",Inventario!B261))),"2MM",
IF(OR(ISNUMBER(SEARCH("3 MM",Inventario!B261)),ISNUMBER(SEARCH("3MM",Inventario!B261))),"3MM",
IF(OR(ISNUMBER(SEARCH("4 MM",Inventario!B261)),ISNUMBER(SEARCH("4MM",Inventario!B261)),ISNUMBER(SEARCH("4 mm",Inventario!B261))),"4MM",
IF(OR(ISNUMBER(SEARCH("5 MM",Inventario!B261)),ISNUMBER(SEARCH("5MM",Inventario!B261))),"5MM",
IF(OR(ISNUMBER(SEARCH("6 MM",Inventario!B261)),ISNUMBER(SEARCH("6MM",Inventario!B261))),"6MM",
IF(OR(ISNUMBER(SEARCH("10 MM",Inventario!B261)),ISNUMBER(SEARCH("10MM",Inventario!B261))),"10MM","")))))))</f>
        <v/>
      </c>
      <c r="G262" t="str">
        <f>IF(ISNUMBER(SEARCH("ALTA RESISTENCIA",Inventario!B261)),"AR",IF(ISNUMBER(SEARCH("CAMPAÑA",Inventario!B261)),"CA",
IF(OR(ISNUMBER(SEARCH("CALIDO",Inventario!B261)),ISNUMBER(SEARCH("CÁLIDO",Inventario!B261))),"C",
IF(OR(ISNUMBER(SEARCH("TRASLUCIDO",Inventario!B261)),ISNUMBER(SEARCH("TRANSLUCIDO",Inventario!B261))),"TL",
IF(ISNUMBER(SEARCH("NEUTRO",Inventario!B261)),"N",
IF(ISNUMBER(SEARCH("FRIO",Inventario!B261)),"F",""))))))</f>
        <v/>
      </c>
      <c r="H262" t="str">
        <f>IF(ISNUMBER(SEARCH("SILED",Inventario!B261)),"SI",
IF(ISNUMBER(SEARCH("SYDEMEX",Inventario!B261)),"SY",
IF(ISNUMBER(SEARCH("ROHS",Inventario!B261)),"RO",
IF(ISNUMBER(SEARCH("RISHANG",Inventario!B261)),"RS",
IF(ISNUMBER(SEARCH("VYG",Inventario!B261)),"VYG",
IF(ISNUMBER(SEARCH("COLED",Inventario!B261)),"CO",""))))))</f>
        <v/>
      </c>
    </row>
    <row r="263" spans="1:8">
      <c r="A263" t="str">
        <f>IF(ISNUMBER(SEARCH("LONA",Inventario!B262)),"LON",
IF(ISNUMBER(SEARCH("VINIL",Inventario!B262)),"VIN",
IF(ISNUMBER(SEARCH("PANEL DE ALUMINIO COMPUESTO",Inventario!B262)),"PAN-ALU-COM",
IF(ISNUMBER(SEARCH("PVC",Inventario!B262)),"PVC",
IF(ISNUMBER(SEARCH("PAPEL",Inventario!B262)),"PAP",
IF(ISNUMBER(SEARCH("TELA",Inventario!B262)),"TEL",
IF(ISNUMBER(SEARCH("CARTULINA",Inventario!B262)),"CAR",
IF(OR(ISNUMBER(SEARCH("LAMINA",Inventario!B262)),ISNUMBER(SEARCH("LÁMINA",Inventario!B262))),"LAM",
IF(ISNUMBER(SEARCH("ESTIRENO",Inventario!B262)),"EST",
IF(ISNUMBER(SEARCH("FOAMBOARD",Inventario!B262)),"FOA",
IF(ISNUMBER(SEARCH("SOLVENTE",Inventario!B262)),"SOL",
IF(ISNUMBER(SEARCH("TINTA",Inventario!B262)),"TIN",
IF(ISNUMBER(SEARCH("ACRILICO",Inventario!B262)),"ACR",
IF(ISNUMBER(SEARCH("LED",Inventario!B262)),"LED",
IF(ISNUMBER(SEARCH("FUENTE",Inventario!B262)),"FUE",
IF(ISNUMBER(SEARCH("PETG",Inventario!B262)),"PET",
IF(ISNUMBER(SEARCH("ALUMINIO",Inventario!B262)),"ALU",
IF(ISNUMBER(SEARCH("CANAL",Inventario!B262)),"CAN",
IF(ISNUMBER(SEARCH("ESCUADRA",Inventario!B262)),"ESC",
IF(ISNUMBER(SEARCH("SOPORTE",Inventario!B262)),"SOP","OTR")
)))))))))))))))))))</f>
        <v>OTR</v>
      </c>
      <c r="B263" t="str">
        <f>IF(ISNUMBER(SEARCH("CORTE",Inventario!B262)),"COR",
IF(ISNUMBER(SEARCH("CRISTAL",Inventario!B262)),"CR",
IF(OR(ISNUMBER(SEARCH("OPTICO",Inventario!B262)),ISNUMBER(SEARCH("OPTICOS",Inventario!B262)),ISNUMBER(SEARCH("OPTICA",Inventario!B262))),"OP",
IF(ISNUMBER(SEARCH("NANO",Inventario!B262)),"NA",
IF(ISNUMBER(SEARCH("5050",Inventario!B262)),"5050",
IF(ISNUMBER(SEARCH("MICRO",Inventario!B262)),"MI",""))))))</f>
        <v/>
      </c>
      <c r="C263" t="str">
        <f>IF(ISNUMBER(SEARCH("PARED",Inventario!B262)),"PAR",IF(ISNUMBER(SEARCH("MATE",Inventario!B262)),"MAT",
IF(ISNUMBER(SEARCH("FRONT",Inventario!B262)),"FRO",
IF(ISNUMBER(SEARCH("BACK",Inventario!B262)),"BAC",
IF(ISNUMBER(SEARCH("MESH",Inventario!B262)),"MES",
IF(OR(ISNUMBER(SEARCH("BRILLANTE",Inventario!B262)),ISNUMBER(SEARCH("BTE",Inventario!B262))),"BRI",
IF(ISNUMBER(SEARCH("SINTETICA DELGADA",Inventario!B262)),"SD",
IF(ISNUMBER(SEARCH("SINTETICA GRUESA",Inventario!B262)),"SG",
IF(ISNUMBER(SEARCH("ESTATICO",Inventario!B262)),"EST",
IF(ISNUMBER(SEARCH("FLOOR",Inventario!B262)),"FLO",
IF(ISNUMBER(SEARCH("REFLECTIVO",Inventario!B262)),"REF",
IF(ISNUMBER(SEARCH("MICROPERFORADO",Inventario!B262)),"MI",
IF(ISNUMBER(SEARCH("CEPILLADO",Inventario!B262)),"CEP",
IF(ISNUMBER(SEARCH("ESPEJO",Inventario!B262)),"ESP",
IF(OR(ISNUMBER(SEARCH("UNIDIODO",Inventario!B262)),ISNUMBER(SEARCH("1 DIODO",Inventario!B262))),"1D",
IF(ISNUMBER(SEARCH("2 DIODOS",Inventario!B262)),"2D",
IF(ISNUMBER(SEARCH("3 DIODOS",Inventario!B262)),"3D","")))))))))))))))))</f>
        <v/>
      </c>
      <c r="D263" t="str">
        <f>IF(ISNUMBER(SEARCH("LX700",Inventario!B262)),"LX7",
IF(ISNUMBER(SEARCH("GRANDO",Inventario!B262)),"GRA",
IF(OR(ISNUMBER(SEARCH("CAMA PLANA",Inventario!B262)),ISNUMBER(SEARCH("FB700",Inventario!B262))),"CP",
IF(ISNUMBER(SEARCH("LX360",Inventario!B262)),"LX3",
IF(ISNUMBER(SEARCH("XEROX",Inventario!B262)),"XER",
IF(ISNUMBER(SEARCH("18 OZ",Inventario!B262)),"18OZ",
IF(ISNUMBER(SEARCH("15 OZ",Inventario!B262)),"15OZ",
IF(OR(ISNUMBER(SEARCH("13 OZ",Inventario!B262)),ISNUMBER(SEARCH("13 ONZAS",Inventario!B262))),"13OZ",
IF(OR(ISNUMBER(SEARCH("9 OZ",Inventario!B262)),ISNUMBER(SEARCH("9 ONZAS",Inventario!B262))),"09OZ","")))))))))</f>
        <v/>
      </c>
      <c r="E263" t="str">
        <f>IF(OR(ISNUMBER(SEARCH("TRANSPARENTE",Inventario!B262)),ISNUMBER(SEARCH("TRANSPARENTES",Inventario!B262))),"TR",
IF(OR(ISNUMBER(SEARCH("BLANCO",Inventario!B262)),ISNUMBER(SEARCH("BCO",Inventario!B262))),"BL",
IF(ISNUMBER(SEARCH("VERDE",Inventario!B262)),"VR",
IF(ISNUMBER(SEARCH("MORADO",Inventario!B262)),"MR",
IF(ISNUMBER(SEARCH("PLATA",Inventario!B262)),"PL",
IF(ISNUMBER(SEARCH("ORO",Inventario!B262)),"OR",
IF(ISNUMBER(SEARCH("AMARILLO",Inventario!B262)),"AM",
IF(ISNUMBER(SEARCH("NARANJA",Inventario!B262)),"NR",
IF(ISNUMBER(SEARCH("NEGRO",Inventario!B262)),"NG",
IF(ISNUMBER(SEARCH("ROJO",Inventario!B262)),"RJ",
IF(ISNUMBER(SEARCH("AZUL",Inventario!B262)),"AZ","")))))))))))</f>
        <v/>
      </c>
      <c r="F263" t="str">
        <f>IF(ISNUMBER(SEARCH("1,2 MM",Inventario!B262)),"1MM2",
IF(OR(ISNUMBER(SEARCH("2 MM",Inventario!B262)),ISNUMBER(SEARCH("2MM",Inventario!B262))),"2MM",
IF(OR(ISNUMBER(SEARCH("3 MM",Inventario!B262)),ISNUMBER(SEARCH("3MM",Inventario!B262))),"3MM",
IF(OR(ISNUMBER(SEARCH("4 MM",Inventario!B262)),ISNUMBER(SEARCH("4MM",Inventario!B262)),ISNUMBER(SEARCH("4 mm",Inventario!B262))),"4MM",
IF(OR(ISNUMBER(SEARCH("5 MM",Inventario!B262)),ISNUMBER(SEARCH("5MM",Inventario!B262))),"5MM",
IF(OR(ISNUMBER(SEARCH("6 MM",Inventario!B262)),ISNUMBER(SEARCH("6MM",Inventario!B262))),"6MM",
IF(OR(ISNUMBER(SEARCH("10 MM",Inventario!B262)),ISNUMBER(SEARCH("10MM",Inventario!B262))),"10MM","")))))))</f>
        <v/>
      </c>
      <c r="G263" t="str">
        <f>IF(ISNUMBER(SEARCH("ALTA RESISTENCIA",Inventario!B262)),"AR",IF(ISNUMBER(SEARCH("CAMPAÑA",Inventario!B262)),"CA",
IF(OR(ISNUMBER(SEARCH("CALIDO",Inventario!B262)),ISNUMBER(SEARCH("CÁLIDO",Inventario!B262))),"C",
IF(OR(ISNUMBER(SEARCH("TRASLUCIDO",Inventario!B262)),ISNUMBER(SEARCH("TRANSLUCIDO",Inventario!B262))),"TL",
IF(ISNUMBER(SEARCH("NEUTRO",Inventario!B262)),"N",
IF(ISNUMBER(SEARCH("FRIO",Inventario!B262)),"F",""))))))</f>
        <v/>
      </c>
      <c r="H263" t="str">
        <f>IF(ISNUMBER(SEARCH("SILED",Inventario!B262)),"SI",
IF(ISNUMBER(SEARCH("SYDEMEX",Inventario!B262)),"SY",
IF(ISNUMBER(SEARCH("ROHS",Inventario!B262)),"RO",
IF(ISNUMBER(SEARCH("RISHANG",Inventario!B262)),"RS",
IF(ISNUMBER(SEARCH("VYG",Inventario!B262)),"VYG",
IF(ISNUMBER(SEARCH("COLED",Inventario!B262)),"CO",""))))))</f>
        <v/>
      </c>
    </row>
    <row r="264" spans="1:8">
      <c r="A264" t="str">
        <f>IF(ISNUMBER(SEARCH("LONA",Inventario!B263)),"LON",
IF(ISNUMBER(SEARCH("VINIL",Inventario!B263)),"VIN",
IF(ISNUMBER(SEARCH("PANEL DE ALUMINIO COMPUESTO",Inventario!B263)),"PAN-ALU-COM",
IF(ISNUMBER(SEARCH("PVC",Inventario!B263)),"PVC",
IF(ISNUMBER(SEARCH("PAPEL",Inventario!B263)),"PAP",
IF(ISNUMBER(SEARCH("TELA",Inventario!B263)),"TEL",
IF(ISNUMBER(SEARCH("CARTULINA",Inventario!B263)),"CAR",
IF(OR(ISNUMBER(SEARCH("LAMINA",Inventario!B263)),ISNUMBER(SEARCH("LÁMINA",Inventario!B263))),"LAM",
IF(ISNUMBER(SEARCH("ESTIRENO",Inventario!B263)),"EST",
IF(ISNUMBER(SEARCH("FOAMBOARD",Inventario!B263)),"FOA",
IF(ISNUMBER(SEARCH("SOLVENTE",Inventario!B263)),"SOL",
IF(ISNUMBER(SEARCH("TINTA",Inventario!B263)),"TIN",
IF(ISNUMBER(SEARCH("ACRILICO",Inventario!B263)),"ACR",
IF(ISNUMBER(SEARCH("LED",Inventario!B263)),"LED",
IF(ISNUMBER(SEARCH("FUENTE",Inventario!B263)),"FUE",
IF(ISNUMBER(SEARCH("PETG",Inventario!B263)),"PET",
IF(ISNUMBER(SEARCH("ALUMINIO",Inventario!B263)),"ALU",
IF(ISNUMBER(SEARCH("CANAL",Inventario!B263)),"CAN",
IF(ISNUMBER(SEARCH("ESCUADRA",Inventario!B263)),"ESC",
IF(ISNUMBER(SEARCH("SOPORTE",Inventario!B263)),"SOP","OTR")
)))))))))))))))))))</f>
        <v>OTR</v>
      </c>
      <c r="B264" t="str">
        <f>IF(ISNUMBER(SEARCH("CORTE",Inventario!B263)),"COR",
IF(ISNUMBER(SEARCH("CRISTAL",Inventario!B263)),"CR",
IF(OR(ISNUMBER(SEARCH("OPTICO",Inventario!B263)),ISNUMBER(SEARCH("OPTICOS",Inventario!B263)),ISNUMBER(SEARCH("OPTICA",Inventario!B263))),"OP",
IF(ISNUMBER(SEARCH("NANO",Inventario!B263)),"NA",
IF(ISNUMBER(SEARCH("5050",Inventario!B263)),"5050",
IF(ISNUMBER(SEARCH("MICRO",Inventario!B263)),"MI",""))))))</f>
        <v/>
      </c>
      <c r="C264" t="str">
        <f>IF(ISNUMBER(SEARCH("PARED",Inventario!B263)),"PAR",IF(ISNUMBER(SEARCH("MATE",Inventario!B263)),"MAT",
IF(ISNUMBER(SEARCH("FRONT",Inventario!B263)),"FRO",
IF(ISNUMBER(SEARCH("BACK",Inventario!B263)),"BAC",
IF(ISNUMBER(SEARCH("MESH",Inventario!B263)),"MES",
IF(OR(ISNUMBER(SEARCH("BRILLANTE",Inventario!B263)),ISNUMBER(SEARCH("BTE",Inventario!B263))),"BRI",
IF(ISNUMBER(SEARCH("SINTETICA DELGADA",Inventario!B263)),"SD",
IF(ISNUMBER(SEARCH("SINTETICA GRUESA",Inventario!B263)),"SG",
IF(ISNUMBER(SEARCH("ESTATICO",Inventario!B263)),"EST",
IF(ISNUMBER(SEARCH("FLOOR",Inventario!B263)),"FLO",
IF(ISNUMBER(SEARCH("REFLECTIVO",Inventario!B263)),"REF",
IF(ISNUMBER(SEARCH("MICROPERFORADO",Inventario!B263)),"MI",
IF(ISNUMBER(SEARCH("CEPILLADO",Inventario!B263)),"CEP",
IF(ISNUMBER(SEARCH("ESPEJO",Inventario!B263)),"ESP",
IF(OR(ISNUMBER(SEARCH("UNIDIODO",Inventario!B263)),ISNUMBER(SEARCH("1 DIODO",Inventario!B263))),"1D",
IF(ISNUMBER(SEARCH("2 DIODOS",Inventario!B263)),"2D",
IF(ISNUMBER(SEARCH("3 DIODOS",Inventario!B263)),"3D","")))))))))))))))))</f>
        <v/>
      </c>
      <c r="D264" t="str">
        <f>IF(ISNUMBER(SEARCH("LX700",Inventario!B263)),"LX7",
IF(ISNUMBER(SEARCH("GRANDO",Inventario!B263)),"GRA",
IF(OR(ISNUMBER(SEARCH("CAMA PLANA",Inventario!B263)),ISNUMBER(SEARCH("FB700",Inventario!B263))),"CP",
IF(ISNUMBER(SEARCH("LX360",Inventario!B263)),"LX3",
IF(ISNUMBER(SEARCH("XEROX",Inventario!B263)),"XER",
IF(ISNUMBER(SEARCH("18 OZ",Inventario!B263)),"18OZ",
IF(ISNUMBER(SEARCH("15 OZ",Inventario!B263)),"15OZ",
IF(OR(ISNUMBER(SEARCH("13 OZ",Inventario!B263)),ISNUMBER(SEARCH("13 ONZAS",Inventario!B263))),"13OZ",
IF(OR(ISNUMBER(SEARCH("9 OZ",Inventario!B263)),ISNUMBER(SEARCH("9 ONZAS",Inventario!B263))),"09OZ","")))))))))</f>
        <v/>
      </c>
      <c r="E264" t="str">
        <f>IF(OR(ISNUMBER(SEARCH("TRANSPARENTE",Inventario!B263)),ISNUMBER(SEARCH("TRANSPARENTES",Inventario!B263))),"TR",
IF(OR(ISNUMBER(SEARCH("BLANCO",Inventario!B263)),ISNUMBER(SEARCH("BCO",Inventario!B263))),"BL",
IF(ISNUMBER(SEARCH("VERDE",Inventario!B263)),"VR",
IF(ISNUMBER(SEARCH("MORADO",Inventario!B263)),"MR",
IF(ISNUMBER(SEARCH("PLATA",Inventario!B263)),"PL",
IF(ISNUMBER(SEARCH("ORO",Inventario!B263)),"OR",
IF(ISNUMBER(SEARCH("AMARILLO",Inventario!B263)),"AM",
IF(ISNUMBER(SEARCH("NARANJA",Inventario!B263)),"NR",
IF(ISNUMBER(SEARCH("NEGRO",Inventario!B263)),"NG",
IF(ISNUMBER(SEARCH("ROJO",Inventario!B263)),"RJ",
IF(ISNUMBER(SEARCH("AZUL",Inventario!B263)),"AZ","")))))))))))</f>
        <v/>
      </c>
      <c r="F264" t="str">
        <f>IF(ISNUMBER(SEARCH("1,2 MM",Inventario!B263)),"1MM2",
IF(OR(ISNUMBER(SEARCH("2 MM",Inventario!B263)),ISNUMBER(SEARCH("2MM",Inventario!B263))),"2MM",
IF(OR(ISNUMBER(SEARCH("3 MM",Inventario!B263)),ISNUMBER(SEARCH("3MM",Inventario!B263))),"3MM",
IF(OR(ISNUMBER(SEARCH("4 MM",Inventario!B263)),ISNUMBER(SEARCH("4MM",Inventario!B263)),ISNUMBER(SEARCH("4 mm",Inventario!B263))),"4MM",
IF(OR(ISNUMBER(SEARCH("5 MM",Inventario!B263)),ISNUMBER(SEARCH("5MM",Inventario!B263))),"5MM",
IF(OR(ISNUMBER(SEARCH("6 MM",Inventario!B263)),ISNUMBER(SEARCH("6MM",Inventario!B263))),"6MM",
IF(OR(ISNUMBER(SEARCH("10 MM",Inventario!B263)),ISNUMBER(SEARCH("10MM",Inventario!B263))),"10MM","")))))))</f>
        <v/>
      </c>
      <c r="G264" t="str">
        <f>IF(ISNUMBER(SEARCH("ALTA RESISTENCIA",Inventario!B263)),"AR",IF(ISNUMBER(SEARCH("CAMPAÑA",Inventario!B263)),"CA",
IF(OR(ISNUMBER(SEARCH("CALIDO",Inventario!B263)),ISNUMBER(SEARCH("CÁLIDO",Inventario!B263))),"C",
IF(OR(ISNUMBER(SEARCH("TRASLUCIDO",Inventario!B263)),ISNUMBER(SEARCH("TRANSLUCIDO",Inventario!B263))),"TL",
IF(ISNUMBER(SEARCH("NEUTRO",Inventario!B263)),"N",
IF(ISNUMBER(SEARCH("FRIO",Inventario!B263)),"F",""))))))</f>
        <v/>
      </c>
      <c r="H264" t="str">
        <f>IF(ISNUMBER(SEARCH("SILED",Inventario!B263)),"SI",
IF(ISNUMBER(SEARCH("SYDEMEX",Inventario!B263)),"SY",
IF(ISNUMBER(SEARCH("ROHS",Inventario!B263)),"RO",
IF(ISNUMBER(SEARCH("RISHANG",Inventario!B263)),"RS",
IF(ISNUMBER(SEARCH("VYG",Inventario!B263)),"VYG",
IF(ISNUMBER(SEARCH("COLED",Inventario!B263)),"CO",""))))))</f>
        <v/>
      </c>
    </row>
    <row r="265" spans="1:8">
      <c r="A265" t="str">
        <f>IF(ISNUMBER(SEARCH("LONA",Inventario!B264)),"LON",
IF(ISNUMBER(SEARCH("VINIL",Inventario!B264)),"VIN",
IF(ISNUMBER(SEARCH("PANEL DE ALUMINIO COMPUESTO",Inventario!B264)),"PAN-ALU-COM",
IF(ISNUMBER(SEARCH("PVC",Inventario!B264)),"PVC",
IF(ISNUMBER(SEARCH("PAPEL",Inventario!B264)),"PAP",
IF(ISNUMBER(SEARCH("TELA",Inventario!B264)),"TEL",
IF(ISNUMBER(SEARCH("CARTULINA",Inventario!B264)),"CAR",
IF(OR(ISNUMBER(SEARCH("LAMINA",Inventario!B264)),ISNUMBER(SEARCH("LÁMINA",Inventario!B264))),"LAM",
IF(ISNUMBER(SEARCH("ESTIRENO",Inventario!B264)),"EST",
IF(ISNUMBER(SEARCH("FOAMBOARD",Inventario!B264)),"FOA",
IF(ISNUMBER(SEARCH("SOLVENTE",Inventario!B264)),"SOL",
IF(ISNUMBER(SEARCH("TINTA",Inventario!B264)),"TIN",
IF(ISNUMBER(SEARCH("ACRILICO",Inventario!B264)),"ACR",
IF(ISNUMBER(SEARCH("LED",Inventario!B264)),"LED",
IF(ISNUMBER(SEARCH("FUENTE",Inventario!B264)),"FUE",
IF(ISNUMBER(SEARCH("PETG",Inventario!B264)),"PET",
IF(ISNUMBER(SEARCH("ALUMINIO",Inventario!B264)),"ALU",
IF(ISNUMBER(SEARCH("CANAL",Inventario!B264)),"CAN",
IF(ISNUMBER(SEARCH("ESCUADRA",Inventario!B264)),"ESC",
IF(ISNUMBER(SEARCH("SOPORTE",Inventario!B264)),"SOP","OTR")
)))))))))))))))))))</f>
        <v>LON</v>
      </c>
      <c r="B265" t="str">
        <f>IF(ISNUMBER(SEARCH("CORTE",Inventario!B264)),"COR",
IF(ISNUMBER(SEARCH("CRISTAL",Inventario!B264)),"CR",
IF(OR(ISNUMBER(SEARCH("OPTICO",Inventario!B264)),ISNUMBER(SEARCH("OPTICOS",Inventario!B264)),ISNUMBER(SEARCH("OPTICA",Inventario!B264))),"OP",
IF(ISNUMBER(SEARCH("NANO",Inventario!B264)),"NA",
IF(ISNUMBER(SEARCH("5050",Inventario!B264)),"5050",
IF(ISNUMBER(SEARCH("MICRO",Inventario!B264)),"MI",""))))))</f>
        <v/>
      </c>
      <c r="C265" t="str">
        <f>IF(ISNUMBER(SEARCH("PARED",Inventario!B264)),"PAR",IF(ISNUMBER(SEARCH("MATE",Inventario!B264)),"MAT",
IF(ISNUMBER(SEARCH("FRONT",Inventario!B264)),"FRO",
IF(ISNUMBER(SEARCH("BACK",Inventario!B264)),"BAC",
IF(ISNUMBER(SEARCH("MESH",Inventario!B264)),"MES",
IF(OR(ISNUMBER(SEARCH("BRILLANTE",Inventario!B264)),ISNUMBER(SEARCH("BTE",Inventario!B264))),"BRI",
IF(ISNUMBER(SEARCH("SINTETICA DELGADA",Inventario!B264)),"SD",
IF(ISNUMBER(SEARCH("SINTETICA GRUESA",Inventario!B264)),"SG",
IF(ISNUMBER(SEARCH("ESTATICO",Inventario!B264)),"EST",
IF(ISNUMBER(SEARCH("FLOOR",Inventario!B264)),"FLO",
IF(ISNUMBER(SEARCH("REFLECTIVO",Inventario!B264)),"REF",
IF(ISNUMBER(SEARCH("MICROPERFORADO",Inventario!B264)),"MI",
IF(ISNUMBER(SEARCH("CEPILLADO",Inventario!B264)),"CEP",
IF(ISNUMBER(SEARCH("ESPEJO",Inventario!B264)),"ESP",
IF(OR(ISNUMBER(SEARCH("UNIDIODO",Inventario!B264)),ISNUMBER(SEARCH("1 DIODO",Inventario!B264))),"1D",
IF(ISNUMBER(SEARCH("2 DIODOS",Inventario!B264)),"2D",
IF(ISNUMBER(SEARCH("3 DIODOS",Inventario!B264)),"3D","")))))))))))))))))</f>
        <v/>
      </c>
      <c r="D265" t="str">
        <f>IF(ISNUMBER(SEARCH("LX700",Inventario!B264)),"LX7",
IF(ISNUMBER(SEARCH("GRANDO",Inventario!B264)),"GRA",
IF(OR(ISNUMBER(SEARCH("CAMA PLANA",Inventario!B264)),ISNUMBER(SEARCH("FB700",Inventario!B264))),"CP",
IF(ISNUMBER(SEARCH("LX360",Inventario!B264)),"LX3",
IF(ISNUMBER(SEARCH("XEROX",Inventario!B264)),"XER",
IF(ISNUMBER(SEARCH("18 OZ",Inventario!B264)),"18OZ",
IF(ISNUMBER(SEARCH("15 OZ",Inventario!B264)),"15OZ",
IF(OR(ISNUMBER(SEARCH("13 OZ",Inventario!B264)),ISNUMBER(SEARCH("13 ONZAS",Inventario!B264))),"13OZ",
IF(OR(ISNUMBER(SEARCH("9 OZ",Inventario!B264)),ISNUMBER(SEARCH("9 ONZAS",Inventario!B264))),"09OZ","")))))))))</f>
        <v>18OZ</v>
      </c>
      <c r="E265" t="str">
        <f>IF(OR(ISNUMBER(SEARCH("TRANSPARENTE",Inventario!B264)),ISNUMBER(SEARCH("TRANSPARENTES",Inventario!B264))),"TR",
IF(OR(ISNUMBER(SEARCH("BLANCO",Inventario!B264)),ISNUMBER(SEARCH("BCO",Inventario!B264))),"BL",
IF(ISNUMBER(SEARCH("VERDE",Inventario!B264)),"VR",
IF(ISNUMBER(SEARCH("MORADO",Inventario!B264)),"MR",
IF(ISNUMBER(SEARCH("PLATA",Inventario!B264)),"PL",
IF(ISNUMBER(SEARCH("ORO",Inventario!B264)),"OR",
IF(ISNUMBER(SEARCH("AMARILLO",Inventario!B264)),"AM",
IF(ISNUMBER(SEARCH("NARANJA",Inventario!B264)),"NR",
IF(ISNUMBER(SEARCH("NEGRO",Inventario!B264)),"NG",
IF(ISNUMBER(SEARCH("ROJO",Inventario!B264)),"RJ",
IF(ISNUMBER(SEARCH("AZUL",Inventario!B264)),"AZ","")))))))))))</f>
        <v>AZ</v>
      </c>
      <c r="F265" t="str">
        <f>IF(ISNUMBER(SEARCH("1,2 MM",Inventario!B264)),"1MM2",
IF(OR(ISNUMBER(SEARCH("2 MM",Inventario!B264)),ISNUMBER(SEARCH("2MM",Inventario!B264))),"2MM",
IF(OR(ISNUMBER(SEARCH("3 MM",Inventario!B264)),ISNUMBER(SEARCH("3MM",Inventario!B264))),"3MM",
IF(OR(ISNUMBER(SEARCH("4 MM",Inventario!B264)),ISNUMBER(SEARCH("4MM",Inventario!B264)),ISNUMBER(SEARCH("4 mm",Inventario!B264))),"4MM",
IF(OR(ISNUMBER(SEARCH("5 MM",Inventario!B264)),ISNUMBER(SEARCH("5MM",Inventario!B264))),"5MM",
IF(OR(ISNUMBER(SEARCH("6 MM",Inventario!B264)),ISNUMBER(SEARCH("6MM",Inventario!B264))),"6MM",
IF(OR(ISNUMBER(SEARCH("10 MM",Inventario!B264)),ISNUMBER(SEARCH("10MM",Inventario!B264))),"10MM","")))))))</f>
        <v/>
      </c>
      <c r="G265" t="str">
        <f>IF(ISNUMBER(SEARCH("ALTA RESISTENCIA",Inventario!B264)),"AR",IF(ISNUMBER(SEARCH("CAMPAÑA",Inventario!B264)),"CA",
IF(OR(ISNUMBER(SEARCH("CALIDO",Inventario!B264)),ISNUMBER(SEARCH("CÁLIDO",Inventario!B264))),"C",
IF(OR(ISNUMBER(SEARCH("TRASLUCIDO",Inventario!B264)),ISNUMBER(SEARCH("TRANSLUCIDO",Inventario!B264))),"TL",
IF(ISNUMBER(SEARCH("NEUTRO",Inventario!B264)),"N",
IF(ISNUMBER(SEARCH("FRIO",Inventario!B264)),"F",""))))))</f>
        <v/>
      </c>
      <c r="H265" t="str">
        <f>IF(ISNUMBER(SEARCH("SILED",Inventario!B264)),"SI",
IF(ISNUMBER(SEARCH("SYDEMEX",Inventario!B264)),"SY",
IF(ISNUMBER(SEARCH("ROHS",Inventario!B264)),"RO",
IF(ISNUMBER(SEARCH("RISHANG",Inventario!B264)),"RS",
IF(ISNUMBER(SEARCH("VYG",Inventario!B264)),"VYG",
IF(ISNUMBER(SEARCH("COLED",Inventario!B264)),"CO",""))))))</f>
        <v/>
      </c>
    </row>
    <row r="266" spans="1:8">
      <c r="A266" t="str">
        <f>IF(ISNUMBER(SEARCH("LONA",Inventario!B265)),"LON",
IF(ISNUMBER(SEARCH("VINIL",Inventario!B265)),"VIN",
IF(ISNUMBER(SEARCH("PANEL DE ALUMINIO COMPUESTO",Inventario!B265)),"PAN-ALU-COM",
IF(ISNUMBER(SEARCH("PVC",Inventario!B265)),"PVC",
IF(ISNUMBER(SEARCH("PAPEL",Inventario!B265)),"PAP",
IF(ISNUMBER(SEARCH("TELA",Inventario!B265)),"TEL",
IF(ISNUMBER(SEARCH("CARTULINA",Inventario!B265)),"CAR",
IF(OR(ISNUMBER(SEARCH("LAMINA",Inventario!B265)),ISNUMBER(SEARCH("LÁMINA",Inventario!B265))),"LAM",
IF(ISNUMBER(SEARCH("ESTIRENO",Inventario!B265)),"EST",
IF(ISNUMBER(SEARCH("FOAMBOARD",Inventario!B265)),"FOA",
IF(ISNUMBER(SEARCH("SOLVENTE",Inventario!B265)),"SOL",
IF(ISNUMBER(SEARCH("TINTA",Inventario!B265)),"TIN",
IF(ISNUMBER(SEARCH("ACRILICO",Inventario!B265)),"ACR",
IF(ISNUMBER(SEARCH("LED",Inventario!B265)),"LED",
IF(ISNUMBER(SEARCH("FUENTE",Inventario!B265)),"FUE",
IF(ISNUMBER(SEARCH("PETG",Inventario!B265)),"PET",
IF(ISNUMBER(SEARCH("ALUMINIO",Inventario!B265)),"ALU",
IF(ISNUMBER(SEARCH("CANAL",Inventario!B265)),"CAN",
IF(ISNUMBER(SEARCH("ESCUADRA",Inventario!B265)),"ESC",
IF(ISNUMBER(SEARCH("SOPORTE",Inventario!B265)),"SOP","OTR")
)))))))))))))))))))</f>
        <v>LON</v>
      </c>
      <c r="B266" t="str">
        <f>IF(ISNUMBER(SEARCH("CORTE",Inventario!B265)),"COR",
IF(ISNUMBER(SEARCH("CRISTAL",Inventario!B265)),"CR",
IF(OR(ISNUMBER(SEARCH("OPTICO",Inventario!B265)),ISNUMBER(SEARCH("OPTICOS",Inventario!B265)),ISNUMBER(SEARCH("OPTICA",Inventario!B265))),"OP",
IF(ISNUMBER(SEARCH("NANO",Inventario!B265)),"NA",
IF(ISNUMBER(SEARCH("5050",Inventario!B265)),"5050",
IF(ISNUMBER(SEARCH("MICRO",Inventario!B265)),"MI",""))))))</f>
        <v/>
      </c>
      <c r="C266" t="str">
        <f>IF(ISNUMBER(SEARCH("PARED",Inventario!B265)),"PAR",IF(ISNUMBER(SEARCH("MATE",Inventario!B265)),"MAT",
IF(ISNUMBER(SEARCH("FRONT",Inventario!B265)),"FRO",
IF(ISNUMBER(SEARCH("BACK",Inventario!B265)),"BAC",
IF(ISNUMBER(SEARCH("MESH",Inventario!B265)),"MES",
IF(OR(ISNUMBER(SEARCH("BRILLANTE",Inventario!B265)),ISNUMBER(SEARCH("BTE",Inventario!B265))),"BRI",
IF(ISNUMBER(SEARCH("SINTETICA DELGADA",Inventario!B265)),"SD",
IF(ISNUMBER(SEARCH("SINTETICA GRUESA",Inventario!B265)),"SG",
IF(ISNUMBER(SEARCH("ESTATICO",Inventario!B265)),"EST",
IF(ISNUMBER(SEARCH("FLOOR",Inventario!B265)),"FLO",
IF(ISNUMBER(SEARCH("REFLECTIVO",Inventario!B265)),"REF",
IF(ISNUMBER(SEARCH("MICROPERFORADO",Inventario!B265)),"MI",
IF(ISNUMBER(SEARCH("CEPILLADO",Inventario!B265)),"CEP",
IF(ISNUMBER(SEARCH("ESPEJO",Inventario!B265)),"ESP",
IF(OR(ISNUMBER(SEARCH("UNIDIODO",Inventario!B265)),ISNUMBER(SEARCH("1 DIODO",Inventario!B265))),"1D",
IF(ISNUMBER(SEARCH("2 DIODOS",Inventario!B265)),"2D",
IF(ISNUMBER(SEARCH("3 DIODOS",Inventario!B265)),"3D","")))))))))))))))))</f>
        <v/>
      </c>
      <c r="D266" t="str">
        <f>IF(ISNUMBER(SEARCH("LX700",Inventario!B265)),"LX7",
IF(ISNUMBER(SEARCH("GRANDO",Inventario!B265)),"GRA",
IF(OR(ISNUMBER(SEARCH("CAMA PLANA",Inventario!B265)),ISNUMBER(SEARCH("FB700",Inventario!B265))),"CP",
IF(ISNUMBER(SEARCH("LX360",Inventario!B265)),"LX3",
IF(ISNUMBER(SEARCH("XEROX",Inventario!B265)),"XER",
IF(ISNUMBER(SEARCH("18 OZ",Inventario!B265)),"18OZ",
IF(ISNUMBER(SEARCH("15 OZ",Inventario!B265)),"15OZ",
IF(OR(ISNUMBER(SEARCH("13 OZ",Inventario!B265)),ISNUMBER(SEARCH("13 ONZAS",Inventario!B265))),"13OZ",
IF(OR(ISNUMBER(SEARCH("9 OZ",Inventario!B265)),ISNUMBER(SEARCH("9 ONZAS",Inventario!B265))),"09OZ","")))))))))</f>
        <v>18OZ</v>
      </c>
      <c r="E266" t="str">
        <f>IF(OR(ISNUMBER(SEARCH("TRANSPARENTE",Inventario!B265)),ISNUMBER(SEARCH("TRANSPARENTES",Inventario!B265))),"TR",
IF(OR(ISNUMBER(SEARCH("BLANCO",Inventario!B265)),ISNUMBER(SEARCH("BCO",Inventario!B265))),"BL",
IF(ISNUMBER(SEARCH("VERDE",Inventario!B265)),"VR",
IF(ISNUMBER(SEARCH("MORADO",Inventario!B265)),"MR",
IF(ISNUMBER(SEARCH("PLATA",Inventario!B265)),"PL",
IF(ISNUMBER(SEARCH("ORO",Inventario!B265)),"OR",
IF(ISNUMBER(SEARCH("AMARILLO",Inventario!B265)),"AM",
IF(ISNUMBER(SEARCH("NARANJA",Inventario!B265)),"NR",
IF(ISNUMBER(SEARCH("NEGRO",Inventario!B265)),"NG",
IF(ISNUMBER(SEARCH("ROJO",Inventario!B265)),"RJ",
IF(ISNUMBER(SEARCH("AZUL",Inventario!B265)),"AZ","")))))))))))</f>
        <v>RJ</v>
      </c>
      <c r="F266" t="str">
        <f>IF(ISNUMBER(SEARCH("1,2 MM",Inventario!B265)),"1MM2",
IF(OR(ISNUMBER(SEARCH("2 MM",Inventario!B265)),ISNUMBER(SEARCH("2MM",Inventario!B265))),"2MM",
IF(OR(ISNUMBER(SEARCH("3 MM",Inventario!B265)),ISNUMBER(SEARCH("3MM",Inventario!B265))),"3MM",
IF(OR(ISNUMBER(SEARCH("4 MM",Inventario!B265)),ISNUMBER(SEARCH("4MM",Inventario!B265)),ISNUMBER(SEARCH("4 mm",Inventario!B265))),"4MM",
IF(OR(ISNUMBER(SEARCH("5 MM",Inventario!B265)),ISNUMBER(SEARCH("5MM",Inventario!B265))),"5MM",
IF(OR(ISNUMBER(SEARCH("6 MM",Inventario!B265)),ISNUMBER(SEARCH("6MM",Inventario!B265))),"6MM",
IF(OR(ISNUMBER(SEARCH("10 MM",Inventario!B265)),ISNUMBER(SEARCH("10MM",Inventario!B265))),"10MM","")))))))</f>
        <v/>
      </c>
      <c r="G266" t="str">
        <f>IF(ISNUMBER(SEARCH("ALTA RESISTENCIA",Inventario!B265)),"AR",IF(ISNUMBER(SEARCH("CAMPAÑA",Inventario!B265)),"CA",
IF(OR(ISNUMBER(SEARCH("CALIDO",Inventario!B265)),ISNUMBER(SEARCH("CÁLIDO",Inventario!B265))),"C",
IF(OR(ISNUMBER(SEARCH("TRASLUCIDO",Inventario!B265)),ISNUMBER(SEARCH("TRANSLUCIDO",Inventario!B265))),"TL",
IF(ISNUMBER(SEARCH("NEUTRO",Inventario!B265)),"N",
IF(ISNUMBER(SEARCH("FRIO",Inventario!B265)),"F",""))))))</f>
        <v/>
      </c>
      <c r="H266" t="str">
        <f>IF(ISNUMBER(SEARCH("SILED",Inventario!B265)),"SI",
IF(ISNUMBER(SEARCH("SYDEMEX",Inventario!B265)),"SY",
IF(ISNUMBER(SEARCH("ROHS",Inventario!B265)),"RO",
IF(ISNUMBER(SEARCH("RISHANG",Inventario!B265)),"RS",
IF(ISNUMBER(SEARCH("VYG",Inventario!B265)),"VYG",
IF(ISNUMBER(SEARCH("COLED",Inventario!B265)),"CO",""))))))</f>
        <v/>
      </c>
    </row>
    <row r="267" spans="1:8">
      <c r="A267" t="str">
        <f>IF(ISNUMBER(SEARCH("LONA",Inventario!B266)),"LON",
IF(ISNUMBER(SEARCH("VINIL",Inventario!B266)),"VIN",
IF(ISNUMBER(SEARCH("PANEL DE ALUMINIO COMPUESTO",Inventario!B266)),"PAN-ALU-COM",
IF(ISNUMBER(SEARCH("PVC",Inventario!B266)),"PVC",
IF(ISNUMBER(SEARCH("PAPEL",Inventario!B266)),"PAP",
IF(ISNUMBER(SEARCH("TELA",Inventario!B266)),"TEL",
IF(ISNUMBER(SEARCH("CARTULINA",Inventario!B266)),"CAR",
IF(OR(ISNUMBER(SEARCH("LAMINA",Inventario!B266)),ISNUMBER(SEARCH("LÁMINA",Inventario!B266))),"LAM",
IF(ISNUMBER(SEARCH("ESTIRENO",Inventario!B266)),"EST",
IF(ISNUMBER(SEARCH("FOAMBOARD",Inventario!B266)),"FOA",
IF(ISNUMBER(SEARCH("SOLVENTE",Inventario!B266)),"SOL",
IF(ISNUMBER(SEARCH("TINTA",Inventario!B266)),"TIN",
IF(ISNUMBER(SEARCH("ACRILICO",Inventario!B266)),"ACR",
IF(ISNUMBER(SEARCH("LED",Inventario!B266)),"LED",
IF(ISNUMBER(SEARCH("FUENTE",Inventario!B266)),"FUE",
IF(ISNUMBER(SEARCH("PETG",Inventario!B266)),"PET",
IF(ISNUMBER(SEARCH("ALUMINIO",Inventario!B266)),"ALU",
IF(ISNUMBER(SEARCH("CANAL",Inventario!B266)),"CAN",
IF(ISNUMBER(SEARCH("ESCUADRA",Inventario!B266)),"ESC",
IF(ISNUMBER(SEARCH("SOPORTE",Inventario!B266)),"SOP","OTR")
)))))))))))))))))))</f>
        <v>LON</v>
      </c>
      <c r="B267" t="str">
        <f>IF(ISNUMBER(SEARCH("CORTE",Inventario!B266)),"COR",
IF(ISNUMBER(SEARCH("CRISTAL",Inventario!B266)),"CR",
IF(OR(ISNUMBER(SEARCH("OPTICO",Inventario!B266)),ISNUMBER(SEARCH("OPTICOS",Inventario!B266)),ISNUMBER(SEARCH("OPTICA",Inventario!B266))),"OP",
IF(ISNUMBER(SEARCH("NANO",Inventario!B266)),"NA",
IF(ISNUMBER(SEARCH("5050",Inventario!B266)),"5050",
IF(ISNUMBER(SEARCH("MICRO",Inventario!B266)),"MI",""))))))</f>
        <v/>
      </c>
      <c r="C267" t="str">
        <f>IF(ISNUMBER(SEARCH("PARED",Inventario!B266)),"PAR",IF(ISNUMBER(SEARCH("MATE",Inventario!B266)),"MAT",
IF(ISNUMBER(SEARCH("FRONT",Inventario!B266)),"FRO",
IF(ISNUMBER(SEARCH("BACK",Inventario!B266)),"BAC",
IF(ISNUMBER(SEARCH("MESH",Inventario!B266)),"MES",
IF(OR(ISNUMBER(SEARCH("BRILLANTE",Inventario!B266)),ISNUMBER(SEARCH("BTE",Inventario!B266))),"BRI",
IF(ISNUMBER(SEARCH("SINTETICA DELGADA",Inventario!B266)),"SD",
IF(ISNUMBER(SEARCH("SINTETICA GRUESA",Inventario!B266)),"SG",
IF(ISNUMBER(SEARCH("ESTATICO",Inventario!B266)),"EST",
IF(ISNUMBER(SEARCH("FLOOR",Inventario!B266)),"FLO",
IF(ISNUMBER(SEARCH("REFLECTIVO",Inventario!B266)),"REF",
IF(ISNUMBER(SEARCH("MICROPERFORADO",Inventario!B266)),"MI",
IF(ISNUMBER(SEARCH("CEPILLADO",Inventario!B266)),"CEP",
IF(ISNUMBER(SEARCH("ESPEJO",Inventario!B266)),"ESP",
IF(OR(ISNUMBER(SEARCH("UNIDIODO",Inventario!B266)),ISNUMBER(SEARCH("1 DIODO",Inventario!B266))),"1D",
IF(ISNUMBER(SEARCH("2 DIODOS",Inventario!B266)),"2D",
IF(ISNUMBER(SEARCH("3 DIODOS",Inventario!B266)),"3D","")))))))))))))))))</f>
        <v/>
      </c>
      <c r="D267" t="str">
        <f>IF(ISNUMBER(SEARCH("LX700",Inventario!B266)),"LX7",
IF(ISNUMBER(SEARCH("GRANDO",Inventario!B266)),"GRA",
IF(OR(ISNUMBER(SEARCH("CAMA PLANA",Inventario!B266)),ISNUMBER(SEARCH("FB700",Inventario!B266))),"CP",
IF(ISNUMBER(SEARCH("LX360",Inventario!B266)),"LX3",
IF(ISNUMBER(SEARCH("XEROX",Inventario!B266)),"XER",
IF(ISNUMBER(SEARCH("18 OZ",Inventario!B266)),"18OZ",
IF(ISNUMBER(SEARCH("15 OZ",Inventario!B266)),"15OZ",
IF(OR(ISNUMBER(SEARCH("13 OZ",Inventario!B266)),ISNUMBER(SEARCH("13 ONZAS",Inventario!B266))),"13OZ",
IF(OR(ISNUMBER(SEARCH("9 OZ",Inventario!B266)),ISNUMBER(SEARCH("9 ONZAS",Inventario!B266))),"09OZ","")))))))))</f>
        <v>18OZ</v>
      </c>
      <c r="E267" t="str">
        <f>IF(OR(ISNUMBER(SEARCH("TRANSPARENTE",Inventario!B266)),ISNUMBER(SEARCH("TRANSPARENTES",Inventario!B266))),"TR",
IF(OR(ISNUMBER(SEARCH("BLANCO",Inventario!B266)),ISNUMBER(SEARCH("BCO",Inventario!B266))),"BL",
IF(ISNUMBER(SEARCH("VERDE",Inventario!B266)),"VR",
IF(ISNUMBER(SEARCH("MORADO",Inventario!B266)),"MR",
IF(ISNUMBER(SEARCH("PLATA",Inventario!B266)),"PL",
IF(ISNUMBER(SEARCH("ORO",Inventario!B266)),"OR",
IF(ISNUMBER(SEARCH("AMARILLO",Inventario!B266)),"AM",
IF(ISNUMBER(SEARCH("NARANJA",Inventario!B266)),"NR",
IF(ISNUMBER(SEARCH("NEGRO",Inventario!B266)),"NG",
IF(ISNUMBER(SEARCH("ROJO",Inventario!B266)),"RJ",
IF(ISNUMBER(SEARCH("AZUL",Inventario!B266)),"AZ","")))))))))))</f>
        <v>NG</v>
      </c>
      <c r="F267" t="str">
        <f>IF(ISNUMBER(SEARCH("1,2 MM",Inventario!B266)),"1MM2",
IF(OR(ISNUMBER(SEARCH("2 MM",Inventario!B266)),ISNUMBER(SEARCH("2MM",Inventario!B266))),"2MM",
IF(OR(ISNUMBER(SEARCH("3 MM",Inventario!B266)),ISNUMBER(SEARCH("3MM",Inventario!B266))),"3MM",
IF(OR(ISNUMBER(SEARCH("4 MM",Inventario!B266)),ISNUMBER(SEARCH("4MM",Inventario!B266)),ISNUMBER(SEARCH("4 mm",Inventario!B266))),"4MM",
IF(OR(ISNUMBER(SEARCH("5 MM",Inventario!B266)),ISNUMBER(SEARCH("5MM",Inventario!B266))),"5MM",
IF(OR(ISNUMBER(SEARCH("6 MM",Inventario!B266)),ISNUMBER(SEARCH("6MM",Inventario!B266))),"6MM",
IF(OR(ISNUMBER(SEARCH("10 MM",Inventario!B266)),ISNUMBER(SEARCH("10MM",Inventario!B266))),"10MM","")))))))</f>
        <v/>
      </c>
      <c r="G267" t="str">
        <f>IF(ISNUMBER(SEARCH("ALTA RESISTENCIA",Inventario!B266)),"AR",IF(ISNUMBER(SEARCH("CAMPAÑA",Inventario!B266)),"CA",
IF(OR(ISNUMBER(SEARCH("CALIDO",Inventario!B266)),ISNUMBER(SEARCH("CÁLIDO",Inventario!B266))),"C",
IF(OR(ISNUMBER(SEARCH("TRASLUCIDO",Inventario!B266)),ISNUMBER(SEARCH("TRANSLUCIDO",Inventario!B266))),"TL",
IF(ISNUMBER(SEARCH("NEUTRO",Inventario!B266)),"N",
IF(ISNUMBER(SEARCH("FRIO",Inventario!B266)),"F",""))))))</f>
        <v/>
      </c>
      <c r="H267" t="str">
        <f>IF(ISNUMBER(SEARCH("SILED",Inventario!B266)),"SI",
IF(ISNUMBER(SEARCH("SYDEMEX",Inventario!B266)),"SY",
IF(ISNUMBER(SEARCH("ROHS",Inventario!B266)),"RO",
IF(ISNUMBER(SEARCH("RISHANG",Inventario!B266)),"RS",
IF(ISNUMBER(SEARCH("VYG",Inventario!B266)),"VYG",
IF(ISNUMBER(SEARCH("COLED",Inventario!B266)),"CO",""))))))</f>
        <v/>
      </c>
    </row>
    <row r="268" spans="1:8">
      <c r="A268" t="str">
        <f>IF(ISNUMBER(SEARCH("LONA",Inventario!B267)),"LON",
IF(ISNUMBER(SEARCH("VINIL",Inventario!B267)),"VIN",
IF(ISNUMBER(SEARCH("PANEL DE ALUMINIO COMPUESTO",Inventario!B267)),"PAN-ALU-COM",
IF(ISNUMBER(SEARCH("PVC",Inventario!B267)),"PVC",
IF(ISNUMBER(SEARCH("PAPEL",Inventario!B267)),"PAP",
IF(ISNUMBER(SEARCH("TELA",Inventario!B267)),"TEL",
IF(ISNUMBER(SEARCH("CARTULINA",Inventario!B267)),"CAR",
IF(OR(ISNUMBER(SEARCH("LAMINA",Inventario!B267)),ISNUMBER(SEARCH("LÁMINA",Inventario!B267))),"LAM",
IF(ISNUMBER(SEARCH("ESTIRENO",Inventario!B267)),"EST",
IF(ISNUMBER(SEARCH("FOAMBOARD",Inventario!B267)),"FOA",
IF(ISNUMBER(SEARCH("SOLVENTE",Inventario!B267)),"SOL",
IF(ISNUMBER(SEARCH("TINTA",Inventario!B267)),"TIN",
IF(ISNUMBER(SEARCH("ACRILICO",Inventario!B267)),"ACR",
IF(ISNUMBER(SEARCH("LED",Inventario!B267)),"LED",
IF(ISNUMBER(SEARCH("FUENTE",Inventario!B267)),"FUE",
IF(ISNUMBER(SEARCH("PETG",Inventario!B267)),"PET",
IF(ISNUMBER(SEARCH("ALUMINIO",Inventario!B267)),"ALU",
IF(ISNUMBER(SEARCH("CANAL",Inventario!B267)),"CAN",
IF(ISNUMBER(SEARCH("ESCUADRA",Inventario!B267)),"ESC",
IF(ISNUMBER(SEARCH("SOPORTE",Inventario!B267)),"SOP","OTR")
)))))))))))))))))))</f>
        <v>EST</v>
      </c>
      <c r="B268" t="str">
        <f>IF(ISNUMBER(SEARCH("CORTE",Inventario!B267)),"COR",
IF(ISNUMBER(SEARCH("CRISTAL",Inventario!B267)),"CR",
IF(OR(ISNUMBER(SEARCH("OPTICO",Inventario!B267)),ISNUMBER(SEARCH("OPTICOS",Inventario!B267)),ISNUMBER(SEARCH("OPTICA",Inventario!B267))),"OP",
IF(ISNUMBER(SEARCH("NANO",Inventario!B267)),"NA",
IF(ISNUMBER(SEARCH("5050",Inventario!B267)),"5050",
IF(ISNUMBER(SEARCH("MICRO",Inventario!B267)),"MI",""))))))</f>
        <v/>
      </c>
      <c r="C268" t="str">
        <f>IF(ISNUMBER(SEARCH("PARED",Inventario!B267)),"PAR",IF(ISNUMBER(SEARCH("MATE",Inventario!B267)),"MAT",
IF(ISNUMBER(SEARCH("FRONT",Inventario!B267)),"FRO",
IF(ISNUMBER(SEARCH("BACK",Inventario!B267)),"BAC",
IF(ISNUMBER(SEARCH("MESH",Inventario!B267)),"MES",
IF(OR(ISNUMBER(SEARCH("BRILLANTE",Inventario!B267)),ISNUMBER(SEARCH("BTE",Inventario!B267))),"BRI",
IF(ISNUMBER(SEARCH("SINTETICA DELGADA",Inventario!B267)),"SD",
IF(ISNUMBER(SEARCH("SINTETICA GRUESA",Inventario!B267)),"SG",
IF(ISNUMBER(SEARCH("ESTATICO",Inventario!B267)),"EST",
IF(ISNUMBER(SEARCH("FLOOR",Inventario!B267)),"FLO",
IF(ISNUMBER(SEARCH("REFLECTIVO",Inventario!B267)),"REF",
IF(ISNUMBER(SEARCH("MICROPERFORADO",Inventario!B267)),"MI",
IF(ISNUMBER(SEARCH("CEPILLADO",Inventario!B267)),"CEP",
IF(ISNUMBER(SEARCH("ESPEJO",Inventario!B267)),"ESP",
IF(OR(ISNUMBER(SEARCH("UNIDIODO",Inventario!B267)),ISNUMBER(SEARCH("1 DIODO",Inventario!B267))),"1D",
IF(ISNUMBER(SEARCH("2 DIODOS",Inventario!B267)),"2D",
IF(ISNUMBER(SEARCH("3 DIODOS",Inventario!B267)),"3D","")))))))))))))))))</f>
        <v/>
      </c>
      <c r="D268" t="str">
        <f>IF(ISNUMBER(SEARCH("LX700",Inventario!B267)),"LX7",
IF(ISNUMBER(SEARCH("GRANDO",Inventario!B267)),"GRA",
IF(OR(ISNUMBER(SEARCH("CAMA PLANA",Inventario!B267)),ISNUMBER(SEARCH("FB700",Inventario!B267))),"CP",
IF(ISNUMBER(SEARCH("LX360",Inventario!B267)),"LX3",
IF(ISNUMBER(SEARCH("XEROX",Inventario!B267)),"XER",
IF(ISNUMBER(SEARCH("18 OZ",Inventario!B267)),"18OZ",
IF(ISNUMBER(SEARCH("15 OZ",Inventario!B267)),"15OZ",
IF(OR(ISNUMBER(SEARCH("13 OZ",Inventario!B267)),ISNUMBER(SEARCH("13 ONZAS",Inventario!B267))),"13OZ",
IF(OR(ISNUMBER(SEARCH("9 OZ",Inventario!B267)),ISNUMBER(SEARCH("9 ONZAS",Inventario!B267))),"09OZ","")))))))))</f>
        <v/>
      </c>
      <c r="E268" t="str">
        <f>IF(OR(ISNUMBER(SEARCH("TRANSPARENTE",Inventario!B267)),ISNUMBER(SEARCH("TRANSPARENTES",Inventario!B267))),"TR",
IF(OR(ISNUMBER(SEARCH("BLANCO",Inventario!B267)),ISNUMBER(SEARCH("BCO",Inventario!B267))),"BL",
IF(ISNUMBER(SEARCH("VERDE",Inventario!B267)),"VR",
IF(ISNUMBER(SEARCH("MORADO",Inventario!B267)),"MR",
IF(ISNUMBER(SEARCH("PLATA",Inventario!B267)),"PL",
IF(ISNUMBER(SEARCH("ORO",Inventario!B267)),"OR",
IF(ISNUMBER(SEARCH("AMARILLO",Inventario!B267)),"AM",
IF(ISNUMBER(SEARCH("NARANJA",Inventario!B267)),"NR",
IF(ISNUMBER(SEARCH("NEGRO",Inventario!B267)),"NG",
IF(ISNUMBER(SEARCH("ROJO",Inventario!B267)),"RJ",
IF(ISNUMBER(SEARCH("AZUL",Inventario!B267)),"AZ","")))))))))))</f>
        <v>NG</v>
      </c>
      <c r="F268" t="str">
        <f>IF(ISNUMBER(SEARCH("1,2 MM",Inventario!B267)),"1MM2",
IF(OR(ISNUMBER(SEARCH("2 MM",Inventario!B267)),ISNUMBER(SEARCH("2MM",Inventario!B267))),"2MM",
IF(OR(ISNUMBER(SEARCH("3 MM",Inventario!B267)),ISNUMBER(SEARCH("3MM",Inventario!B267))),"3MM",
IF(OR(ISNUMBER(SEARCH("4 MM",Inventario!B267)),ISNUMBER(SEARCH("4MM",Inventario!B267)),ISNUMBER(SEARCH("4 mm",Inventario!B267))),"4MM",
IF(OR(ISNUMBER(SEARCH("5 MM",Inventario!B267)),ISNUMBER(SEARCH("5MM",Inventario!B267))),"5MM",
IF(OR(ISNUMBER(SEARCH("6 MM",Inventario!B267)),ISNUMBER(SEARCH("6MM",Inventario!B267))),"6MM",
IF(OR(ISNUMBER(SEARCH("10 MM",Inventario!B267)),ISNUMBER(SEARCH("10MM",Inventario!B267))),"10MM","")))))))</f>
        <v/>
      </c>
      <c r="G268" t="str">
        <f>IF(ISNUMBER(SEARCH("ALTA RESISTENCIA",Inventario!B267)),"AR",IF(ISNUMBER(SEARCH("CAMPAÑA",Inventario!B267)),"CA",
IF(OR(ISNUMBER(SEARCH("CALIDO",Inventario!B267)),ISNUMBER(SEARCH("CÁLIDO",Inventario!B267))),"C",
IF(OR(ISNUMBER(SEARCH("TRASLUCIDO",Inventario!B267)),ISNUMBER(SEARCH("TRANSLUCIDO",Inventario!B267))),"TL",
IF(ISNUMBER(SEARCH("NEUTRO",Inventario!B267)),"N",
IF(ISNUMBER(SEARCH("FRIO",Inventario!B267)),"F",""))))))</f>
        <v/>
      </c>
      <c r="H268" t="str">
        <f>IF(ISNUMBER(SEARCH("SILED",Inventario!B267)),"SI",
IF(ISNUMBER(SEARCH("SYDEMEX",Inventario!B267)),"SY",
IF(ISNUMBER(SEARCH("ROHS",Inventario!B267)),"RO",
IF(ISNUMBER(SEARCH("RISHANG",Inventario!B267)),"RS",
IF(ISNUMBER(SEARCH("VYG",Inventario!B267)),"VYG",
IF(ISNUMBER(SEARCH("COLED",Inventario!B267)),"CO",""))))))</f>
        <v/>
      </c>
    </row>
    <row r="269" spans="1:8">
      <c r="A269" t="str">
        <f>IF(ISNUMBER(SEARCH("LONA",Inventario!B268)),"LON",
IF(ISNUMBER(SEARCH("VINIL",Inventario!B268)),"VIN",
IF(ISNUMBER(SEARCH("PANEL DE ALUMINIO COMPUESTO",Inventario!B268)),"PAN-ALU-COM",
IF(ISNUMBER(SEARCH("PVC",Inventario!B268)),"PVC",
IF(ISNUMBER(SEARCH("PAPEL",Inventario!B268)),"PAP",
IF(ISNUMBER(SEARCH("TELA",Inventario!B268)),"TEL",
IF(ISNUMBER(SEARCH("CARTULINA",Inventario!B268)),"CAR",
IF(OR(ISNUMBER(SEARCH("LAMINA",Inventario!B268)),ISNUMBER(SEARCH("LÁMINA",Inventario!B268))),"LAM",
IF(ISNUMBER(SEARCH("ESTIRENO",Inventario!B268)),"EST",
IF(ISNUMBER(SEARCH("FOAMBOARD",Inventario!B268)),"FOA",
IF(ISNUMBER(SEARCH("SOLVENTE",Inventario!B268)),"SOL",
IF(ISNUMBER(SEARCH("TINTA",Inventario!B268)),"TIN",
IF(ISNUMBER(SEARCH("ACRILICO",Inventario!B268)),"ACR",
IF(ISNUMBER(SEARCH("LED",Inventario!B268)),"LED",
IF(ISNUMBER(SEARCH("FUENTE",Inventario!B268)),"FUE",
IF(ISNUMBER(SEARCH("PETG",Inventario!B268)),"PET",
IF(ISNUMBER(SEARCH("ALUMINIO",Inventario!B268)),"ALU",
IF(ISNUMBER(SEARCH("CANAL",Inventario!B268)),"CAN",
IF(ISNUMBER(SEARCH("ESCUADRA",Inventario!B268)),"ESC",
IF(ISNUMBER(SEARCH("SOPORTE",Inventario!B268)),"SOP","OTR")
)))))))))))))))))))</f>
        <v>PET</v>
      </c>
      <c r="B269" t="str">
        <f>IF(ISNUMBER(SEARCH("CORTE",Inventario!B268)),"COR",
IF(ISNUMBER(SEARCH("CRISTAL",Inventario!B268)),"CR",
IF(OR(ISNUMBER(SEARCH("OPTICO",Inventario!B268)),ISNUMBER(SEARCH("OPTICOS",Inventario!B268)),ISNUMBER(SEARCH("OPTICA",Inventario!B268))),"OP",
IF(ISNUMBER(SEARCH("NANO",Inventario!B268)),"NA",
IF(ISNUMBER(SEARCH("5050",Inventario!B268)),"5050",
IF(ISNUMBER(SEARCH("MICRO",Inventario!B268)),"MI",""))))))</f>
        <v/>
      </c>
      <c r="C269" t="str">
        <f>IF(ISNUMBER(SEARCH("PARED",Inventario!B268)),"PAR",IF(ISNUMBER(SEARCH("MATE",Inventario!B268)),"MAT",
IF(ISNUMBER(SEARCH("FRONT",Inventario!B268)),"FRO",
IF(ISNUMBER(SEARCH("BACK",Inventario!B268)),"BAC",
IF(ISNUMBER(SEARCH("MESH",Inventario!B268)),"MES",
IF(OR(ISNUMBER(SEARCH("BRILLANTE",Inventario!B268)),ISNUMBER(SEARCH("BTE",Inventario!B268))),"BRI",
IF(ISNUMBER(SEARCH("SINTETICA DELGADA",Inventario!B268)),"SD",
IF(ISNUMBER(SEARCH("SINTETICA GRUESA",Inventario!B268)),"SG",
IF(ISNUMBER(SEARCH("ESTATICO",Inventario!B268)),"EST",
IF(ISNUMBER(SEARCH("FLOOR",Inventario!B268)),"FLO",
IF(ISNUMBER(SEARCH("REFLECTIVO",Inventario!B268)),"REF",
IF(ISNUMBER(SEARCH("MICROPERFORADO",Inventario!B268)),"MI",
IF(ISNUMBER(SEARCH("CEPILLADO",Inventario!B268)),"CEP",
IF(ISNUMBER(SEARCH("ESPEJO",Inventario!B268)),"ESP",
IF(OR(ISNUMBER(SEARCH("UNIDIODO",Inventario!B268)),ISNUMBER(SEARCH("1 DIODO",Inventario!B268))),"1D",
IF(ISNUMBER(SEARCH("2 DIODOS",Inventario!B268)),"2D",
IF(ISNUMBER(SEARCH("3 DIODOS",Inventario!B268)),"3D","")))))))))))))))))</f>
        <v/>
      </c>
      <c r="D269" t="str">
        <f>IF(ISNUMBER(SEARCH("LX700",Inventario!B268)),"LX7",
IF(ISNUMBER(SEARCH("GRANDO",Inventario!B268)),"GRA",
IF(OR(ISNUMBER(SEARCH("CAMA PLANA",Inventario!B268)),ISNUMBER(SEARCH("FB700",Inventario!B268))),"CP",
IF(ISNUMBER(SEARCH("LX360",Inventario!B268)),"LX3",
IF(ISNUMBER(SEARCH("XEROX",Inventario!B268)),"XER",
IF(ISNUMBER(SEARCH("18 OZ",Inventario!B268)),"18OZ",
IF(ISNUMBER(SEARCH("15 OZ",Inventario!B268)),"15OZ",
IF(OR(ISNUMBER(SEARCH("13 OZ",Inventario!B268)),ISNUMBER(SEARCH("13 ONZAS",Inventario!B268))),"13OZ",
IF(OR(ISNUMBER(SEARCH("9 OZ",Inventario!B268)),ISNUMBER(SEARCH("9 ONZAS",Inventario!B268))),"09OZ","")))))))))</f>
        <v/>
      </c>
      <c r="E269" t="str">
        <f>IF(OR(ISNUMBER(SEARCH("TRANSPARENTE",Inventario!B268)),ISNUMBER(SEARCH("TRANSPARENTES",Inventario!B268))),"TR",
IF(OR(ISNUMBER(SEARCH("BLANCO",Inventario!B268)),ISNUMBER(SEARCH("BCO",Inventario!B268))),"BL",
IF(ISNUMBER(SEARCH("VERDE",Inventario!B268)),"VR",
IF(ISNUMBER(SEARCH("MORADO",Inventario!B268)),"MR",
IF(ISNUMBER(SEARCH("PLATA",Inventario!B268)),"PL",
IF(ISNUMBER(SEARCH("ORO",Inventario!B268)),"OR",
IF(ISNUMBER(SEARCH("AMARILLO",Inventario!B268)),"AM",
IF(ISNUMBER(SEARCH("NARANJA",Inventario!B268)),"NR",
IF(ISNUMBER(SEARCH("NEGRO",Inventario!B268)),"NG",
IF(ISNUMBER(SEARCH("ROJO",Inventario!B268)),"RJ",
IF(ISNUMBER(SEARCH("AZUL",Inventario!B268)),"AZ","")))))))))))</f>
        <v/>
      </c>
      <c r="F269" t="str">
        <f>IF(ISNUMBER(SEARCH("1,2 MM",Inventario!B268)),"1MM2",
IF(OR(ISNUMBER(SEARCH("2 MM",Inventario!B268)),ISNUMBER(SEARCH("2MM",Inventario!B268))),"2MM",
IF(OR(ISNUMBER(SEARCH("3 MM",Inventario!B268)),ISNUMBER(SEARCH("3MM",Inventario!B268))),"3MM",
IF(OR(ISNUMBER(SEARCH("4 MM",Inventario!B268)),ISNUMBER(SEARCH("4MM",Inventario!B268)),ISNUMBER(SEARCH("4 mm",Inventario!B268))),"4MM",
IF(OR(ISNUMBER(SEARCH("5 MM",Inventario!B268)),ISNUMBER(SEARCH("5MM",Inventario!B268))),"5MM",
IF(OR(ISNUMBER(SEARCH("6 MM",Inventario!B268)),ISNUMBER(SEARCH("6MM",Inventario!B268))),"6MM",
IF(OR(ISNUMBER(SEARCH("10 MM",Inventario!B268)),ISNUMBER(SEARCH("10MM",Inventario!B268))),"10MM","")))))))</f>
        <v/>
      </c>
      <c r="G269" t="str">
        <f>IF(ISNUMBER(SEARCH("ALTA RESISTENCIA",Inventario!B268)),"AR",IF(ISNUMBER(SEARCH("CAMPAÑA",Inventario!B268)),"CA",
IF(OR(ISNUMBER(SEARCH("CALIDO",Inventario!B268)),ISNUMBER(SEARCH("CÁLIDO",Inventario!B268))),"C",
IF(OR(ISNUMBER(SEARCH("TRASLUCIDO",Inventario!B268)),ISNUMBER(SEARCH("TRANSLUCIDO",Inventario!B268))),"TL",
IF(ISNUMBER(SEARCH("NEUTRO",Inventario!B268)),"N",
IF(ISNUMBER(SEARCH("FRIO",Inventario!B268)),"F",""))))))</f>
        <v/>
      </c>
      <c r="H269" t="str">
        <f>IF(ISNUMBER(SEARCH("SILED",Inventario!B268)),"SI",
IF(ISNUMBER(SEARCH("SYDEMEX",Inventario!B268)),"SY",
IF(ISNUMBER(SEARCH("ROHS",Inventario!B268)),"RO",
IF(ISNUMBER(SEARCH("RISHANG",Inventario!B268)),"RS",
IF(ISNUMBER(SEARCH("VYG",Inventario!B268)),"VYG",
IF(ISNUMBER(SEARCH("COLED",Inventario!B268)),"CO",""))))))</f>
        <v/>
      </c>
    </row>
    <row r="270" spans="1:8">
      <c r="A270" t="str">
        <f>IF(ISNUMBER(SEARCH("LONA",Inventario!B269)),"LON",
IF(ISNUMBER(SEARCH("VINIL",Inventario!B269)),"VIN",
IF(ISNUMBER(SEARCH("PANEL DE ALUMINIO COMPUESTO",Inventario!B269)),"PAN-ALU-COM",
IF(ISNUMBER(SEARCH("PVC",Inventario!B269)),"PVC",
IF(ISNUMBER(SEARCH("PAPEL",Inventario!B269)),"PAP",
IF(ISNUMBER(SEARCH("TELA",Inventario!B269)),"TEL",
IF(ISNUMBER(SEARCH("CARTULINA",Inventario!B269)),"CAR",
IF(OR(ISNUMBER(SEARCH("LAMINA",Inventario!B269)),ISNUMBER(SEARCH("LÁMINA",Inventario!B269))),"LAM",
IF(ISNUMBER(SEARCH("ESTIRENO",Inventario!B269)),"EST",
IF(ISNUMBER(SEARCH("FOAMBOARD",Inventario!B269)),"FOA",
IF(ISNUMBER(SEARCH("SOLVENTE",Inventario!B269)),"SOL",
IF(ISNUMBER(SEARCH("TINTA",Inventario!B269)),"TIN",
IF(ISNUMBER(SEARCH("ACRILICO",Inventario!B269)),"ACR",
IF(ISNUMBER(SEARCH("LED",Inventario!B269)),"LED",
IF(ISNUMBER(SEARCH("FUENTE",Inventario!B269)),"FUE",
IF(ISNUMBER(SEARCH("PETG",Inventario!B269)),"PET",
IF(ISNUMBER(SEARCH("ALUMINIO",Inventario!B269)),"ALU",
IF(ISNUMBER(SEARCH("CANAL",Inventario!B269)),"CAN",
IF(ISNUMBER(SEARCH("ESCUADRA",Inventario!B269)),"ESC",
IF(ISNUMBER(SEARCH("SOPORTE",Inventario!B269)),"SOP","OTR")
)))))))))))))))))))</f>
        <v>PET</v>
      </c>
      <c r="B270" t="str">
        <f>IF(ISNUMBER(SEARCH("CORTE",Inventario!B269)),"COR",
IF(ISNUMBER(SEARCH("CRISTAL",Inventario!B269)),"CR",
IF(OR(ISNUMBER(SEARCH("OPTICO",Inventario!B269)),ISNUMBER(SEARCH("OPTICOS",Inventario!B269)),ISNUMBER(SEARCH("OPTICA",Inventario!B269))),"OP",
IF(ISNUMBER(SEARCH("NANO",Inventario!B269)),"NA",
IF(ISNUMBER(SEARCH("5050",Inventario!B269)),"5050",
IF(ISNUMBER(SEARCH("MICRO",Inventario!B269)),"MI",""))))))</f>
        <v/>
      </c>
      <c r="C270" t="str">
        <f>IF(ISNUMBER(SEARCH("PARED",Inventario!B269)),"PAR",IF(ISNUMBER(SEARCH("MATE",Inventario!B269)),"MAT",
IF(ISNUMBER(SEARCH("FRONT",Inventario!B269)),"FRO",
IF(ISNUMBER(SEARCH("BACK",Inventario!B269)),"BAC",
IF(ISNUMBER(SEARCH("MESH",Inventario!B269)),"MES",
IF(OR(ISNUMBER(SEARCH("BRILLANTE",Inventario!B269)),ISNUMBER(SEARCH("BTE",Inventario!B269))),"BRI",
IF(ISNUMBER(SEARCH("SINTETICA DELGADA",Inventario!B269)),"SD",
IF(ISNUMBER(SEARCH("SINTETICA GRUESA",Inventario!B269)),"SG",
IF(ISNUMBER(SEARCH("ESTATICO",Inventario!B269)),"EST",
IF(ISNUMBER(SEARCH("FLOOR",Inventario!B269)),"FLO",
IF(ISNUMBER(SEARCH("REFLECTIVO",Inventario!B269)),"REF",
IF(ISNUMBER(SEARCH("MICROPERFORADO",Inventario!B269)),"MI",
IF(ISNUMBER(SEARCH("CEPILLADO",Inventario!B269)),"CEP",
IF(ISNUMBER(SEARCH("ESPEJO",Inventario!B269)),"ESP",
IF(OR(ISNUMBER(SEARCH("UNIDIODO",Inventario!B269)),ISNUMBER(SEARCH("1 DIODO",Inventario!B269))),"1D",
IF(ISNUMBER(SEARCH("2 DIODOS",Inventario!B269)),"2D",
IF(ISNUMBER(SEARCH("3 DIODOS",Inventario!B269)),"3D","")))))))))))))))))</f>
        <v/>
      </c>
      <c r="D270" t="str">
        <f>IF(ISNUMBER(SEARCH("LX700",Inventario!B269)),"LX7",
IF(ISNUMBER(SEARCH("GRANDO",Inventario!B269)),"GRA",
IF(OR(ISNUMBER(SEARCH("CAMA PLANA",Inventario!B269)),ISNUMBER(SEARCH("FB700",Inventario!B269))),"CP",
IF(ISNUMBER(SEARCH("LX360",Inventario!B269)),"LX3",
IF(ISNUMBER(SEARCH("XEROX",Inventario!B269)),"XER",
IF(ISNUMBER(SEARCH("18 OZ",Inventario!B269)),"18OZ",
IF(ISNUMBER(SEARCH("15 OZ",Inventario!B269)),"15OZ",
IF(OR(ISNUMBER(SEARCH("13 OZ",Inventario!B269)),ISNUMBER(SEARCH("13 ONZAS",Inventario!B269))),"13OZ",
IF(OR(ISNUMBER(SEARCH("9 OZ",Inventario!B269)),ISNUMBER(SEARCH("9 ONZAS",Inventario!B269))),"09OZ","")))))))))</f>
        <v/>
      </c>
      <c r="E270" t="str">
        <f>IF(OR(ISNUMBER(SEARCH("TRANSPARENTE",Inventario!B269)),ISNUMBER(SEARCH("TRANSPARENTES",Inventario!B269))),"TR",
IF(OR(ISNUMBER(SEARCH("BLANCO",Inventario!B269)),ISNUMBER(SEARCH("BCO",Inventario!B269))),"BL",
IF(ISNUMBER(SEARCH("VERDE",Inventario!B269)),"VR",
IF(ISNUMBER(SEARCH("MORADO",Inventario!B269)),"MR",
IF(ISNUMBER(SEARCH("PLATA",Inventario!B269)),"PL",
IF(ISNUMBER(SEARCH("ORO",Inventario!B269)),"OR",
IF(ISNUMBER(SEARCH("AMARILLO",Inventario!B269)),"AM",
IF(ISNUMBER(SEARCH("NARANJA",Inventario!B269)),"NR",
IF(ISNUMBER(SEARCH("NEGRO",Inventario!B269)),"NG",
IF(ISNUMBER(SEARCH("ROJO",Inventario!B269)),"RJ",
IF(ISNUMBER(SEARCH("AZUL",Inventario!B269)),"AZ","")))))))))))</f>
        <v/>
      </c>
      <c r="F270" t="str">
        <f>IF(ISNUMBER(SEARCH("1,2 MM",Inventario!B269)),"1MM2",
IF(OR(ISNUMBER(SEARCH("2 MM",Inventario!B269)),ISNUMBER(SEARCH("2MM",Inventario!B269))),"2MM",
IF(OR(ISNUMBER(SEARCH("3 MM",Inventario!B269)),ISNUMBER(SEARCH("3MM",Inventario!B269))),"3MM",
IF(OR(ISNUMBER(SEARCH("4 MM",Inventario!B269)),ISNUMBER(SEARCH("4MM",Inventario!B269)),ISNUMBER(SEARCH("4 mm",Inventario!B269))),"4MM",
IF(OR(ISNUMBER(SEARCH("5 MM",Inventario!B269)),ISNUMBER(SEARCH("5MM",Inventario!B269))),"5MM",
IF(OR(ISNUMBER(SEARCH("6 MM",Inventario!B269)),ISNUMBER(SEARCH("6MM",Inventario!B269))),"6MM",
IF(OR(ISNUMBER(SEARCH("10 MM",Inventario!B269)),ISNUMBER(SEARCH("10MM",Inventario!B269))),"10MM","")))))))</f>
        <v/>
      </c>
      <c r="G270" t="str">
        <f>IF(ISNUMBER(SEARCH("ALTA RESISTENCIA",Inventario!B269)),"AR",IF(ISNUMBER(SEARCH("CAMPAÑA",Inventario!B269)),"CA",
IF(OR(ISNUMBER(SEARCH("CALIDO",Inventario!B269)),ISNUMBER(SEARCH("CÁLIDO",Inventario!B269))),"C",
IF(OR(ISNUMBER(SEARCH("TRASLUCIDO",Inventario!B269)),ISNUMBER(SEARCH("TRANSLUCIDO",Inventario!B269))),"TL",
IF(ISNUMBER(SEARCH("NEUTRO",Inventario!B269)),"N",
IF(ISNUMBER(SEARCH("FRIO",Inventario!B269)),"F",""))))))</f>
        <v/>
      </c>
      <c r="H270" t="str">
        <f>IF(ISNUMBER(SEARCH("SILED",Inventario!B269)),"SI",
IF(ISNUMBER(SEARCH("SYDEMEX",Inventario!B269)),"SY",
IF(ISNUMBER(SEARCH("ROHS",Inventario!B269)),"RO",
IF(ISNUMBER(SEARCH("RISHANG",Inventario!B269)),"RS",
IF(ISNUMBER(SEARCH("VYG",Inventario!B269)),"VYG",
IF(ISNUMBER(SEARCH("COLED",Inventario!B269)),"CO",""))))))</f>
        <v/>
      </c>
    </row>
    <row r="271" spans="1:8">
      <c r="A271" t="str">
        <f>IF(ISNUMBER(SEARCH("LONA",Inventario!B270)),"LON",
IF(ISNUMBER(SEARCH("VINIL",Inventario!B270)),"VIN",
IF(ISNUMBER(SEARCH("PANEL DE ALUMINIO COMPUESTO",Inventario!B270)),"PAN-ALU-COM",
IF(ISNUMBER(SEARCH("PVC",Inventario!B270)),"PVC",
IF(ISNUMBER(SEARCH("PAPEL",Inventario!B270)),"PAP",
IF(ISNUMBER(SEARCH("TELA",Inventario!B270)),"TEL",
IF(ISNUMBER(SEARCH("CARTULINA",Inventario!B270)),"CAR",
IF(OR(ISNUMBER(SEARCH("LAMINA",Inventario!B270)),ISNUMBER(SEARCH("LÁMINA",Inventario!B270))),"LAM",
IF(ISNUMBER(SEARCH("ESTIRENO",Inventario!B270)),"EST",
IF(ISNUMBER(SEARCH("FOAMBOARD",Inventario!B270)),"FOA",
IF(ISNUMBER(SEARCH("SOLVENTE",Inventario!B270)),"SOL",
IF(ISNUMBER(SEARCH("TINTA",Inventario!B270)),"TIN",
IF(ISNUMBER(SEARCH("ACRILICO",Inventario!B270)),"ACR",
IF(ISNUMBER(SEARCH("LED",Inventario!B270)),"LED",
IF(ISNUMBER(SEARCH("FUENTE",Inventario!B270)),"FUE",
IF(ISNUMBER(SEARCH("PETG",Inventario!B270)),"PET",
IF(ISNUMBER(SEARCH("ALUMINIO",Inventario!B270)),"ALU",
IF(ISNUMBER(SEARCH("CANAL",Inventario!B270)),"CAN",
IF(ISNUMBER(SEARCH("ESCUADRA",Inventario!B270)),"ESC",
IF(ISNUMBER(SEARCH("SOPORTE",Inventario!B270)),"SOP","OTR")
)))))))))))))))))))</f>
        <v>PET</v>
      </c>
      <c r="B271" t="str">
        <f>IF(ISNUMBER(SEARCH("CORTE",Inventario!B270)),"COR",
IF(ISNUMBER(SEARCH("CRISTAL",Inventario!B270)),"CR",
IF(OR(ISNUMBER(SEARCH("OPTICO",Inventario!B270)),ISNUMBER(SEARCH("OPTICOS",Inventario!B270)),ISNUMBER(SEARCH("OPTICA",Inventario!B270))),"OP",
IF(ISNUMBER(SEARCH("NANO",Inventario!B270)),"NA",
IF(ISNUMBER(SEARCH("5050",Inventario!B270)),"5050",
IF(ISNUMBER(SEARCH("MICRO",Inventario!B270)),"MI",""))))))</f>
        <v/>
      </c>
      <c r="C271" t="str">
        <f>IF(ISNUMBER(SEARCH("PARED",Inventario!B270)),"PAR",IF(ISNUMBER(SEARCH("MATE",Inventario!B270)),"MAT",
IF(ISNUMBER(SEARCH("FRONT",Inventario!B270)),"FRO",
IF(ISNUMBER(SEARCH("BACK",Inventario!B270)),"BAC",
IF(ISNUMBER(SEARCH("MESH",Inventario!B270)),"MES",
IF(OR(ISNUMBER(SEARCH("BRILLANTE",Inventario!B270)),ISNUMBER(SEARCH("BTE",Inventario!B270))),"BRI",
IF(ISNUMBER(SEARCH("SINTETICA DELGADA",Inventario!B270)),"SD",
IF(ISNUMBER(SEARCH("SINTETICA GRUESA",Inventario!B270)),"SG",
IF(ISNUMBER(SEARCH("ESTATICO",Inventario!B270)),"EST",
IF(ISNUMBER(SEARCH("FLOOR",Inventario!B270)),"FLO",
IF(ISNUMBER(SEARCH("REFLECTIVO",Inventario!B270)),"REF",
IF(ISNUMBER(SEARCH("MICROPERFORADO",Inventario!B270)),"MI",
IF(ISNUMBER(SEARCH("CEPILLADO",Inventario!B270)),"CEP",
IF(ISNUMBER(SEARCH("ESPEJO",Inventario!B270)),"ESP",
IF(OR(ISNUMBER(SEARCH("UNIDIODO",Inventario!B270)),ISNUMBER(SEARCH("1 DIODO",Inventario!B270))),"1D",
IF(ISNUMBER(SEARCH("2 DIODOS",Inventario!B270)),"2D",
IF(ISNUMBER(SEARCH("3 DIODOS",Inventario!B270)),"3D","")))))))))))))))))</f>
        <v/>
      </c>
      <c r="D271" t="str">
        <f>IF(ISNUMBER(SEARCH("LX700",Inventario!B270)),"LX7",
IF(ISNUMBER(SEARCH("GRANDO",Inventario!B270)),"GRA",
IF(OR(ISNUMBER(SEARCH("CAMA PLANA",Inventario!B270)),ISNUMBER(SEARCH("FB700",Inventario!B270))),"CP",
IF(ISNUMBER(SEARCH("LX360",Inventario!B270)),"LX3",
IF(ISNUMBER(SEARCH("XEROX",Inventario!B270)),"XER",
IF(ISNUMBER(SEARCH("18 OZ",Inventario!B270)),"18OZ",
IF(ISNUMBER(SEARCH("15 OZ",Inventario!B270)),"15OZ",
IF(OR(ISNUMBER(SEARCH("13 OZ",Inventario!B270)),ISNUMBER(SEARCH("13 ONZAS",Inventario!B270))),"13OZ",
IF(OR(ISNUMBER(SEARCH("9 OZ",Inventario!B270)),ISNUMBER(SEARCH("9 ONZAS",Inventario!B270))),"09OZ","")))))))))</f>
        <v/>
      </c>
      <c r="E271" t="str">
        <f>IF(OR(ISNUMBER(SEARCH("TRANSPARENTE",Inventario!B270)),ISNUMBER(SEARCH("TRANSPARENTES",Inventario!B270))),"TR",
IF(OR(ISNUMBER(SEARCH("BLANCO",Inventario!B270)),ISNUMBER(SEARCH("BCO",Inventario!B270))),"BL",
IF(ISNUMBER(SEARCH("VERDE",Inventario!B270)),"VR",
IF(ISNUMBER(SEARCH("MORADO",Inventario!B270)),"MR",
IF(ISNUMBER(SEARCH("PLATA",Inventario!B270)),"PL",
IF(ISNUMBER(SEARCH("ORO",Inventario!B270)),"OR",
IF(ISNUMBER(SEARCH("AMARILLO",Inventario!B270)),"AM",
IF(ISNUMBER(SEARCH("NARANJA",Inventario!B270)),"NR",
IF(ISNUMBER(SEARCH("NEGRO",Inventario!B270)),"NG",
IF(ISNUMBER(SEARCH("ROJO",Inventario!B270)),"RJ",
IF(ISNUMBER(SEARCH("AZUL",Inventario!B270)),"AZ","")))))))))))</f>
        <v/>
      </c>
      <c r="F271" t="str">
        <f>IF(ISNUMBER(SEARCH("1,2 MM",Inventario!B270)),"1MM2",
IF(OR(ISNUMBER(SEARCH("2 MM",Inventario!B270)),ISNUMBER(SEARCH("2MM",Inventario!B270))),"2MM",
IF(OR(ISNUMBER(SEARCH("3 MM",Inventario!B270)),ISNUMBER(SEARCH("3MM",Inventario!B270))),"3MM",
IF(OR(ISNUMBER(SEARCH("4 MM",Inventario!B270)),ISNUMBER(SEARCH("4MM",Inventario!B270)),ISNUMBER(SEARCH("4 mm",Inventario!B270))),"4MM",
IF(OR(ISNUMBER(SEARCH("5 MM",Inventario!B270)),ISNUMBER(SEARCH("5MM",Inventario!B270))),"5MM",
IF(OR(ISNUMBER(SEARCH("6 MM",Inventario!B270)),ISNUMBER(SEARCH("6MM",Inventario!B270))),"6MM",
IF(OR(ISNUMBER(SEARCH("10 MM",Inventario!B270)),ISNUMBER(SEARCH("10MM",Inventario!B270))),"10MM","")))))))</f>
        <v/>
      </c>
      <c r="G271" t="str">
        <f>IF(ISNUMBER(SEARCH("ALTA RESISTENCIA",Inventario!B270)),"AR",IF(ISNUMBER(SEARCH("CAMPAÑA",Inventario!B270)),"CA",
IF(OR(ISNUMBER(SEARCH("CALIDO",Inventario!B270)),ISNUMBER(SEARCH("CÁLIDO",Inventario!B270))),"C",
IF(OR(ISNUMBER(SEARCH("TRASLUCIDO",Inventario!B270)),ISNUMBER(SEARCH("TRANSLUCIDO",Inventario!B270))),"TL",
IF(ISNUMBER(SEARCH("NEUTRO",Inventario!B270)),"N",
IF(ISNUMBER(SEARCH("FRIO",Inventario!B270)),"F",""))))))</f>
        <v/>
      </c>
      <c r="H271" t="str">
        <f>IF(ISNUMBER(SEARCH("SILED",Inventario!B270)),"SI",
IF(ISNUMBER(SEARCH("SYDEMEX",Inventario!B270)),"SY",
IF(ISNUMBER(SEARCH("ROHS",Inventario!B270)),"RO",
IF(ISNUMBER(SEARCH("RISHANG",Inventario!B270)),"RS",
IF(ISNUMBER(SEARCH("VYG",Inventario!B270)),"VYG",
IF(ISNUMBER(SEARCH("COLED",Inventario!B270)),"CO",""))))))</f>
        <v/>
      </c>
    </row>
    <row r="272" spans="1:8">
      <c r="A272" t="str">
        <f>IF(ISNUMBER(SEARCH("LONA",Inventario!B271)),"LON",
IF(ISNUMBER(SEARCH("VINIL",Inventario!B271)),"VIN",
IF(ISNUMBER(SEARCH("PANEL DE ALUMINIO COMPUESTO",Inventario!B271)),"PAN-ALU-COM",
IF(ISNUMBER(SEARCH("PVC",Inventario!B271)),"PVC",
IF(ISNUMBER(SEARCH("PAPEL",Inventario!B271)),"PAP",
IF(ISNUMBER(SEARCH("TELA",Inventario!B271)),"TEL",
IF(ISNUMBER(SEARCH("CARTULINA",Inventario!B271)),"CAR",
IF(OR(ISNUMBER(SEARCH("LAMINA",Inventario!B271)),ISNUMBER(SEARCH("LÁMINA",Inventario!B271))),"LAM",
IF(ISNUMBER(SEARCH("ESTIRENO",Inventario!B271)),"EST",
IF(ISNUMBER(SEARCH("FOAMBOARD",Inventario!B271)),"FOA",
IF(ISNUMBER(SEARCH("SOLVENTE",Inventario!B271)),"SOL",
IF(ISNUMBER(SEARCH("TINTA",Inventario!B271)),"TIN",
IF(ISNUMBER(SEARCH("ACRILICO",Inventario!B271)),"ACR",
IF(ISNUMBER(SEARCH("LED",Inventario!B271)),"LED",
IF(ISNUMBER(SEARCH("FUENTE",Inventario!B271)),"FUE",
IF(ISNUMBER(SEARCH("PETG",Inventario!B271)),"PET",
IF(ISNUMBER(SEARCH("ALUMINIO",Inventario!B271)),"ALU",
IF(ISNUMBER(SEARCH("CANAL",Inventario!B271)),"CAN",
IF(ISNUMBER(SEARCH("ESCUADRA",Inventario!B271)),"ESC",
IF(ISNUMBER(SEARCH("SOPORTE",Inventario!B271)),"SOP","OTR")
)))))))))))))))))))</f>
        <v>PET</v>
      </c>
      <c r="B272" t="str">
        <f>IF(ISNUMBER(SEARCH("CORTE",Inventario!B271)),"COR",
IF(ISNUMBER(SEARCH("CRISTAL",Inventario!B271)),"CR",
IF(OR(ISNUMBER(SEARCH("OPTICO",Inventario!B271)),ISNUMBER(SEARCH("OPTICOS",Inventario!B271)),ISNUMBER(SEARCH("OPTICA",Inventario!B271))),"OP",
IF(ISNUMBER(SEARCH("NANO",Inventario!B271)),"NA",
IF(ISNUMBER(SEARCH("5050",Inventario!B271)),"5050",
IF(ISNUMBER(SEARCH("MICRO",Inventario!B271)),"MI",""))))))</f>
        <v/>
      </c>
      <c r="C272" t="str">
        <f>IF(ISNUMBER(SEARCH("PARED",Inventario!B271)),"PAR",IF(ISNUMBER(SEARCH("MATE",Inventario!B271)),"MAT",
IF(ISNUMBER(SEARCH("FRONT",Inventario!B271)),"FRO",
IF(ISNUMBER(SEARCH("BACK",Inventario!B271)),"BAC",
IF(ISNUMBER(SEARCH("MESH",Inventario!B271)),"MES",
IF(OR(ISNUMBER(SEARCH("BRILLANTE",Inventario!B271)),ISNUMBER(SEARCH("BTE",Inventario!B271))),"BRI",
IF(ISNUMBER(SEARCH("SINTETICA DELGADA",Inventario!B271)),"SD",
IF(ISNUMBER(SEARCH("SINTETICA GRUESA",Inventario!B271)),"SG",
IF(ISNUMBER(SEARCH("ESTATICO",Inventario!B271)),"EST",
IF(ISNUMBER(SEARCH("FLOOR",Inventario!B271)),"FLO",
IF(ISNUMBER(SEARCH("REFLECTIVO",Inventario!B271)),"REF",
IF(ISNUMBER(SEARCH("MICROPERFORADO",Inventario!B271)),"MI",
IF(ISNUMBER(SEARCH("CEPILLADO",Inventario!B271)),"CEP",
IF(ISNUMBER(SEARCH("ESPEJO",Inventario!B271)),"ESP",
IF(OR(ISNUMBER(SEARCH("UNIDIODO",Inventario!B271)),ISNUMBER(SEARCH("1 DIODO",Inventario!B271))),"1D",
IF(ISNUMBER(SEARCH("2 DIODOS",Inventario!B271)),"2D",
IF(ISNUMBER(SEARCH("3 DIODOS",Inventario!B271)),"3D","")))))))))))))))))</f>
        <v/>
      </c>
      <c r="D272" t="str">
        <f>IF(ISNUMBER(SEARCH("LX700",Inventario!B271)),"LX7",
IF(ISNUMBER(SEARCH("GRANDO",Inventario!B271)),"GRA",
IF(OR(ISNUMBER(SEARCH("CAMA PLANA",Inventario!B271)),ISNUMBER(SEARCH("FB700",Inventario!B271))),"CP",
IF(ISNUMBER(SEARCH("LX360",Inventario!B271)),"LX3",
IF(ISNUMBER(SEARCH("XEROX",Inventario!B271)),"XER",
IF(ISNUMBER(SEARCH("18 OZ",Inventario!B271)),"18OZ",
IF(ISNUMBER(SEARCH("15 OZ",Inventario!B271)),"15OZ",
IF(OR(ISNUMBER(SEARCH("13 OZ",Inventario!B271)),ISNUMBER(SEARCH("13 ONZAS",Inventario!B271))),"13OZ",
IF(OR(ISNUMBER(SEARCH("9 OZ",Inventario!B271)),ISNUMBER(SEARCH("9 ONZAS",Inventario!B271))),"09OZ","")))))))))</f>
        <v/>
      </c>
      <c r="E272" t="str">
        <f>IF(OR(ISNUMBER(SEARCH("TRANSPARENTE",Inventario!B271)),ISNUMBER(SEARCH("TRANSPARENTES",Inventario!B271))),"TR",
IF(OR(ISNUMBER(SEARCH("BLANCO",Inventario!B271)),ISNUMBER(SEARCH("BCO",Inventario!B271))),"BL",
IF(ISNUMBER(SEARCH("VERDE",Inventario!B271)),"VR",
IF(ISNUMBER(SEARCH("MORADO",Inventario!B271)),"MR",
IF(ISNUMBER(SEARCH("PLATA",Inventario!B271)),"PL",
IF(ISNUMBER(SEARCH("ORO",Inventario!B271)),"OR",
IF(ISNUMBER(SEARCH("AMARILLO",Inventario!B271)),"AM",
IF(ISNUMBER(SEARCH("NARANJA",Inventario!B271)),"NR",
IF(ISNUMBER(SEARCH("NEGRO",Inventario!B271)),"NG",
IF(ISNUMBER(SEARCH("ROJO",Inventario!B271)),"RJ",
IF(ISNUMBER(SEARCH("AZUL",Inventario!B271)),"AZ","")))))))))))</f>
        <v/>
      </c>
      <c r="F272" t="str">
        <f>IF(ISNUMBER(SEARCH("1,2 MM",Inventario!B271)),"1MM2",
IF(OR(ISNUMBER(SEARCH("2 MM",Inventario!B271)),ISNUMBER(SEARCH("2MM",Inventario!B271))),"2MM",
IF(OR(ISNUMBER(SEARCH("3 MM",Inventario!B271)),ISNUMBER(SEARCH("3MM",Inventario!B271))),"3MM",
IF(OR(ISNUMBER(SEARCH("4 MM",Inventario!B271)),ISNUMBER(SEARCH("4MM",Inventario!B271)),ISNUMBER(SEARCH("4 mm",Inventario!B271))),"4MM",
IF(OR(ISNUMBER(SEARCH("5 MM",Inventario!B271)),ISNUMBER(SEARCH("5MM",Inventario!B271))),"5MM",
IF(OR(ISNUMBER(SEARCH("6 MM",Inventario!B271)),ISNUMBER(SEARCH("6MM",Inventario!B271))),"6MM",
IF(OR(ISNUMBER(SEARCH("10 MM",Inventario!B271)),ISNUMBER(SEARCH("10MM",Inventario!B271))),"10MM","")))))))</f>
        <v/>
      </c>
      <c r="G272" t="str">
        <f>IF(ISNUMBER(SEARCH("ALTA RESISTENCIA",Inventario!B271)),"AR",IF(ISNUMBER(SEARCH("CAMPAÑA",Inventario!B271)),"CA",
IF(OR(ISNUMBER(SEARCH("CALIDO",Inventario!B271)),ISNUMBER(SEARCH("CÁLIDO",Inventario!B271))),"C",
IF(OR(ISNUMBER(SEARCH("TRASLUCIDO",Inventario!B271)),ISNUMBER(SEARCH("TRANSLUCIDO",Inventario!B271))),"TL",
IF(ISNUMBER(SEARCH("NEUTRO",Inventario!B271)),"N",
IF(ISNUMBER(SEARCH("FRIO",Inventario!B271)),"F",""))))))</f>
        <v/>
      </c>
      <c r="H272" t="str">
        <f>IF(ISNUMBER(SEARCH("SILED",Inventario!B271)),"SI",
IF(ISNUMBER(SEARCH("SYDEMEX",Inventario!B271)),"SY",
IF(ISNUMBER(SEARCH("ROHS",Inventario!B271)),"RO",
IF(ISNUMBER(SEARCH("RISHANG",Inventario!B271)),"RS",
IF(ISNUMBER(SEARCH("VYG",Inventario!B271)),"VYG",
IF(ISNUMBER(SEARCH("COLED",Inventario!B271)),"CO",""))))))</f>
        <v/>
      </c>
    </row>
    <row r="273" spans="1:8">
      <c r="A273" t="str">
        <f>IF(ISNUMBER(SEARCH("LONA",Inventario!B272)),"LON",
IF(ISNUMBER(SEARCH("VINIL",Inventario!B272)),"VIN",
IF(ISNUMBER(SEARCH("PANEL DE ALUMINIO COMPUESTO",Inventario!B272)),"PAN-ALU-COM",
IF(ISNUMBER(SEARCH("PVC",Inventario!B272)),"PVC",
IF(ISNUMBER(SEARCH("PAPEL",Inventario!B272)),"PAP",
IF(ISNUMBER(SEARCH("TELA",Inventario!B272)),"TEL",
IF(ISNUMBER(SEARCH("CARTULINA",Inventario!B272)),"CAR",
IF(OR(ISNUMBER(SEARCH("LAMINA",Inventario!B272)),ISNUMBER(SEARCH("LÁMINA",Inventario!B272))),"LAM",
IF(ISNUMBER(SEARCH("ESTIRENO",Inventario!B272)),"EST",
IF(ISNUMBER(SEARCH("FOAMBOARD",Inventario!B272)),"FOA",
IF(ISNUMBER(SEARCH("SOLVENTE",Inventario!B272)),"SOL",
IF(ISNUMBER(SEARCH("TINTA",Inventario!B272)),"TIN",
IF(ISNUMBER(SEARCH("ACRILICO",Inventario!B272)),"ACR",
IF(ISNUMBER(SEARCH("LED",Inventario!B272)),"LED",
IF(ISNUMBER(SEARCH("FUENTE",Inventario!B272)),"FUE",
IF(ISNUMBER(SEARCH("PETG",Inventario!B272)),"PET",
IF(ISNUMBER(SEARCH("ALUMINIO",Inventario!B272)),"ALU",
IF(ISNUMBER(SEARCH("CANAL",Inventario!B272)),"CAN",
IF(ISNUMBER(SEARCH("ESCUADRA",Inventario!B272)),"ESC",
IF(ISNUMBER(SEARCH("SOPORTE",Inventario!B272)),"SOP","OTR")
)))))))))))))))))))</f>
        <v>ALU</v>
      </c>
      <c r="B273" t="str">
        <f>IF(ISNUMBER(SEARCH("CORTE",Inventario!B272)),"COR",
IF(ISNUMBER(SEARCH("CRISTAL",Inventario!B272)),"CR",
IF(OR(ISNUMBER(SEARCH("OPTICO",Inventario!B272)),ISNUMBER(SEARCH("OPTICOS",Inventario!B272)),ISNUMBER(SEARCH("OPTICA",Inventario!B272))),"OP",
IF(ISNUMBER(SEARCH("NANO",Inventario!B272)),"NA",
IF(ISNUMBER(SEARCH("5050",Inventario!B272)),"5050",
IF(ISNUMBER(SEARCH("MICRO",Inventario!B272)),"MI",""))))))</f>
        <v/>
      </c>
      <c r="C273" t="str">
        <f>IF(ISNUMBER(SEARCH("PARED",Inventario!B272)),"PAR",IF(ISNUMBER(SEARCH("MATE",Inventario!B272)),"MAT",
IF(ISNUMBER(SEARCH("FRONT",Inventario!B272)),"FRO",
IF(ISNUMBER(SEARCH("BACK",Inventario!B272)),"BAC",
IF(ISNUMBER(SEARCH("MESH",Inventario!B272)),"MES",
IF(OR(ISNUMBER(SEARCH("BRILLANTE",Inventario!B272)),ISNUMBER(SEARCH("BTE",Inventario!B272))),"BRI",
IF(ISNUMBER(SEARCH("SINTETICA DELGADA",Inventario!B272)),"SD",
IF(ISNUMBER(SEARCH("SINTETICA GRUESA",Inventario!B272)),"SG",
IF(ISNUMBER(SEARCH("ESTATICO",Inventario!B272)),"EST",
IF(ISNUMBER(SEARCH("FLOOR",Inventario!B272)),"FLO",
IF(ISNUMBER(SEARCH("REFLECTIVO",Inventario!B272)),"REF",
IF(ISNUMBER(SEARCH("MICROPERFORADO",Inventario!B272)),"MI",
IF(ISNUMBER(SEARCH("CEPILLADO",Inventario!B272)),"CEP",
IF(ISNUMBER(SEARCH("ESPEJO",Inventario!B272)),"ESP",
IF(OR(ISNUMBER(SEARCH("UNIDIODO",Inventario!B272)),ISNUMBER(SEARCH("1 DIODO",Inventario!B272))),"1D",
IF(ISNUMBER(SEARCH("2 DIODOS",Inventario!B272)),"2D",
IF(ISNUMBER(SEARCH("3 DIODOS",Inventario!B272)),"3D","")))))))))))))))))</f>
        <v>CEP</v>
      </c>
      <c r="D273" t="str">
        <f>IF(ISNUMBER(SEARCH("LX700",Inventario!B272)),"LX7",
IF(ISNUMBER(SEARCH("GRANDO",Inventario!B272)),"GRA",
IF(OR(ISNUMBER(SEARCH("CAMA PLANA",Inventario!B272)),ISNUMBER(SEARCH("FB700",Inventario!B272))),"CP",
IF(ISNUMBER(SEARCH("LX360",Inventario!B272)),"LX3",
IF(ISNUMBER(SEARCH("XEROX",Inventario!B272)),"XER",
IF(ISNUMBER(SEARCH("18 OZ",Inventario!B272)),"18OZ",
IF(ISNUMBER(SEARCH("15 OZ",Inventario!B272)),"15OZ",
IF(OR(ISNUMBER(SEARCH("13 OZ",Inventario!B272)),ISNUMBER(SEARCH("13 ONZAS",Inventario!B272))),"13OZ",
IF(OR(ISNUMBER(SEARCH("9 OZ",Inventario!B272)),ISNUMBER(SEARCH("9 ONZAS",Inventario!B272))),"09OZ","")))))))))</f>
        <v/>
      </c>
      <c r="E273" t="str">
        <f>IF(OR(ISNUMBER(SEARCH("TRANSPARENTE",Inventario!B272)),ISNUMBER(SEARCH("TRANSPARENTES",Inventario!B272))),"TR",
IF(OR(ISNUMBER(SEARCH("BLANCO",Inventario!B272)),ISNUMBER(SEARCH("BCO",Inventario!B272))),"BL",
IF(ISNUMBER(SEARCH("VERDE",Inventario!B272)),"VR",
IF(ISNUMBER(SEARCH("MORADO",Inventario!B272)),"MR",
IF(ISNUMBER(SEARCH("PLATA",Inventario!B272)),"PL",
IF(ISNUMBER(SEARCH("ORO",Inventario!B272)),"OR",
IF(ISNUMBER(SEARCH("AMARILLO",Inventario!B272)),"AM",
IF(ISNUMBER(SEARCH("NARANJA",Inventario!B272)),"NR",
IF(ISNUMBER(SEARCH("NEGRO",Inventario!B272)),"NG",
IF(ISNUMBER(SEARCH("ROJO",Inventario!B272)),"RJ",
IF(ISNUMBER(SEARCH("AZUL",Inventario!B272)),"AZ","")))))))))))</f>
        <v>PL</v>
      </c>
      <c r="F273" t="str">
        <f>IF(ISNUMBER(SEARCH("1,2 MM",Inventario!B272)),"1MM2",
IF(OR(ISNUMBER(SEARCH("2 MM",Inventario!B272)),ISNUMBER(SEARCH("2MM",Inventario!B272))),"2MM",
IF(OR(ISNUMBER(SEARCH("3 MM",Inventario!B272)),ISNUMBER(SEARCH("3MM",Inventario!B272))),"3MM",
IF(OR(ISNUMBER(SEARCH("4 MM",Inventario!B272)),ISNUMBER(SEARCH("4MM",Inventario!B272)),ISNUMBER(SEARCH("4 mm",Inventario!B272))),"4MM",
IF(OR(ISNUMBER(SEARCH("5 MM",Inventario!B272)),ISNUMBER(SEARCH("5MM",Inventario!B272))),"5MM",
IF(OR(ISNUMBER(SEARCH("6 MM",Inventario!B272)),ISNUMBER(SEARCH("6MM",Inventario!B272))),"6MM",
IF(OR(ISNUMBER(SEARCH("10 MM",Inventario!B272)),ISNUMBER(SEARCH("10MM",Inventario!B272))),"10MM","")))))))</f>
        <v/>
      </c>
      <c r="G273" t="str">
        <f>IF(ISNUMBER(SEARCH("ALTA RESISTENCIA",Inventario!B272)),"AR",IF(ISNUMBER(SEARCH("CAMPAÑA",Inventario!B272)),"CA",
IF(OR(ISNUMBER(SEARCH("CALIDO",Inventario!B272)),ISNUMBER(SEARCH("CÁLIDO",Inventario!B272))),"C",
IF(OR(ISNUMBER(SEARCH("TRASLUCIDO",Inventario!B272)),ISNUMBER(SEARCH("TRANSLUCIDO",Inventario!B272))),"TL",
IF(ISNUMBER(SEARCH("NEUTRO",Inventario!B272)),"N",
IF(ISNUMBER(SEARCH("FRIO",Inventario!B272)),"F",""))))))</f>
        <v/>
      </c>
      <c r="H273" t="str">
        <f>IF(ISNUMBER(SEARCH("SILED",Inventario!B272)),"SI",
IF(ISNUMBER(SEARCH("SYDEMEX",Inventario!B272)),"SY",
IF(ISNUMBER(SEARCH("ROHS",Inventario!B272)),"RO",
IF(ISNUMBER(SEARCH("RISHANG",Inventario!B272)),"RS",
IF(ISNUMBER(SEARCH("VYG",Inventario!B272)),"VYG",
IF(ISNUMBER(SEARCH("COLED",Inventario!B272)),"CO",""))))))</f>
        <v/>
      </c>
    </row>
    <row r="274" spans="1:8">
      <c r="A274" t="str">
        <f>IF(ISNUMBER(SEARCH("LONA",Inventario!B273)),"LON",
IF(ISNUMBER(SEARCH("VINIL",Inventario!B273)),"VIN",
IF(ISNUMBER(SEARCH("PANEL DE ALUMINIO COMPUESTO",Inventario!B273)),"PAN-ALU-COM",
IF(ISNUMBER(SEARCH("PVC",Inventario!B273)),"PVC",
IF(ISNUMBER(SEARCH("PAPEL",Inventario!B273)),"PAP",
IF(ISNUMBER(SEARCH("TELA",Inventario!B273)),"TEL",
IF(ISNUMBER(SEARCH("CARTULINA",Inventario!B273)),"CAR",
IF(OR(ISNUMBER(SEARCH("LAMINA",Inventario!B273)),ISNUMBER(SEARCH("LÁMINA",Inventario!B273))),"LAM",
IF(ISNUMBER(SEARCH("ESTIRENO",Inventario!B273)),"EST",
IF(ISNUMBER(SEARCH("FOAMBOARD",Inventario!B273)),"FOA",
IF(ISNUMBER(SEARCH("SOLVENTE",Inventario!B273)),"SOL",
IF(ISNUMBER(SEARCH("TINTA",Inventario!B273)),"TIN",
IF(ISNUMBER(SEARCH("ACRILICO",Inventario!B273)),"ACR",
IF(ISNUMBER(SEARCH("LED",Inventario!B273)),"LED",
IF(ISNUMBER(SEARCH("FUENTE",Inventario!B273)),"FUE",
IF(ISNUMBER(SEARCH("PETG",Inventario!B273)),"PET",
IF(ISNUMBER(SEARCH("ALUMINIO",Inventario!B273)),"ALU",
IF(ISNUMBER(SEARCH("CANAL",Inventario!B273)),"CAN",
IF(ISNUMBER(SEARCH("ESCUADRA",Inventario!B273)),"ESC",
IF(ISNUMBER(SEARCH("SOPORTE",Inventario!B273)),"SOP","OTR")
)))))))))))))))))))</f>
        <v>ALU</v>
      </c>
      <c r="B274" t="str">
        <f>IF(ISNUMBER(SEARCH("CORTE",Inventario!B273)),"COR",
IF(ISNUMBER(SEARCH("CRISTAL",Inventario!B273)),"CR",
IF(OR(ISNUMBER(SEARCH("OPTICO",Inventario!B273)),ISNUMBER(SEARCH("OPTICOS",Inventario!B273)),ISNUMBER(SEARCH("OPTICA",Inventario!B273))),"OP",
IF(ISNUMBER(SEARCH("NANO",Inventario!B273)),"NA",
IF(ISNUMBER(SEARCH("5050",Inventario!B273)),"5050",
IF(ISNUMBER(SEARCH("MICRO",Inventario!B273)),"MI",""))))))</f>
        <v/>
      </c>
      <c r="C274" t="str">
        <f>IF(ISNUMBER(SEARCH("PARED",Inventario!B273)),"PAR",IF(ISNUMBER(SEARCH("MATE",Inventario!B273)),"MAT",
IF(ISNUMBER(SEARCH("FRONT",Inventario!B273)),"FRO",
IF(ISNUMBER(SEARCH("BACK",Inventario!B273)),"BAC",
IF(ISNUMBER(SEARCH("MESH",Inventario!B273)),"MES",
IF(OR(ISNUMBER(SEARCH("BRILLANTE",Inventario!B273)),ISNUMBER(SEARCH("BTE",Inventario!B273))),"BRI",
IF(ISNUMBER(SEARCH("SINTETICA DELGADA",Inventario!B273)),"SD",
IF(ISNUMBER(SEARCH("SINTETICA GRUESA",Inventario!B273)),"SG",
IF(ISNUMBER(SEARCH("ESTATICO",Inventario!B273)),"EST",
IF(ISNUMBER(SEARCH("FLOOR",Inventario!B273)),"FLO",
IF(ISNUMBER(SEARCH("REFLECTIVO",Inventario!B273)),"REF",
IF(ISNUMBER(SEARCH("MICROPERFORADO",Inventario!B273)),"MI",
IF(ISNUMBER(SEARCH("CEPILLADO",Inventario!B273)),"CEP",
IF(ISNUMBER(SEARCH("ESPEJO",Inventario!B273)),"ESP",
IF(OR(ISNUMBER(SEARCH("UNIDIODO",Inventario!B273)),ISNUMBER(SEARCH("1 DIODO",Inventario!B273))),"1D",
IF(ISNUMBER(SEARCH("2 DIODOS",Inventario!B273)),"2D",
IF(ISNUMBER(SEARCH("3 DIODOS",Inventario!B273)),"3D","")))))))))))))))))</f>
        <v>ESP</v>
      </c>
      <c r="D274" t="str">
        <f>IF(ISNUMBER(SEARCH("LX700",Inventario!B273)),"LX7",
IF(ISNUMBER(SEARCH("GRANDO",Inventario!B273)),"GRA",
IF(OR(ISNUMBER(SEARCH("CAMA PLANA",Inventario!B273)),ISNUMBER(SEARCH("FB700",Inventario!B273))),"CP",
IF(ISNUMBER(SEARCH("LX360",Inventario!B273)),"LX3",
IF(ISNUMBER(SEARCH("XEROX",Inventario!B273)),"XER",
IF(ISNUMBER(SEARCH("18 OZ",Inventario!B273)),"18OZ",
IF(ISNUMBER(SEARCH("15 OZ",Inventario!B273)),"15OZ",
IF(OR(ISNUMBER(SEARCH("13 OZ",Inventario!B273)),ISNUMBER(SEARCH("13 ONZAS",Inventario!B273))),"13OZ",
IF(OR(ISNUMBER(SEARCH("9 OZ",Inventario!B273)),ISNUMBER(SEARCH("9 ONZAS",Inventario!B273))),"09OZ","")))))))))</f>
        <v/>
      </c>
      <c r="E274" t="str">
        <f>IF(OR(ISNUMBER(SEARCH("TRANSPARENTE",Inventario!B273)),ISNUMBER(SEARCH("TRANSPARENTES",Inventario!B273))),"TR",
IF(OR(ISNUMBER(SEARCH("BLANCO",Inventario!B273)),ISNUMBER(SEARCH("BCO",Inventario!B273))),"BL",
IF(ISNUMBER(SEARCH("VERDE",Inventario!B273)),"VR",
IF(ISNUMBER(SEARCH("MORADO",Inventario!B273)),"MR",
IF(ISNUMBER(SEARCH("PLATA",Inventario!B273)),"PL",
IF(ISNUMBER(SEARCH("ORO",Inventario!B273)),"OR",
IF(ISNUMBER(SEARCH("AMARILLO",Inventario!B273)),"AM",
IF(ISNUMBER(SEARCH("NARANJA",Inventario!B273)),"NR",
IF(ISNUMBER(SEARCH("NEGRO",Inventario!B273)),"NG",
IF(ISNUMBER(SEARCH("ROJO",Inventario!B273)),"RJ",
IF(ISNUMBER(SEARCH("AZUL",Inventario!B273)),"AZ","")))))))))))</f>
        <v>OR</v>
      </c>
      <c r="F274" t="str">
        <f>IF(ISNUMBER(SEARCH("1,2 MM",Inventario!B273)),"1MM2",
IF(OR(ISNUMBER(SEARCH("2 MM",Inventario!B273)),ISNUMBER(SEARCH("2MM",Inventario!B273))),"2MM",
IF(OR(ISNUMBER(SEARCH("3 MM",Inventario!B273)),ISNUMBER(SEARCH("3MM",Inventario!B273))),"3MM",
IF(OR(ISNUMBER(SEARCH("4 MM",Inventario!B273)),ISNUMBER(SEARCH("4MM",Inventario!B273)),ISNUMBER(SEARCH("4 mm",Inventario!B273))),"4MM",
IF(OR(ISNUMBER(SEARCH("5 MM",Inventario!B273)),ISNUMBER(SEARCH("5MM",Inventario!B273))),"5MM",
IF(OR(ISNUMBER(SEARCH("6 MM",Inventario!B273)),ISNUMBER(SEARCH("6MM",Inventario!B273))),"6MM",
IF(OR(ISNUMBER(SEARCH("10 MM",Inventario!B273)),ISNUMBER(SEARCH("10MM",Inventario!B273))),"10MM","")))))))</f>
        <v/>
      </c>
      <c r="G274" t="str">
        <f>IF(ISNUMBER(SEARCH("ALTA RESISTENCIA",Inventario!B273)),"AR",IF(ISNUMBER(SEARCH("CAMPAÑA",Inventario!B273)),"CA",
IF(OR(ISNUMBER(SEARCH("CALIDO",Inventario!B273)),ISNUMBER(SEARCH("CÁLIDO",Inventario!B273))),"C",
IF(OR(ISNUMBER(SEARCH("TRASLUCIDO",Inventario!B273)),ISNUMBER(SEARCH("TRANSLUCIDO",Inventario!B273))),"TL",
IF(ISNUMBER(SEARCH("NEUTRO",Inventario!B273)),"N",
IF(ISNUMBER(SEARCH("FRIO",Inventario!B273)),"F",""))))))</f>
        <v/>
      </c>
      <c r="H274" t="str">
        <f>IF(ISNUMBER(SEARCH("SILED",Inventario!B273)),"SI",
IF(ISNUMBER(SEARCH("SYDEMEX",Inventario!B273)),"SY",
IF(ISNUMBER(SEARCH("ROHS",Inventario!B273)),"RO",
IF(ISNUMBER(SEARCH("RISHANG",Inventario!B273)),"RS",
IF(ISNUMBER(SEARCH("VYG",Inventario!B273)),"VYG",
IF(ISNUMBER(SEARCH("COLED",Inventario!B273)),"CO",""))))))</f>
        <v/>
      </c>
    </row>
    <row r="275" spans="1:8">
      <c r="A275" t="str">
        <f>IF(ISNUMBER(SEARCH("LONA",Inventario!B274)),"LON",
IF(ISNUMBER(SEARCH("VINIL",Inventario!B274)),"VIN",
IF(ISNUMBER(SEARCH("PANEL DE ALUMINIO COMPUESTO",Inventario!B274)),"PAN-ALU-COM",
IF(ISNUMBER(SEARCH("PVC",Inventario!B274)),"PVC",
IF(ISNUMBER(SEARCH("PAPEL",Inventario!B274)),"PAP",
IF(ISNUMBER(SEARCH("TELA",Inventario!B274)),"TEL",
IF(ISNUMBER(SEARCH("CARTULINA",Inventario!B274)),"CAR",
IF(OR(ISNUMBER(SEARCH("LAMINA",Inventario!B274)),ISNUMBER(SEARCH("LÁMINA",Inventario!B274))),"LAM",
IF(ISNUMBER(SEARCH("ESTIRENO",Inventario!B274)),"EST",
IF(ISNUMBER(SEARCH("FOAMBOARD",Inventario!B274)),"FOA",
IF(ISNUMBER(SEARCH("SOLVENTE",Inventario!B274)),"SOL",
IF(ISNUMBER(SEARCH("TINTA",Inventario!B274)),"TIN",
IF(ISNUMBER(SEARCH("ACRILICO",Inventario!B274)),"ACR",
IF(ISNUMBER(SEARCH("LED",Inventario!B274)),"LED",
IF(ISNUMBER(SEARCH("FUENTE",Inventario!B274)),"FUE",
IF(ISNUMBER(SEARCH("PETG",Inventario!B274)),"PET",
IF(ISNUMBER(SEARCH("ALUMINIO",Inventario!B274)),"ALU",
IF(ISNUMBER(SEARCH("CANAL",Inventario!B274)),"CAN",
IF(ISNUMBER(SEARCH("ESCUADRA",Inventario!B274)),"ESC",
IF(ISNUMBER(SEARCH("SOPORTE",Inventario!B274)),"SOP","OTR")
)))))))))))))))))))</f>
        <v>ALU</v>
      </c>
      <c r="B275" t="str">
        <f>IF(ISNUMBER(SEARCH("CORTE",Inventario!B274)),"COR",
IF(ISNUMBER(SEARCH("CRISTAL",Inventario!B274)),"CR",
IF(OR(ISNUMBER(SEARCH("OPTICO",Inventario!B274)),ISNUMBER(SEARCH("OPTICOS",Inventario!B274)),ISNUMBER(SEARCH("OPTICA",Inventario!B274))),"OP",
IF(ISNUMBER(SEARCH("NANO",Inventario!B274)),"NA",
IF(ISNUMBER(SEARCH("5050",Inventario!B274)),"5050",
IF(ISNUMBER(SEARCH("MICRO",Inventario!B274)),"MI",""))))))</f>
        <v/>
      </c>
      <c r="C275" t="str">
        <f>IF(ISNUMBER(SEARCH("PARED",Inventario!B274)),"PAR",IF(ISNUMBER(SEARCH("MATE",Inventario!B274)),"MAT",
IF(ISNUMBER(SEARCH("FRONT",Inventario!B274)),"FRO",
IF(ISNUMBER(SEARCH("BACK",Inventario!B274)),"BAC",
IF(ISNUMBER(SEARCH("MESH",Inventario!B274)),"MES",
IF(OR(ISNUMBER(SEARCH("BRILLANTE",Inventario!B274)),ISNUMBER(SEARCH("BTE",Inventario!B274))),"BRI",
IF(ISNUMBER(SEARCH("SINTETICA DELGADA",Inventario!B274)),"SD",
IF(ISNUMBER(SEARCH("SINTETICA GRUESA",Inventario!B274)),"SG",
IF(ISNUMBER(SEARCH("ESTATICO",Inventario!B274)),"EST",
IF(ISNUMBER(SEARCH("FLOOR",Inventario!B274)),"FLO",
IF(ISNUMBER(SEARCH("REFLECTIVO",Inventario!B274)),"REF",
IF(ISNUMBER(SEARCH("MICROPERFORADO",Inventario!B274)),"MI",
IF(ISNUMBER(SEARCH("CEPILLADO",Inventario!B274)),"CEP",
IF(ISNUMBER(SEARCH("ESPEJO",Inventario!B274)),"ESP",
IF(OR(ISNUMBER(SEARCH("UNIDIODO",Inventario!B274)),ISNUMBER(SEARCH("1 DIODO",Inventario!B274))),"1D",
IF(ISNUMBER(SEARCH("2 DIODOS",Inventario!B274)),"2D",
IF(ISNUMBER(SEARCH("3 DIODOS",Inventario!B274)),"3D","")))))))))))))))))</f>
        <v>CEP</v>
      </c>
      <c r="D275" t="str">
        <f>IF(ISNUMBER(SEARCH("LX700",Inventario!B274)),"LX7",
IF(ISNUMBER(SEARCH("GRANDO",Inventario!B274)),"GRA",
IF(OR(ISNUMBER(SEARCH("CAMA PLANA",Inventario!B274)),ISNUMBER(SEARCH("FB700",Inventario!B274))),"CP",
IF(ISNUMBER(SEARCH("LX360",Inventario!B274)),"LX3",
IF(ISNUMBER(SEARCH("XEROX",Inventario!B274)),"XER",
IF(ISNUMBER(SEARCH("18 OZ",Inventario!B274)),"18OZ",
IF(ISNUMBER(SEARCH("15 OZ",Inventario!B274)),"15OZ",
IF(OR(ISNUMBER(SEARCH("13 OZ",Inventario!B274)),ISNUMBER(SEARCH("13 ONZAS",Inventario!B274))),"13OZ",
IF(OR(ISNUMBER(SEARCH("9 OZ",Inventario!B274)),ISNUMBER(SEARCH("9 ONZAS",Inventario!B274))),"09OZ","")))))))))</f>
        <v/>
      </c>
      <c r="E275" t="str">
        <f>IF(OR(ISNUMBER(SEARCH("TRANSPARENTE",Inventario!B274)),ISNUMBER(SEARCH("TRANSPARENTES",Inventario!B274))),"TR",
IF(OR(ISNUMBER(SEARCH("BLANCO",Inventario!B274)),ISNUMBER(SEARCH("BCO",Inventario!B274))),"BL",
IF(ISNUMBER(SEARCH("VERDE",Inventario!B274)),"VR",
IF(ISNUMBER(SEARCH("MORADO",Inventario!B274)),"MR",
IF(ISNUMBER(SEARCH("PLATA",Inventario!B274)),"PL",
IF(ISNUMBER(SEARCH("ORO",Inventario!B274)),"OR",
IF(ISNUMBER(SEARCH("AMARILLO",Inventario!B274)),"AM",
IF(ISNUMBER(SEARCH("NARANJA",Inventario!B274)),"NR",
IF(ISNUMBER(SEARCH("NEGRO",Inventario!B274)),"NG",
IF(ISNUMBER(SEARCH("ROJO",Inventario!B274)),"RJ",
IF(ISNUMBER(SEARCH("AZUL",Inventario!B274)),"AZ","")))))))))))</f>
        <v>OR</v>
      </c>
      <c r="F275" t="str">
        <f>IF(ISNUMBER(SEARCH("1,2 MM",Inventario!B274)),"1MM2",
IF(OR(ISNUMBER(SEARCH("2 MM",Inventario!B274)),ISNUMBER(SEARCH("2MM",Inventario!B274))),"2MM",
IF(OR(ISNUMBER(SEARCH("3 MM",Inventario!B274)),ISNUMBER(SEARCH("3MM",Inventario!B274))),"3MM",
IF(OR(ISNUMBER(SEARCH("4 MM",Inventario!B274)),ISNUMBER(SEARCH("4MM",Inventario!B274)),ISNUMBER(SEARCH("4 mm",Inventario!B274))),"4MM",
IF(OR(ISNUMBER(SEARCH("5 MM",Inventario!B274)),ISNUMBER(SEARCH("5MM",Inventario!B274))),"5MM",
IF(OR(ISNUMBER(SEARCH("6 MM",Inventario!B274)),ISNUMBER(SEARCH("6MM",Inventario!B274))),"6MM",
IF(OR(ISNUMBER(SEARCH("10 MM",Inventario!B274)),ISNUMBER(SEARCH("10MM",Inventario!B274))),"10MM","")))))))</f>
        <v/>
      </c>
      <c r="G275" t="str">
        <f>IF(ISNUMBER(SEARCH("ALTA RESISTENCIA",Inventario!B274)),"AR",IF(ISNUMBER(SEARCH("CAMPAÑA",Inventario!B274)),"CA",
IF(OR(ISNUMBER(SEARCH("CALIDO",Inventario!B274)),ISNUMBER(SEARCH("CÁLIDO",Inventario!B274))),"C",
IF(OR(ISNUMBER(SEARCH("TRASLUCIDO",Inventario!B274)),ISNUMBER(SEARCH("TRANSLUCIDO",Inventario!B274))),"TL",
IF(ISNUMBER(SEARCH("NEUTRO",Inventario!B274)),"N",
IF(ISNUMBER(SEARCH("FRIO",Inventario!B274)),"F",""))))))</f>
        <v/>
      </c>
      <c r="H275" t="str">
        <f>IF(ISNUMBER(SEARCH("SILED",Inventario!B274)),"SI",
IF(ISNUMBER(SEARCH("SYDEMEX",Inventario!B274)),"SY",
IF(ISNUMBER(SEARCH("ROHS",Inventario!B274)),"RO",
IF(ISNUMBER(SEARCH("RISHANG",Inventario!B274)),"RS",
IF(ISNUMBER(SEARCH("VYG",Inventario!B274)),"VYG",
IF(ISNUMBER(SEARCH("COLED",Inventario!B274)),"CO",""))))))</f>
        <v/>
      </c>
    </row>
    <row r="276" spans="1:8">
      <c r="A276" t="str">
        <f>IF(ISNUMBER(SEARCH("LONA",Inventario!B275)),"LON",
IF(ISNUMBER(SEARCH("VINIL",Inventario!B275)),"VIN",
IF(ISNUMBER(SEARCH("PANEL DE ALUMINIO COMPUESTO",Inventario!B275)),"PAN-ALU-COM",
IF(ISNUMBER(SEARCH("PVC",Inventario!B275)),"PVC",
IF(ISNUMBER(SEARCH("PAPEL",Inventario!B275)),"PAP",
IF(ISNUMBER(SEARCH("TELA",Inventario!B275)),"TEL",
IF(ISNUMBER(SEARCH("CARTULINA",Inventario!B275)),"CAR",
IF(OR(ISNUMBER(SEARCH("LAMINA",Inventario!B275)),ISNUMBER(SEARCH("LÁMINA",Inventario!B275))),"LAM",
IF(ISNUMBER(SEARCH("ESTIRENO",Inventario!B275)),"EST",
IF(ISNUMBER(SEARCH("FOAMBOARD",Inventario!B275)),"FOA",
IF(ISNUMBER(SEARCH("SOLVENTE",Inventario!B275)),"SOL",
IF(ISNUMBER(SEARCH("TINTA",Inventario!B275)),"TIN",
IF(ISNUMBER(SEARCH("ACRILICO",Inventario!B275)),"ACR",
IF(ISNUMBER(SEARCH("LED",Inventario!B275)),"LED",
IF(ISNUMBER(SEARCH("FUENTE",Inventario!B275)),"FUE",
IF(ISNUMBER(SEARCH("PETG",Inventario!B275)),"PET",
IF(ISNUMBER(SEARCH("ALUMINIO",Inventario!B275)),"ALU",
IF(ISNUMBER(SEARCH("CANAL",Inventario!B275)),"CAN",
IF(ISNUMBER(SEARCH("ESCUADRA",Inventario!B275)),"ESC",
IF(ISNUMBER(SEARCH("SOPORTE",Inventario!B275)),"SOP","OTR")
)))))))))))))))))))</f>
        <v>ALU</v>
      </c>
      <c r="B276" t="str">
        <f>IF(ISNUMBER(SEARCH("CORTE",Inventario!B275)),"COR",
IF(ISNUMBER(SEARCH("CRISTAL",Inventario!B275)),"CR",
IF(OR(ISNUMBER(SEARCH("OPTICO",Inventario!B275)),ISNUMBER(SEARCH("OPTICOS",Inventario!B275)),ISNUMBER(SEARCH("OPTICA",Inventario!B275))),"OP",
IF(ISNUMBER(SEARCH("NANO",Inventario!B275)),"NA",
IF(ISNUMBER(SEARCH("5050",Inventario!B275)),"5050",
IF(ISNUMBER(SEARCH("MICRO",Inventario!B275)),"MI",""))))))</f>
        <v/>
      </c>
      <c r="C276" t="str">
        <f>IF(ISNUMBER(SEARCH("PARED",Inventario!B275)),"PAR",IF(ISNUMBER(SEARCH("MATE",Inventario!B275)),"MAT",
IF(ISNUMBER(SEARCH("FRONT",Inventario!B275)),"FRO",
IF(ISNUMBER(SEARCH("BACK",Inventario!B275)),"BAC",
IF(ISNUMBER(SEARCH("MESH",Inventario!B275)),"MES",
IF(OR(ISNUMBER(SEARCH("BRILLANTE",Inventario!B275)),ISNUMBER(SEARCH("BTE",Inventario!B275))),"BRI",
IF(ISNUMBER(SEARCH("SINTETICA DELGADA",Inventario!B275)),"SD",
IF(ISNUMBER(SEARCH("SINTETICA GRUESA",Inventario!B275)),"SG",
IF(ISNUMBER(SEARCH("ESTATICO",Inventario!B275)),"EST",
IF(ISNUMBER(SEARCH("FLOOR",Inventario!B275)),"FLO",
IF(ISNUMBER(SEARCH("REFLECTIVO",Inventario!B275)),"REF",
IF(ISNUMBER(SEARCH("MICROPERFORADO",Inventario!B275)),"MI",
IF(ISNUMBER(SEARCH("CEPILLADO",Inventario!B275)),"CEP",
IF(ISNUMBER(SEARCH("ESPEJO",Inventario!B275)),"ESP",
IF(OR(ISNUMBER(SEARCH("UNIDIODO",Inventario!B275)),ISNUMBER(SEARCH("1 DIODO",Inventario!B275))),"1D",
IF(ISNUMBER(SEARCH("2 DIODOS",Inventario!B275)),"2D",
IF(ISNUMBER(SEARCH("3 DIODOS",Inventario!B275)),"3D","")))))))))))))))))</f>
        <v>ESP</v>
      </c>
      <c r="D276" t="str">
        <f>IF(ISNUMBER(SEARCH("LX700",Inventario!B275)),"LX7",
IF(ISNUMBER(SEARCH("GRANDO",Inventario!B275)),"GRA",
IF(OR(ISNUMBER(SEARCH("CAMA PLANA",Inventario!B275)),ISNUMBER(SEARCH("FB700",Inventario!B275))),"CP",
IF(ISNUMBER(SEARCH("LX360",Inventario!B275)),"LX3",
IF(ISNUMBER(SEARCH("XEROX",Inventario!B275)),"XER",
IF(ISNUMBER(SEARCH("18 OZ",Inventario!B275)),"18OZ",
IF(ISNUMBER(SEARCH("15 OZ",Inventario!B275)),"15OZ",
IF(OR(ISNUMBER(SEARCH("13 OZ",Inventario!B275)),ISNUMBER(SEARCH("13 ONZAS",Inventario!B275))),"13OZ",
IF(OR(ISNUMBER(SEARCH("9 OZ",Inventario!B275)),ISNUMBER(SEARCH("9 ONZAS",Inventario!B275))),"09OZ","")))))))))</f>
        <v/>
      </c>
      <c r="E276" t="str">
        <f>IF(OR(ISNUMBER(SEARCH("TRANSPARENTE",Inventario!B275)),ISNUMBER(SEARCH("TRANSPARENTES",Inventario!B275))),"TR",
IF(OR(ISNUMBER(SEARCH("BLANCO",Inventario!B275)),ISNUMBER(SEARCH("BCO",Inventario!B275))),"BL",
IF(ISNUMBER(SEARCH("VERDE",Inventario!B275)),"VR",
IF(ISNUMBER(SEARCH("MORADO",Inventario!B275)),"MR",
IF(ISNUMBER(SEARCH("PLATA",Inventario!B275)),"PL",
IF(ISNUMBER(SEARCH("ORO",Inventario!B275)),"OR",
IF(ISNUMBER(SEARCH("AMARILLO",Inventario!B275)),"AM",
IF(ISNUMBER(SEARCH("NARANJA",Inventario!B275)),"NR",
IF(ISNUMBER(SEARCH("NEGRO",Inventario!B275)),"NG",
IF(ISNUMBER(SEARCH("ROJO",Inventario!B275)),"RJ",
IF(ISNUMBER(SEARCH("AZUL",Inventario!B275)),"AZ","")))))))))))</f>
        <v>PL</v>
      </c>
      <c r="F276" t="str">
        <f>IF(ISNUMBER(SEARCH("1,2 MM",Inventario!B275)),"1MM2",
IF(OR(ISNUMBER(SEARCH("2 MM",Inventario!B275)),ISNUMBER(SEARCH("2MM",Inventario!B275))),"2MM",
IF(OR(ISNUMBER(SEARCH("3 MM",Inventario!B275)),ISNUMBER(SEARCH("3MM",Inventario!B275))),"3MM",
IF(OR(ISNUMBER(SEARCH("4 MM",Inventario!B275)),ISNUMBER(SEARCH("4MM",Inventario!B275)),ISNUMBER(SEARCH("4 mm",Inventario!B275))),"4MM",
IF(OR(ISNUMBER(SEARCH("5 MM",Inventario!B275)),ISNUMBER(SEARCH("5MM",Inventario!B275))),"5MM",
IF(OR(ISNUMBER(SEARCH("6 MM",Inventario!B275)),ISNUMBER(SEARCH("6MM",Inventario!B275))),"6MM",
IF(OR(ISNUMBER(SEARCH("10 MM",Inventario!B275)),ISNUMBER(SEARCH("10MM",Inventario!B275))),"10MM","")))))))</f>
        <v/>
      </c>
      <c r="G276" t="str">
        <f>IF(ISNUMBER(SEARCH("ALTA RESISTENCIA",Inventario!B275)),"AR",IF(ISNUMBER(SEARCH("CAMPAÑA",Inventario!B275)),"CA",
IF(OR(ISNUMBER(SEARCH("CALIDO",Inventario!B275)),ISNUMBER(SEARCH("CÁLIDO",Inventario!B275))),"C",
IF(OR(ISNUMBER(SEARCH("TRASLUCIDO",Inventario!B275)),ISNUMBER(SEARCH("TRANSLUCIDO",Inventario!B275))),"TL",
IF(ISNUMBER(SEARCH("NEUTRO",Inventario!B275)),"N",
IF(ISNUMBER(SEARCH("FRIO",Inventario!B275)),"F",""))))))</f>
        <v/>
      </c>
      <c r="H276" t="str">
        <f>IF(ISNUMBER(SEARCH("SILED",Inventario!B275)),"SI",
IF(ISNUMBER(SEARCH("SYDEMEX",Inventario!B275)),"SY",
IF(ISNUMBER(SEARCH("ROHS",Inventario!B275)),"RO",
IF(ISNUMBER(SEARCH("RISHANG",Inventario!B275)),"RS",
IF(ISNUMBER(SEARCH("VYG",Inventario!B275)),"VYG",
IF(ISNUMBER(SEARCH("COLED",Inventario!B275)),"CO",""))))))</f>
        <v/>
      </c>
    </row>
    <row r="277" spans="1:8">
      <c r="A277" t="str">
        <f>IF(ISNUMBER(SEARCH("LONA",Inventario!B276)),"LON",
IF(ISNUMBER(SEARCH("VINIL",Inventario!B276)),"VIN",
IF(ISNUMBER(SEARCH("PANEL DE ALUMINIO COMPUESTO",Inventario!B276)),"PAN-ALU-COM",
IF(ISNUMBER(SEARCH("PVC",Inventario!B276)),"PVC",
IF(ISNUMBER(SEARCH("PAPEL",Inventario!B276)),"PAP",
IF(ISNUMBER(SEARCH("TELA",Inventario!B276)),"TEL",
IF(ISNUMBER(SEARCH("CARTULINA",Inventario!B276)),"CAR",
IF(OR(ISNUMBER(SEARCH("LAMINA",Inventario!B276)),ISNUMBER(SEARCH("LÁMINA",Inventario!B276))),"LAM",
IF(ISNUMBER(SEARCH("ESTIRENO",Inventario!B276)),"EST",
IF(ISNUMBER(SEARCH("FOAMBOARD",Inventario!B276)),"FOA",
IF(ISNUMBER(SEARCH("SOLVENTE",Inventario!B276)),"SOL",
IF(ISNUMBER(SEARCH("TINTA",Inventario!B276)),"TIN",
IF(ISNUMBER(SEARCH("ACRILICO",Inventario!B276)),"ACR",
IF(ISNUMBER(SEARCH("LED",Inventario!B276)),"LED",
IF(ISNUMBER(SEARCH("FUENTE",Inventario!B276)),"FUE",
IF(ISNUMBER(SEARCH("PETG",Inventario!B276)),"PET",
IF(ISNUMBER(SEARCH("ALUMINIO",Inventario!B276)),"ALU",
IF(ISNUMBER(SEARCH("CANAL",Inventario!B276)),"CAN",
IF(ISNUMBER(SEARCH("ESCUADRA",Inventario!B276)),"ESC",
IF(ISNUMBER(SEARCH("SOPORTE",Inventario!B276)),"SOP","OTR")
)))))))))))))))))))</f>
        <v>OTR</v>
      </c>
      <c r="B277" t="str">
        <f>IF(ISNUMBER(SEARCH("CORTE",Inventario!B276)),"COR",
IF(ISNUMBER(SEARCH("CRISTAL",Inventario!B276)),"CR",
IF(OR(ISNUMBER(SEARCH("OPTICO",Inventario!B276)),ISNUMBER(SEARCH("OPTICOS",Inventario!B276)),ISNUMBER(SEARCH("OPTICA",Inventario!B276))),"OP",
IF(ISNUMBER(SEARCH("NANO",Inventario!B276)),"NA",
IF(ISNUMBER(SEARCH("5050",Inventario!B276)),"5050",
IF(ISNUMBER(SEARCH("MICRO",Inventario!B276)),"MI",""))))))</f>
        <v/>
      </c>
      <c r="C277" t="str">
        <f>IF(ISNUMBER(SEARCH("PARED",Inventario!B276)),"PAR",IF(ISNUMBER(SEARCH("MATE",Inventario!B276)),"MAT",
IF(ISNUMBER(SEARCH("FRONT",Inventario!B276)),"FRO",
IF(ISNUMBER(SEARCH("BACK",Inventario!B276)),"BAC",
IF(ISNUMBER(SEARCH("MESH",Inventario!B276)),"MES",
IF(OR(ISNUMBER(SEARCH("BRILLANTE",Inventario!B276)),ISNUMBER(SEARCH("BTE",Inventario!B276))),"BRI",
IF(ISNUMBER(SEARCH("SINTETICA DELGADA",Inventario!B276)),"SD",
IF(ISNUMBER(SEARCH("SINTETICA GRUESA",Inventario!B276)),"SG",
IF(ISNUMBER(SEARCH("ESTATICO",Inventario!B276)),"EST",
IF(ISNUMBER(SEARCH("FLOOR",Inventario!B276)),"FLO",
IF(ISNUMBER(SEARCH("REFLECTIVO",Inventario!B276)),"REF",
IF(ISNUMBER(SEARCH("MICROPERFORADO",Inventario!B276)),"MI",
IF(ISNUMBER(SEARCH("CEPILLADO",Inventario!B276)),"CEP",
IF(ISNUMBER(SEARCH("ESPEJO",Inventario!B276)),"ESP",
IF(OR(ISNUMBER(SEARCH("UNIDIODO",Inventario!B276)),ISNUMBER(SEARCH("1 DIODO",Inventario!B276))),"1D",
IF(ISNUMBER(SEARCH("2 DIODOS",Inventario!B276)),"2D",
IF(ISNUMBER(SEARCH("3 DIODOS",Inventario!B276)),"3D","")))))))))))))))))</f>
        <v>MAT</v>
      </c>
      <c r="D277" t="str">
        <f>IF(ISNUMBER(SEARCH("LX700",Inventario!B276)),"LX7",
IF(ISNUMBER(SEARCH("GRANDO",Inventario!B276)),"GRA",
IF(OR(ISNUMBER(SEARCH("CAMA PLANA",Inventario!B276)),ISNUMBER(SEARCH("FB700",Inventario!B276))),"CP",
IF(ISNUMBER(SEARCH("LX360",Inventario!B276)),"LX3",
IF(ISNUMBER(SEARCH("XEROX",Inventario!B276)),"XER",
IF(ISNUMBER(SEARCH("18 OZ",Inventario!B276)),"18OZ",
IF(ISNUMBER(SEARCH("15 OZ",Inventario!B276)),"15OZ",
IF(OR(ISNUMBER(SEARCH("13 OZ",Inventario!B276)),ISNUMBER(SEARCH("13 ONZAS",Inventario!B276))),"13OZ",
IF(OR(ISNUMBER(SEARCH("9 OZ",Inventario!B276)),ISNUMBER(SEARCH("9 ONZAS",Inventario!B276))),"09OZ","")))))))))</f>
        <v/>
      </c>
      <c r="E277" t="str">
        <f>IF(OR(ISNUMBER(SEARCH("TRANSPARENTE",Inventario!B276)),ISNUMBER(SEARCH("TRANSPARENTES",Inventario!B276))),"TR",
IF(OR(ISNUMBER(SEARCH("BLANCO",Inventario!B276)),ISNUMBER(SEARCH("BCO",Inventario!B276))),"BL",
IF(ISNUMBER(SEARCH("VERDE",Inventario!B276)),"VR",
IF(ISNUMBER(SEARCH("MORADO",Inventario!B276)),"MR",
IF(ISNUMBER(SEARCH("PLATA",Inventario!B276)),"PL",
IF(ISNUMBER(SEARCH("ORO",Inventario!B276)),"OR",
IF(ISNUMBER(SEARCH("AMARILLO",Inventario!B276)),"AM",
IF(ISNUMBER(SEARCH("NARANJA",Inventario!B276)),"NR",
IF(ISNUMBER(SEARCH("NEGRO",Inventario!B276)),"NG",
IF(ISNUMBER(SEARCH("ROJO",Inventario!B276)),"RJ",
IF(ISNUMBER(SEARCH("AZUL",Inventario!B276)),"AZ","")))))))))))</f>
        <v>NG</v>
      </c>
      <c r="F277" t="str">
        <f>IF(ISNUMBER(SEARCH("1,2 MM",Inventario!B276)),"1MM2",
IF(OR(ISNUMBER(SEARCH("2 MM",Inventario!B276)),ISNUMBER(SEARCH("2MM",Inventario!B276))),"2MM",
IF(OR(ISNUMBER(SEARCH("3 MM",Inventario!B276)),ISNUMBER(SEARCH("3MM",Inventario!B276))),"3MM",
IF(OR(ISNUMBER(SEARCH("4 MM",Inventario!B276)),ISNUMBER(SEARCH("4MM",Inventario!B276)),ISNUMBER(SEARCH("4 mm",Inventario!B276))),"4MM",
IF(OR(ISNUMBER(SEARCH("5 MM",Inventario!B276)),ISNUMBER(SEARCH("5MM",Inventario!B276))),"5MM",
IF(OR(ISNUMBER(SEARCH("6 MM",Inventario!B276)),ISNUMBER(SEARCH("6MM",Inventario!B276))),"6MM",
IF(OR(ISNUMBER(SEARCH("10 MM",Inventario!B276)),ISNUMBER(SEARCH("10MM",Inventario!B276))),"10MM","")))))))</f>
        <v/>
      </c>
      <c r="G277" t="str">
        <f>IF(ISNUMBER(SEARCH("ALTA RESISTENCIA",Inventario!B276)),"AR",IF(ISNUMBER(SEARCH("CAMPAÑA",Inventario!B276)),"CA",
IF(OR(ISNUMBER(SEARCH("CALIDO",Inventario!B276)),ISNUMBER(SEARCH("CÁLIDO",Inventario!B276))),"C",
IF(OR(ISNUMBER(SEARCH("TRASLUCIDO",Inventario!B276)),ISNUMBER(SEARCH("TRANSLUCIDO",Inventario!B276))),"TL",
IF(ISNUMBER(SEARCH("NEUTRO",Inventario!B276)),"N",
IF(ISNUMBER(SEARCH("FRIO",Inventario!B276)),"F",""))))))</f>
        <v/>
      </c>
      <c r="H277" t="str">
        <f>IF(ISNUMBER(SEARCH("SILED",Inventario!B276)),"SI",
IF(ISNUMBER(SEARCH("SYDEMEX",Inventario!B276)),"SY",
IF(ISNUMBER(SEARCH("ROHS",Inventario!B276)),"RO",
IF(ISNUMBER(SEARCH("RISHANG",Inventario!B276)),"RS",
IF(ISNUMBER(SEARCH("VYG",Inventario!B276)),"VYG",
IF(ISNUMBER(SEARCH("COLED",Inventario!B276)),"CO",""))))))</f>
        <v/>
      </c>
    </row>
    <row r="278" spans="1:8">
      <c r="A278" t="str">
        <f>IF(ISNUMBER(SEARCH("LONA",Inventario!B277)),"LON",
IF(ISNUMBER(SEARCH("VINIL",Inventario!B277)),"VIN",
IF(ISNUMBER(SEARCH("PANEL DE ALUMINIO COMPUESTO",Inventario!B277)),"PAN-ALU-COM",
IF(ISNUMBER(SEARCH("PVC",Inventario!B277)),"PVC",
IF(ISNUMBER(SEARCH("PAPEL",Inventario!B277)),"PAP",
IF(ISNUMBER(SEARCH("TELA",Inventario!B277)),"TEL",
IF(ISNUMBER(SEARCH("CARTULINA",Inventario!B277)),"CAR",
IF(OR(ISNUMBER(SEARCH("LAMINA",Inventario!B277)),ISNUMBER(SEARCH("LÁMINA",Inventario!B277))),"LAM",
IF(ISNUMBER(SEARCH("ESTIRENO",Inventario!B277)),"EST",
IF(ISNUMBER(SEARCH("FOAMBOARD",Inventario!B277)),"FOA",
IF(ISNUMBER(SEARCH("SOLVENTE",Inventario!B277)),"SOL",
IF(ISNUMBER(SEARCH("TINTA",Inventario!B277)),"TIN",
IF(ISNUMBER(SEARCH("ACRILICO",Inventario!B277)),"ACR",
IF(ISNUMBER(SEARCH("LED",Inventario!B277)),"LED",
IF(ISNUMBER(SEARCH("FUENTE",Inventario!B277)),"FUE",
IF(ISNUMBER(SEARCH("PETG",Inventario!B277)),"PET",
IF(ISNUMBER(SEARCH("ALUMINIO",Inventario!B277)),"ALU",
IF(ISNUMBER(SEARCH("CANAL",Inventario!B277)),"CAN",
IF(ISNUMBER(SEARCH("ESCUADRA",Inventario!B277)),"ESC",
IF(ISNUMBER(SEARCH("SOPORTE",Inventario!B277)),"SOP","OTR")
)))))))))))))))))))</f>
        <v>OTR</v>
      </c>
      <c r="B278" t="str">
        <f>IF(ISNUMBER(SEARCH("CORTE",Inventario!B277)),"COR",
IF(ISNUMBER(SEARCH("CRISTAL",Inventario!B277)),"CR",
IF(OR(ISNUMBER(SEARCH("OPTICO",Inventario!B277)),ISNUMBER(SEARCH("OPTICOS",Inventario!B277)),ISNUMBER(SEARCH("OPTICA",Inventario!B277))),"OP",
IF(ISNUMBER(SEARCH("NANO",Inventario!B277)),"NA",
IF(ISNUMBER(SEARCH("5050",Inventario!B277)),"5050",
IF(ISNUMBER(SEARCH("MICRO",Inventario!B277)),"MI",""))))))</f>
        <v/>
      </c>
      <c r="C278" t="str">
        <f>IF(ISNUMBER(SEARCH("PARED",Inventario!B277)),"PAR",IF(ISNUMBER(SEARCH("MATE",Inventario!B277)),"MAT",
IF(ISNUMBER(SEARCH("FRONT",Inventario!B277)),"FRO",
IF(ISNUMBER(SEARCH("BACK",Inventario!B277)),"BAC",
IF(ISNUMBER(SEARCH("MESH",Inventario!B277)),"MES",
IF(OR(ISNUMBER(SEARCH("BRILLANTE",Inventario!B277)),ISNUMBER(SEARCH("BTE",Inventario!B277))),"BRI",
IF(ISNUMBER(SEARCH("SINTETICA DELGADA",Inventario!B277)),"SD",
IF(ISNUMBER(SEARCH("SINTETICA GRUESA",Inventario!B277)),"SG",
IF(ISNUMBER(SEARCH("ESTATICO",Inventario!B277)),"EST",
IF(ISNUMBER(SEARCH("FLOOR",Inventario!B277)),"FLO",
IF(ISNUMBER(SEARCH("REFLECTIVO",Inventario!B277)),"REF",
IF(ISNUMBER(SEARCH("MICROPERFORADO",Inventario!B277)),"MI",
IF(ISNUMBER(SEARCH("CEPILLADO",Inventario!B277)),"CEP",
IF(ISNUMBER(SEARCH("ESPEJO",Inventario!B277)),"ESP",
IF(OR(ISNUMBER(SEARCH("UNIDIODO",Inventario!B277)),ISNUMBER(SEARCH("1 DIODO",Inventario!B277))),"1D",
IF(ISNUMBER(SEARCH("2 DIODOS",Inventario!B277)),"2D",
IF(ISNUMBER(SEARCH("3 DIODOS",Inventario!B277)),"3D","")))))))))))))))))</f>
        <v/>
      </c>
      <c r="D278" t="str">
        <f>IF(ISNUMBER(SEARCH("LX700",Inventario!B277)),"LX7",
IF(ISNUMBER(SEARCH("GRANDO",Inventario!B277)),"GRA",
IF(OR(ISNUMBER(SEARCH("CAMA PLANA",Inventario!B277)),ISNUMBER(SEARCH("FB700",Inventario!B277))),"CP",
IF(ISNUMBER(SEARCH("LX360",Inventario!B277)),"LX3",
IF(ISNUMBER(SEARCH("XEROX",Inventario!B277)),"XER",
IF(ISNUMBER(SEARCH("18 OZ",Inventario!B277)),"18OZ",
IF(ISNUMBER(SEARCH("15 OZ",Inventario!B277)),"15OZ",
IF(OR(ISNUMBER(SEARCH("13 OZ",Inventario!B277)),ISNUMBER(SEARCH("13 ONZAS",Inventario!B277))),"13OZ",
IF(OR(ISNUMBER(SEARCH("9 OZ",Inventario!B277)),ISNUMBER(SEARCH("9 ONZAS",Inventario!B277))),"09OZ","")))))))))</f>
        <v/>
      </c>
      <c r="E278" t="str">
        <f>IF(OR(ISNUMBER(SEARCH("TRANSPARENTE",Inventario!B277)),ISNUMBER(SEARCH("TRANSPARENTES",Inventario!B277))),"TR",
IF(OR(ISNUMBER(SEARCH("BLANCO",Inventario!B277)),ISNUMBER(SEARCH("BCO",Inventario!B277))),"BL",
IF(ISNUMBER(SEARCH("VERDE",Inventario!B277)),"VR",
IF(ISNUMBER(SEARCH("MORADO",Inventario!B277)),"MR",
IF(ISNUMBER(SEARCH("PLATA",Inventario!B277)),"PL",
IF(ISNUMBER(SEARCH("ORO",Inventario!B277)),"OR",
IF(ISNUMBER(SEARCH("AMARILLO",Inventario!B277)),"AM",
IF(ISNUMBER(SEARCH("NARANJA",Inventario!B277)),"NR",
IF(ISNUMBER(SEARCH("NEGRO",Inventario!B277)),"NG",
IF(ISNUMBER(SEARCH("ROJO",Inventario!B277)),"RJ",
IF(ISNUMBER(SEARCH("AZUL",Inventario!B277)),"AZ","")))))))))))</f>
        <v/>
      </c>
      <c r="F278" t="str">
        <f>IF(ISNUMBER(SEARCH("1,2 MM",Inventario!B277)),"1MM2",
IF(OR(ISNUMBER(SEARCH("2 MM",Inventario!B277)),ISNUMBER(SEARCH("2MM",Inventario!B277))),"2MM",
IF(OR(ISNUMBER(SEARCH("3 MM",Inventario!B277)),ISNUMBER(SEARCH("3MM",Inventario!B277))),"3MM",
IF(OR(ISNUMBER(SEARCH("4 MM",Inventario!B277)),ISNUMBER(SEARCH("4MM",Inventario!B277)),ISNUMBER(SEARCH("4 mm",Inventario!B277))),"4MM",
IF(OR(ISNUMBER(SEARCH("5 MM",Inventario!B277)),ISNUMBER(SEARCH("5MM",Inventario!B277))),"5MM",
IF(OR(ISNUMBER(SEARCH("6 MM",Inventario!B277)),ISNUMBER(SEARCH("6MM",Inventario!B277))),"6MM",
IF(OR(ISNUMBER(SEARCH("10 MM",Inventario!B277)),ISNUMBER(SEARCH("10MM",Inventario!B277))),"10MM","")))))))</f>
        <v>6MM</v>
      </c>
      <c r="G278" t="str">
        <f>IF(ISNUMBER(SEARCH("ALTA RESISTENCIA",Inventario!B277)),"AR",IF(ISNUMBER(SEARCH("CAMPAÑA",Inventario!B277)),"CA",
IF(OR(ISNUMBER(SEARCH("CALIDO",Inventario!B277)),ISNUMBER(SEARCH("CÁLIDO",Inventario!B277))),"C",
IF(OR(ISNUMBER(SEARCH("TRASLUCIDO",Inventario!B277)),ISNUMBER(SEARCH("TRANSLUCIDO",Inventario!B277))),"TL",
IF(ISNUMBER(SEARCH("NEUTRO",Inventario!B277)),"N",
IF(ISNUMBER(SEARCH("FRIO",Inventario!B277)),"F",""))))))</f>
        <v/>
      </c>
      <c r="H278" t="str">
        <f>IF(ISNUMBER(SEARCH("SILED",Inventario!B277)),"SI",
IF(ISNUMBER(SEARCH("SYDEMEX",Inventario!B277)),"SY",
IF(ISNUMBER(SEARCH("ROHS",Inventario!B277)),"RO",
IF(ISNUMBER(SEARCH("RISHANG",Inventario!B277)),"RS",
IF(ISNUMBER(SEARCH("VYG",Inventario!B277)),"VYG",
IF(ISNUMBER(SEARCH("COLED",Inventario!B277)),"CO",""))))))</f>
        <v/>
      </c>
    </row>
    <row r="279" spans="1:8">
      <c r="A279" t="str">
        <f>IF(ISNUMBER(SEARCH("LONA",Inventario!B278)),"LON",
IF(ISNUMBER(SEARCH("VINIL",Inventario!B278)),"VIN",
IF(ISNUMBER(SEARCH("PANEL DE ALUMINIO COMPUESTO",Inventario!B278)),"PAN-ALU-COM",
IF(ISNUMBER(SEARCH("PVC",Inventario!B278)),"PVC",
IF(ISNUMBER(SEARCH("PAPEL",Inventario!B278)),"PAP",
IF(ISNUMBER(SEARCH("TELA",Inventario!B278)),"TEL",
IF(ISNUMBER(SEARCH("CARTULINA",Inventario!B278)),"CAR",
IF(OR(ISNUMBER(SEARCH("LAMINA",Inventario!B278)),ISNUMBER(SEARCH("LÁMINA",Inventario!B278))),"LAM",
IF(ISNUMBER(SEARCH("ESTIRENO",Inventario!B278)),"EST",
IF(ISNUMBER(SEARCH("FOAMBOARD",Inventario!B278)),"FOA",
IF(ISNUMBER(SEARCH("SOLVENTE",Inventario!B278)),"SOL",
IF(ISNUMBER(SEARCH("TINTA",Inventario!B278)),"TIN",
IF(ISNUMBER(SEARCH("ACRILICO",Inventario!B278)),"ACR",
IF(ISNUMBER(SEARCH("LED",Inventario!B278)),"LED",
IF(ISNUMBER(SEARCH("FUENTE",Inventario!B278)),"FUE",
IF(ISNUMBER(SEARCH("PETG",Inventario!B278)),"PET",
IF(ISNUMBER(SEARCH("ALUMINIO",Inventario!B278)),"ALU",
IF(ISNUMBER(SEARCH("CANAL",Inventario!B278)),"CAN",
IF(ISNUMBER(SEARCH("ESCUADRA",Inventario!B278)),"ESC",
IF(ISNUMBER(SEARCH("SOPORTE",Inventario!B278)),"SOP","OTR")
)))))))))))))))))))</f>
        <v>OTR</v>
      </c>
      <c r="B279" t="str">
        <f>IF(ISNUMBER(SEARCH("CORTE",Inventario!B278)),"COR",
IF(ISNUMBER(SEARCH("CRISTAL",Inventario!B278)),"CR",
IF(OR(ISNUMBER(SEARCH("OPTICO",Inventario!B278)),ISNUMBER(SEARCH("OPTICOS",Inventario!B278)),ISNUMBER(SEARCH("OPTICA",Inventario!B278))),"OP",
IF(ISNUMBER(SEARCH("NANO",Inventario!B278)),"NA",
IF(ISNUMBER(SEARCH("5050",Inventario!B278)),"5050",
IF(ISNUMBER(SEARCH("MICRO",Inventario!B278)),"MI",""))))))</f>
        <v/>
      </c>
      <c r="C279" t="str">
        <f>IF(ISNUMBER(SEARCH("PARED",Inventario!B278)),"PAR",IF(ISNUMBER(SEARCH("MATE",Inventario!B278)),"MAT",
IF(ISNUMBER(SEARCH("FRONT",Inventario!B278)),"FRO",
IF(ISNUMBER(SEARCH("BACK",Inventario!B278)),"BAC",
IF(ISNUMBER(SEARCH("MESH",Inventario!B278)),"MES",
IF(OR(ISNUMBER(SEARCH("BRILLANTE",Inventario!B278)),ISNUMBER(SEARCH("BTE",Inventario!B278))),"BRI",
IF(ISNUMBER(SEARCH("SINTETICA DELGADA",Inventario!B278)),"SD",
IF(ISNUMBER(SEARCH("SINTETICA GRUESA",Inventario!B278)),"SG",
IF(ISNUMBER(SEARCH("ESTATICO",Inventario!B278)),"EST",
IF(ISNUMBER(SEARCH("FLOOR",Inventario!B278)),"FLO",
IF(ISNUMBER(SEARCH("REFLECTIVO",Inventario!B278)),"REF",
IF(ISNUMBER(SEARCH("MICROPERFORADO",Inventario!B278)),"MI",
IF(ISNUMBER(SEARCH("CEPILLADO",Inventario!B278)),"CEP",
IF(ISNUMBER(SEARCH("ESPEJO",Inventario!B278)),"ESP",
IF(OR(ISNUMBER(SEARCH("UNIDIODO",Inventario!B278)),ISNUMBER(SEARCH("1 DIODO",Inventario!B278))),"1D",
IF(ISNUMBER(SEARCH("2 DIODOS",Inventario!B278)),"2D",
IF(ISNUMBER(SEARCH("3 DIODOS",Inventario!B278)),"3D","")))))))))))))))))</f>
        <v/>
      </c>
      <c r="D279" t="str">
        <f>IF(ISNUMBER(SEARCH("LX700",Inventario!B278)),"LX7",
IF(ISNUMBER(SEARCH("GRANDO",Inventario!B278)),"GRA",
IF(OR(ISNUMBER(SEARCH("CAMA PLANA",Inventario!B278)),ISNUMBER(SEARCH("FB700",Inventario!B278))),"CP",
IF(ISNUMBER(SEARCH("LX360",Inventario!B278)),"LX3",
IF(ISNUMBER(SEARCH("XEROX",Inventario!B278)),"XER",
IF(ISNUMBER(SEARCH("18 OZ",Inventario!B278)),"18OZ",
IF(ISNUMBER(SEARCH("15 OZ",Inventario!B278)),"15OZ",
IF(OR(ISNUMBER(SEARCH("13 OZ",Inventario!B278)),ISNUMBER(SEARCH("13 ONZAS",Inventario!B278))),"13OZ",
IF(OR(ISNUMBER(SEARCH("9 OZ",Inventario!B278)),ISNUMBER(SEARCH("9 ONZAS",Inventario!B278))),"09OZ","")))))))))</f>
        <v/>
      </c>
      <c r="E279" t="str">
        <f>IF(OR(ISNUMBER(SEARCH("TRANSPARENTE",Inventario!B278)),ISNUMBER(SEARCH("TRANSPARENTES",Inventario!B278))),"TR",
IF(OR(ISNUMBER(SEARCH("BLANCO",Inventario!B278)),ISNUMBER(SEARCH("BCO",Inventario!B278))),"BL",
IF(ISNUMBER(SEARCH("VERDE",Inventario!B278)),"VR",
IF(ISNUMBER(SEARCH("MORADO",Inventario!B278)),"MR",
IF(ISNUMBER(SEARCH("PLATA",Inventario!B278)),"PL",
IF(ISNUMBER(SEARCH("ORO",Inventario!B278)),"OR",
IF(ISNUMBER(SEARCH("AMARILLO",Inventario!B278)),"AM",
IF(ISNUMBER(SEARCH("NARANJA",Inventario!B278)),"NR",
IF(ISNUMBER(SEARCH("NEGRO",Inventario!B278)),"NG",
IF(ISNUMBER(SEARCH("ROJO",Inventario!B278)),"RJ",
IF(ISNUMBER(SEARCH("AZUL",Inventario!B278)),"AZ","")))))))))))</f>
        <v/>
      </c>
      <c r="F279" t="str">
        <f>IF(ISNUMBER(SEARCH("1,2 MM",Inventario!B278)),"1MM2",
IF(OR(ISNUMBER(SEARCH("2 MM",Inventario!B278)),ISNUMBER(SEARCH("2MM",Inventario!B278))),"2MM",
IF(OR(ISNUMBER(SEARCH("3 MM",Inventario!B278)),ISNUMBER(SEARCH("3MM",Inventario!B278))),"3MM",
IF(OR(ISNUMBER(SEARCH("4 MM",Inventario!B278)),ISNUMBER(SEARCH("4MM",Inventario!B278)),ISNUMBER(SEARCH("4 mm",Inventario!B278))),"4MM",
IF(OR(ISNUMBER(SEARCH("5 MM",Inventario!B278)),ISNUMBER(SEARCH("5MM",Inventario!B278))),"5MM",
IF(OR(ISNUMBER(SEARCH("6 MM",Inventario!B278)),ISNUMBER(SEARCH("6MM",Inventario!B278))),"6MM",
IF(OR(ISNUMBER(SEARCH("10 MM",Inventario!B278)),ISNUMBER(SEARCH("10MM",Inventario!B278))),"10MM","")))))))</f>
        <v/>
      </c>
      <c r="G279" t="str">
        <f>IF(ISNUMBER(SEARCH("ALTA RESISTENCIA",Inventario!B278)),"AR",IF(ISNUMBER(SEARCH("CAMPAÑA",Inventario!B278)),"CA",
IF(OR(ISNUMBER(SEARCH("CALIDO",Inventario!B278)),ISNUMBER(SEARCH("CÁLIDO",Inventario!B278))),"C",
IF(OR(ISNUMBER(SEARCH("TRASLUCIDO",Inventario!B278)),ISNUMBER(SEARCH("TRANSLUCIDO",Inventario!B278))),"TL",
IF(ISNUMBER(SEARCH("NEUTRO",Inventario!B278)),"N",
IF(ISNUMBER(SEARCH("FRIO",Inventario!B278)),"F",""))))))</f>
        <v/>
      </c>
      <c r="H279" t="str">
        <f>IF(ISNUMBER(SEARCH("SILED",Inventario!B278)),"SI",
IF(ISNUMBER(SEARCH("SYDEMEX",Inventario!B278)),"SY",
IF(ISNUMBER(SEARCH("ROHS",Inventario!B278)),"RO",
IF(ISNUMBER(SEARCH("RISHANG",Inventario!B278)),"RS",
IF(ISNUMBER(SEARCH("VYG",Inventario!B278)),"VYG",
IF(ISNUMBER(SEARCH("COLED",Inventario!B278)),"CO",""))))))</f>
        <v/>
      </c>
    </row>
    <row r="280" spans="1:8">
      <c r="A280" t="str">
        <f>IF(ISNUMBER(SEARCH("LONA",Inventario!B279)),"LON",
IF(ISNUMBER(SEARCH("VINIL",Inventario!B279)),"VIN",
IF(ISNUMBER(SEARCH("PANEL DE ALUMINIO COMPUESTO",Inventario!B279)),"PAN-ALU-COM",
IF(ISNUMBER(SEARCH("PVC",Inventario!B279)),"PVC",
IF(ISNUMBER(SEARCH("PAPEL",Inventario!B279)),"PAP",
IF(ISNUMBER(SEARCH("TELA",Inventario!B279)),"TEL",
IF(ISNUMBER(SEARCH("CARTULINA",Inventario!B279)),"CAR",
IF(OR(ISNUMBER(SEARCH("LAMINA",Inventario!B279)),ISNUMBER(SEARCH("LÁMINA",Inventario!B279))),"LAM",
IF(ISNUMBER(SEARCH("ESTIRENO",Inventario!B279)),"EST",
IF(ISNUMBER(SEARCH("FOAMBOARD",Inventario!B279)),"FOA",
IF(ISNUMBER(SEARCH("SOLVENTE",Inventario!B279)),"SOL",
IF(ISNUMBER(SEARCH("TINTA",Inventario!B279)),"TIN",
IF(ISNUMBER(SEARCH("ACRILICO",Inventario!B279)),"ACR",
IF(ISNUMBER(SEARCH("LED",Inventario!B279)),"LED",
IF(ISNUMBER(SEARCH("FUENTE",Inventario!B279)),"FUE",
IF(ISNUMBER(SEARCH("PETG",Inventario!B279)),"PET",
IF(ISNUMBER(SEARCH("ALUMINIO",Inventario!B279)),"ALU",
IF(ISNUMBER(SEARCH("CANAL",Inventario!B279)),"CAN",
IF(ISNUMBER(SEARCH("ESCUADRA",Inventario!B279)),"ESC",
IF(ISNUMBER(SEARCH("SOPORTE",Inventario!B279)),"SOP","OTR")
)))))))))))))))))))</f>
        <v>CAN</v>
      </c>
      <c r="B280" t="str">
        <f>IF(ISNUMBER(SEARCH("CORTE",Inventario!B279)),"COR",
IF(ISNUMBER(SEARCH("CRISTAL",Inventario!B279)),"CR",
IF(OR(ISNUMBER(SEARCH("OPTICO",Inventario!B279)),ISNUMBER(SEARCH("OPTICOS",Inventario!B279)),ISNUMBER(SEARCH("OPTICA",Inventario!B279))),"OP",
IF(ISNUMBER(SEARCH("NANO",Inventario!B279)),"NA",
IF(ISNUMBER(SEARCH("5050",Inventario!B279)),"5050",
IF(ISNUMBER(SEARCH("MICRO",Inventario!B279)),"MI",""))))))</f>
        <v/>
      </c>
      <c r="C280" t="str">
        <f>IF(ISNUMBER(SEARCH("PARED",Inventario!B279)),"PAR",IF(ISNUMBER(SEARCH("MATE",Inventario!B279)),"MAT",
IF(ISNUMBER(SEARCH("FRONT",Inventario!B279)),"FRO",
IF(ISNUMBER(SEARCH("BACK",Inventario!B279)),"BAC",
IF(ISNUMBER(SEARCH("MESH",Inventario!B279)),"MES",
IF(OR(ISNUMBER(SEARCH("BRILLANTE",Inventario!B279)),ISNUMBER(SEARCH("BTE",Inventario!B279))),"BRI",
IF(ISNUMBER(SEARCH("SINTETICA DELGADA",Inventario!B279)),"SD",
IF(ISNUMBER(SEARCH("SINTETICA GRUESA",Inventario!B279)),"SG",
IF(ISNUMBER(SEARCH("ESTATICO",Inventario!B279)),"EST",
IF(ISNUMBER(SEARCH("FLOOR",Inventario!B279)),"FLO",
IF(ISNUMBER(SEARCH("REFLECTIVO",Inventario!B279)),"REF",
IF(ISNUMBER(SEARCH("MICROPERFORADO",Inventario!B279)),"MI",
IF(ISNUMBER(SEARCH("CEPILLADO",Inventario!B279)),"CEP",
IF(ISNUMBER(SEARCH("ESPEJO",Inventario!B279)),"ESP",
IF(OR(ISNUMBER(SEARCH("UNIDIODO",Inventario!B279)),ISNUMBER(SEARCH("1 DIODO",Inventario!B279))),"1D",
IF(ISNUMBER(SEARCH("2 DIODOS",Inventario!B279)),"2D",
IF(ISNUMBER(SEARCH("3 DIODOS",Inventario!B279)),"3D","")))))))))))))))))</f>
        <v/>
      </c>
      <c r="D280" t="str">
        <f>IF(ISNUMBER(SEARCH("LX700",Inventario!B279)),"LX7",
IF(ISNUMBER(SEARCH("GRANDO",Inventario!B279)),"GRA",
IF(OR(ISNUMBER(SEARCH("CAMA PLANA",Inventario!B279)),ISNUMBER(SEARCH("FB700",Inventario!B279))),"CP",
IF(ISNUMBER(SEARCH("LX360",Inventario!B279)),"LX3",
IF(ISNUMBER(SEARCH("XEROX",Inventario!B279)),"XER",
IF(ISNUMBER(SEARCH("18 OZ",Inventario!B279)),"18OZ",
IF(ISNUMBER(SEARCH("15 OZ",Inventario!B279)),"15OZ",
IF(OR(ISNUMBER(SEARCH("13 OZ",Inventario!B279)),ISNUMBER(SEARCH("13 ONZAS",Inventario!B279))),"13OZ",
IF(OR(ISNUMBER(SEARCH("9 OZ",Inventario!B279)),ISNUMBER(SEARCH("9 ONZAS",Inventario!B279))),"09OZ","")))))))))</f>
        <v/>
      </c>
      <c r="E280" t="str">
        <f>IF(OR(ISNUMBER(SEARCH("TRANSPARENTE",Inventario!B279)),ISNUMBER(SEARCH("TRANSPARENTES",Inventario!B279))),"TR",
IF(OR(ISNUMBER(SEARCH("BLANCO",Inventario!B279)),ISNUMBER(SEARCH("BCO",Inventario!B279))),"BL",
IF(ISNUMBER(SEARCH("VERDE",Inventario!B279)),"VR",
IF(ISNUMBER(SEARCH("MORADO",Inventario!B279)),"MR",
IF(ISNUMBER(SEARCH("PLATA",Inventario!B279)),"PL",
IF(ISNUMBER(SEARCH("ORO",Inventario!B279)),"OR",
IF(ISNUMBER(SEARCH("AMARILLO",Inventario!B279)),"AM",
IF(ISNUMBER(SEARCH("NARANJA",Inventario!B279)),"NR",
IF(ISNUMBER(SEARCH("NEGRO",Inventario!B279)),"NG",
IF(ISNUMBER(SEARCH("ROJO",Inventario!B279)),"RJ",
IF(ISNUMBER(SEARCH("AZUL",Inventario!B279)),"AZ","")))))))))))</f>
        <v>NG</v>
      </c>
      <c r="F280" t="str">
        <f>IF(ISNUMBER(SEARCH("1,2 MM",Inventario!B279)),"1MM2",
IF(OR(ISNUMBER(SEARCH("2 MM",Inventario!B279)),ISNUMBER(SEARCH("2MM",Inventario!B279))),"2MM",
IF(OR(ISNUMBER(SEARCH("3 MM",Inventario!B279)),ISNUMBER(SEARCH("3MM",Inventario!B279))),"3MM",
IF(OR(ISNUMBER(SEARCH("4 MM",Inventario!B279)),ISNUMBER(SEARCH("4MM",Inventario!B279)),ISNUMBER(SEARCH("4 mm",Inventario!B279))),"4MM",
IF(OR(ISNUMBER(SEARCH("5 MM",Inventario!B279)),ISNUMBER(SEARCH("5MM",Inventario!B279))),"5MM",
IF(OR(ISNUMBER(SEARCH("6 MM",Inventario!B279)),ISNUMBER(SEARCH("6MM",Inventario!B279))),"6MM",
IF(OR(ISNUMBER(SEARCH("10 MM",Inventario!B279)),ISNUMBER(SEARCH("10MM",Inventario!B279))),"10MM","")))))))</f>
        <v>1MM2</v>
      </c>
      <c r="G280" t="str">
        <f>IF(ISNUMBER(SEARCH("ALTA RESISTENCIA",Inventario!B279)),"AR",IF(ISNUMBER(SEARCH("CAMPAÑA",Inventario!B279)),"CA",
IF(OR(ISNUMBER(SEARCH("CALIDO",Inventario!B279)),ISNUMBER(SEARCH("CÁLIDO",Inventario!B279))),"C",
IF(OR(ISNUMBER(SEARCH("TRASLUCIDO",Inventario!B279)),ISNUMBER(SEARCH("TRANSLUCIDO",Inventario!B279))),"TL",
IF(ISNUMBER(SEARCH("NEUTRO",Inventario!B279)),"N",
IF(ISNUMBER(SEARCH("FRIO",Inventario!B279)),"F",""))))))</f>
        <v/>
      </c>
      <c r="H280" t="str">
        <f>IF(ISNUMBER(SEARCH("SILED",Inventario!B279)),"SI",
IF(ISNUMBER(SEARCH("SYDEMEX",Inventario!B279)),"SY",
IF(ISNUMBER(SEARCH("ROHS",Inventario!B279)),"RO",
IF(ISNUMBER(SEARCH("RISHANG",Inventario!B279)),"RS",
IF(ISNUMBER(SEARCH("VYG",Inventario!B279)),"VYG",
IF(ISNUMBER(SEARCH("COLED",Inventario!B279)),"CO",""))))))</f>
        <v/>
      </c>
    </row>
    <row r="281" spans="1:8">
      <c r="A281" t="str">
        <f>IF(ISNUMBER(SEARCH("LONA",Inventario!B280)),"LON",
IF(ISNUMBER(SEARCH("VINIL",Inventario!B280)),"VIN",
IF(ISNUMBER(SEARCH("PANEL DE ALUMINIO COMPUESTO",Inventario!B280)),"PAN-ALU-COM",
IF(ISNUMBER(SEARCH("PVC",Inventario!B280)),"PVC",
IF(ISNUMBER(SEARCH("PAPEL",Inventario!B280)),"PAP",
IF(ISNUMBER(SEARCH("TELA",Inventario!B280)),"TEL",
IF(ISNUMBER(SEARCH("CARTULINA",Inventario!B280)),"CAR",
IF(OR(ISNUMBER(SEARCH("LAMINA",Inventario!B280)),ISNUMBER(SEARCH("LÁMINA",Inventario!B280))),"LAM",
IF(ISNUMBER(SEARCH("ESTIRENO",Inventario!B280)),"EST",
IF(ISNUMBER(SEARCH("FOAMBOARD",Inventario!B280)),"FOA",
IF(ISNUMBER(SEARCH("SOLVENTE",Inventario!B280)),"SOL",
IF(ISNUMBER(SEARCH("TINTA",Inventario!B280)),"TIN",
IF(ISNUMBER(SEARCH("ACRILICO",Inventario!B280)),"ACR",
IF(ISNUMBER(SEARCH("LED",Inventario!B280)),"LED",
IF(ISNUMBER(SEARCH("FUENTE",Inventario!B280)),"FUE",
IF(ISNUMBER(SEARCH("PETG",Inventario!B280)),"PET",
IF(ISNUMBER(SEARCH("ALUMINIO",Inventario!B280)),"ALU",
IF(ISNUMBER(SEARCH("CANAL",Inventario!B280)),"CAN",
IF(ISNUMBER(SEARCH("ESCUADRA",Inventario!B280)),"ESC",
IF(ISNUMBER(SEARCH("SOPORTE",Inventario!B280)),"SOP","OTR")
)))))))))))))))))))</f>
        <v>CAN</v>
      </c>
      <c r="B281" t="str">
        <f>IF(ISNUMBER(SEARCH("CORTE",Inventario!B280)),"COR",
IF(ISNUMBER(SEARCH("CRISTAL",Inventario!B280)),"CR",
IF(OR(ISNUMBER(SEARCH("OPTICO",Inventario!B280)),ISNUMBER(SEARCH("OPTICOS",Inventario!B280)),ISNUMBER(SEARCH("OPTICA",Inventario!B280))),"OP",
IF(ISNUMBER(SEARCH("NANO",Inventario!B280)),"NA",
IF(ISNUMBER(SEARCH("5050",Inventario!B280)),"5050",
IF(ISNUMBER(SEARCH("MICRO",Inventario!B280)),"MI",""))))))</f>
        <v/>
      </c>
      <c r="C281" t="str">
        <f>IF(ISNUMBER(SEARCH("PARED",Inventario!B280)),"PAR",IF(ISNUMBER(SEARCH("MATE",Inventario!B280)),"MAT",
IF(ISNUMBER(SEARCH("FRONT",Inventario!B280)),"FRO",
IF(ISNUMBER(SEARCH("BACK",Inventario!B280)),"BAC",
IF(ISNUMBER(SEARCH("MESH",Inventario!B280)),"MES",
IF(OR(ISNUMBER(SEARCH("BRILLANTE",Inventario!B280)),ISNUMBER(SEARCH("BTE",Inventario!B280))),"BRI",
IF(ISNUMBER(SEARCH("SINTETICA DELGADA",Inventario!B280)),"SD",
IF(ISNUMBER(SEARCH("SINTETICA GRUESA",Inventario!B280)),"SG",
IF(ISNUMBER(SEARCH("ESTATICO",Inventario!B280)),"EST",
IF(ISNUMBER(SEARCH("FLOOR",Inventario!B280)),"FLO",
IF(ISNUMBER(SEARCH("REFLECTIVO",Inventario!B280)),"REF",
IF(ISNUMBER(SEARCH("MICROPERFORADO",Inventario!B280)),"MI",
IF(ISNUMBER(SEARCH("CEPILLADO",Inventario!B280)),"CEP",
IF(ISNUMBER(SEARCH("ESPEJO",Inventario!B280)),"ESP",
IF(OR(ISNUMBER(SEARCH("UNIDIODO",Inventario!B280)),ISNUMBER(SEARCH("1 DIODO",Inventario!B280))),"1D",
IF(ISNUMBER(SEARCH("2 DIODOS",Inventario!B280)),"2D",
IF(ISNUMBER(SEARCH("3 DIODOS",Inventario!B280)),"3D","")))))))))))))))))</f>
        <v/>
      </c>
      <c r="D281" t="str">
        <f>IF(ISNUMBER(SEARCH("LX700",Inventario!B280)),"LX7",
IF(ISNUMBER(SEARCH("GRANDO",Inventario!B280)),"GRA",
IF(OR(ISNUMBER(SEARCH("CAMA PLANA",Inventario!B280)),ISNUMBER(SEARCH("FB700",Inventario!B280))),"CP",
IF(ISNUMBER(SEARCH("LX360",Inventario!B280)),"LX3",
IF(ISNUMBER(SEARCH("XEROX",Inventario!B280)),"XER",
IF(ISNUMBER(SEARCH("18 OZ",Inventario!B280)),"18OZ",
IF(ISNUMBER(SEARCH("15 OZ",Inventario!B280)),"15OZ",
IF(OR(ISNUMBER(SEARCH("13 OZ",Inventario!B280)),ISNUMBER(SEARCH("13 ONZAS",Inventario!B280))),"13OZ",
IF(OR(ISNUMBER(SEARCH("9 OZ",Inventario!B280)),ISNUMBER(SEARCH("9 ONZAS",Inventario!B280))),"09OZ","")))))))))</f>
        <v/>
      </c>
      <c r="E281" t="str">
        <f>IF(OR(ISNUMBER(SEARCH("TRANSPARENTE",Inventario!B280)),ISNUMBER(SEARCH("TRANSPARENTES",Inventario!B280))),"TR",
IF(OR(ISNUMBER(SEARCH("BLANCO",Inventario!B280)),ISNUMBER(SEARCH("BCO",Inventario!B280))),"BL",
IF(ISNUMBER(SEARCH("VERDE",Inventario!B280)),"VR",
IF(ISNUMBER(SEARCH("MORADO",Inventario!B280)),"MR",
IF(ISNUMBER(SEARCH("PLATA",Inventario!B280)),"PL",
IF(ISNUMBER(SEARCH("ORO",Inventario!B280)),"OR",
IF(ISNUMBER(SEARCH("AMARILLO",Inventario!B280)),"AM",
IF(ISNUMBER(SEARCH("NARANJA",Inventario!B280)),"NR",
IF(ISNUMBER(SEARCH("NEGRO",Inventario!B280)),"NG",
IF(ISNUMBER(SEARCH("ROJO",Inventario!B280)),"RJ",
IF(ISNUMBER(SEARCH("AZUL",Inventario!B280)),"AZ","")))))))))))</f>
        <v>TR</v>
      </c>
      <c r="F281" t="str">
        <f>IF(ISNUMBER(SEARCH("1,2 MM",Inventario!B280)),"1MM2",
IF(OR(ISNUMBER(SEARCH("2 MM",Inventario!B280)),ISNUMBER(SEARCH("2MM",Inventario!B280))),"2MM",
IF(OR(ISNUMBER(SEARCH("3 MM",Inventario!B280)),ISNUMBER(SEARCH("3MM",Inventario!B280))),"3MM",
IF(OR(ISNUMBER(SEARCH("4 MM",Inventario!B280)),ISNUMBER(SEARCH("4MM",Inventario!B280)),ISNUMBER(SEARCH("4 mm",Inventario!B280))),"4MM",
IF(OR(ISNUMBER(SEARCH("5 MM",Inventario!B280)),ISNUMBER(SEARCH("5MM",Inventario!B280))),"5MM",
IF(OR(ISNUMBER(SEARCH("6 MM",Inventario!B280)),ISNUMBER(SEARCH("6MM",Inventario!B280))),"6MM",
IF(OR(ISNUMBER(SEARCH("10 MM",Inventario!B280)),ISNUMBER(SEARCH("10MM",Inventario!B280))),"10MM","")))))))</f>
        <v>1MM2</v>
      </c>
      <c r="G281" t="str">
        <f>IF(ISNUMBER(SEARCH("ALTA RESISTENCIA",Inventario!B280)),"AR",IF(ISNUMBER(SEARCH("CAMPAÑA",Inventario!B280)),"CA",
IF(OR(ISNUMBER(SEARCH("CALIDO",Inventario!B280)),ISNUMBER(SEARCH("CÁLIDO",Inventario!B280))),"C",
IF(OR(ISNUMBER(SEARCH("TRASLUCIDO",Inventario!B280)),ISNUMBER(SEARCH("TRANSLUCIDO",Inventario!B280))),"TL",
IF(ISNUMBER(SEARCH("NEUTRO",Inventario!B280)),"N",
IF(ISNUMBER(SEARCH("FRIO",Inventario!B280)),"F",""))))))</f>
        <v/>
      </c>
      <c r="H281" t="str">
        <f>IF(ISNUMBER(SEARCH("SILED",Inventario!B280)),"SI",
IF(ISNUMBER(SEARCH("SYDEMEX",Inventario!B280)),"SY",
IF(ISNUMBER(SEARCH("ROHS",Inventario!B280)),"RO",
IF(ISNUMBER(SEARCH("RISHANG",Inventario!B280)),"RS",
IF(ISNUMBER(SEARCH("VYG",Inventario!B280)),"VYG",
IF(ISNUMBER(SEARCH("COLED",Inventario!B280)),"CO",""))))))</f>
        <v/>
      </c>
    </row>
    <row r="282" spans="1:8">
      <c r="A282" t="str">
        <f>IF(ISNUMBER(SEARCH("LONA",Inventario!B281)),"LON",
IF(ISNUMBER(SEARCH("VINIL",Inventario!B281)),"VIN",
IF(ISNUMBER(SEARCH("PANEL DE ALUMINIO COMPUESTO",Inventario!B281)),"PAN-ALU-COM",
IF(ISNUMBER(SEARCH("PVC",Inventario!B281)),"PVC",
IF(ISNUMBER(SEARCH("PAPEL",Inventario!B281)),"PAP",
IF(ISNUMBER(SEARCH("TELA",Inventario!B281)),"TEL",
IF(ISNUMBER(SEARCH("CARTULINA",Inventario!B281)),"CAR",
IF(OR(ISNUMBER(SEARCH("LAMINA",Inventario!B281)),ISNUMBER(SEARCH("LÁMINA",Inventario!B281))),"LAM",
IF(ISNUMBER(SEARCH("ESTIRENO",Inventario!B281)),"EST",
IF(ISNUMBER(SEARCH("FOAMBOARD",Inventario!B281)),"FOA",
IF(ISNUMBER(SEARCH("SOLVENTE",Inventario!B281)),"SOL",
IF(ISNUMBER(SEARCH("TINTA",Inventario!B281)),"TIN",
IF(ISNUMBER(SEARCH("ACRILICO",Inventario!B281)),"ACR",
IF(ISNUMBER(SEARCH("LED",Inventario!B281)),"LED",
IF(ISNUMBER(SEARCH("FUENTE",Inventario!B281)),"FUE",
IF(ISNUMBER(SEARCH("PETG",Inventario!B281)),"PET",
IF(ISNUMBER(SEARCH("ALUMINIO",Inventario!B281)),"ALU",
IF(ISNUMBER(SEARCH("CANAL",Inventario!B281)),"CAN",
IF(ISNUMBER(SEARCH("ESCUADRA",Inventario!B281)),"ESC",
IF(ISNUMBER(SEARCH("SOPORTE",Inventario!B281)),"SOP","OTR")
)))))))))))))))))))</f>
        <v>CAN</v>
      </c>
      <c r="B282" t="str">
        <f>IF(ISNUMBER(SEARCH("CORTE",Inventario!B281)),"COR",
IF(ISNUMBER(SEARCH("CRISTAL",Inventario!B281)),"CR",
IF(OR(ISNUMBER(SEARCH("OPTICO",Inventario!B281)),ISNUMBER(SEARCH("OPTICOS",Inventario!B281)),ISNUMBER(SEARCH("OPTICA",Inventario!B281))),"OP",
IF(ISNUMBER(SEARCH("NANO",Inventario!B281)),"NA",
IF(ISNUMBER(SEARCH("5050",Inventario!B281)),"5050",
IF(ISNUMBER(SEARCH("MICRO",Inventario!B281)),"MI",""))))))</f>
        <v/>
      </c>
      <c r="C282" t="str">
        <f>IF(ISNUMBER(SEARCH("PARED",Inventario!B281)),"PAR",IF(ISNUMBER(SEARCH("MATE",Inventario!B281)),"MAT",
IF(ISNUMBER(SEARCH("FRONT",Inventario!B281)),"FRO",
IF(ISNUMBER(SEARCH("BACK",Inventario!B281)),"BAC",
IF(ISNUMBER(SEARCH("MESH",Inventario!B281)),"MES",
IF(OR(ISNUMBER(SEARCH("BRILLANTE",Inventario!B281)),ISNUMBER(SEARCH("BTE",Inventario!B281))),"BRI",
IF(ISNUMBER(SEARCH("SINTETICA DELGADA",Inventario!B281)),"SD",
IF(ISNUMBER(SEARCH("SINTETICA GRUESA",Inventario!B281)),"SG",
IF(ISNUMBER(SEARCH("ESTATICO",Inventario!B281)),"EST",
IF(ISNUMBER(SEARCH("FLOOR",Inventario!B281)),"FLO",
IF(ISNUMBER(SEARCH("REFLECTIVO",Inventario!B281)),"REF",
IF(ISNUMBER(SEARCH("MICROPERFORADO",Inventario!B281)),"MI",
IF(ISNUMBER(SEARCH("CEPILLADO",Inventario!B281)),"CEP",
IF(ISNUMBER(SEARCH("ESPEJO",Inventario!B281)),"ESP",
IF(OR(ISNUMBER(SEARCH("UNIDIODO",Inventario!B281)),ISNUMBER(SEARCH("1 DIODO",Inventario!B281))),"1D",
IF(ISNUMBER(SEARCH("2 DIODOS",Inventario!B281)),"2D",
IF(ISNUMBER(SEARCH("3 DIODOS",Inventario!B281)),"3D","")))))))))))))))))</f>
        <v/>
      </c>
      <c r="D282" t="str">
        <f>IF(ISNUMBER(SEARCH("LX700",Inventario!B281)),"LX7",
IF(ISNUMBER(SEARCH("GRANDO",Inventario!B281)),"GRA",
IF(OR(ISNUMBER(SEARCH("CAMA PLANA",Inventario!B281)),ISNUMBER(SEARCH("FB700",Inventario!B281))),"CP",
IF(ISNUMBER(SEARCH("LX360",Inventario!B281)),"LX3",
IF(ISNUMBER(SEARCH("XEROX",Inventario!B281)),"XER",
IF(ISNUMBER(SEARCH("18 OZ",Inventario!B281)),"18OZ",
IF(ISNUMBER(SEARCH("15 OZ",Inventario!B281)),"15OZ",
IF(OR(ISNUMBER(SEARCH("13 OZ",Inventario!B281)),ISNUMBER(SEARCH("13 ONZAS",Inventario!B281))),"13OZ",
IF(OR(ISNUMBER(SEARCH("9 OZ",Inventario!B281)),ISNUMBER(SEARCH("9 ONZAS",Inventario!B281))),"09OZ","")))))))))</f>
        <v/>
      </c>
      <c r="E282" t="str">
        <f>IF(OR(ISNUMBER(SEARCH("TRANSPARENTE",Inventario!B281)),ISNUMBER(SEARCH("TRANSPARENTES",Inventario!B281))),"TR",
IF(OR(ISNUMBER(SEARCH("BLANCO",Inventario!B281)),ISNUMBER(SEARCH("BCO",Inventario!B281))),"BL",
IF(ISNUMBER(SEARCH("VERDE",Inventario!B281)),"VR",
IF(ISNUMBER(SEARCH("MORADO",Inventario!B281)),"MR",
IF(ISNUMBER(SEARCH("PLATA",Inventario!B281)),"PL",
IF(ISNUMBER(SEARCH("ORO",Inventario!B281)),"OR",
IF(ISNUMBER(SEARCH("AMARILLO",Inventario!B281)),"AM",
IF(ISNUMBER(SEARCH("NARANJA",Inventario!B281)),"NR",
IF(ISNUMBER(SEARCH("NEGRO",Inventario!B281)),"NG",
IF(ISNUMBER(SEARCH("ROJO",Inventario!B281)),"RJ",
IF(ISNUMBER(SEARCH("AZUL",Inventario!B281)),"AZ","")))))))))))</f>
        <v>TR</v>
      </c>
      <c r="F282" t="str">
        <f>IF(ISNUMBER(SEARCH("1,2 MM",Inventario!B281)),"1MM2",
IF(OR(ISNUMBER(SEARCH("2 MM",Inventario!B281)),ISNUMBER(SEARCH("2MM",Inventario!B281))),"2MM",
IF(OR(ISNUMBER(SEARCH("3 MM",Inventario!B281)),ISNUMBER(SEARCH("3MM",Inventario!B281))),"3MM",
IF(OR(ISNUMBER(SEARCH("4 MM",Inventario!B281)),ISNUMBER(SEARCH("4MM",Inventario!B281)),ISNUMBER(SEARCH("4 mm",Inventario!B281))),"4MM",
IF(OR(ISNUMBER(SEARCH("5 MM",Inventario!B281)),ISNUMBER(SEARCH("5MM",Inventario!B281))),"5MM",
IF(OR(ISNUMBER(SEARCH("6 MM",Inventario!B281)),ISNUMBER(SEARCH("6MM",Inventario!B281))),"6MM",
IF(OR(ISNUMBER(SEARCH("10 MM",Inventario!B281)),ISNUMBER(SEARCH("10MM",Inventario!B281))),"10MM","")))))))</f>
        <v>1MM2</v>
      </c>
      <c r="G282" t="str">
        <f>IF(ISNUMBER(SEARCH("ALTA RESISTENCIA",Inventario!B281)),"AR",IF(ISNUMBER(SEARCH("CAMPAÑA",Inventario!B281)),"CA",
IF(OR(ISNUMBER(SEARCH("CALIDO",Inventario!B281)),ISNUMBER(SEARCH("CÁLIDO",Inventario!B281))),"C",
IF(OR(ISNUMBER(SEARCH("TRASLUCIDO",Inventario!B281)),ISNUMBER(SEARCH("TRANSLUCIDO",Inventario!B281))),"TL",
IF(ISNUMBER(SEARCH("NEUTRO",Inventario!B281)),"N",
IF(ISNUMBER(SEARCH("FRIO",Inventario!B281)),"F",""))))))</f>
        <v/>
      </c>
      <c r="H282" t="str">
        <f>IF(ISNUMBER(SEARCH("SILED",Inventario!B281)),"SI",
IF(ISNUMBER(SEARCH("SYDEMEX",Inventario!B281)),"SY",
IF(ISNUMBER(SEARCH("ROHS",Inventario!B281)),"RO",
IF(ISNUMBER(SEARCH("RISHANG",Inventario!B281)),"RS",
IF(ISNUMBER(SEARCH("VYG",Inventario!B281)),"VYG",
IF(ISNUMBER(SEARCH("COLED",Inventario!B281)),"CO",""))))))</f>
        <v/>
      </c>
    </row>
    <row r="283" spans="1:8">
      <c r="A283" t="str">
        <f>IF(ISNUMBER(SEARCH("LONA",Inventario!B282)),"LON",
IF(ISNUMBER(SEARCH("VINIL",Inventario!B282)),"VIN",
IF(ISNUMBER(SEARCH("PANEL DE ALUMINIO COMPUESTO",Inventario!B282)),"PAN-ALU-COM",
IF(ISNUMBER(SEARCH("PVC",Inventario!B282)),"PVC",
IF(ISNUMBER(SEARCH("PAPEL",Inventario!B282)),"PAP",
IF(ISNUMBER(SEARCH("TELA",Inventario!B282)),"TEL",
IF(ISNUMBER(SEARCH("CARTULINA",Inventario!B282)),"CAR",
IF(OR(ISNUMBER(SEARCH("LAMINA",Inventario!B282)),ISNUMBER(SEARCH("LÁMINA",Inventario!B282))),"LAM",
IF(ISNUMBER(SEARCH("ESTIRENO",Inventario!B282)),"EST",
IF(ISNUMBER(SEARCH("FOAMBOARD",Inventario!B282)),"FOA",
IF(ISNUMBER(SEARCH("SOLVENTE",Inventario!B282)),"SOL",
IF(ISNUMBER(SEARCH("TINTA",Inventario!B282)),"TIN",
IF(ISNUMBER(SEARCH("ACRILICO",Inventario!B282)),"ACR",
IF(ISNUMBER(SEARCH("LED",Inventario!B282)),"LED",
IF(ISNUMBER(SEARCH("FUENTE",Inventario!B282)),"FUE",
IF(ISNUMBER(SEARCH("PETG",Inventario!B282)),"PET",
IF(ISNUMBER(SEARCH("ALUMINIO",Inventario!B282)),"ALU",
IF(ISNUMBER(SEARCH("CANAL",Inventario!B282)),"CAN",
IF(ISNUMBER(SEARCH("ESCUADRA",Inventario!B282)),"ESC",
IF(ISNUMBER(SEARCH("SOPORTE",Inventario!B282)),"SOP","OTR")
)))))))))))))))))))</f>
        <v>CAN</v>
      </c>
      <c r="B283" t="str">
        <f>IF(ISNUMBER(SEARCH("CORTE",Inventario!B282)),"COR",
IF(ISNUMBER(SEARCH("CRISTAL",Inventario!B282)),"CR",
IF(OR(ISNUMBER(SEARCH("OPTICO",Inventario!B282)),ISNUMBER(SEARCH("OPTICOS",Inventario!B282)),ISNUMBER(SEARCH("OPTICA",Inventario!B282))),"OP",
IF(ISNUMBER(SEARCH("NANO",Inventario!B282)),"NA",
IF(ISNUMBER(SEARCH("5050",Inventario!B282)),"5050",
IF(ISNUMBER(SEARCH("MICRO",Inventario!B282)),"MI",""))))))</f>
        <v/>
      </c>
      <c r="C283" t="str">
        <f>IF(ISNUMBER(SEARCH("PARED",Inventario!B282)),"PAR",IF(ISNUMBER(SEARCH("MATE",Inventario!B282)),"MAT",
IF(ISNUMBER(SEARCH("FRONT",Inventario!B282)),"FRO",
IF(ISNUMBER(SEARCH("BACK",Inventario!B282)),"BAC",
IF(ISNUMBER(SEARCH("MESH",Inventario!B282)),"MES",
IF(OR(ISNUMBER(SEARCH("BRILLANTE",Inventario!B282)),ISNUMBER(SEARCH("BTE",Inventario!B282))),"BRI",
IF(ISNUMBER(SEARCH("SINTETICA DELGADA",Inventario!B282)),"SD",
IF(ISNUMBER(SEARCH("SINTETICA GRUESA",Inventario!B282)),"SG",
IF(ISNUMBER(SEARCH("ESTATICO",Inventario!B282)),"EST",
IF(ISNUMBER(SEARCH("FLOOR",Inventario!B282)),"FLO",
IF(ISNUMBER(SEARCH("REFLECTIVO",Inventario!B282)),"REF",
IF(ISNUMBER(SEARCH("MICROPERFORADO",Inventario!B282)),"MI",
IF(ISNUMBER(SEARCH("CEPILLADO",Inventario!B282)),"CEP",
IF(ISNUMBER(SEARCH("ESPEJO",Inventario!B282)),"ESP",
IF(OR(ISNUMBER(SEARCH("UNIDIODO",Inventario!B282)),ISNUMBER(SEARCH("1 DIODO",Inventario!B282))),"1D",
IF(ISNUMBER(SEARCH("2 DIODOS",Inventario!B282)),"2D",
IF(ISNUMBER(SEARCH("3 DIODOS",Inventario!B282)),"3D","")))))))))))))))))</f>
        <v/>
      </c>
      <c r="D283" t="str">
        <f>IF(ISNUMBER(SEARCH("LX700",Inventario!B282)),"LX7",
IF(ISNUMBER(SEARCH("GRANDO",Inventario!B282)),"GRA",
IF(OR(ISNUMBER(SEARCH("CAMA PLANA",Inventario!B282)),ISNUMBER(SEARCH("FB700",Inventario!B282))),"CP",
IF(ISNUMBER(SEARCH("LX360",Inventario!B282)),"LX3",
IF(ISNUMBER(SEARCH("XEROX",Inventario!B282)),"XER",
IF(ISNUMBER(SEARCH("18 OZ",Inventario!B282)),"18OZ",
IF(ISNUMBER(SEARCH("15 OZ",Inventario!B282)),"15OZ",
IF(OR(ISNUMBER(SEARCH("13 OZ",Inventario!B282)),ISNUMBER(SEARCH("13 ONZAS",Inventario!B282))),"13OZ",
IF(OR(ISNUMBER(SEARCH("9 OZ",Inventario!B282)),ISNUMBER(SEARCH("9 ONZAS",Inventario!B282))),"09OZ","")))))))))</f>
        <v/>
      </c>
      <c r="E283" t="str">
        <f>IF(OR(ISNUMBER(SEARCH("TRANSPARENTE",Inventario!B282)),ISNUMBER(SEARCH("TRANSPARENTES",Inventario!B282))),"TR",
IF(OR(ISNUMBER(SEARCH("BLANCO",Inventario!B282)),ISNUMBER(SEARCH("BCO",Inventario!B282))),"BL",
IF(ISNUMBER(SEARCH("VERDE",Inventario!B282)),"VR",
IF(ISNUMBER(SEARCH("MORADO",Inventario!B282)),"MR",
IF(ISNUMBER(SEARCH("PLATA",Inventario!B282)),"PL",
IF(ISNUMBER(SEARCH("ORO",Inventario!B282)),"OR",
IF(ISNUMBER(SEARCH("AMARILLO",Inventario!B282)),"AM",
IF(ISNUMBER(SEARCH("NARANJA",Inventario!B282)),"NR",
IF(ISNUMBER(SEARCH("NEGRO",Inventario!B282)),"NG",
IF(ISNUMBER(SEARCH("ROJO",Inventario!B282)),"RJ",
IF(ISNUMBER(SEARCH("AZUL",Inventario!B282)),"AZ","")))))))))))</f>
        <v>BL</v>
      </c>
      <c r="F283" t="str">
        <f>IF(ISNUMBER(SEARCH("1,2 MM",Inventario!B282)),"1MM2",
IF(OR(ISNUMBER(SEARCH("2 MM",Inventario!B282)),ISNUMBER(SEARCH("2MM",Inventario!B282))),"2MM",
IF(OR(ISNUMBER(SEARCH("3 MM",Inventario!B282)),ISNUMBER(SEARCH("3MM",Inventario!B282))),"3MM",
IF(OR(ISNUMBER(SEARCH("4 MM",Inventario!B282)),ISNUMBER(SEARCH("4MM",Inventario!B282)),ISNUMBER(SEARCH("4 mm",Inventario!B282))),"4MM",
IF(OR(ISNUMBER(SEARCH("5 MM",Inventario!B282)),ISNUMBER(SEARCH("5MM",Inventario!B282))),"5MM",
IF(OR(ISNUMBER(SEARCH("6 MM",Inventario!B282)),ISNUMBER(SEARCH("6MM",Inventario!B282))),"6MM",
IF(OR(ISNUMBER(SEARCH("10 MM",Inventario!B282)),ISNUMBER(SEARCH("10MM",Inventario!B282))),"10MM","")))))))</f>
        <v>1MM2</v>
      </c>
      <c r="G283" t="str">
        <f>IF(ISNUMBER(SEARCH("ALTA RESISTENCIA",Inventario!B282)),"AR",IF(ISNUMBER(SEARCH("CAMPAÑA",Inventario!B282)),"CA",
IF(OR(ISNUMBER(SEARCH("CALIDO",Inventario!B282)),ISNUMBER(SEARCH("CÁLIDO",Inventario!B282))),"C",
IF(OR(ISNUMBER(SEARCH("TRASLUCIDO",Inventario!B282)),ISNUMBER(SEARCH("TRANSLUCIDO",Inventario!B282))),"TL",
IF(ISNUMBER(SEARCH("NEUTRO",Inventario!B282)),"N",
IF(ISNUMBER(SEARCH("FRIO",Inventario!B282)),"F",""))))))</f>
        <v/>
      </c>
      <c r="H283" t="str">
        <f>IF(ISNUMBER(SEARCH("SILED",Inventario!B282)),"SI",
IF(ISNUMBER(SEARCH("SYDEMEX",Inventario!B282)),"SY",
IF(ISNUMBER(SEARCH("ROHS",Inventario!B282)),"RO",
IF(ISNUMBER(SEARCH("RISHANG",Inventario!B282)),"RS",
IF(ISNUMBER(SEARCH("VYG",Inventario!B282)),"VYG",
IF(ISNUMBER(SEARCH("COLED",Inventario!B282)),"CO",""))))))</f>
        <v/>
      </c>
    </row>
    <row r="284" spans="1:8">
      <c r="A284" t="str">
        <f>IF(ISNUMBER(SEARCH("LONA",Inventario!B283)),"LON",
IF(ISNUMBER(SEARCH("VINIL",Inventario!B283)),"VIN",
IF(ISNUMBER(SEARCH("PANEL DE ALUMINIO COMPUESTO",Inventario!B283)),"PAN-ALU-COM",
IF(ISNUMBER(SEARCH("PVC",Inventario!B283)),"PVC",
IF(ISNUMBER(SEARCH("PAPEL",Inventario!B283)),"PAP",
IF(ISNUMBER(SEARCH("TELA",Inventario!B283)),"TEL",
IF(ISNUMBER(SEARCH("CARTULINA",Inventario!B283)),"CAR",
IF(OR(ISNUMBER(SEARCH("LAMINA",Inventario!B283)),ISNUMBER(SEARCH("LÁMINA",Inventario!B283))),"LAM",
IF(ISNUMBER(SEARCH("ESTIRENO",Inventario!B283)),"EST",
IF(ISNUMBER(SEARCH("FOAMBOARD",Inventario!B283)),"FOA",
IF(ISNUMBER(SEARCH("SOLVENTE",Inventario!B283)),"SOL",
IF(ISNUMBER(SEARCH("TINTA",Inventario!B283)),"TIN",
IF(ISNUMBER(SEARCH("ACRILICO",Inventario!B283)),"ACR",
IF(ISNUMBER(SEARCH("LED",Inventario!B283)),"LED",
IF(ISNUMBER(SEARCH("FUENTE",Inventario!B283)),"FUE",
IF(ISNUMBER(SEARCH("PETG",Inventario!B283)),"PET",
IF(ISNUMBER(SEARCH("ALUMINIO",Inventario!B283)),"ALU",
IF(ISNUMBER(SEARCH("CANAL",Inventario!B283)),"CAN",
IF(ISNUMBER(SEARCH("ESCUADRA",Inventario!B283)),"ESC",
IF(ISNUMBER(SEARCH("SOPORTE",Inventario!B283)),"SOP","OTR")
)))))))))))))))))))</f>
        <v>CAN</v>
      </c>
      <c r="B284" t="str">
        <f>IF(ISNUMBER(SEARCH("CORTE",Inventario!B283)),"COR",
IF(ISNUMBER(SEARCH("CRISTAL",Inventario!B283)),"CR",
IF(OR(ISNUMBER(SEARCH("OPTICO",Inventario!B283)),ISNUMBER(SEARCH("OPTICOS",Inventario!B283)),ISNUMBER(SEARCH("OPTICA",Inventario!B283))),"OP",
IF(ISNUMBER(SEARCH("NANO",Inventario!B283)),"NA",
IF(ISNUMBER(SEARCH("5050",Inventario!B283)),"5050",
IF(ISNUMBER(SEARCH("MICRO",Inventario!B283)),"MI",""))))))</f>
        <v/>
      </c>
      <c r="C284" t="str">
        <f>IF(ISNUMBER(SEARCH("PARED",Inventario!B283)),"PAR",IF(ISNUMBER(SEARCH("MATE",Inventario!B283)),"MAT",
IF(ISNUMBER(SEARCH("FRONT",Inventario!B283)),"FRO",
IF(ISNUMBER(SEARCH("BACK",Inventario!B283)),"BAC",
IF(ISNUMBER(SEARCH("MESH",Inventario!B283)),"MES",
IF(OR(ISNUMBER(SEARCH("BRILLANTE",Inventario!B283)),ISNUMBER(SEARCH("BTE",Inventario!B283))),"BRI",
IF(ISNUMBER(SEARCH("SINTETICA DELGADA",Inventario!B283)),"SD",
IF(ISNUMBER(SEARCH("SINTETICA GRUESA",Inventario!B283)),"SG",
IF(ISNUMBER(SEARCH("ESTATICO",Inventario!B283)),"EST",
IF(ISNUMBER(SEARCH("FLOOR",Inventario!B283)),"FLO",
IF(ISNUMBER(SEARCH("REFLECTIVO",Inventario!B283)),"REF",
IF(ISNUMBER(SEARCH("MICROPERFORADO",Inventario!B283)),"MI",
IF(ISNUMBER(SEARCH("CEPILLADO",Inventario!B283)),"CEP",
IF(ISNUMBER(SEARCH("ESPEJO",Inventario!B283)),"ESP",
IF(OR(ISNUMBER(SEARCH("UNIDIODO",Inventario!B283)),ISNUMBER(SEARCH("1 DIODO",Inventario!B283))),"1D",
IF(ISNUMBER(SEARCH("2 DIODOS",Inventario!B283)),"2D",
IF(ISNUMBER(SEARCH("3 DIODOS",Inventario!B283)),"3D","")))))))))))))))))</f>
        <v/>
      </c>
      <c r="D284" t="str">
        <f>IF(ISNUMBER(SEARCH("LX700",Inventario!B283)),"LX7",
IF(ISNUMBER(SEARCH("GRANDO",Inventario!B283)),"GRA",
IF(OR(ISNUMBER(SEARCH("CAMA PLANA",Inventario!B283)),ISNUMBER(SEARCH("FB700",Inventario!B283))),"CP",
IF(ISNUMBER(SEARCH("LX360",Inventario!B283)),"LX3",
IF(ISNUMBER(SEARCH("XEROX",Inventario!B283)),"XER",
IF(ISNUMBER(SEARCH("18 OZ",Inventario!B283)),"18OZ",
IF(ISNUMBER(SEARCH("15 OZ",Inventario!B283)),"15OZ",
IF(OR(ISNUMBER(SEARCH("13 OZ",Inventario!B283)),ISNUMBER(SEARCH("13 ONZAS",Inventario!B283))),"13OZ",
IF(OR(ISNUMBER(SEARCH("9 OZ",Inventario!B283)),ISNUMBER(SEARCH("9 ONZAS",Inventario!B283))),"09OZ","")))))))))</f>
        <v/>
      </c>
      <c r="E284" t="str">
        <f>IF(OR(ISNUMBER(SEARCH("TRANSPARENTE",Inventario!B283)),ISNUMBER(SEARCH("TRANSPARENTES",Inventario!B283))),"TR",
IF(OR(ISNUMBER(SEARCH("BLANCO",Inventario!B283)),ISNUMBER(SEARCH("BCO",Inventario!B283))),"BL",
IF(ISNUMBER(SEARCH("VERDE",Inventario!B283)),"VR",
IF(ISNUMBER(SEARCH("MORADO",Inventario!B283)),"MR",
IF(ISNUMBER(SEARCH("PLATA",Inventario!B283)),"PL",
IF(ISNUMBER(SEARCH("ORO",Inventario!B283)),"OR",
IF(ISNUMBER(SEARCH("AMARILLO",Inventario!B283)),"AM",
IF(ISNUMBER(SEARCH("NARANJA",Inventario!B283)),"NR",
IF(ISNUMBER(SEARCH("NEGRO",Inventario!B283)),"NG",
IF(ISNUMBER(SEARCH("ROJO",Inventario!B283)),"RJ",
IF(ISNUMBER(SEARCH("AZUL",Inventario!B283)),"AZ","")))))))))))</f>
        <v>BL</v>
      </c>
      <c r="F284" t="str">
        <f>IF(ISNUMBER(SEARCH("1,2 MM",Inventario!B283)),"1MM2",
IF(OR(ISNUMBER(SEARCH("2 MM",Inventario!B283)),ISNUMBER(SEARCH("2MM",Inventario!B283))),"2MM",
IF(OR(ISNUMBER(SEARCH("3 MM",Inventario!B283)),ISNUMBER(SEARCH("3MM",Inventario!B283))),"3MM",
IF(OR(ISNUMBER(SEARCH("4 MM",Inventario!B283)),ISNUMBER(SEARCH("4MM",Inventario!B283)),ISNUMBER(SEARCH("4 mm",Inventario!B283))),"4MM",
IF(OR(ISNUMBER(SEARCH("5 MM",Inventario!B283)),ISNUMBER(SEARCH("5MM",Inventario!B283))),"5MM",
IF(OR(ISNUMBER(SEARCH("6 MM",Inventario!B283)),ISNUMBER(SEARCH("6MM",Inventario!B283))),"6MM",
IF(OR(ISNUMBER(SEARCH("10 MM",Inventario!B283)),ISNUMBER(SEARCH("10MM",Inventario!B283))),"10MM","")))))))</f>
        <v>1MM2</v>
      </c>
      <c r="G284" t="str">
        <f>IF(ISNUMBER(SEARCH("ALTA RESISTENCIA",Inventario!B283)),"AR",IF(ISNUMBER(SEARCH("CAMPAÑA",Inventario!B283)),"CA",
IF(OR(ISNUMBER(SEARCH("CALIDO",Inventario!B283)),ISNUMBER(SEARCH("CÁLIDO",Inventario!B283))),"C",
IF(OR(ISNUMBER(SEARCH("TRASLUCIDO",Inventario!B283)),ISNUMBER(SEARCH("TRANSLUCIDO",Inventario!B283))),"TL",
IF(ISNUMBER(SEARCH("NEUTRO",Inventario!B283)),"N",
IF(ISNUMBER(SEARCH("FRIO",Inventario!B283)),"F",""))))))</f>
        <v/>
      </c>
      <c r="H284" t="str">
        <f>IF(ISNUMBER(SEARCH("SILED",Inventario!B283)),"SI",
IF(ISNUMBER(SEARCH("SYDEMEX",Inventario!B283)),"SY",
IF(ISNUMBER(SEARCH("ROHS",Inventario!B283)),"RO",
IF(ISNUMBER(SEARCH("RISHANG",Inventario!B283)),"RS",
IF(ISNUMBER(SEARCH("VYG",Inventario!B283)),"VYG",
IF(ISNUMBER(SEARCH("COLED",Inventario!B283)),"CO",""))))))</f>
        <v/>
      </c>
    </row>
    <row r="285" spans="1:8">
      <c r="A285" t="str">
        <f>IF(ISNUMBER(SEARCH("LONA",Inventario!B284)),"LON",
IF(ISNUMBER(SEARCH("VINIL",Inventario!B284)),"VIN",
IF(ISNUMBER(SEARCH("PANEL DE ALUMINIO COMPUESTO",Inventario!B284)),"PAN-ALU-COM",
IF(ISNUMBER(SEARCH("PVC",Inventario!B284)),"PVC",
IF(ISNUMBER(SEARCH("PAPEL",Inventario!B284)),"PAP",
IF(ISNUMBER(SEARCH("TELA",Inventario!B284)),"TEL",
IF(ISNUMBER(SEARCH("CARTULINA",Inventario!B284)),"CAR",
IF(OR(ISNUMBER(SEARCH("LAMINA",Inventario!B284)),ISNUMBER(SEARCH("LÁMINA",Inventario!B284))),"LAM",
IF(ISNUMBER(SEARCH("ESTIRENO",Inventario!B284)),"EST",
IF(ISNUMBER(SEARCH("FOAMBOARD",Inventario!B284)),"FOA",
IF(ISNUMBER(SEARCH("SOLVENTE",Inventario!B284)),"SOL",
IF(ISNUMBER(SEARCH("TINTA",Inventario!B284)),"TIN",
IF(ISNUMBER(SEARCH("ACRILICO",Inventario!B284)),"ACR",
IF(ISNUMBER(SEARCH("LED",Inventario!B284)),"LED",
IF(ISNUMBER(SEARCH("FUENTE",Inventario!B284)),"FUE",
IF(ISNUMBER(SEARCH("PETG",Inventario!B284)),"PET",
IF(ISNUMBER(SEARCH("ALUMINIO",Inventario!B284)),"ALU",
IF(ISNUMBER(SEARCH("CANAL",Inventario!B284)),"CAN",
IF(ISNUMBER(SEARCH("ESCUADRA",Inventario!B284)),"ESC",
IF(ISNUMBER(SEARCH("SOPORTE",Inventario!B284)),"SOP","OTR")
)))))))))))))))))))</f>
        <v>CAN</v>
      </c>
      <c r="B285" t="str">
        <f>IF(ISNUMBER(SEARCH("CORTE",Inventario!B284)),"COR",
IF(ISNUMBER(SEARCH("CRISTAL",Inventario!B284)),"CR",
IF(OR(ISNUMBER(SEARCH("OPTICO",Inventario!B284)),ISNUMBER(SEARCH("OPTICOS",Inventario!B284)),ISNUMBER(SEARCH("OPTICA",Inventario!B284))),"OP",
IF(ISNUMBER(SEARCH("NANO",Inventario!B284)),"NA",
IF(ISNUMBER(SEARCH("5050",Inventario!B284)),"5050",
IF(ISNUMBER(SEARCH("MICRO",Inventario!B284)),"MI",""))))))</f>
        <v/>
      </c>
      <c r="C285" t="str">
        <f>IF(ISNUMBER(SEARCH("PARED",Inventario!B284)),"PAR",IF(ISNUMBER(SEARCH("MATE",Inventario!B284)),"MAT",
IF(ISNUMBER(SEARCH("FRONT",Inventario!B284)),"FRO",
IF(ISNUMBER(SEARCH("BACK",Inventario!B284)),"BAC",
IF(ISNUMBER(SEARCH("MESH",Inventario!B284)),"MES",
IF(OR(ISNUMBER(SEARCH("BRILLANTE",Inventario!B284)),ISNUMBER(SEARCH("BTE",Inventario!B284))),"BRI",
IF(ISNUMBER(SEARCH("SINTETICA DELGADA",Inventario!B284)),"SD",
IF(ISNUMBER(SEARCH("SINTETICA GRUESA",Inventario!B284)),"SG",
IF(ISNUMBER(SEARCH("ESTATICO",Inventario!B284)),"EST",
IF(ISNUMBER(SEARCH("FLOOR",Inventario!B284)),"FLO",
IF(ISNUMBER(SEARCH("REFLECTIVO",Inventario!B284)),"REF",
IF(ISNUMBER(SEARCH("MICROPERFORADO",Inventario!B284)),"MI",
IF(ISNUMBER(SEARCH("CEPILLADO",Inventario!B284)),"CEP",
IF(ISNUMBER(SEARCH("ESPEJO",Inventario!B284)),"ESP",
IF(OR(ISNUMBER(SEARCH("UNIDIODO",Inventario!B284)),ISNUMBER(SEARCH("1 DIODO",Inventario!B284))),"1D",
IF(ISNUMBER(SEARCH("2 DIODOS",Inventario!B284)),"2D",
IF(ISNUMBER(SEARCH("3 DIODOS",Inventario!B284)),"3D","")))))))))))))))))</f>
        <v/>
      </c>
      <c r="D285" t="str">
        <f>IF(ISNUMBER(SEARCH("LX700",Inventario!B284)),"LX7",
IF(ISNUMBER(SEARCH("GRANDO",Inventario!B284)),"GRA",
IF(OR(ISNUMBER(SEARCH("CAMA PLANA",Inventario!B284)),ISNUMBER(SEARCH("FB700",Inventario!B284))),"CP",
IF(ISNUMBER(SEARCH("LX360",Inventario!B284)),"LX3",
IF(ISNUMBER(SEARCH("XEROX",Inventario!B284)),"XER",
IF(ISNUMBER(SEARCH("18 OZ",Inventario!B284)),"18OZ",
IF(ISNUMBER(SEARCH("15 OZ",Inventario!B284)),"15OZ",
IF(OR(ISNUMBER(SEARCH("13 OZ",Inventario!B284)),ISNUMBER(SEARCH("13 ONZAS",Inventario!B284))),"13OZ",
IF(OR(ISNUMBER(SEARCH("9 OZ",Inventario!B284)),ISNUMBER(SEARCH("9 ONZAS",Inventario!B284))),"09OZ","")))))))))</f>
        <v/>
      </c>
      <c r="E285" t="str">
        <f>IF(OR(ISNUMBER(SEARCH("TRANSPARENTE",Inventario!B284)),ISNUMBER(SEARCH("TRANSPARENTES",Inventario!B284))),"TR",
IF(OR(ISNUMBER(SEARCH("BLANCO",Inventario!B284)),ISNUMBER(SEARCH("BCO",Inventario!B284))),"BL",
IF(ISNUMBER(SEARCH("VERDE",Inventario!B284)),"VR",
IF(ISNUMBER(SEARCH("MORADO",Inventario!B284)),"MR",
IF(ISNUMBER(SEARCH("PLATA",Inventario!B284)),"PL",
IF(ISNUMBER(SEARCH("ORO",Inventario!B284)),"OR",
IF(ISNUMBER(SEARCH("AMARILLO",Inventario!B284)),"AM",
IF(ISNUMBER(SEARCH("NARANJA",Inventario!B284)),"NR",
IF(ISNUMBER(SEARCH("NEGRO",Inventario!B284)),"NG",
IF(ISNUMBER(SEARCH("ROJO",Inventario!B284)),"RJ",
IF(ISNUMBER(SEARCH("AZUL",Inventario!B284)),"AZ","")))))))))))</f>
        <v>AZ</v>
      </c>
      <c r="F285" t="str">
        <f>IF(ISNUMBER(SEARCH("1,2 MM",Inventario!B284)),"1MM2",
IF(OR(ISNUMBER(SEARCH("2 MM",Inventario!B284)),ISNUMBER(SEARCH("2MM",Inventario!B284))),"2MM",
IF(OR(ISNUMBER(SEARCH("3 MM",Inventario!B284)),ISNUMBER(SEARCH("3MM",Inventario!B284))),"3MM",
IF(OR(ISNUMBER(SEARCH("4 MM",Inventario!B284)),ISNUMBER(SEARCH("4MM",Inventario!B284)),ISNUMBER(SEARCH("4 mm",Inventario!B284))),"4MM",
IF(OR(ISNUMBER(SEARCH("5 MM",Inventario!B284)),ISNUMBER(SEARCH("5MM",Inventario!B284))),"5MM",
IF(OR(ISNUMBER(SEARCH("6 MM",Inventario!B284)),ISNUMBER(SEARCH("6MM",Inventario!B284))),"6MM",
IF(OR(ISNUMBER(SEARCH("10 MM",Inventario!B284)),ISNUMBER(SEARCH("10MM",Inventario!B284))),"10MM","")))))))</f>
        <v>1MM2</v>
      </c>
      <c r="G285" t="str">
        <f>IF(ISNUMBER(SEARCH("ALTA RESISTENCIA",Inventario!B284)),"AR",IF(ISNUMBER(SEARCH("CAMPAÑA",Inventario!B284)),"CA",
IF(OR(ISNUMBER(SEARCH("CALIDO",Inventario!B284)),ISNUMBER(SEARCH("CÁLIDO",Inventario!B284))),"C",
IF(OR(ISNUMBER(SEARCH("TRASLUCIDO",Inventario!B284)),ISNUMBER(SEARCH("TRANSLUCIDO",Inventario!B284))),"TL",
IF(ISNUMBER(SEARCH("NEUTRO",Inventario!B284)),"N",
IF(ISNUMBER(SEARCH("FRIO",Inventario!B284)),"F",""))))))</f>
        <v/>
      </c>
      <c r="H285" t="str">
        <f>IF(ISNUMBER(SEARCH("SILED",Inventario!B284)),"SI",
IF(ISNUMBER(SEARCH("SYDEMEX",Inventario!B284)),"SY",
IF(ISNUMBER(SEARCH("ROHS",Inventario!B284)),"RO",
IF(ISNUMBER(SEARCH("RISHANG",Inventario!B284)),"RS",
IF(ISNUMBER(SEARCH("VYG",Inventario!B284)),"VYG",
IF(ISNUMBER(SEARCH("COLED",Inventario!B284)),"CO",""))))))</f>
        <v/>
      </c>
    </row>
    <row r="286" spans="1:8">
      <c r="A286" t="str">
        <f>IF(ISNUMBER(SEARCH("LONA",Inventario!B285)),"LON",
IF(ISNUMBER(SEARCH("VINIL",Inventario!B285)),"VIN",
IF(ISNUMBER(SEARCH("PANEL DE ALUMINIO COMPUESTO",Inventario!B285)),"PAN-ALU-COM",
IF(ISNUMBER(SEARCH("PVC",Inventario!B285)),"PVC",
IF(ISNUMBER(SEARCH("PAPEL",Inventario!B285)),"PAP",
IF(ISNUMBER(SEARCH("TELA",Inventario!B285)),"TEL",
IF(ISNUMBER(SEARCH("CARTULINA",Inventario!B285)),"CAR",
IF(OR(ISNUMBER(SEARCH("LAMINA",Inventario!B285)),ISNUMBER(SEARCH("LÁMINA",Inventario!B285))),"LAM",
IF(ISNUMBER(SEARCH("ESTIRENO",Inventario!B285)),"EST",
IF(ISNUMBER(SEARCH("FOAMBOARD",Inventario!B285)),"FOA",
IF(ISNUMBER(SEARCH("SOLVENTE",Inventario!B285)),"SOL",
IF(ISNUMBER(SEARCH("TINTA",Inventario!B285)),"TIN",
IF(ISNUMBER(SEARCH("ACRILICO",Inventario!B285)),"ACR",
IF(ISNUMBER(SEARCH("LED",Inventario!B285)),"LED",
IF(ISNUMBER(SEARCH("FUENTE",Inventario!B285)),"FUE",
IF(ISNUMBER(SEARCH("PETG",Inventario!B285)),"PET",
IF(ISNUMBER(SEARCH("ALUMINIO",Inventario!B285)),"ALU",
IF(ISNUMBER(SEARCH("CANAL",Inventario!B285)),"CAN",
IF(ISNUMBER(SEARCH("ESCUADRA",Inventario!B285)),"ESC",
IF(ISNUMBER(SEARCH("SOPORTE",Inventario!B285)),"SOP","OTR")
)))))))))))))))))))</f>
        <v>CAN</v>
      </c>
      <c r="B286" t="str">
        <f>IF(ISNUMBER(SEARCH("CORTE",Inventario!B285)),"COR",
IF(ISNUMBER(SEARCH("CRISTAL",Inventario!B285)),"CR",
IF(OR(ISNUMBER(SEARCH("OPTICO",Inventario!B285)),ISNUMBER(SEARCH("OPTICOS",Inventario!B285)),ISNUMBER(SEARCH("OPTICA",Inventario!B285))),"OP",
IF(ISNUMBER(SEARCH("NANO",Inventario!B285)),"NA",
IF(ISNUMBER(SEARCH("5050",Inventario!B285)),"5050",
IF(ISNUMBER(SEARCH("MICRO",Inventario!B285)),"MI",""))))))</f>
        <v/>
      </c>
      <c r="C286" t="str">
        <f>IF(ISNUMBER(SEARCH("PARED",Inventario!B285)),"PAR",IF(ISNUMBER(SEARCH("MATE",Inventario!B285)),"MAT",
IF(ISNUMBER(SEARCH("FRONT",Inventario!B285)),"FRO",
IF(ISNUMBER(SEARCH("BACK",Inventario!B285)),"BAC",
IF(ISNUMBER(SEARCH("MESH",Inventario!B285)),"MES",
IF(OR(ISNUMBER(SEARCH("BRILLANTE",Inventario!B285)),ISNUMBER(SEARCH("BTE",Inventario!B285))),"BRI",
IF(ISNUMBER(SEARCH("SINTETICA DELGADA",Inventario!B285)),"SD",
IF(ISNUMBER(SEARCH("SINTETICA GRUESA",Inventario!B285)),"SG",
IF(ISNUMBER(SEARCH("ESTATICO",Inventario!B285)),"EST",
IF(ISNUMBER(SEARCH("FLOOR",Inventario!B285)),"FLO",
IF(ISNUMBER(SEARCH("REFLECTIVO",Inventario!B285)),"REF",
IF(ISNUMBER(SEARCH("MICROPERFORADO",Inventario!B285)),"MI",
IF(ISNUMBER(SEARCH("CEPILLADO",Inventario!B285)),"CEP",
IF(ISNUMBER(SEARCH("ESPEJO",Inventario!B285)),"ESP",
IF(OR(ISNUMBER(SEARCH("UNIDIODO",Inventario!B285)),ISNUMBER(SEARCH("1 DIODO",Inventario!B285))),"1D",
IF(ISNUMBER(SEARCH("2 DIODOS",Inventario!B285)),"2D",
IF(ISNUMBER(SEARCH("3 DIODOS",Inventario!B285)),"3D","")))))))))))))))))</f>
        <v/>
      </c>
      <c r="D286" t="str">
        <f>IF(ISNUMBER(SEARCH("LX700",Inventario!B285)),"LX7",
IF(ISNUMBER(SEARCH("GRANDO",Inventario!B285)),"GRA",
IF(OR(ISNUMBER(SEARCH("CAMA PLANA",Inventario!B285)),ISNUMBER(SEARCH("FB700",Inventario!B285))),"CP",
IF(ISNUMBER(SEARCH("LX360",Inventario!B285)),"LX3",
IF(ISNUMBER(SEARCH("XEROX",Inventario!B285)),"XER",
IF(ISNUMBER(SEARCH("18 OZ",Inventario!B285)),"18OZ",
IF(ISNUMBER(SEARCH("15 OZ",Inventario!B285)),"15OZ",
IF(OR(ISNUMBER(SEARCH("13 OZ",Inventario!B285)),ISNUMBER(SEARCH("13 ONZAS",Inventario!B285))),"13OZ",
IF(OR(ISNUMBER(SEARCH("9 OZ",Inventario!B285)),ISNUMBER(SEARCH("9 ONZAS",Inventario!B285))),"09OZ","")))))))))</f>
        <v/>
      </c>
      <c r="E286" t="str">
        <f>IF(OR(ISNUMBER(SEARCH("TRANSPARENTE",Inventario!B285)),ISNUMBER(SEARCH("TRANSPARENTES",Inventario!B285))),"TR",
IF(OR(ISNUMBER(SEARCH("BLANCO",Inventario!B285)),ISNUMBER(SEARCH("BCO",Inventario!B285))),"BL",
IF(ISNUMBER(SEARCH("VERDE",Inventario!B285)),"VR",
IF(ISNUMBER(SEARCH("MORADO",Inventario!B285)),"MR",
IF(ISNUMBER(SEARCH("PLATA",Inventario!B285)),"PL",
IF(ISNUMBER(SEARCH("ORO",Inventario!B285)),"OR",
IF(ISNUMBER(SEARCH("AMARILLO",Inventario!B285)),"AM",
IF(ISNUMBER(SEARCH("NARANJA",Inventario!B285)),"NR",
IF(ISNUMBER(SEARCH("NEGRO",Inventario!B285)),"NG",
IF(ISNUMBER(SEARCH("ROJO",Inventario!B285)),"RJ",
IF(ISNUMBER(SEARCH("AZUL",Inventario!B285)),"AZ","")))))))))))</f>
        <v>NG</v>
      </c>
      <c r="F286" t="str">
        <f>IF(ISNUMBER(SEARCH("1,2 MM",Inventario!B285)),"1MM2",
IF(OR(ISNUMBER(SEARCH("2 MM",Inventario!B285)),ISNUMBER(SEARCH("2MM",Inventario!B285))),"2MM",
IF(OR(ISNUMBER(SEARCH("3 MM",Inventario!B285)),ISNUMBER(SEARCH("3MM",Inventario!B285))),"3MM",
IF(OR(ISNUMBER(SEARCH("4 MM",Inventario!B285)),ISNUMBER(SEARCH("4MM",Inventario!B285)),ISNUMBER(SEARCH("4 mm",Inventario!B285))),"4MM",
IF(OR(ISNUMBER(SEARCH("5 MM",Inventario!B285)),ISNUMBER(SEARCH("5MM",Inventario!B285))),"5MM",
IF(OR(ISNUMBER(SEARCH("6 MM",Inventario!B285)),ISNUMBER(SEARCH("6MM",Inventario!B285))),"6MM",
IF(OR(ISNUMBER(SEARCH("10 MM",Inventario!B285)),ISNUMBER(SEARCH("10MM",Inventario!B285))),"10MM","")))))))</f>
        <v>1MM2</v>
      </c>
      <c r="G286" t="str">
        <f>IF(ISNUMBER(SEARCH("ALTA RESISTENCIA",Inventario!B285)),"AR",IF(ISNUMBER(SEARCH("CAMPAÑA",Inventario!B285)),"CA",
IF(OR(ISNUMBER(SEARCH("CALIDO",Inventario!B285)),ISNUMBER(SEARCH("CÁLIDO",Inventario!B285))),"C",
IF(OR(ISNUMBER(SEARCH("TRASLUCIDO",Inventario!B285)),ISNUMBER(SEARCH("TRANSLUCIDO",Inventario!B285))),"TL",
IF(ISNUMBER(SEARCH("NEUTRO",Inventario!B285)),"N",
IF(ISNUMBER(SEARCH("FRIO",Inventario!B285)),"F",""))))))</f>
        <v/>
      </c>
      <c r="H286" t="str">
        <f>IF(ISNUMBER(SEARCH("SILED",Inventario!B285)),"SI",
IF(ISNUMBER(SEARCH("SYDEMEX",Inventario!B285)),"SY",
IF(ISNUMBER(SEARCH("ROHS",Inventario!B285)),"RO",
IF(ISNUMBER(SEARCH("RISHANG",Inventario!B285)),"RS",
IF(ISNUMBER(SEARCH("VYG",Inventario!B285)),"VYG",
IF(ISNUMBER(SEARCH("COLED",Inventario!B285)),"CO",""))))))</f>
        <v/>
      </c>
    </row>
    <row r="287" spans="1:8">
      <c r="A287" t="str">
        <f>IF(ISNUMBER(SEARCH("LONA",Inventario!B286)),"LON",
IF(ISNUMBER(SEARCH("VINIL",Inventario!B286)),"VIN",
IF(ISNUMBER(SEARCH("PANEL DE ALUMINIO COMPUESTO",Inventario!B286)),"PAN-ALU-COM",
IF(ISNUMBER(SEARCH("PVC",Inventario!B286)),"PVC",
IF(ISNUMBER(SEARCH("PAPEL",Inventario!B286)),"PAP",
IF(ISNUMBER(SEARCH("TELA",Inventario!B286)),"TEL",
IF(ISNUMBER(SEARCH("CARTULINA",Inventario!B286)),"CAR",
IF(OR(ISNUMBER(SEARCH("LAMINA",Inventario!B286)),ISNUMBER(SEARCH("LÁMINA",Inventario!B286))),"LAM",
IF(ISNUMBER(SEARCH("ESTIRENO",Inventario!B286)),"EST",
IF(ISNUMBER(SEARCH("FOAMBOARD",Inventario!B286)),"FOA",
IF(ISNUMBER(SEARCH("SOLVENTE",Inventario!B286)),"SOL",
IF(ISNUMBER(SEARCH("TINTA",Inventario!B286)),"TIN",
IF(ISNUMBER(SEARCH("ACRILICO",Inventario!B286)),"ACR",
IF(ISNUMBER(SEARCH("LED",Inventario!B286)),"LED",
IF(ISNUMBER(SEARCH("FUENTE",Inventario!B286)),"FUE",
IF(ISNUMBER(SEARCH("PETG",Inventario!B286)),"PET",
IF(ISNUMBER(SEARCH("ALUMINIO",Inventario!B286)),"ALU",
IF(ISNUMBER(SEARCH("CANAL",Inventario!B286)),"CAN",
IF(ISNUMBER(SEARCH("ESCUADRA",Inventario!B286)),"ESC",
IF(ISNUMBER(SEARCH("SOPORTE",Inventario!B286)),"SOP","OTR")
)))))))))))))))))))</f>
        <v>OTR</v>
      </c>
      <c r="B287" t="str">
        <f>IF(ISNUMBER(SEARCH("CORTE",Inventario!B286)),"COR",
IF(ISNUMBER(SEARCH("CRISTAL",Inventario!B286)),"CR",
IF(OR(ISNUMBER(SEARCH("OPTICO",Inventario!B286)),ISNUMBER(SEARCH("OPTICOS",Inventario!B286)),ISNUMBER(SEARCH("OPTICA",Inventario!B286))),"OP",
IF(ISNUMBER(SEARCH("NANO",Inventario!B286)),"NA",
IF(ISNUMBER(SEARCH("5050",Inventario!B286)),"5050",
IF(ISNUMBER(SEARCH("MICRO",Inventario!B286)),"MI",""))))))</f>
        <v/>
      </c>
      <c r="C287" t="str">
        <f>IF(ISNUMBER(SEARCH("PARED",Inventario!B286)),"PAR",IF(ISNUMBER(SEARCH("MATE",Inventario!B286)),"MAT",
IF(ISNUMBER(SEARCH("FRONT",Inventario!B286)),"FRO",
IF(ISNUMBER(SEARCH("BACK",Inventario!B286)),"BAC",
IF(ISNUMBER(SEARCH("MESH",Inventario!B286)),"MES",
IF(OR(ISNUMBER(SEARCH("BRILLANTE",Inventario!B286)),ISNUMBER(SEARCH("BTE",Inventario!B286))),"BRI",
IF(ISNUMBER(SEARCH("SINTETICA DELGADA",Inventario!B286)),"SD",
IF(ISNUMBER(SEARCH("SINTETICA GRUESA",Inventario!B286)),"SG",
IF(ISNUMBER(SEARCH("ESTATICO",Inventario!B286)),"EST",
IF(ISNUMBER(SEARCH("FLOOR",Inventario!B286)),"FLO",
IF(ISNUMBER(SEARCH("REFLECTIVO",Inventario!B286)),"REF",
IF(ISNUMBER(SEARCH("MICROPERFORADO",Inventario!B286)),"MI",
IF(ISNUMBER(SEARCH("CEPILLADO",Inventario!B286)),"CEP",
IF(ISNUMBER(SEARCH("ESPEJO",Inventario!B286)),"ESP",
IF(OR(ISNUMBER(SEARCH("UNIDIODO",Inventario!B286)),ISNUMBER(SEARCH("1 DIODO",Inventario!B286))),"1D",
IF(ISNUMBER(SEARCH("2 DIODOS",Inventario!B286)),"2D",
IF(ISNUMBER(SEARCH("3 DIODOS",Inventario!B286)),"3D","")))))))))))))))))</f>
        <v/>
      </c>
      <c r="D287" t="str">
        <f>IF(ISNUMBER(SEARCH("LX700",Inventario!B286)),"LX7",
IF(ISNUMBER(SEARCH("GRANDO",Inventario!B286)),"GRA",
IF(OR(ISNUMBER(SEARCH("CAMA PLANA",Inventario!B286)),ISNUMBER(SEARCH("FB700",Inventario!B286))),"CP",
IF(ISNUMBER(SEARCH("LX360",Inventario!B286)),"LX3",
IF(ISNUMBER(SEARCH("XEROX",Inventario!B286)),"XER",
IF(ISNUMBER(SEARCH("18 OZ",Inventario!B286)),"18OZ",
IF(ISNUMBER(SEARCH("15 OZ",Inventario!B286)),"15OZ",
IF(OR(ISNUMBER(SEARCH("13 OZ",Inventario!B286)),ISNUMBER(SEARCH("13 ONZAS",Inventario!B286))),"13OZ",
IF(OR(ISNUMBER(SEARCH("9 OZ",Inventario!B286)),ISNUMBER(SEARCH("9 ONZAS",Inventario!B286))),"09OZ","")))))))))</f>
        <v/>
      </c>
      <c r="E287" t="str">
        <f>IF(OR(ISNUMBER(SEARCH("TRANSPARENTE",Inventario!B286)),ISNUMBER(SEARCH("TRANSPARENTES",Inventario!B286))),"TR",
IF(OR(ISNUMBER(SEARCH("BLANCO",Inventario!B286)),ISNUMBER(SEARCH("BCO",Inventario!B286))),"BL",
IF(ISNUMBER(SEARCH("VERDE",Inventario!B286)),"VR",
IF(ISNUMBER(SEARCH("MORADO",Inventario!B286)),"MR",
IF(ISNUMBER(SEARCH("PLATA",Inventario!B286)),"PL",
IF(ISNUMBER(SEARCH("ORO",Inventario!B286)),"OR",
IF(ISNUMBER(SEARCH("AMARILLO",Inventario!B286)),"AM",
IF(ISNUMBER(SEARCH("NARANJA",Inventario!B286)),"NR",
IF(ISNUMBER(SEARCH("NEGRO",Inventario!B286)),"NG",
IF(ISNUMBER(SEARCH("ROJO",Inventario!B286)),"RJ",
IF(ISNUMBER(SEARCH("AZUL",Inventario!B286)),"AZ","")))))))))))</f>
        <v>VR</v>
      </c>
      <c r="F287" t="str">
        <f>IF(ISNUMBER(SEARCH("1,2 MM",Inventario!B286)),"1MM2",
IF(OR(ISNUMBER(SEARCH("2 MM",Inventario!B286)),ISNUMBER(SEARCH("2MM",Inventario!B286))),"2MM",
IF(OR(ISNUMBER(SEARCH("3 MM",Inventario!B286)),ISNUMBER(SEARCH("3MM",Inventario!B286))),"3MM",
IF(OR(ISNUMBER(SEARCH("4 MM",Inventario!B286)),ISNUMBER(SEARCH("4MM",Inventario!B286)),ISNUMBER(SEARCH("4 mm",Inventario!B286))),"4MM",
IF(OR(ISNUMBER(SEARCH("5 MM",Inventario!B286)),ISNUMBER(SEARCH("5MM",Inventario!B286))),"5MM",
IF(OR(ISNUMBER(SEARCH("6 MM",Inventario!B286)),ISNUMBER(SEARCH("6MM",Inventario!B286))),"6MM",
IF(OR(ISNUMBER(SEARCH("10 MM",Inventario!B286)),ISNUMBER(SEARCH("10MM",Inventario!B286))),"10MM","")))))))</f>
        <v/>
      </c>
      <c r="G287" t="str">
        <f>IF(ISNUMBER(SEARCH("ALTA RESISTENCIA",Inventario!B286)),"AR",IF(ISNUMBER(SEARCH("CAMPAÑA",Inventario!B286)),"CA",
IF(OR(ISNUMBER(SEARCH("CALIDO",Inventario!B286)),ISNUMBER(SEARCH("CÁLIDO",Inventario!B286))),"C",
IF(OR(ISNUMBER(SEARCH("TRASLUCIDO",Inventario!B286)),ISNUMBER(SEARCH("TRANSLUCIDO",Inventario!B286))),"TL",
IF(ISNUMBER(SEARCH("NEUTRO",Inventario!B286)),"N",
IF(ISNUMBER(SEARCH("FRIO",Inventario!B286)),"F",""))))))</f>
        <v/>
      </c>
      <c r="H287" t="str">
        <f>IF(ISNUMBER(SEARCH("SILED",Inventario!B286)),"SI",
IF(ISNUMBER(SEARCH("SYDEMEX",Inventario!B286)),"SY",
IF(ISNUMBER(SEARCH("ROHS",Inventario!B286)),"RO",
IF(ISNUMBER(SEARCH("RISHANG",Inventario!B286)),"RS",
IF(ISNUMBER(SEARCH("VYG",Inventario!B286)),"VYG",
IF(ISNUMBER(SEARCH("COLED",Inventario!B286)),"CO",""))))))</f>
        <v/>
      </c>
    </row>
    <row r="288" spans="1:8">
      <c r="A288" t="str">
        <f>IF(ISNUMBER(SEARCH("LONA",Inventario!B287)),"LON",
IF(ISNUMBER(SEARCH("VINIL",Inventario!B287)),"VIN",
IF(ISNUMBER(SEARCH("PANEL DE ALUMINIO COMPUESTO",Inventario!B287)),"PAN-ALU-COM",
IF(ISNUMBER(SEARCH("PVC",Inventario!B287)),"PVC",
IF(ISNUMBER(SEARCH("PAPEL",Inventario!B287)),"PAP",
IF(ISNUMBER(SEARCH("TELA",Inventario!B287)),"TEL",
IF(ISNUMBER(SEARCH("CARTULINA",Inventario!B287)),"CAR",
IF(OR(ISNUMBER(SEARCH("LAMINA",Inventario!B287)),ISNUMBER(SEARCH("LÁMINA",Inventario!B287))),"LAM",
IF(ISNUMBER(SEARCH("ESTIRENO",Inventario!B287)),"EST",
IF(ISNUMBER(SEARCH("FOAMBOARD",Inventario!B287)),"FOA",
IF(ISNUMBER(SEARCH("SOLVENTE",Inventario!B287)),"SOL",
IF(ISNUMBER(SEARCH("TINTA",Inventario!B287)),"TIN",
IF(ISNUMBER(SEARCH("ACRILICO",Inventario!B287)),"ACR",
IF(ISNUMBER(SEARCH("LED",Inventario!B287)),"LED",
IF(ISNUMBER(SEARCH("FUENTE",Inventario!B287)),"FUE",
IF(ISNUMBER(SEARCH("PETG",Inventario!B287)),"PET",
IF(ISNUMBER(SEARCH("ALUMINIO",Inventario!B287)),"ALU",
IF(ISNUMBER(SEARCH("CANAL",Inventario!B287)),"CAN",
IF(ISNUMBER(SEARCH("ESCUADRA",Inventario!B287)),"ESC",
IF(ISNUMBER(SEARCH("SOPORTE",Inventario!B287)),"SOP","OTR")
)))))))))))))))))))</f>
        <v>OTR</v>
      </c>
      <c r="B288" t="str">
        <f>IF(ISNUMBER(SEARCH("CORTE",Inventario!B287)),"COR",
IF(ISNUMBER(SEARCH("CRISTAL",Inventario!B287)),"CR",
IF(OR(ISNUMBER(SEARCH("OPTICO",Inventario!B287)),ISNUMBER(SEARCH("OPTICOS",Inventario!B287)),ISNUMBER(SEARCH("OPTICA",Inventario!B287))),"OP",
IF(ISNUMBER(SEARCH("NANO",Inventario!B287)),"NA",
IF(ISNUMBER(SEARCH("5050",Inventario!B287)),"5050",
IF(ISNUMBER(SEARCH("MICRO",Inventario!B287)),"MI",""))))))</f>
        <v/>
      </c>
      <c r="C288" t="str">
        <f>IF(ISNUMBER(SEARCH("PARED",Inventario!B287)),"PAR",IF(ISNUMBER(SEARCH("MATE",Inventario!B287)),"MAT",
IF(ISNUMBER(SEARCH("FRONT",Inventario!B287)),"FRO",
IF(ISNUMBER(SEARCH("BACK",Inventario!B287)),"BAC",
IF(ISNUMBER(SEARCH("MESH",Inventario!B287)),"MES",
IF(OR(ISNUMBER(SEARCH("BRILLANTE",Inventario!B287)),ISNUMBER(SEARCH("BTE",Inventario!B287))),"BRI",
IF(ISNUMBER(SEARCH("SINTETICA DELGADA",Inventario!B287)),"SD",
IF(ISNUMBER(SEARCH("SINTETICA GRUESA",Inventario!B287)),"SG",
IF(ISNUMBER(SEARCH("ESTATICO",Inventario!B287)),"EST",
IF(ISNUMBER(SEARCH("FLOOR",Inventario!B287)),"FLO",
IF(ISNUMBER(SEARCH("REFLECTIVO",Inventario!B287)),"REF",
IF(ISNUMBER(SEARCH("MICROPERFORADO",Inventario!B287)),"MI",
IF(ISNUMBER(SEARCH("CEPILLADO",Inventario!B287)),"CEP",
IF(ISNUMBER(SEARCH("ESPEJO",Inventario!B287)),"ESP",
IF(OR(ISNUMBER(SEARCH("UNIDIODO",Inventario!B287)),ISNUMBER(SEARCH("1 DIODO",Inventario!B287))),"1D",
IF(ISNUMBER(SEARCH("2 DIODOS",Inventario!B287)),"2D",
IF(ISNUMBER(SEARCH("3 DIODOS",Inventario!B287)),"3D","")))))))))))))))))</f>
        <v/>
      </c>
      <c r="D288" t="str">
        <f>IF(ISNUMBER(SEARCH("LX700",Inventario!B287)),"LX7",
IF(ISNUMBER(SEARCH("GRANDO",Inventario!B287)),"GRA",
IF(OR(ISNUMBER(SEARCH("CAMA PLANA",Inventario!B287)),ISNUMBER(SEARCH("FB700",Inventario!B287))),"CP",
IF(ISNUMBER(SEARCH("LX360",Inventario!B287)),"LX3",
IF(ISNUMBER(SEARCH("XEROX",Inventario!B287)),"XER",
IF(ISNUMBER(SEARCH("18 OZ",Inventario!B287)),"18OZ",
IF(ISNUMBER(SEARCH("15 OZ",Inventario!B287)),"15OZ",
IF(OR(ISNUMBER(SEARCH("13 OZ",Inventario!B287)),ISNUMBER(SEARCH("13 ONZAS",Inventario!B287))),"13OZ",
IF(OR(ISNUMBER(SEARCH("9 OZ",Inventario!B287)),ISNUMBER(SEARCH("9 ONZAS",Inventario!B287))),"09OZ","")))))))))</f>
        <v/>
      </c>
      <c r="E288" t="str">
        <f>IF(OR(ISNUMBER(SEARCH("TRANSPARENTE",Inventario!B287)),ISNUMBER(SEARCH("TRANSPARENTES",Inventario!B287))),"TR",
IF(OR(ISNUMBER(SEARCH("BLANCO",Inventario!B287)),ISNUMBER(SEARCH("BCO",Inventario!B287))),"BL",
IF(ISNUMBER(SEARCH("VERDE",Inventario!B287)),"VR",
IF(ISNUMBER(SEARCH("MORADO",Inventario!B287)),"MR",
IF(ISNUMBER(SEARCH("PLATA",Inventario!B287)),"PL",
IF(ISNUMBER(SEARCH("ORO",Inventario!B287)),"OR",
IF(ISNUMBER(SEARCH("AMARILLO",Inventario!B287)),"AM",
IF(ISNUMBER(SEARCH("NARANJA",Inventario!B287)),"NR",
IF(ISNUMBER(SEARCH("NEGRO",Inventario!B287)),"NG",
IF(ISNUMBER(SEARCH("ROJO",Inventario!B287)),"RJ",
IF(ISNUMBER(SEARCH("AZUL",Inventario!B287)),"AZ","")))))))))))</f>
        <v/>
      </c>
      <c r="F288" t="str">
        <f>IF(ISNUMBER(SEARCH("1,2 MM",Inventario!B287)),"1MM2",
IF(OR(ISNUMBER(SEARCH("2 MM",Inventario!B287)),ISNUMBER(SEARCH("2MM",Inventario!B287))),"2MM",
IF(OR(ISNUMBER(SEARCH("3 MM",Inventario!B287)),ISNUMBER(SEARCH("3MM",Inventario!B287))),"3MM",
IF(OR(ISNUMBER(SEARCH("4 MM",Inventario!B287)),ISNUMBER(SEARCH("4MM",Inventario!B287)),ISNUMBER(SEARCH("4 mm",Inventario!B287))),"4MM",
IF(OR(ISNUMBER(SEARCH("5 MM",Inventario!B287)),ISNUMBER(SEARCH("5MM",Inventario!B287))),"5MM",
IF(OR(ISNUMBER(SEARCH("6 MM",Inventario!B287)),ISNUMBER(SEARCH("6MM",Inventario!B287))),"6MM",
IF(OR(ISNUMBER(SEARCH("10 MM",Inventario!B287)),ISNUMBER(SEARCH("10MM",Inventario!B287))),"10MM","")))))))</f>
        <v/>
      </c>
      <c r="G288" t="str">
        <f>IF(ISNUMBER(SEARCH("ALTA RESISTENCIA",Inventario!B287)),"AR",IF(ISNUMBER(SEARCH("CAMPAÑA",Inventario!B287)),"CA",
IF(OR(ISNUMBER(SEARCH("CALIDO",Inventario!B287)),ISNUMBER(SEARCH("CÁLIDO",Inventario!B287))),"C",
IF(OR(ISNUMBER(SEARCH("TRASLUCIDO",Inventario!B287)),ISNUMBER(SEARCH("TRANSLUCIDO",Inventario!B287))),"TL",
IF(ISNUMBER(SEARCH("NEUTRO",Inventario!B287)),"N",
IF(ISNUMBER(SEARCH("FRIO",Inventario!B287)),"F",""))))))</f>
        <v/>
      </c>
      <c r="H288" t="str">
        <f>IF(ISNUMBER(SEARCH("SILED",Inventario!B287)),"SI",
IF(ISNUMBER(SEARCH("SYDEMEX",Inventario!B287)),"SY",
IF(ISNUMBER(SEARCH("ROHS",Inventario!B287)),"RO",
IF(ISNUMBER(SEARCH("RISHANG",Inventario!B287)),"RS",
IF(ISNUMBER(SEARCH("VYG",Inventario!B287)),"VYG",
IF(ISNUMBER(SEARCH("COLED",Inventario!B287)),"CO",""))))))</f>
        <v/>
      </c>
    </row>
    <row r="289" spans="1:8">
      <c r="A289" t="str">
        <f>IF(ISNUMBER(SEARCH("LONA",Inventario!B288)),"LON",
IF(ISNUMBER(SEARCH("VINIL",Inventario!B288)),"VIN",
IF(ISNUMBER(SEARCH("PANEL DE ALUMINIO COMPUESTO",Inventario!B288)),"PAN-ALU-COM",
IF(ISNUMBER(SEARCH("PVC",Inventario!B288)),"PVC",
IF(ISNUMBER(SEARCH("PAPEL",Inventario!B288)),"PAP",
IF(ISNUMBER(SEARCH("TELA",Inventario!B288)),"TEL",
IF(ISNUMBER(SEARCH("CARTULINA",Inventario!B288)),"CAR",
IF(OR(ISNUMBER(SEARCH("LAMINA",Inventario!B288)),ISNUMBER(SEARCH("LÁMINA",Inventario!B288))),"LAM",
IF(ISNUMBER(SEARCH("ESTIRENO",Inventario!B288)),"EST",
IF(ISNUMBER(SEARCH("FOAMBOARD",Inventario!B288)),"FOA",
IF(ISNUMBER(SEARCH("SOLVENTE",Inventario!B288)),"SOL",
IF(ISNUMBER(SEARCH("TINTA",Inventario!B288)),"TIN",
IF(ISNUMBER(SEARCH("ACRILICO",Inventario!B288)),"ACR",
IF(ISNUMBER(SEARCH("LED",Inventario!B288)),"LED",
IF(ISNUMBER(SEARCH("FUENTE",Inventario!B288)),"FUE",
IF(ISNUMBER(SEARCH("PETG",Inventario!B288)),"PET",
IF(ISNUMBER(SEARCH("ALUMINIO",Inventario!B288)),"ALU",
IF(ISNUMBER(SEARCH("CANAL",Inventario!B288)),"CAN",
IF(ISNUMBER(SEARCH("ESCUADRA",Inventario!B288)),"ESC",
IF(ISNUMBER(SEARCH("SOPORTE",Inventario!B288)),"SOP","OTR")
)))))))))))))))))))</f>
        <v>OTR</v>
      </c>
      <c r="B289" t="str">
        <f>IF(ISNUMBER(SEARCH("CORTE",Inventario!B288)),"COR",
IF(ISNUMBER(SEARCH("CRISTAL",Inventario!B288)),"CR",
IF(OR(ISNUMBER(SEARCH("OPTICO",Inventario!B288)),ISNUMBER(SEARCH("OPTICOS",Inventario!B288)),ISNUMBER(SEARCH("OPTICA",Inventario!B288))),"OP",
IF(ISNUMBER(SEARCH("NANO",Inventario!B288)),"NA",
IF(ISNUMBER(SEARCH("5050",Inventario!B288)),"5050",
IF(ISNUMBER(SEARCH("MICRO",Inventario!B288)),"MI",""))))))</f>
        <v/>
      </c>
      <c r="C289" t="str">
        <f>IF(ISNUMBER(SEARCH("PARED",Inventario!B288)),"PAR",IF(ISNUMBER(SEARCH("MATE",Inventario!B288)),"MAT",
IF(ISNUMBER(SEARCH("FRONT",Inventario!B288)),"FRO",
IF(ISNUMBER(SEARCH("BACK",Inventario!B288)),"BAC",
IF(ISNUMBER(SEARCH("MESH",Inventario!B288)),"MES",
IF(OR(ISNUMBER(SEARCH("BRILLANTE",Inventario!B288)),ISNUMBER(SEARCH("BTE",Inventario!B288))),"BRI",
IF(ISNUMBER(SEARCH("SINTETICA DELGADA",Inventario!B288)),"SD",
IF(ISNUMBER(SEARCH("SINTETICA GRUESA",Inventario!B288)),"SG",
IF(ISNUMBER(SEARCH("ESTATICO",Inventario!B288)),"EST",
IF(ISNUMBER(SEARCH("FLOOR",Inventario!B288)),"FLO",
IF(ISNUMBER(SEARCH("REFLECTIVO",Inventario!B288)),"REF",
IF(ISNUMBER(SEARCH("MICROPERFORADO",Inventario!B288)),"MI",
IF(ISNUMBER(SEARCH("CEPILLADO",Inventario!B288)),"CEP",
IF(ISNUMBER(SEARCH("ESPEJO",Inventario!B288)),"ESP",
IF(OR(ISNUMBER(SEARCH("UNIDIODO",Inventario!B288)),ISNUMBER(SEARCH("1 DIODO",Inventario!B288))),"1D",
IF(ISNUMBER(SEARCH("2 DIODOS",Inventario!B288)),"2D",
IF(ISNUMBER(SEARCH("3 DIODOS",Inventario!B288)),"3D","")))))))))))))))))</f>
        <v/>
      </c>
      <c r="D289" t="str">
        <f>IF(ISNUMBER(SEARCH("LX700",Inventario!B288)),"LX7",
IF(ISNUMBER(SEARCH("GRANDO",Inventario!B288)),"GRA",
IF(OR(ISNUMBER(SEARCH("CAMA PLANA",Inventario!B288)),ISNUMBER(SEARCH("FB700",Inventario!B288))),"CP",
IF(ISNUMBER(SEARCH("LX360",Inventario!B288)),"LX3",
IF(ISNUMBER(SEARCH("XEROX",Inventario!B288)),"XER",
IF(ISNUMBER(SEARCH("18 OZ",Inventario!B288)),"18OZ",
IF(ISNUMBER(SEARCH("15 OZ",Inventario!B288)),"15OZ",
IF(OR(ISNUMBER(SEARCH("13 OZ",Inventario!B288)),ISNUMBER(SEARCH("13 ONZAS",Inventario!B288))),"13OZ",
IF(OR(ISNUMBER(SEARCH("9 OZ",Inventario!B288)),ISNUMBER(SEARCH("9 ONZAS",Inventario!B288))),"09OZ","")))))))))</f>
        <v/>
      </c>
      <c r="E289" t="str">
        <f>IF(OR(ISNUMBER(SEARCH("TRANSPARENTE",Inventario!B288)),ISNUMBER(SEARCH("TRANSPARENTES",Inventario!B288))),"TR",
IF(OR(ISNUMBER(SEARCH("BLANCO",Inventario!B288)),ISNUMBER(SEARCH("BCO",Inventario!B288))),"BL",
IF(ISNUMBER(SEARCH("VERDE",Inventario!B288)),"VR",
IF(ISNUMBER(SEARCH("MORADO",Inventario!B288)),"MR",
IF(ISNUMBER(SEARCH("PLATA",Inventario!B288)),"PL",
IF(ISNUMBER(SEARCH("ORO",Inventario!B288)),"OR",
IF(ISNUMBER(SEARCH("AMARILLO",Inventario!B288)),"AM",
IF(ISNUMBER(SEARCH("NARANJA",Inventario!B288)),"NR",
IF(ISNUMBER(SEARCH("NEGRO",Inventario!B288)),"NG",
IF(ISNUMBER(SEARCH("ROJO",Inventario!B288)),"RJ",
IF(ISNUMBER(SEARCH("AZUL",Inventario!B288)),"AZ","")))))))))))</f>
        <v>TR</v>
      </c>
      <c r="F289" t="str">
        <f>IF(ISNUMBER(SEARCH("1,2 MM",Inventario!B288)),"1MM2",
IF(OR(ISNUMBER(SEARCH("2 MM",Inventario!B288)),ISNUMBER(SEARCH("2MM",Inventario!B288))),"2MM",
IF(OR(ISNUMBER(SEARCH("3 MM",Inventario!B288)),ISNUMBER(SEARCH("3MM",Inventario!B288))),"3MM",
IF(OR(ISNUMBER(SEARCH("4 MM",Inventario!B288)),ISNUMBER(SEARCH("4MM",Inventario!B288)),ISNUMBER(SEARCH("4 mm",Inventario!B288))),"4MM",
IF(OR(ISNUMBER(SEARCH("5 MM",Inventario!B288)),ISNUMBER(SEARCH("5MM",Inventario!B288))),"5MM",
IF(OR(ISNUMBER(SEARCH("6 MM",Inventario!B288)),ISNUMBER(SEARCH("6MM",Inventario!B288))),"6MM",
IF(OR(ISNUMBER(SEARCH("10 MM",Inventario!B288)),ISNUMBER(SEARCH("10MM",Inventario!B288))),"10MM","")))))))</f>
        <v>1MM2</v>
      </c>
      <c r="G289" t="str">
        <f>IF(ISNUMBER(SEARCH("ALTA RESISTENCIA",Inventario!B288)),"AR",IF(ISNUMBER(SEARCH("CAMPAÑA",Inventario!B288)),"CA",
IF(OR(ISNUMBER(SEARCH("CALIDO",Inventario!B288)),ISNUMBER(SEARCH("CÁLIDO",Inventario!B288))),"C",
IF(OR(ISNUMBER(SEARCH("TRASLUCIDO",Inventario!B288)),ISNUMBER(SEARCH("TRANSLUCIDO",Inventario!B288))),"TL",
IF(ISNUMBER(SEARCH("NEUTRO",Inventario!B288)),"N",
IF(ISNUMBER(SEARCH("FRIO",Inventario!B288)),"F",""))))))</f>
        <v/>
      </c>
      <c r="H289" t="str">
        <f>IF(ISNUMBER(SEARCH("SILED",Inventario!B288)),"SI",
IF(ISNUMBER(SEARCH("SYDEMEX",Inventario!B288)),"SY",
IF(ISNUMBER(SEARCH("ROHS",Inventario!B288)),"RO",
IF(ISNUMBER(SEARCH("RISHANG",Inventario!B288)),"RS",
IF(ISNUMBER(SEARCH("VYG",Inventario!B288)),"VYG",
IF(ISNUMBER(SEARCH("COLED",Inventario!B288)),"CO",""))))))</f>
        <v/>
      </c>
    </row>
    <row r="290" spans="1:8">
      <c r="A290" t="str">
        <f>IF(ISNUMBER(SEARCH("LONA",Inventario!B289)),"LON",
IF(ISNUMBER(SEARCH("VINIL",Inventario!B289)),"VIN",
IF(ISNUMBER(SEARCH("PANEL DE ALUMINIO COMPUESTO",Inventario!B289)),"PAN-ALU-COM",
IF(ISNUMBER(SEARCH("PVC",Inventario!B289)),"PVC",
IF(ISNUMBER(SEARCH("PAPEL",Inventario!B289)),"PAP",
IF(ISNUMBER(SEARCH("TELA",Inventario!B289)),"TEL",
IF(ISNUMBER(SEARCH("CARTULINA",Inventario!B289)),"CAR",
IF(OR(ISNUMBER(SEARCH("LAMINA",Inventario!B289)),ISNUMBER(SEARCH("LÁMINA",Inventario!B289))),"LAM",
IF(ISNUMBER(SEARCH("ESTIRENO",Inventario!B289)),"EST",
IF(ISNUMBER(SEARCH("FOAMBOARD",Inventario!B289)),"FOA",
IF(ISNUMBER(SEARCH("SOLVENTE",Inventario!B289)),"SOL",
IF(ISNUMBER(SEARCH("TINTA",Inventario!B289)),"TIN",
IF(ISNUMBER(SEARCH("ACRILICO",Inventario!B289)),"ACR",
IF(ISNUMBER(SEARCH("LED",Inventario!B289)),"LED",
IF(ISNUMBER(SEARCH("FUENTE",Inventario!B289)),"FUE",
IF(ISNUMBER(SEARCH("PETG",Inventario!B289)),"PET",
IF(ISNUMBER(SEARCH("ALUMINIO",Inventario!B289)),"ALU",
IF(ISNUMBER(SEARCH("CANAL",Inventario!B289)),"CAN",
IF(ISNUMBER(SEARCH("ESCUADRA",Inventario!B289)),"ESC",
IF(ISNUMBER(SEARCH("SOPORTE",Inventario!B289)),"SOP","OTR")
)))))))))))))))))))</f>
        <v>ESC</v>
      </c>
      <c r="B290" t="str">
        <f>IF(ISNUMBER(SEARCH("CORTE",Inventario!B289)),"COR",
IF(ISNUMBER(SEARCH("CRISTAL",Inventario!B289)),"CR",
IF(OR(ISNUMBER(SEARCH("OPTICO",Inventario!B289)),ISNUMBER(SEARCH("OPTICOS",Inventario!B289)),ISNUMBER(SEARCH("OPTICA",Inventario!B289))),"OP",
IF(ISNUMBER(SEARCH("NANO",Inventario!B289)),"NA",
IF(ISNUMBER(SEARCH("5050",Inventario!B289)),"5050",
IF(ISNUMBER(SEARCH("MICRO",Inventario!B289)),"MI",""))))))</f>
        <v/>
      </c>
      <c r="C290" t="str">
        <f>IF(ISNUMBER(SEARCH("PARED",Inventario!B289)),"PAR",IF(ISNUMBER(SEARCH("MATE",Inventario!B289)),"MAT",
IF(ISNUMBER(SEARCH("FRONT",Inventario!B289)),"FRO",
IF(ISNUMBER(SEARCH("BACK",Inventario!B289)),"BAC",
IF(ISNUMBER(SEARCH("MESH",Inventario!B289)),"MES",
IF(OR(ISNUMBER(SEARCH("BRILLANTE",Inventario!B289)),ISNUMBER(SEARCH("BTE",Inventario!B289))),"BRI",
IF(ISNUMBER(SEARCH("SINTETICA DELGADA",Inventario!B289)),"SD",
IF(ISNUMBER(SEARCH("SINTETICA GRUESA",Inventario!B289)),"SG",
IF(ISNUMBER(SEARCH("ESTATICO",Inventario!B289)),"EST",
IF(ISNUMBER(SEARCH("FLOOR",Inventario!B289)),"FLO",
IF(ISNUMBER(SEARCH("REFLECTIVO",Inventario!B289)),"REF",
IF(ISNUMBER(SEARCH("MICROPERFORADO",Inventario!B289)),"MI",
IF(ISNUMBER(SEARCH("CEPILLADO",Inventario!B289)),"CEP",
IF(ISNUMBER(SEARCH("ESPEJO",Inventario!B289)),"ESP",
IF(OR(ISNUMBER(SEARCH("UNIDIODO",Inventario!B289)),ISNUMBER(SEARCH("1 DIODO",Inventario!B289))),"1D",
IF(ISNUMBER(SEARCH("2 DIODOS",Inventario!B289)),"2D",
IF(ISNUMBER(SEARCH("3 DIODOS",Inventario!B289)),"3D","")))))))))))))))))</f>
        <v/>
      </c>
      <c r="D290" t="str">
        <f>IF(ISNUMBER(SEARCH("LX700",Inventario!B289)),"LX7",
IF(ISNUMBER(SEARCH("GRANDO",Inventario!B289)),"GRA",
IF(OR(ISNUMBER(SEARCH("CAMA PLANA",Inventario!B289)),ISNUMBER(SEARCH("FB700",Inventario!B289))),"CP",
IF(ISNUMBER(SEARCH("LX360",Inventario!B289)),"LX3",
IF(ISNUMBER(SEARCH("XEROX",Inventario!B289)),"XER",
IF(ISNUMBER(SEARCH("18 OZ",Inventario!B289)),"18OZ",
IF(ISNUMBER(SEARCH("15 OZ",Inventario!B289)),"15OZ",
IF(OR(ISNUMBER(SEARCH("13 OZ",Inventario!B289)),ISNUMBER(SEARCH("13 ONZAS",Inventario!B289))),"13OZ",
IF(OR(ISNUMBER(SEARCH("9 OZ",Inventario!B289)),ISNUMBER(SEARCH("9 ONZAS",Inventario!B289))),"09OZ","")))))))))</f>
        <v/>
      </c>
      <c r="E290" t="str">
        <f>IF(OR(ISNUMBER(SEARCH("TRANSPARENTE",Inventario!B289)),ISNUMBER(SEARCH("TRANSPARENTES",Inventario!B289))),"TR",
IF(OR(ISNUMBER(SEARCH("BLANCO",Inventario!B289)),ISNUMBER(SEARCH("BCO",Inventario!B289))),"BL",
IF(ISNUMBER(SEARCH("VERDE",Inventario!B289)),"VR",
IF(ISNUMBER(SEARCH("MORADO",Inventario!B289)),"MR",
IF(ISNUMBER(SEARCH("PLATA",Inventario!B289)),"PL",
IF(ISNUMBER(SEARCH("ORO",Inventario!B289)),"OR",
IF(ISNUMBER(SEARCH("AMARILLO",Inventario!B289)),"AM",
IF(ISNUMBER(SEARCH("NARANJA",Inventario!B289)),"NR",
IF(ISNUMBER(SEARCH("NEGRO",Inventario!B289)),"NG",
IF(ISNUMBER(SEARCH("ROJO",Inventario!B289)),"RJ",
IF(ISNUMBER(SEARCH("AZUL",Inventario!B289)),"AZ","")))))))))))</f>
        <v/>
      </c>
      <c r="F290" t="str">
        <f>IF(ISNUMBER(SEARCH("1,2 MM",Inventario!B289)),"1MM2",
IF(OR(ISNUMBER(SEARCH("2 MM",Inventario!B289)),ISNUMBER(SEARCH("2MM",Inventario!B289))),"2MM",
IF(OR(ISNUMBER(SEARCH("3 MM",Inventario!B289)),ISNUMBER(SEARCH("3MM",Inventario!B289))),"3MM",
IF(OR(ISNUMBER(SEARCH("4 MM",Inventario!B289)),ISNUMBER(SEARCH("4MM",Inventario!B289)),ISNUMBER(SEARCH("4 mm",Inventario!B289))),"4MM",
IF(OR(ISNUMBER(SEARCH("5 MM",Inventario!B289)),ISNUMBER(SEARCH("5MM",Inventario!B289))),"5MM",
IF(OR(ISNUMBER(SEARCH("6 MM",Inventario!B289)),ISNUMBER(SEARCH("6MM",Inventario!B289))),"6MM",
IF(OR(ISNUMBER(SEARCH("10 MM",Inventario!B289)),ISNUMBER(SEARCH("10MM",Inventario!B289))),"10MM","")))))))</f>
        <v/>
      </c>
      <c r="G290" t="str">
        <f>IF(ISNUMBER(SEARCH("ALTA RESISTENCIA",Inventario!B289)),"AR",IF(ISNUMBER(SEARCH("CAMPAÑA",Inventario!B289)),"CA",
IF(OR(ISNUMBER(SEARCH("CALIDO",Inventario!B289)),ISNUMBER(SEARCH("CÁLIDO",Inventario!B289))),"C",
IF(OR(ISNUMBER(SEARCH("TRASLUCIDO",Inventario!B289)),ISNUMBER(SEARCH("TRANSLUCIDO",Inventario!B289))),"TL",
IF(ISNUMBER(SEARCH("NEUTRO",Inventario!B289)),"N",
IF(ISNUMBER(SEARCH("FRIO",Inventario!B289)),"F",""))))))</f>
        <v/>
      </c>
      <c r="H290" t="str">
        <f>IF(ISNUMBER(SEARCH("SILED",Inventario!B289)),"SI",
IF(ISNUMBER(SEARCH("SYDEMEX",Inventario!B289)),"SY",
IF(ISNUMBER(SEARCH("ROHS",Inventario!B289)),"RO",
IF(ISNUMBER(SEARCH("RISHANG",Inventario!B289)),"RS",
IF(ISNUMBER(SEARCH("VYG",Inventario!B289)),"VYG",
IF(ISNUMBER(SEARCH("COLED",Inventario!B289)),"CO",""))))))</f>
        <v/>
      </c>
    </row>
    <row r="291" spans="1:8">
      <c r="A291" t="str">
        <f>IF(ISNUMBER(SEARCH("LONA",Inventario!B290)),"LON",
IF(ISNUMBER(SEARCH("VINIL",Inventario!B290)),"VIN",
IF(ISNUMBER(SEARCH("PANEL DE ALUMINIO COMPUESTO",Inventario!B290)),"PAN-ALU-COM",
IF(ISNUMBER(SEARCH("PVC",Inventario!B290)),"PVC",
IF(ISNUMBER(SEARCH("PAPEL",Inventario!B290)),"PAP",
IF(ISNUMBER(SEARCH("TELA",Inventario!B290)),"TEL",
IF(ISNUMBER(SEARCH("CARTULINA",Inventario!B290)),"CAR",
IF(OR(ISNUMBER(SEARCH("LAMINA",Inventario!B290)),ISNUMBER(SEARCH("LÁMINA",Inventario!B290))),"LAM",
IF(ISNUMBER(SEARCH("ESTIRENO",Inventario!B290)),"EST",
IF(ISNUMBER(SEARCH("FOAMBOARD",Inventario!B290)),"FOA",
IF(ISNUMBER(SEARCH("SOLVENTE",Inventario!B290)),"SOL",
IF(ISNUMBER(SEARCH("TINTA",Inventario!B290)),"TIN",
IF(ISNUMBER(SEARCH("ACRILICO",Inventario!B290)),"ACR",
IF(ISNUMBER(SEARCH("LED",Inventario!B290)),"LED",
IF(ISNUMBER(SEARCH("FUENTE",Inventario!B290)),"FUE",
IF(ISNUMBER(SEARCH("PETG",Inventario!B290)),"PET",
IF(ISNUMBER(SEARCH("ALUMINIO",Inventario!B290)),"ALU",
IF(ISNUMBER(SEARCH("CANAL",Inventario!B290)),"CAN",
IF(ISNUMBER(SEARCH("ESCUADRA",Inventario!B290)),"ESC",
IF(ISNUMBER(SEARCH("SOPORTE",Inventario!B290)),"SOP","OTR")
)))))))))))))))))))</f>
        <v>ESC</v>
      </c>
      <c r="B291" t="str">
        <f>IF(ISNUMBER(SEARCH("CORTE",Inventario!B290)),"COR",
IF(ISNUMBER(SEARCH("CRISTAL",Inventario!B290)),"CR",
IF(OR(ISNUMBER(SEARCH("OPTICO",Inventario!B290)),ISNUMBER(SEARCH("OPTICOS",Inventario!B290)),ISNUMBER(SEARCH("OPTICA",Inventario!B290))),"OP",
IF(ISNUMBER(SEARCH("NANO",Inventario!B290)),"NA",
IF(ISNUMBER(SEARCH("5050",Inventario!B290)),"5050",
IF(ISNUMBER(SEARCH("MICRO",Inventario!B290)),"MI",""))))))</f>
        <v/>
      </c>
      <c r="C291" t="str">
        <f>IF(ISNUMBER(SEARCH("PARED",Inventario!B290)),"PAR",IF(ISNUMBER(SEARCH("MATE",Inventario!B290)),"MAT",
IF(ISNUMBER(SEARCH("FRONT",Inventario!B290)),"FRO",
IF(ISNUMBER(SEARCH("BACK",Inventario!B290)),"BAC",
IF(ISNUMBER(SEARCH("MESH",Inventario!B290)),"MES",
IF(OR(ISNUMBER(SEARCH("BRILLANTE",Inventario!B290)),ISNUMBER(SEARCH("BTE",Inventario!B290))),"BRI",
IF(ISNUMBER(SEARCH("SINTETICA DELGADA",Inventario!B290)),"SD",
IF(ISNUMBER(SEARCH("SINTETICA GRUESA",Inventario!B290)),"SG",
IF(ISNUMBER(SEARCH("ESTATICO",Inventario!B290)),"EST",
IF(ISNUMBER(SEARCH("FLOOR",Inventario!B290)),"FLO",
IF(ISNUMBER(SEARCH("REFLECTIVO",Inventario!B290)),"REF",
IF(ISNUMBER(SEARCH("MICROPERFORADO",Inventario!B290)),"MI",
IF(ISNUMBER(SEARCH("CEPILLADO",Inventario!B290)),"CEP",
IF(ISNUMBER(SEARCH("ESPEJO",Inventario!B290)),"ESP",
IF(OR(ISNUMBER(SEARCH("UNIDIODO",Inventario!B290)),ISNUMBER(SEARCH("1 DIODO",Inventario!B290))),"1D",
IF(ISNUMBER(SEARCH("2 DIODOS",Inventario!B290)),"2D",
IF(ISNUMBER(SEARCH("3 DIODOS",Inventario!B290)),"3D","")))))))))))))))))</f>
        <v/>
      </c>
      <c r="D291" t="str">
        <f>IF(ISNUMBER(SEARCH("LX700",Inventario!B290)),"LX7",
IF(ISNUMBER(SEARCH("GRANDO",Inventario!B290)),"GRA",
IF(OR(ISNUMBER(SEARCH("CAMA PLANA",Inventario!B290)),ISNUMBER(SEARCH("FB700",Inventario!B290))),"CP",
IF(ISNUMBER(SEARCH("LX360",Inventario!B290)),"LX3",
IF(ISNUMBER(SEARCH("XEROX",Inventario!B290)),"XER",
IF(ISNUMBER(SEARCH("18 OZ",Inventario!B290)),"18OZ",
IF(ISNUMBER(SEARCH("15 OZ",Inventario!B290)),"15OZ",
IF(OR(ISNUMBER(SEARCH("13 OZ",Inventario!B290)),ISNUMBER(SEARCH("13 ONZAS",Inventario!B290))),"13OZ",
IF(OR(ISNUMBER(SEARCH("9 OZ",Inventario!B290)),ISNUMBER(SEARCH("9 ONZAS",Inventario!B290))),"09OZ","")))))))))</f>
        <v/>
      </c>
      <c r="E291" t="str">
        <f>IF(OR(ISNUMBER(SEARCH("TRANSPARENTE",Inventario!B290)),ISNUMBER(SEARCH("TRANSPARENTES",Inventario!B290))),"TR",
IF(OR(ISNUMBER(SEARCH("BLANCO",Inventario!B290)),ISNUMBER(SEARCH("BCO",Inventario!B290))),"BL",
IF(ISNUMBER(SEARCH("VERDE",Inventario!B290)),"VR",
IF(ISNUMBER(SEARCH("MORADO",Inventario!B290)),"MR",
IF(ISNUMBER(SEARCH("PLATA",Inventario!B290)),"PL",
IF(ISNUMBER(SEARCH("ORO",Inventario!B290)),"OR",
IF(ISNUMBER(SEARCH("AMARILLO",Inventario!B290)),"AM",
IF(ISNUMBER(SEARCH("NARANJA",Inventario!B290)),"NR",
IF(ISNUMBER(SEARCH("NEGRO",Inventario!B290)),"NG",
IF(ISNUMBER(SEARCH("ROJO",Inventario!B290)),"RJ",
IF(ISNUMBER(SEARCH("AZUL",Inventario!B290)),"AZ","")))))))))))</f>
        <v/>
      </c>
      <c r="F291" t="str">
        <f>IF(ISNUMBER(SEARCH("1,2 MM",Inventario!B290)),"1MM2",
IF(OR(ISNUMBER(SEARCH("2 MM",Inventario!B290)),ISNUMBER(SEARCH("2MM",Inventario!B290))),"2MM",
IF(OR(ISNUMBER(SEARCH("3 MM",Inventario!B290)),ISNUMBER(SEARCH("3MM",Inventario!B290))),"3MM",
IF(OR(ISNUMBER(SEARCH("4 MM",Inventario!B290)),ISNUMBER(SEARCH("4MM",Inventario!B290)),ISNUMBER(SEARCH("4 mm",Inventario!B290))),"4MM",
IF(OR(ISNUMBER(SEARCH("5 MM",Inventario!B290)),ISNUMBER(SEARCH("5MM",Inventario!B290))),"5MM",
IF(OR(ISNUMBER(SEARCH("6 MM",Inventario!B290)),ISNUMBER(SEARCH("6MM",Inventario!B290))),"6MM",
IF(OR(ISNUMBER(SEARCH("10 MM",Inventario!B290)),ISNUMBER(SEARCH("10MM",Inventario!B290))),"10MM","")))))))</f>
        <v/>
      </c>
      <c r="G291" t="str">
        <f>IF(ISNUMBER(SEARCH("ALTA RESISTENCIA",Inventario!B290)),"AR",IF(ISNUMBER(SEARCH("CAMPAÑA",Inventario!B290)),"CA",
IF(OR(ISNUMBER(SEARCH("CALIDO",Inventario!B290)),ISNUMBER(SEARCH("CÁLIDO",Inventario!B290))),"C",
IF(OR(ISNUMBER(SEARCH("TRASLUCIDO",Inventario!B290)),ISNUMBER(SEARCH("TRANSLUCIDO",Inventario!B290))),"TL",
IF(ISNUMBER(SEARCH("NEUTRO",Inventario!B290)),"N",
IF(ISNUMBER(SEARCH("FRIO",Inventario!B290)),"F",""))))))</f>
        <v/>
      </c>
      <c r="H291" t="str">
        <f>IF(ISNUMBER(SEARCH("SILED",Inventario!B290)),"SI",
IF(ISNUMBER(SEARCH("SYDEMEX",Inventario!B290)),"SY",
IF(ISNUMBER(SEARCH("ROHS",Inventario!B290)),"RO",
IF(ISNUMBER(SEARCH("RISHANG",Inventario!B290)),"RS",
IF(ISNUMBER(SEARCH("VYG",Inventario!B290)),"VYG",
IF(ISNUMBER(SEARCH("COLED",Inventario!B290)),"CO",""))))))</f>
        <v/>
      </c>
    </row>
    <row r="292" spans="1:8">
      <c r="A292" t="str">
        <f>IF(ISNUMBER(SEARCH("LONA",Inventario!B291)),"LON",
IF(ISNUMBER(SEARCH("VINIL",Inventario!B291)),"VIN",
IF(ISNUMBER(SEARCH("PANEL DE ALUMINIO COMPUESTO",Inventario!B291)),"PAN-ALU-COM",
IF(ISNUMBER(SEARCH("PVC",Inventario!B291)),"PVC",
IF(ISNUMBER(SEARCH("PAPEL",Inventario!B291)),"PAP",
IF(ISNUMBER(SEARCH("TELA",Inventario!B291)),"TEL",
IF(ISNUMBER(SEARCH("CARTULINA",Inventario!B291)),"CAR",
IF(OR(ISNUMBER(SEARCH("LAMINA",Inventario!B291)),ISNUMBER(SEARCH("LÁMINA",Inventario!B291))),"LAM",
IF(ISNUMBER(SEARCH("ESTIRENO",Inventario!B291)),"EST",
IF(ISNUMBER(SEARCH("FOAMBOARD",Inventario!B291)),"FOA",
IF(ISNUMBER(SEARCH("SOLVENTE",Inventario!B291)),"SOL",
IF(ISNUMBER(SEARCH("TINTA",Inventario!B291)),"TIN",
IF(ISNUMBER(SEARCH("ACRILICO",Inventario!B291)),"ACR",
IF(ISNUMBER(SEARCH("LED",Inventario!B291)),"LED",
IF(ISNUMBER(SEARCH("FUENTE",Inventario!B291)),"FUE",
IF(ISNUMBER(SEARCH("PETG",Inventario!B291)),"PET",
IF(ISNUMBER(SEARCH("ALUMINIO",Inventario!B291)),"ALU",
IF(ISNUMBER(SEARCH("CANAL",Inventario!B291)),"CAN",
IF(ISNUMBER(SEARCH("ESCUADRA",Inventario!B291)),"ESC",
IF(ISNUMBER(SEARCH("SOPORTE",Inventario!B291)),"SOP","OTR")
)))))))))))))))))))</f>
        <v>SOP</v>
      </c>
      <c r="B292" t="str">
        <f>IF(ISNUMBER(SEARCH("CORTE",Inventario!B291)),"COR",
IF(ISNUMBER(SEARCH("CRISTAL",Inventario!B291)),"CR",
IF(OR(ISNUMBER(SEARCH("OPTICO",Inventario!B291)),ISNUMBER(SEARCH("OPTICOS",Inventario!B291)),ISNUMBER(SEARCH("OPTICA",Inventario!B291))),"OP",
IF(ISNUMBER(SEARCH("NANO",Inventario!B291)),"NA",
IF(ISNUMBER(SEARCH("5050",Inventario!B291)),"5050",
IF(ISNUMBER(SEARCH("MICRO",Inventario!B291)),"MI",""))))))</f>
        <v/>
      </c>
      <c r="C292" t="str">
        <f>IF(ISNUMBER(SEARCH("PARED",Inventario!B291)),"PAR",IF(ISNUMBER(SEARCH("MATE",Inventario!B291)),"MAT",
IF(ISNUMBER(SEARCH("FRONT",Inventario!B291)),"FRO",
IF(ISNUMBER(SEARCH("BACK",Inventario!B291)),"BAC",
IF(ISNUMBER(SEARCH("MESH",Inventario!B291)),"MES",
IF(OR(ISNUMBER(SEARCH("BRILLANTE",Inventario!B291)),ISNUMBER(SEARCH("BTE",Inventario!B291))),"BRI",
IF(ISNUMBER(SEARCH("SINTETICA DELGADA",Inventario!B291)),"SD",
IF(ISNUMBER(SEARCH("SINTETICA GRUESA",Inventario!B291)),"SG",
IF(ISNUMBER(SEARCH("ESTATICO",Inventario!B291)),"EST",
IF(ISNUMBER(SEARCH("FLOOR",Inventario!B291)),"FLO",
IF(ISNUMBER(SEARCH("REFLECTIVO",Inventario!B291)),"REF",
IF(ISNUMBER(SEARCH("MICROPERFORADO",Inventario!B291)),"MI",
IF(ISNUMBER(SEARCH("CEPILLADO",Inventario!B291)),"CEP",
IF(ISNUMBER(SEARCH("ESPEJO",Inventario!B291)),"ESP",
IF(OR(ISNUMBER(SEARCH("UNIDIODO",Inventario!B291)),ISNUMBER(SEARCH("1 DIODO",Inventario!B291))),"1D",
IF(ISNUMBER(SEARCH("2 DIODOS",Inventario!B291)),"2D",
IF(ISNUMBER(SEARCH("3 DIODOS",Inventario!B291)),"3D","")))))))))))))))))</f>
        <v/>
      </c>
      <c r="D292" t="str">
        <f>IF(ISNUMBER(SEARCH("LX700",Inventario!B291)),"LX7",
IF(ISNUMBER(SEARCH("GRANDO",Inventario!B291)),"GRA",
IF(OR(ISNUMBER(SEARCH("CAMA PLANA",Inventario!B291)),ISNUMBER(SEARCH("FB700",Inventario!B291))),"CP",
IF(ISNUMBER(SEARCH("LX360",Inventario!B291)),"LX3",
IF(ISNUMBER(SEARCH("XEROX",Inventario!B291)),"XER",
IF(ISNUMBER(SEARCH("18 OZ",Inventario!B291)),"18OZ",
IF(ISNUMBER(SEARCH("15 OZ",Inventario!B291)),"15OZ",
IF(OR(ISNUMBER(SEARCH("13 OZ",Inventario!B291)),ISNUMBER(SEARCH("13 ONZAS",Inventario!B291))),"13OZ",
IF(OR(ISNUMBER(SEARCH("9 OZ",Inventario!B291)),ISNUMBER(SEARCH("9 ONZAS",Inventario!B291))),"09OZ","")))))))))</f>
        <v/>
      </c>
      <c r="E292" t="str">
        <f>IF(OR(ISNUMBER(SEARCH("TRANSPARENTE",Inventario!B291)),ISNUMBER(SEARCH("TRANSPARENTES",Inventario!B291))),"TR",
IF(OR(ISNUMBER(SEARCH("BLANCO",Inventario!B291)),ISNUMBER(SEARCH("BCO",Inventario!B291))),"BL",
IF(ISNUMBER(SEARCH("VERDE",Inventario!B291)),"VR",
IF(ISNUMBER(SEARCH("MORADO",Inventario!B291)),"MR",
IF(ISNUMBER(SEARCH("PLATA",Inventario!B291)),"PL",
IF(ISNUMBER(SEARCH("ORO",Inventario!B291)),"OR",
IF(ISNUMBER(SEARCH("AMARILLO",Inventario!B291)),"AM",
IF(ISNUMBER(SEARCH("NARANJA",Inventario!B291)),"NR",
IF(ISNUMBER(SEARCH("NEGRO",Inventario!B291)),"NG",
IF(ISNUMBER(SEARCH("ROJO",Inventario!B291)),"RJ",
IF(ISNUMBER(SEARCH("AZUL",Inventario!B291)),"AZ","")))))))))))</f>
        <v/>
      </c>
      <c r="F292" t="str">
        <f>IF(ISNUMBER(SEARCH("1,2 MM",Inventario!B291)),"1MM2",
IF(OR(ISNUMBER(SEARCH("2 MM",Inventario!B291)),ISNUMBER(SEARCH("2MM",Inventario!B291))),"2MM",
IF(OR(ISNUMBER(SEARCH("3 MM",Inventario!B291)),ISNUMBER(SEARCH("3MM",Inventario!B291))),"3MM",
IF(OR(ISNUMBER(SEARCH("4 MM",Inventario!B291)),ISNUMBER(SEARCH("4MM",Inventario!B291)),ISNUMBER(SEARCH("4 mm",Inventario!B291))),"4MM",
IF(OR(ISNUMBER(SEARCH("5 MM",Inventario!B291)),ISNUMBER(SEARCH("5MM",Inventario!B291))),"5MM",
IF(OR(ISNUMBER(SEARCH("6 MM",Inventario!B291)),ISNUMBER(SEARCH("6MM",Inventario!B291))),"6MM",
IF(OR(ISNUMBER(SEARCH("10 MM",Inventario!B291)),ISNUMBER(SEARCH("10MM",Inventario!B291))),"10MM","")))))))</f>
        <v>6MM</v>
      </c>
      <c r="G292" t="str">
        <f>IF(ISNUMBER(SEARCH("ALTA RESISTENCIA",Inventario!B291)),"AR",IF(ISNUMBER(SEARCH("CAMPAÑA",Inventario!B291)),"CA",
IF(OR(ISNUMBER(SEARCH("CALIDO",Inventario!B291)),ISNUMBER(SEARCH("CÁLIDO",Inventario!B291))),"C",
IF(OR(ISNUMBER(SEARCH("TRASLUCIDO",Inventario!B291)),ISNUMBER(SEARCH("TRANSLUCIDO",Inventario!B291))),"TL",
IF(ISNUMBER(SEARCH("NEUTRO",Inventario!B291)),"N",
IF(ISNUMBER(SEARCH("FRIO",Inventario!B291)),"F",""))))))</f>
        <v/>
      </c>
      <c r="H292" t="str">
        <f>IF(ISNUMBER(SEARCH("SILED",Inventario!B291)),"SI",
IF(ISNUMBER(SEARCH("SYDEMEX",Inventario!B291)),"SY",
IF(ISNUMBER(SEARCH("ROHS",Inventario!B291)),"RO",
IF(ISNUMBER(SEARCH("RISHANG",Inventario!B291)),"RS",
IF(ISNUMBER(SEARCH("VYG",Inventario!B291)),"VYG",
IF(ISNUMBER(SEARCH("COLED",Inventario!B291)),"CO",""))))))</f>
        <v/>
      </c>
    </row>
    <row r="293" spans="1:8">
      <c r="A293" t="str">
        <f>IF(ISNUMBER(SEARCH("LONA",Inventario!B292)),"LON",
IF(ISNUMBER(SEARCH("VINIL",Inventario!B292)),"VIN",
IF(ISNUMBER(SEARCH("PANEL DE ALUMINIO COMPUESTO",Inventario!B292)),"PAN-ALU-COM",
IF(ISNUMBER(SEARCH("PVC",Inventario!B292)),"PVC",
IF(ISNUMBER(SEARCH("PAPEL",Inventario!B292)),"PAP",
IF(ISNUMBER(SEARCH("TELA",Inventario!B292)),"TEL",
IF(ISNUMBER(SEARCH("CARTULINA",Inventario!B292)),"CAR",
IF(OR(ISNUMBER(SEARCH("LAMINA",Inventario!B292)),ISNUMBER(SEARCH("LÁMINA",Inventario!B292))),"LAM",
IF(ISNUMBER(SEARCH("ESTIRENO",Inventario!B292)),"EST",
IF(ISNUMBER(SEARCH("FOAMBOARD",Inventario!B292)),"FOA",
IF(ISNUMBER(SEARCH("SOLVENTE",Inventario!B292)),"SOL",
IF(ISNUMBER(SEARCH("TINTA",Inventario!B292)),"TIN",
IF(ISNUMBER(SEARCH("ACRILICO",Inventario!B292)),"ACR",
IF(ISNUMBER(SEARCH("LED",Inventario!B292)),"LED",
IF(ISNUMBER(SEARCH("FUENTE",Inventario!B292)),"FUE",
IF(ISNUMBER(SEARCH("PETG",Inventario!B292)),"PET",
IF(ISNUMBER(SEARCH("ALUMINIO",Inventario!B292)),"ALU",
IF(ISNUMBER(SEARCH("CANAL",Inventario!B292)),"CAN",
IF(ISNUMBER(SEARCH("ESCUADRA",Inventario!B292)),"ESC",
IF(ISNUMBER(SEARCH("SOPORTE",Inventario!B292)),"SOP","OTR")
)))))))))))))))))))</f>
        <v>SOP</v>
      </c>
      <c r="B293" t="str">
        <f>IF(ISNUMBER(SEARCH("CORTE",Inventario!B292)),"COR",
IF(ISNUMBER(SEARCH("CRISTAL",Inventario!B292)),"CR",
IF(OR(ISNUMBER(SEARCH("OPTICO",Inventario!B292)),ISNUMBER(SEARCH("OPTICOS",Inventario!B292)),ISNUMBER(SEARCH("OPTICA",Inventario!B292))),"OP",
IF(ISNUMBER(SEARCH("NANO",Inventario!B292)),"NA",
IF(ISNUMBER(SEARCH("5050",Inventario!B292)),"5050",
IF(ISNUMBER(SEARCH("MICRO",Inventario!B292)),"MI",""))))))</f>
        <v/>
      </c>
      <c r="C293" t="str">
        <f>IF(ISNUMBER(SEARCH("PARED",Inventario!B292)),"PAR",IF(ISNUMBER(SEARCH("MATE",Inventario!B292)),"MAT",
IF(ISNUMBER(SEARCH("FRONT",Inventario!B292)),"FRO",
IF(ISNUMBER(SEARCH("BACK",Inventario!B292)),"BAC",
IF(ISNUMBER(SEARCH("MESH",Inventario!B292)),"MES",
IF(OR(ISNUMBER(SEARCH("BRILLANTE",Inventario!B292)),ISNUMBER(SEARCH("BTE",Inventario!B292))),"BRI",
IF(ISNUMBER(SEARCH("SINTETICA DELGADA",Inventario!B292)),"SD",
IF(ISNUMBER(SEARCH("SINTETICA GRUESA",Inventario!B292)),"SG",
IF(ISNUMBER(SEARCH("ESTATICO",Inventario!B292)),"EST",
IF(ISNUMBER(SEARCH("FLOOR",Inventario!B292)),"FLO",
IF(ISNUMBER(SEARCH("REFLECTIVO",Inventario!B292)),"REF",
IF(ISNUMBER(SEARCH("MICROPERFORADO",Inventario!B292)),"MI",
IF(ISNUMBER(SEARCH("CEPILLADO",Inventario!B292)),"CEP",
IF(ISNUMBER(SEARCH("ESPEJO",Inventario!B292)),"ESP",
IF(OR(ISNUMBER(SEARCH("UNIDIODO",Inventario!B292)),ISNUMBER(SEARCH("1 DIODO",Inventario!B292))),"1D",
IF(ISNUMBER(SEARCH("2 DIODOS",Inventario!B292)),"2D",
IF(ISNUMBER(SEARCH("3 DIODOS",Inventario!B292)),"3D","")))))))))))))))))</f>
        <v/>
      </c>
      <c r="D293" t="str">
        <f>IF(ISNUMBER(SEARCH("LX700",Inventario!B292)),"LX7",
IF(ISNUMBER(SEARCH("GRANDO",Inventario!B292)),"GRA",
IF(OR(ISNUMBER(SEARCH("CAMA PLANA",Inventario!B292)),ISNUMBER(SEARCH("FB700",Inventario!B292))),"CP",
IF(ISNUMBER(SEARCH("LX360",Inventario!B292)),"LX3",
IF(ISNUMBER(SEARCH("XEROX",Inventario!B292)),"XER",
IF(ISNUMBER(SEARCH("18 OZ",Inventario!B292)),"18OZ",
IF(ISNUMBER(SEARCH("15 OZ",Inventario!B292)),"15OZ",
IF(OR(ISNUMBER(SEARCH("13 OZ",Inventario!B292)),ISNUMBER(SEARCH("13 ONZAS",Inventario!B292))),"13OZ",
IF(OR(ISNUMBER(SEARCH("9 OZ",Inventario!B292)),ISNUMBER(SEARCH("9 ONZAS",Inventario!B292))),"09OZ","")))))))))</f>
        <v/>
      </c>
      <c r="E293" t="str">
        <f>IF(OR(ISNUMBER(SEARCH("TRANSPARENTE",Inventario!B292)),ISNUMBER(SEARCH("TRANSPARENTES",Inventario!B292))),"TR",
IF(OR(ISNUMBER(SEARCH("BLANCO",Inventario!B292)),ISNUMBER(SEARCH("BCO",Inventario!B292))),"BL",
IF(ISNUMBER(SEARCH("VERDE",Inventario!B292)),"VR",
IF(ISNUMBER(SEARCH("MORADO",Inventario!B292)),"MR",
IF(ISNUMBER(SEARCH("PLATA",Inventario!B292)),"PL",
IF(ISNUMBER(SEARCH("ORO",Inventario!B292)),"OR",
IF(ISNUMBER(SEARCH("AMARILLO",Inventario!B292)),"AM",
IF(ISNUMBER(SEARCH("NARANJA",Inventario!B292)),"NR",
IF(ISNUMBER(SEARCH("NEGRO",Inventario!B292)),"NG",
IF(ISNUMBER(SEARCH("ROJO",Inventario!B292)),"RJ",
IF(ISNUMBER(SEARCH("AZUL",Inventario!B292)),"AZ","")))))))))))</f>
        <v/>
      </c>
      <c r="F293" t="str">
        <f>IF(ISNUMBER(SEARCH("1,2 MM",Inventario!B292)),"1MM2",
IF(OR(ISNUMBER(SEARCH("2 MM",Inventario!B292)),ISNUMBER(SEARCH("2MM",Inventario!B292))),"2MM",
IF(OR(ISNUMBER(SEARCH("3 MM",Inventario!B292)),ISNUMBER(SEARCH("3MM",Inventario!B292))),"3MM",
IF(OR(ISNUMBER(SEARCH("4 MM",Inventario!B292)),ISNUMBER(SEARCH("4MM",Inventario!B292)),ISNUMBER(SEARCH("4 mm",Inventario!B292))),"4MM",
IF(OR(ISNUMBER(SEARCH("5 MM",Inventario!B292)),ISNUMBER(SEARCH("5MM",Inventario!B292))),"5MM",
IF(OR(ISNUMBER(SEARCH("6 MM",Inventario!B292)),ISNUMBER(SEARCH("6MM",Inventario!B292))),"6MM",
IF(OR(ISNUMBER(SEARCH("10 MM",Inventario!B292)),ISNUMBER(SEARCH("10MM",Inventario!B292))),"10MM","")))))))</f>
        <v>3MM</v>
      </c>
      <c r="G293" t="str">
        <f>IF(ISNUMBER(SEARCH("ALTA RESISTENCIA",Inventario!B292)),"AR",IF(ISNUMBER(SEARCH("CAMPAÑA",Inventario!B292)),"CA",
IF(OR(ISNUMBER(SEARCH("CALIDO",Inventario!B292)),ISNUMBER(SEARCH("CÁLIDO",Inventario!B292))),"C",
IF(OR(ISNUMBER(SEARCH("TRASLUCIDO",Inventario!B292)),ISNUMBER(SEARCH("TRANSLUCIDO",Inventario!B292))),"TL",
IF(ISNUMBER(SEARCH("NEUTRO",Inventario!B292)),"N",
IF(ISNUMBER(SEARCH("FRIO",Inventario!B292)),"F",""))))))</f>
        <v/>
      </c>
      <c r="H293" t="str">
        <f>IF(ISNUMBER(SEARCH("SILED",Inventario!B292)),"SI",
IF(ISNUMBER(SEARCH("SYDEMEX",Inventario!B292)),"SY",
IF(ISNUMBER(SEARCH("ROHS",Inventario!B292)),"RO",
IF(ISNUMBER(SEARCH("RISHANG",Inventario!B292)),"RS",
IF(ISNUMBER(SEARCH("VYG",Inventario!B292)),"VYG",
IF(ISNUMBER(SEARCH("COLED",Inventario!B292)),"CO",""))))))</f>
        <v/>
      </c>
    </row>
    <row r="294" spans="1:8">
      <c r="A294" t="str">
        <f>IF(ISNUMBER(SEARCH("LONA",Inventario!B293)),"LON",
IF(ISNUMBER(SEARCH("VINIL",Inventario!B293)),"VIN",
IF(ISNUMBER(SEARCH("PANEL DE ALUMINIO COMPUESTO",Inventario!B293)),"PAN-ALU-COM",
IF(ISNUMBER(SEARCH("PVC",Inventario!B293)),"PVC",
IF(ISNUMBER(SEARCH("PAPEL",Inventario!B293)),"PAP",
IF(ISNUMBER(SEARCH("TELA",Inventario!B293)),"TEL",
IF(ISNUMBER(SEARCH("CARTULINA",Inventario!B293)),"CAR",
IF(OR(ISNUMBER(SEARCH("LAMINA",Inventario!B293)),ISNUMBER(SEARCH("LÁMINA",Inventario!B293))),"LAM",
IF(ISNUMBER(SEARCH("ESTIRENO",Inventario!B293)),"EST",
IF(ISNUMBER(SEARCH("FOAMBOARD",Inventario!B293)),"FOA",
IF(ISNUMBER(SEARCH("SOLVENTE",Inventario!B293)),"SOL",
IF(ISNUMBER(SEARCH("TINTA",Inventario!B293)),"TIN",
IF(ISNUMBER(SEARCH("ACRILICO",Inventario!B293)),"ACR",
IF(ISNUMBER(SEARCH("LED",Inventario!B293)),"LED",
IF(ISNUMBER(SEARCH("FUENTE",Inventario!B293)),"FUE",
IF(ISNUMBER(SEARCH("PETG",Inventario!B293)),"PET",
IF(ISNUMBER(SEARCH("ALUMINIO",Inventario!B293)),"ALU",
IF(ISNUMBER(SEARCH("CANAL",Inventario!B293)),"CAN",
IF(ISNUMBER(SEARCH("ESCUADRA",Inventario!B293)),"ESC",
IF(ISNUMBER(SEARCH("SOPORTE",Inventario!B293)),"SOP","OTR")
)))))))))))))))))))</f>
        <v>SOP</v>
      </c>
      <c r="B294" t="str">
        <f>IF(ISNUMBER(SEARCH("CORTE",Inventario!B293)),"COR",
IF(ISNUMBER(SEARCH("CRISTAL",Inventario!B293)),"CR",
IF(OR(ISNUMBER(SEARCH("OPTICO",Inventario!B293)),ISNUMBER(SEARCH("OPTICOS",Inventario!B293)),ISNUMBER(SEARCH("OPTICA",Inventario!B293))),"OP",
IF(ISNUMBER(SEARCH("NANO",Inventario!B293)),"NA",
IF(ISNUMBER(SEARCH("5050",Inventario!B293)),"5050",
IF(ISNUMBER(SEARCH("MICRO",Inventario!B293)),"MI",""))))))</f>
        <v/>
      </c>
      <c r="C294" t="str">
        <f>IF(ISNUMBER(SEARCH("PARED",Inventario!B293)),"PAR",IF(ISNUMBER(SEARCH("MATE",Inventario!B293)),"MAT",
IF(ISNUMBER(SEARCH("FRONT",Inventario!B293)),"FRO",
IF(ISNUMBER(SEARCH("BACK",Inventario!B293)),"BAC",
IF(ISNUMBER(SEARCH("MESH",Inventario!B293)),"MES",
IF(OR(ISNUMBER(SEARCH("BRILLANTE",Inventario!B293)),ISNUMBER(SEARCH("BTE",Inventario!B293))),"BRI",
IF(ISNUMBER(SEARCH("SINTETICA DELGADA",Inventario!B293)),"SD",
IF(ISNUMBER(SEARCH("SINTETICA GRUESA",Inventario!B293)),"SG",
IF(ISNUMBER(SEARCH("ESTATICO",Inventario!B293)),"EST",
IF(ISNUMBER(SEARCH("FLOOR",Inventario!B293)),"FLO",
IF(ISNUMBER(SEARCH("REFLECTIVO",Inventario!B293)),"REF",
IF(ISNUMBER(SEARCH("MICROPERFORADO",Inventario!B293)),"MI",
IF(ISNUMBER(SEARCH("CEPILLADO",Inventario!B293)),"CEP",
IF(ISNUMBER(SEARCH("ESPEJO",Inventario!B293)),"ESP",
IF(OR(ISNUMBER(SEARCH("UNIDIODO",Inventario!B293)),ISNUMBER(SEARCH("1 DIODO",Inventario!B293))),"1D",
IF(ISNUMBER(SEARCH("2 DIODOS",Inventario!B293)),"2D",
IF(ISNUMBER(SEARCH("3 DIODOS",Inventario!B293)),"3D","")))))))))))))))))</f>
        <v/>
      </c>
      <c r="D294" t="str">
        <f>IF(ISNUMBER(SEARCH("LX700",Inventario!B293)),"LX7",
IF(ISNUMBER(SEARCH("GRANDO",Inventario!B293)),"GRA",
IF(OR(ISNUMBER(SEARCH("CAMA PLANA",Inventario!B293)),ISNUMBER(SEARCH("FB700",Inventario!B293))),"CP",
IF(ISNUMBER(SEARCH("LX360",Inventario!B293)),"LX3",
IF(ISNUMBER(SEARCH("XEROX",Inventario!B293)),"XER",
IF(ISNUMBER(SEARCH("18 OZ",Inventario!B293)),"18OZ",
IF(ISNUMBER(SEARCH("15 OZ",Inventario!B293)),"15OZ",
IF(OR(ISNUMBER(SEARCH("13 OZ",Inventario!B293)),ISNUMBER(SEARCH("13 ONZAS",Inventario!B293))),"13OZ",
IF(OR(ISNUMBER(SEARCH("9 OZ",Inventario!B293)),ISNUMBER(SEARCH("9 ONZAS",Inventario!B293))),"09OZ","")))))))))</f>
        <v/>
      </c>
      <c r="E294" t="str">
        <f>IF(OR(ISNUMBER(SEARCH("TRANSPARENTE",Inventario!B293)),ISNUMBER(SEARCH("TRANSPARENTES",Inventario!B293))),"TR",
IF(OR(ISNUMBER(SEARCH("BLANCO",Inventario!B293)),ISNUMBER(SEARCH("BCO",Inventario!B293))),"BL",
IF(ISNUMBER(SEARCH("VERDE",Inventario!B293)),"VR",
IF(ISNUMBER(SEARCH("MORADO",Inventario!B293)),"MR",
IF(ISNUMBER(SEARCH("PLATA",Inventario!B293)),"PL",
IF(ISNUMBER(SEARCH("ORO",Inventario!B293)),"OR",
IF(ISNUMBER(SEARCH("AMARILLO",Inventario!B293)),"AM",
IF(ISNUMBER(SEARCH("NARANJA",Inventario!B293)),"NR",
IF(ISNUMBER(SEARCH("NEGRO",Inventario!B293)),"NG",
IF(ISNUMBER(SEARCH("ROJO",Inventario!B293)),"RJ",
IF(ISNUMBER(SEARCH("AZUL",Inventario!B293)),"AZ","")))))))))))</f>
        <v/>
      </c>
      <c r="F294" t="str">
        <f>IF(ISNUMBER(SEARCH("1,2 MM",Inventario!B293)),"1MM2",
IF(OR(ISNUMBER(SEARCH("2 MM",Inventario!B293)),ISNUMBER(SEARCH("2MM",Inventario!B293))),"2MM",
IF(OR(ISNUMBER(SEARCH("3 MM",Inventario!B293)),ISNUMBER(SEARCH("3MM",Inventario!B293))),"3MM",
IF(OR(ISNUMBER(SEARCH("4 MM",Inventario!B293)),ISNUMBER(SEARCH("4MM",Inventario!B293)),ISNUMBER(SEARCH("4 mm",Inventario!B293))),"4MM",
IF(OR(ISNUMBER(SEARCH("5 MM",Inventario!B293)),ISNUMBER(SEARCH("5MM",Inventario!B293))),"5MM",
IF(OR(ISNUMBER(SEARCH("6 MM",Inventario!B293)),ISNUMBER(SEARCH("6MM",Inventario!B293))),"6MM",
IF(OR(ISNUMBER(SEARCH("10 MM",Inventario!B293)),ISNUMBER(SEARCH("10MM",Inventario!B293))),"10MM","")))))))</f>
        <v>3MM</v>
      </c>
      <c r="G294" t="str">
        <f>IF(ISNUMBER(SEARCH("ALTA RESISTENCIA",Inventario!B293)),"AR",IF(ISNUMBER(SEARCH("CAMPAÑA",Inventario!B293)),"CA",
IF(OR(ISNUMBER(SEARCH("CALIDO",Inventario!B293)),ISNUMBER(SEARCH("CÁLIDO",Inventario!B293))),"C",
IF(OR(ISNUMBER(SEARCH("TRASLUCIDO",Inventario!B293)),ISNUMBER(SEARCH("TRANSLUCIDO",Inventario!B293))),"TL",
IF(ISNUMBER(SEARCH("NEUTRO",Inventario!B293)),"N",
IF(ISNUMBER(SEARCH("FRIO",Inventario!B293)),"F",""))))))</f>
        <v/>
      </c>
      <c r="H294" t="str">
        <f>IF(ISNUMBER(SEARCH("SILED",Inventario!B293)),"SI",
IF(ISNUMBER(SEARCH("SYDEMEX",Inventario!B293)),"SY",
IF(ISNUMBER(SEARCH("ROHS",Inventario!B293)),"RO",
IF(ISNUMBER(SEARCH("RISHANG",Inventario!B293)),"RS",
IF(ISNUMBER(SEARCH("VYG",Inventario!B293)),"VYG",
IF(ISNUMBER(SEARCH("COLED",Inventario!B293)),"CO",""))))))</f>
        <v/>
      </c>
    </row>
    <row r="295" spans="1:8">
      <c r="A295" t="str">
        <f>IF(ISNUMBER(SEARCH("LONA",Inventario!B294)),"LON",
IF(ISNUMBER(SEARCH("VINIL",Inventario!B294)),"VIN",
IF(ISNUMBER(SEARCH("PANEL DE ALUMINIO COMPUESTO",Inventario!B294)),"PAN-ALU-COM",
IF(ISNUMBER(SEARCH("PVC",Inventario!B294)),"PVC",
IF(ISNUMBER(SEARCH("PAPEL",Inventario!B294)),"PAP",
IF(ISNUMBER(SEARCH("TELA",Inventario!B294)),"TEL",
IF(ISNUMBER(SEARCH("CARTULINA",Inventario!B294)),"CAR",
IF(OR(ISNUMBER(SEARCH("LAMINA",Inventario!B294)),ISNUMBER(SEARCH("LÁMINA",Inventario!B294))),"LAM",
IF(ISNUMBER(SEARCH("ESTIRENO",Inventario!B294)),"EST",
IF(ISNUMBER(SEARCH("FOAMBOARD",Inventario!B294)),"FOA",
IF(ISNUMBER(SEARCH("SOLVENTE",Inventario!B294)),"SOL",
IF(ISNUMBER(SEARCH("TINTA",Inventario!B294)),"TIN",
IF(ISNUMBER(SEARCH("ACRILICO",Inventario!B294)),"ACR",
IF(ISNUMBER(SEARCH("LED",Inventario!B294)),"LED",
IF(ISNUMBER(SEARCH("FUENTE",Inventario!B294)),"FUE",
IF(ISNUMBER(SEARCH("PETG",Inventario!B294)),"PET",
IF(ISNUMBER(SEARCH("ALUMINIO",Inventario!B294)),"ALU",
IF(ISNUMBER(SEARCH("CANAL",Inventario!B294)),"CAN",
IF(ISNUMBER(SEARCH("ESCUADRA",Inventario!B294)),"ESC",
IF(ISNUMBER(SEARCH("SOPORTE",Inventario!B294)),"SOP","OTR")
)))))))))))))))))))</f>
        <v>OTR</v>
      </c>
      <c r="B295" t="str">
        <f>IF(ISNUMBER(SEARCH("CORTE",Inventario!B294)),"COR",
IF(ISNUMBER(SEARCH("CRISTAL",Inventario!B294)),"CR",
IF(OR(ISNUMBER(SEARCH("OPTICO",Inventario!B294)),ISNUMBER(SEARCH("OPTICOS",Inventario!B294)),ISNUMBER(SEARCH("OPTICA",Inventario!B294))),"OP",
IF(ISNUMBER(SEARCH("NANO",Inventario!B294)),"NA",
IF(ISNUMBER(SEARCH("5050",Inventario!B294)),"5050",
IF(ISNUMBER(SEARCH("MICRO",Inventario!B294)),"MI",""))))))</f>
        <v/>
      </c>
      <c r="C295" t="str">
        <f>IF(ISNUMBER(SEARCH("PARED",Inventario!B294)),"PAR",IF(ISNUMBER(SEARCH("MATE",Inventario!B294)),"MAT",
IF(ISNUMBER(SEARCH("FRONT",Inventario!B294)),"FRO",
IF(ISNUMBER(SEARCH("BACK",Inventario!B294)),"BAC",
IF(ISNUMBER(SEARCH("MESH",Inventario!B294)),"MES",
IF(OR(ISNUMBER(SEARCH("BRILLANTE",Inventario!B294)),ISNUMBER(SEARCH("BTE",Inventario!B294))),"BRI",
IF(ISNUMBER(SEARCH("SINTETICA DELGADA",Inventario!B294)),"SD",
IF(ISNUMBER(SEARCH("SINTETICA GRUESA",Inventario!B294)),"SG",
IF(ISNUMBER(SEARCH("ESTATICO",Inventario!B294)),"EST",
IF(ISNUMBER(SEARCH("FLOOR",Inventario!B294)),"FLO",
IF(ISNUMBER(SEARCH("REFLECTIVO",Inventario!B294)),"REF",
IF(ISNUMBER(SEARCH("MICROPERFORADO",Inventario!B294)),"MI",
IF(ISNUMBER(SEARCH("CEPILLADO",Inventario!B294)),"CEP",
IF(ISNUMBER(SEARCH("ESPEJO",Inventario!B294)),"ESP",
IF(OR(ISNUMBER(SEARCH("UNIDIODO",Inventario!B294)),ISNUMBER(SEARCH("1 DIODO",Inventario!B294))),"1D",
IF(ISNUMBER(SEARCH("2 DIODOS",Inventario!B294)),"2D",
IF(ISNUMBER(SEARCH("3 DIODOS",Inventario!B294)),"3D","")))))))))))))))))</f>
        <v/>
      </c>
      <c r="D295" t="str">
        <f>IF(ISNUMBER(SEARCH("LX700",Inventario!B294)),"LX7",
IF(ISNUMBER(SEARCH("GRANDO",Inventario!B294)),"GRA",
IF(OR(ISNUMBER(SEARCH("CAMA PLANA",Inventario!B294)),ISNUMBER(SEARCH("FB700",Inventario!B294))),"CP",
IF(ISNUMBER(SEARCH("LX360",Inventario!B294)),"LX3",
IF(ISNUMBER(SEARCH("XEROX",Inventario!B294)),"XER",
IF(ISNUMBER(SEARCH("18 OZ",Inventario!B294)),"18OZ",
IF(ISNUMBER(SEARCH("15 OZ",Inventario!B294)),"15OZ",
IF(OR(ISNUMBER(SEARCH("13 OZ",Inventario!B294)),ISNUMBER(SEARCH("13 ONZAS",Inventario!B294))),"13OZ",
IF(OR(ISNUMBER(SEARCH("9 OZ",Inventario!B294)),ISNUMBER(SEARCH("9 ONZAS",Inventario!B294))),"09OZ","")))))))))</f>
        <v/>
      </c>
      <c r="E295" t="str">
        <f>IF(OR(ISNUMBER(SEARCH("TRANSPARENTE",Inventario!B294)),ISNUMBER(SEARCH("TRANSPARENTES",Inventario!B294))),"TR",
IF(OR(ISNUMBER(SEARCH("BLANCO",Inventario!B294)),ISNUMBER(SEARCH("BCO",Inventario!B294))),"BL",
IF(ISNUMBER(SEARCH("VERDE",Inventario!B294)),"VR",
IF(ISNUMBER(SEARCH("MORADO",Inventario!B294)),"MR",
IF(ISNUMBER(SEARCH("PLATA",Inventario!B294)),"PL",
IF(ISNUMBER(SEARCH("ORO",Inventario!B294)),"OR",
IF(ISNUMBER(SEARCH("AMARILLO",Inventario!B294)),"AM",
IF(ISNUMBER(SEARCH("NARANJA",Inventario!B294)),"NR",
IF(ISNUMBER(SEARCH("NEGRO",Inventario!B294)),"NG",
IF(ISNUMBER(SEARCH("ROJO",Inventario!B294)),"RJ",
IF(ISNUMBER(SEARCH("AZUL",Inventario!B294)),"AZ","")))))))))))</f>
        <v/>
      </c>
      <c r="F295" t="str">
        <f>IF(ISNUMBER(SEARCH("1,2 MM",Inventario!B294)),"1MM2",
IF(OR(ISNUMBER(SEARCH("2 MM",Inventario!B294)),ISNUMBER(SEARCH("2MM",Inventario!B294))),"2MM",
IF(OR(ISNUMBER(SEARCH("3 MM",Inventario!B294)),ISNUMBER(SEARCH("3MM",Inventario!B294))),"3MM",
IF(OR(ISNUMBER(SEARCH("4 MM",Inventario!B294)),ISNUMBER(SEARCH("4MM",Inventario!B294)),ISNUMBER(SEARCH("4 mm",Inventario!B294))),"4MM",
IF(OR(ISNUMBER(SEARCH("5 MM",Inventario!B294)),ISNUMBER(SEARCH("5MM",Inventario!B294))),"5MM",
IF(OR(ISNUMBER(SEARCH("6 MM",Inventario!B294)),ISNUMBER(SEARCH("6MM",Inventario!B294))),"6MM",
IF(OR(ISNUMBER(SEARCH("10 MM",Inventario!B294)),ISNUMBER(SEARCH("10MM",Inventario!B294))),"10MM","")))))))</f>
        <v/>
      </c>
      <c r="G295" t="str">
        <f>IF(ISNUMBER(SEARCH("ALTA RESISTENCIA",Inventario!B294)),"AR",IF(ISNUMBER(SEARCH("CAMPAÑA",Inventario!B294)),"CA",
IF(OR(ISNUMBER(SEARCH("CALIDO",Inventario!B294)),ISNUMBER(SEARCH("CÁLIDO",Inventario!B294))),"C",
IF(OR(ISNUMBER(SEARCH("TRASLUCIDO",Inventario!B294)),ISNUMBER(SEARCH("TRANSLUCIDO",Inventario!B294))),"TL",
IF(ISNUMBER(SEARCH("NEUTRO",Inventario!B294)),"N",
IF(ISNUMBER(SEARCH("FRIO",Inventario!B294)),"F",""))))))</f>
        <v/>
      </c>
      <c r="H295" t="str">
        <f>IF(ISNUMBER(SEARCH("SILED",Inventario!B294)),"SI",
IF(ISNUMBER(SEARCH("SYDEMEX",Inventario!B294)),"SY",
IF(ISNUMBER(SEARCH("ROHS",Inventario!B294)),"RO",
IF(ISNUMBER(SEARCH("RISHANG",Inventario!B294)),"RS",
IF(ISNUMBER(SEARCH("VYG",Inventario!B294)),"VYG",
IF(ISNUMBER(SEARCH("COLED",Inventario!B294)),"CO",""))))))</f>
        <v/>
      </c>
    </row>
    <row r="296" spans="1:8">
      <c r="A296" t="str">
        <f>IF(ISNUMBER(SEARCH("LONA",Inventario!B295)),"LON",
IF(ISNUMBER(SEARCH("VINIL",Inventario!B295)),"VIN",
IF(ISNUMBER(SEARCH("PANEL DE ALUMINIO COMPUESTO",Inventario!B295)),"PAN-ALU-COM",
IF(ISNUMBER(SEARCH("PVC",Inventario!B295)),"PVC",
IF(ISNUMBER(SEARCH("PAPEL",Inventario!B295)),"PAP",
IF(ISNUMBER(SEARCH("TELA",Inventario!B295)),"TEL",
IF(ISNUMBER(SEARCH("CARTULINA",Inventario!B295)),"CAR",
IF(OR(ISNUMBER(SEARCH("LAMINA",Inventario!B295)),ISNUMBER(SEARCH("LÁMINA",Inventario!B295))),"LAM",
IF(ISNUMBER(SEARCH("ESTIRENO",Inventario!B295)),"EST",
IF(ISNUMBER(SEARCH("FOAMBOARD",Inventario!B295)),"FOA",
IF(ISNUMBER(SEARCH("SOLVENTE",Inventario!B295)),"SOL",
IF(ISNUMBER(SEARCH("TINTA",Inventario!B295)),"TIN",
IF(ISNUMBER(SEARCH("ACRILICO",Inventario!B295)),"ACR",
IF(ISNUMBER(SEARCH("LED",Inventario!B295)),"LED",
IF(ISNUMBER(SEARCH("FUENTE",Inventario!B295)),"FUE",
IF(ISNUMBER(SEARCH("PETG",Inventario!B295)),"PET",
IF(ISNUMBER(SEARCH("ALUMINIO",Inventario!B295)),"ALU",
IF(ISNUMBER(SEARCH("CANAL",Inventario!B295)),"CAN",
IF(ISNUMBER(SEARCH("ESCUADRA",Inventario!B295)),"ESC",
IF(ISNUMBER(SEARCH("SOPORTE",Inventario!B295)),"SOP","OTR")
)))))))))))))))))))</f>
        <v>ESC</v>
      </c>
      <c r="B296" t="str">
        <f>IF(ISNUMBER(SEARCH("CORTE",Inventario!B295)),"COR",
IF(ISNUMBER(SEARCH("CRISTAL",Inventario!B295)),"CR",
IF(OR(ISNUMBER(SEARCH("OPTICO",Inventario!B295)),ISNUMBER(SEARCH("OPTICOS",Inventario!B295)),ISNUMBER(SEARCH("OPTICA",Inventario!B295))),"OP",
IF(ISNUMBER(SEARCH("NANO",Inventario!B295)),"NA",
IF(ISNUMBER(SEARCH("5050",Inventario!B295)),"5050",
IF(ISNUMBER(SEARCH("MICRO",Inventario!B295)),"MI",""))))))</f>
        <v/>
      </c>
      <c r="C296" t="str">
        <f>IF(ISNUMBER(SEARCH("PARED",Inventario!B295)),"PAR",IF(ISNUMBER(SEARCH("MATE",Inventario!B295)),"MAT",
IF(ISNUMBER(SEARCH("FRONT",Inventario!B295)),"FRO",
IF(ISNUMBER(SEARCH("BACK",Inventario!B295)),"BAC",
IF(ISNUMBER(SEARCH("MESH",Inventario!B295)),"MES",
IF(OR(ISNUMBER(SEARCH("BRILLANTE",Inventario!B295)),ISNUMBER(SEARCH("BTE",Inventario!B295))),"BRI",
IF(ISNUMBER(SEARCH("SINTETICA DELGADA",Inventario!B295)),"SD",
IF(ISNUMBER(SEARCH("SINTETICA GRUESA",Inventario!B295)),"SG",
IF(ISNUMBER(SEARCH("ESTATICO",Inventario!B295)),"EST",
IF(ISNUMBER(SEARCH("FLOOR",Inventario!B295)),"FLO",
IF(ISNUMBER(SEARCH("REFLECTIVO",Inventario!B295)),"REF",
IF(ISNUMBER(SEARCH("MICROPERFORADO",Inventario!B295)),"MI",
IF(ISNUMBER(SEARCH("CEPILLADO",Inventario!B295)),"CEP",
IF(ISNUMBER(SEARCH("ESPEJO",Inventario!B295)),"ESP",
IF(OR(ISNUMBER(SEARCH("UNIDIODO",Inventario!B295)),ISNUMBER(SEARCH("1 DIODO",Inventario!B295))),"1D",
IF(ISNUMBER(SEARCH("2 DIODOS",Inventario!B295)),"2D",
IF(ISNUMBER(SEARCH("3 DIODOS",Inventario!B295)),"3D","")))))))))))))))))</f>
        <v/>
      </c>
      <c r="D296" t="str">
        <f>IF(ISNUMBER(SEARCH("LX700",Inventario!B295)),"LX7",
IF(ISNUMBER(SEARCH("GRANDO",Inventario!B295)),"GRA",
IF(OR(ISNUMBER(SEARCH("CAMA PLANA",Inventario!B295)),ISNUMBER(SEARCH("FB700",Inventario!B295))),"CP",
IF(ISNUMBER(SEARCH("LX360",Inventario!B295)),"LX3",
IF(ISNUMBER(SEARCH("XEROX",Inventario!B295)),"XER",
IF(ISNUMBER(SEARCH("18 OZ",Inventario!B295)),"18OZ",
IF(ISNUMBER(SEARCH("15 OZ",Inventario!B295)),"15OZ",
IF(OR(ISNUMBER(SEARCH("13 OZ",Inventario!B295)),ISNUMBER(SEARCH("13 ONZAS",Inventario!B295))),"13OZ",
IF(OR(ISNUMBER(SEARCH("9 OZ",Inventario!B295)),ISNUMBER(SEARCH("9 ONZAS",Inventario!B295))),"09OZ","")))))))))</f>
        <v/>
      </c>
      <c r="E296" t="str">
        <f>IF(OR(ISNUMBER(SEARCH("TRANSPARENTE",Inventario!B295)),ISNUMBER(SEARCH("TRANSPARENTES",Inventario!B295))),"TR",
IF(OR(ISNUMBER(SEARCH("BLANCO",Inventario!B295)),ISNUMBER(SEARCH("BCO",Inventario!B295))),"BL",
IF(ISNUMBER(SEARCH("VERDE",Inventario!B295)),"VR",
IF(ISNUMBER(SEARCH("MORADO",Inventario!B295)),"MR",
IF(ISNUMBER(SEARCH("PLATA",Inventario!B295)),"PL",
IF(ISNUMBER(SEARCH("ORO",Inventario!B295)),"OR",
IF(ISNUMBER(SEARCH("AMARILLO",Inventario!B295)),"AM",
IF(ISNUMBER(SEARCH("NARANJA",Inventario!B295)),"NR",
IF(ISNUMBER(SEARCH("NEGRO",Inventario!B295)),"NG",
IF(ISNUMBER(SEARCH("ROJO",Inventario!B295)),"RJ",
IF(ISNUMBER(SEARCH("AZUL",Inventario!B295)),"AZ","")))))))))))</f>
        <v/>
      </c>
      <c r="F296" t="str">
        <f>IF(ISNUMBER(SEARCH("1,2 MM",Inventario!B295)),"1MM2",
IF(OR(ISNUMBER(SEARCH("2 MM",Inventario!B295)),ISNUMBER(SEARCH("2MM",Inventario!B295))),"2MM",
IF(OR(ISNUMBER(SEARCH("3 MM",Inventario!B295)),ISNUMBER(SEARCH("3MM",Inventario!B295))),"3MM",
IF(OR(ISNUMBER(SEARCH("4 MM",Inventario!B295)),ISNUMBER(SEARCH("4MM",Inventario!B295)),ISNUMBER(SEARCH("4 mm",Inventario!B295))),"4MM",
IF(OR(ISNUMBER(SEARCH("5 MM",Inventario!B295)),ISNUMBER(SEARCH("5MM",Inventario!B295))),"5MM",
IF(OR(ISNUMBER(SEARCH("6 MM",Inventario!B295)),ISNUMBER(SEARCH("6MM",Inventario!B295))),"6MM",
IF(OR(ISNUMBER(SEARCH("10 MM",Inventario!B295)),ISNUMBER(SEARCH("10MM",Inventario!B295))),"10MM","")))))))</f>
        <v/>
      </c>
      <c r="G296" t="str">
        <f>IF(ISNUMBER(SEARCH("ALTA RESISTENCIA",Inventario!B295)),"AR",IF(ISNUMBER(SEARCH("CAMPAÑA",Inventario!B295)),"CA",
IF(OR(ISNUMBER(SEARCH("CALIDO",Inventario!B295)),ISNUMBER(SEARCH("CÁLIDO",Inventario!B295))),"C",
IF(OR(ISNUMBER(SEARCH("TRASLUCIDO",Inventario!B295)),ISNUMBER(SEARCH("TRANSLUCIDO",Inventario!B295))),"TL",
IF(ISNUMBER(SEARCH("NEUTRO",Inventario!B295)),"N",
IF(ISNUMBER(SEARCH("FRIO",Inventario!B295)),"F",""))))))</f>
        <v/>
      </c>
      <c r="H296" t="str">
        <f>IF(ISNUMBER(SEARCH("SILED",Inventario!B295)),"SI",
IF(ISNUMBER(SEARCH("SYDEMEX",Inventario!B295)),"SY",
IF(ISNUMBER(SEARCH("ROHS",Inventario!B295)),"RO",
IF(ISNUMBER(SEARCH("RISHANG",Inventario!B295)),"RS",
IF(ISNUMBER(SEARCH("VYG",Inventario!B295)),"VYG",
IF(ISNUMBER(SEARCH("COLED",Inventario!B295)),"CO",""))))))</f>
        <v/>
      </c>
    </row>
    <row r="297" spans="1:8">
      <c r="A297" t="str">
        <f>IF(ISNUMBER(SEARCH("LONA",Inventario!B296)),"LON",
IF(ISNUMBER(SEARCH("VINIL",Inventario!B296)),"VIN",
IF(ISNUMBER(SEARCH("PANEL DE ALUMINIO COMPUESTO",Inventario!B296)),"PAN-ALU-COM",
IF(ISNUMBER(SEARCH("PVC",Inventario!B296)),"PVC",
IF(ISNUMBER(SEARCH("PAPEL",Inventario!B296)),"PAP",
IF(ISNUMBER(SEARCH("TELA",Inventario!B296)),"TEL",
IF(ISNUMBER(SEARCH("CARTULINA",Inventario!B296)),"CAR",
IF(OR(ISNUMBER(SEARCH("LAMINA",Inventario!B296)),ISNUMBER(SEARCH("LÁMINA",Inventario!B296))),"LAM",
IF(ISNUMBER(SEARCH("ESTIRENO",Inventario!B296)),"EST",
IF(ISNUMBER(SEARCH("FOAMBOARD",Inventario!B296)),"FOA",
IF(ISNUMBER(SEARCH("SOLVENTE",Inventario!B296)),"SOL",
IF(ISNUMBER(SEARCH("TINTA",Inventario!B296)),"TIN",
IF(ISNUMBER(SEARCH("ACRILICO",Inventario!B296)),"ACR",
IF(ISNUMBER(SEARCH("LED",Inventario!B296)),"LED",
IF(ISNUMBER(SEARCH("FUENTE",Inventario!B296)),"FUE",
IF(ISNUMBER(SEARCH("PETG",Inventario!B296)),"PET",
IF(ISNUMBER(SEARCH("ALUMINIO",Inventario!B296)),"ALU",
IF(ISNUMBER(SEARCH("CANAL",Inventario!B296)),"CAN",
IF(ISNUMBER(SEARCH("ESCUADRA",Inventario!B296)),"ESC",
IF(ISNUMBER(SEARCH("SOPORTE",Inventario!B296)),"SOP","OTR")
)))))))))))))))))))</f>
        <v>LAM</v>
      </c>
      <c r="B297" t="str">
        <f>IF(ISNUMBER(SEARCH("CORTE",Inventario!B296)),"COR",
IF(ISNUMBER(SEARCH("CRISTAL",Inventario!B296)),"CR",
IF(OR(ISNUMBER(SEARCH("OPTICO",Inventario!B296)),ISNUMBER(SEARCH("OPTICOS",Inventario!B296)),ISNUMBER(SEARCH("OPTICA",Inventario!B296))),"OP",
IF(ISNUMBER(SEARCH("NANO",Inventario!B296)),"NA",
IF(ISNUMBER(SEARCH("5050",Inventario!B296)),"5050",
IF(ISNUMBER(SEARCH("MICRO",Inventario!B296)),"MI",""))))))</f>
        <v/>
      </c>
      <c r="C297" t="str">
        <f>IF(ISNUMBER(SEARCH("PARED",Inventario!B296)),"PAR",IF(ISNUMBER(SEARCH("MATE",Inventario!B296)),"MAT",
IF(ISNUMBER(SEARCH("FRONT",Inventario!B296)),"FRO",
IF(ISNUMBER(SEARCH("BACK",Inventario!B296)),"BAC",
IF(ISNUMBER(SEARCH("MESH",Inventario!B296)),"MES",
IF(OR(ISNUMBER(SEARCH("BRILLANTE",Inventario!B296)),ISNUMBER(SEARCH("BTE",Inventario!B296))),"BRI",
IF(ISNUMBER(SEARCH("SINTETICA DELGADA",Inventario!B296)),"SD",
IF(ISNUMBER(SEARCH("SINTETICA GRUESA",Inventario!B296)),"SG",
IF(ISNUMBER(SEARCH("ESTATICO",Inventario!B296)),"EST",
IF(ISNUMBER(SEARCH("FLOOR",Inventario!B296)),"FLO",
IF(ISNUMBER(SEARCH("REFLECTIVO",Inventario!B296)),"REF",
IF(ISNUMBER(SEARCH("MICROPERFORADO",Inventario!B296)),"MI",
IF(ISNUMBER(SEARCH("CEPILLADO",Inventario!B296)),"CEP",
IF(ISNUMBER(SEARCH("ESPEJO",Inventario!B296)),"ESP",
IF(OR(ISNUMBER(SEARCH("UNIDIODO",Inventario!B296)),ISNUMBER(SEARCH("1 DIODO",Inventario!B296))),"1D",
IF(ISNUMBER(SEARCH("2 DIODOS",Inventario!B296)),"2D",
IF(ISNUMBER(SEARCH("3 DIODOS",Inventario!B296)),"3D","")))))))))))))))))</f>
        <v/>
      </c>
      <c r="D297" t="str">
        <f>IF(ISNUMBER(SEARCH("LX700",Inventario!B296)),"LX7",
IF(ISNUMBER(SEARCH("GRANDO",Inventario!B296)),"GRA",
IF(OR(ISNUMBER(SEARCH("CAMA PLANA",Inventario!B296)),ISNUMBER(SEARCH("FB700",Inventario!B296))),"CP",
IF(ISNUMBER(SEARCH("LX360",Inventario!B296)),"LX3",
IF(ISNUMBER(SEARCH("XEROX",Inventario!B296)),"XER",
IF(ISNUMBER(SEARCH("18 OZ",Inventario!B296)),"18OZ",
IF(ISNUMBER(SEARCH("15 OZ",Inventario!B296)),"15OZ",
IF(OR(ISNUMBER(SEARCH("13 OZ",Inventario!B296)),ISNUMBER(SEARCH("13 ONZAS",Inventario!B296))),"13OZ",
IF(OR(ISNUMBER(SEARCH("9 OZ",Inventario!B296)),ISNUMBER(SEARCH("9 ONZAS",Inventario!B296))),"09OZ","")))))))))</f>
        <v/>
      </c>
      <c r="E297" t="str">
        <f>IF(OR(ISNUMBER(SEARCH("TRANSPARENTE",Inventario!B296)),ISNUMBER(SEARCH("TRANSPARENTES",Inventario!B296))),"TR",
IF(OR(ISNUMBER(SEARCH("BLANCO",Inventario!B296)),ISNUMBER(SEARCH("BCO",Inventario!B296))),"BL",
IF(ISNUMBER(SEARCH("VERDE",Inventario!B296)),"VR",
IF(ISNUMBER(SEARCH("MORADO",Inventario!B296)),"MR",
IF(ISNUMBER(SEARCH("PLATA",Inventario!B296)),"PL",
IF(ISNUMBER(SEARCH("ORO",Inventario!B296)),"OR",
IF(ISNUMBER(SEARCH("AMARILLO",Inventario!B296)),"AM",
IF(ISNUMBER(SEARCH("NARANJA",Inventario!B296)),"NR",
IF(ISNUMBER(SEARCH("NEGRO",Inventario!B296)),"NG",
IF(ISNUMBER(SEARCH("ROJO",Inventario!B296)),"RJ",
IF(ISNUMBER(SEARCH("AZUL",Inventario!B296)),"AZ","")))))))))))</f>
        <v/>
      </c>
      <c r="F297" t="str">
        <f>IF(ISNUMBER(SEARCH("1,2 MM",Inventario!B296)),"1MM2",
IF(OR(ISNUMBER(SEARCH("2 MM",Inventario!B296)),ISNUMBER(SEARCH("2MM",Inventario!B296))),"2MM",
IF(OR(ISNUMBER(SEARCH("3 MM",Inventario!B296)),ISNUMBER(SEARCH("3MM",Inventario!B296))),"3MM",
IF(OR(ISNUMBER(SEARCH("4 MM",Inventario!B296)),ISNUMBER(SEARCH("4MM",Inventario!B296)),ISNUMBER(SEARCH("4 mm",Inventario!B296))),"4MM",
IF(OR(ISNUMBER(SEARCH("5 MM",Inventario!B296)),ISNUMBER(SEARCH("5MM",Inventario!B296))),"5MM",
IF(OR(ISNUMBER(SEARCH("6 MM",Inventario!B296)),ISNUMBER(SEARCH("6MM",Inventario!B296))),"6MM",
IF(OR(ISNUMBER(SEARCH("10 MM",Inventario!B296)),ISNUMBER(SEARCH("10MM",Inventario!B296))),"10MM","")))))))</f>
        <v>1MM2</v>
      </c>
      <c r="G297" t="str">
        <f>IF(ISNUMBER(SEARCH("ALTA RESISTENCIA",Inventario!B296)),"AR",IF(ISNUMBER(SEARCH("CAMPAÑA",Inventario!B296)),"CA",
IF(OR(ISNUMBER(SEARCH("CALIDO",Inventario!B296)),ISNUMBER(SEARCH("CÁLIDO",Inventario!B296))),"C",
IF(OR(ISNUMBER(SEARCH("TRASLUCIDO",Inventario!B296)),ISNUMBER(SEARCH("TRANSLUCIDO",Inventario!B296))),"TL",
IF(ISNUMBER(SEARCH("NEUTRO",Inventario!B296)),"N",
IF(ISNUMBER(SEARCH("FRIO",Inventario!B296)),"F",""))))))</f>
        <v/>
      </c>
      <c r="H297" t="str">
        <f>IF(ISNUMBER(SEARCH("SILED",Inventario!B296)),"SI",
IF(ISNUMBER(SEARCH("SYDEMEX",Inventario!B296)),"SY",
IF(ISNUMBER(SEARCH("ROHS",Inventario!B296)),"RO",
IF(ISNUMBER(SEARCH("RISHANG",Inventario!B296)),"RS",
IF(ISNUMBER(SEARCH("VYG",Inventario!B296)),"VYG",
IF(ISNUMBER(SEARCH("COLED",Inventario!B296)),"CO",""))))))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2026-04-14T16:26:42Z</dcterms:created>
  <dcterms:modified xsi:type="dcterms:W3CDTF">2026-04-16T18:41:17Z</dcterms:modified>
</cp:coreProperties>
</file>